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orspacesmanagement-my.sharepoint.com/personal/javier_storestorage_com/Documents/Desktop/JaviWorkingFOlder/3.10 Proformas/GHK/"/>
    </mc:Choice>
  </mc:AlternateContent>
  <xr:revisionPtr revIDLastSave="33" documentId="8_{FDEDF5AA-0302-46EE-A92B-A63AD76A6A71}" xr6:coauthVersionLast="47" xr6:coauthVersionMax="47" xr10:uidLastSave="{E6F628C8-42F9-4C69-94F4-B6BB6BDE49D4}"/>
  <bookViews>
    <workbookView xWindow="28530" yWindow="-270" windowWidth="29340" windowHeight="16020" tabRatio="991" firstSheet="1" activeTab="1" xr2:uid="{00000000-000D-0000-FFFF-FFFF00000000}"/>
  </bookViews>
  <sheets>
    <sheet name="Ops Sum 7272" sheetId="1" r:id="rId1"/>
    <sheet name="ISYTD 7272" sheetId="5" r:id="rId2"/>
    <sheet name="Unit Status 7272" sheetId="2" r:id="rId3"/>
    <sheet name="Unit Rate 7272" sheetId="3" r:id="rId4"/>
    <sheet name="Rolling IS 7272" sheetId="6" r:id="rId5"/>
    <sheet name="FvA 7272" sheetId="7" r:id="rId6"/>
    <sheet name="CvP 7272" sheetId="8" r:id="rId7"/>
    <sheet name="BvA 7272" sheetId="9" r:id="rId8"/>
    <sheet name="Rent Roll 7272" sheetId="14" r:id="rId9"/>
    <sheet name="Unit Mix 7272" sheetId="15" r:id="rId10"/>
  </sheets>
  <definedNames>
    <definedName name="_xlnm._FilterDatabase" localSheetId="8" hidden="1">'Rent Roll 7272'!$B$5:$Q$602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0" i="14" l="1"/>
  <c r="P598" i="14"/>
  <c r="P595" i="14"/>
  <c r="P592" i="14"/>
  <c r="P588" i="14"/>
  <c r="P585" i="14"/>
  <c r="P581" i="14"/>
  <c r="P580" i="14"/>
  <c r="P577" i="14"/>
  <c r="P568" i="14"/>
  <c r="P557" i="14"/>
  <c r="P543" i="14"/>
  <c r="P536" i="14"/>
  <c r="P535" i="14"/>
  <c r="P533" i="14"/>
  <c r="P532" i="14"/>
  <c r="P531" i="14"/>
  <c r="P530" i="14"/>
  <c r="P529" i="14"/>
  <c r="P528" i="14"/>
  <c r="P526" i="14"/>
  <c r="P525" i="14"/>
  <c r="P524" i="14"/>
  <c r="P523" i="14"/>
  <c r="P522" i="14"/>
  <c r="P520" i="14"/>
  <c r="P519" i="14"/>
  <c r="P518" i="14"/>
  <c r="P517" i="14"/>
  <c r="P516" i="14"/>
  <c r="P515" i="14"/>
  <c r="P514" i="14"/>
  <c r="P513" i="14"/>
  <c r="P512" i="14"/>
  <c r="P511" i="14"/>
  <c r="P510" i="14"/>
  <c r="P509" i="14"/>
  <c r="P508" i="14"/>
  <c r="P507" i="14"/>
  <c r="P506" i="14"/>
  <c r="P505" i="14"/>
  <c r="P504" i="14"/>
  <c r="P503" i="14"/>
  <c r="P502" i="14"/>
  <c r="P501" i="14"/>
  <c r="P500" i="14"/>
  <c r="P499" i="14"/>
  <c r="P498" i="14"/>
  <c r="P497" i="14"/>
  <c r="P496" i="14"/>
  <c r="P495" i="14"/>
  <c r="P494" i="14"/>
  <c r="P492" i="14"/>
  <c r="P491" i="14"/>
  <c r="P490" i="14"/>
  <c r="P489" i="14"/>
  <c r="P488" i="14"/>
  <c r="P487" i="14"/>
  <c r="P486" i="14"/>
  <c r="P485" i="14"/>
  <c r="P484" i="14"/>
  <c r="P483" i="14"/>
  <c r="P482" i="14"/>
  <c r="P481" i="14"/>
  <c r="P480" i="14"/>
  <c r="P479" i="14"/>
  <c r="P478" i="14"/>
  <c r="P477" i="14"/>
  <c r="P476" i="14"/>
  <c r="P475" i="14"/>
  <c r="P474" i="14"/>
  <c r="P473" i="14"/>
  <c r="P472" i="14"/>
  <c r="P471" i="14"/>
  <c r="P470" i="14"/>
  <c r="P469" i="14"/>
  <c r="P468" i="14"/>
  <c r="P467" i="14"/>
  <c r="P466" i="14"/>
  <c r="P465" i="14"/>
  <c r="P464" i="14"/>
  <c r="P463" i="14"/>
  <c r="P462" i="14"/>
  <c r="P461" i="14"/>
  <c r="P460" i="14"/>
  <c r="P459" i="14"/>
  <c r="P458" i="14"/>
  <c r="P457" i="14"/>
  <c r="P456" i="14"/>
  <c r="P455" i="14"/>
  <c r="P454" i="14"/>
  <c r="P453" i="14"/>
  <c r="P451" i="14"/>
  <c r="P450" i="14"/>
  <c r="P449" i="14"/>
  <c r="P448" i="14"/>
  <c r="P447" i="14"/>
  <c r="P446" i="14"/>
  <c r="P445" i="14"/>
  <c r="P444" i="14"/>
  <c r="P442" i="14"/>
  <c r="P441" i="14"/>
  <c r="P440" i="14"/>
  <c r="P439" i="14"/>
  <c r="P437" i="14"/>
  <c r="P436" i="14"/>
  <c r="P435" i="14"/>
  <c r="P434" i="14"/>
  <c r="P433" i="14"/>
  <c r="P432" i="14"/>
  <c r="P431" i="14"/>
  <c r="P430" i="14"/>
  <c r="P429" i="14"/>
  <c r="P428" i="14"/>
  <c r="P427" i="14"/>
  <c r="P426" i="14"/>
  <c r="P425" i="14"/>
  <c r="P424" i="14"/>
  <c r="P423" i="14"/>
  <c r="P422" i="14"/>
  <c r="P421" i="14"/>
  <c r="P420" i="14"/>
  <c r="P419" i="14"/>
  <c r="P418" i="14"/>
  <c r="P417" i="14"/>
  <c r="P416" i="14"/>
  <c r="P415" i="14"/>
  <c r="P414" i="14"/>
  <c r="P413" i="14"/>
  <c r="P411" i="14"/>
  <c r="P410" i="14"/>
  <c r="P409" i="14"/>
  <c r="P408" i="14"/>
  <c r="P407" i="14"/>
  <c r="P406" i="14"/>
  <c r="P405" i="14"/>
  <c r="P404" i="14"/>
  <c r="P403" i="14"/>
  <c r="P402" i="14"/>
  <c r="P400" i="14"/>
  <c r="P399" i="14"/>
  <c r="P398" i="14"/>
  <c r="P397" i="14"/>
  <c r="P396" i="14"/>
  <c r="P395" i="14"/>
  <c r="P394" i="14"/>
  <c r="P393" i="14"/>
  <c r="P392" i="14"/>
  <c r="P391" i="14"/>
  <c r="P390" i="14"/>
  <c r="P389" i="14"/>
  <c r="P388" i="14"/>
  <c r="P387" i="14"/>
  <c r="P386" i="14"/>
  <c r="P385" i="14"/>
  <c r="P384" i="14"/>
  <c r="P383" i="14"/>
  <c r="P382" i="14"/>
  <c r="P381" i="14"/>
  <c r="P380" i="14"/>
  <c r="P379" i="14"/>
  <c r="P378" i="14"/>
  <c r="P377" i="14"/>
  <c r="P376" i="14"/>
  <c r="P375" i="14"/>
  <c r="P374" i="14"/>
  <c r="P373" i="14"/>
  <c r="P372" i="14"/>
  <c r="P371" i="14"/>
  <c r="P370" i="14"/>
  <c r="P368" i="14"/>
  <c r="P367" i="14"/>
  <c r="P366" i="14"/>
  <c r="P365" i="14"/>
  <c r="P364" i="14"/>
  <c r="P363" i="14"/>
  <c r="P362" i="14"/>
  <c r="P361" i="14"/>
  <c r="P360" i="14"/>
  <c r="P359" i="14"/>
  <c r="P358" i="14"/>
  <c r="P357" i="14"/>
  <c r="P356" i="14"/>
  <c r="P355" i="14"/>
  <c r="P354" i="14"/>
  <c r="P353" i="14"/>
  <c r="P352" i="14"/>
  <c r="P351" i="14"/>
  <c r="P350" i="14"/>
  <c r="P349" i="14"/>
  <c r="P348" i="14"/>
  <c r="P347" i="14"/>
  <c r="P346" i="14"/>
  <c r="P345" i="14"/>
  <c r="P344" i="14"/>
  <c r="P343" i="14"/>
  <c r="P342" i="14"/>
  <c r="P341" i="14"/>
  <c r="P339" i="14"/>
  <c r="P338" i="14"/>
  <c r="P337" i="14"/>
  <c r="P336" i="14"/>
  <c r="P335" i="14"/>
  <c r="P334" i="14"/>
  <c r="P333" i="14"/>
  <c r="P332" i="14"/>
  <c r="P331" i="14"/>
  <c r="P330" i="14"/>
  <c r="P329" i="14"/>
  <c r="P328" i="14"/>
  <c r="P327" i="14"/>
  <c r="P326" i="14"/>
  <c r="P325" i="14"/>
  <c r="P324" i="14"/>
  <c r="P323" i="14"/>
  <c r="P322" i="14"/>
  <c r="P321" i="14"/>
  <c r="P320" i="14"/>
  <c r="P319" i="14"/>
  <c r="P318" i="14"/>
  <c r="P317" i="14"/>
  <c r="P316" i="14"/>
  <c r="P315" i="14"/>
  <c r="P314" i="14"/>
  <c r="P313" i="14"/>
  <c r="P312" i="14"/>
  <c r="P311" i="14"/>
  <c r="P310" i="14"/>
  <c r="P309" i="14"/>
  <c r="P308" i="14"/>
  <c r="P307" i="14"/>
  <c r="P306" i="14"/>
  <c r="P305" i="14"/>
  <c r="P304" i="14"/>
  <c r="P303" i="14"/>
  <c r="P302" i="14"/>
  <c r="P301" i="14"/>
  <c r="P300" i="14"/>
  <c r="P299" i="14"/>
  <c r="P298" i="14"/>
  <c r="P297" i="14"/>
  <c r="P296" i="14"/>
  <c r="P295" i="14"/>
  <c r="P294" i="14"/>
  <c r="P293" i="14"/>
  <c r="P292" i="14"/>
  <c r="P291" i="14"/>
  <c r="P290" i="14"/>
  <c r="P289" i="14"/>
  <c r="P288" i="14"/>
  <c r="P287" i="14"/>
  <c r="P286" i="14"/>
  <c r="P285" i="14"/>
  <c r="P284" i="14"/>
  <c r="P283" i="14"/>
  <c r="P282" i="14"/>
  <c r="P281" i="14"/>
  <c r="P280" i="14"/>
  <c r="P279" i="14"/>
  <c r="P278" i="14"/>
  <c r="P277" i="14"/>
  <c r="P276" i="14"/>
  <c r="P275" i="14"/>
  <c r="P274" i="14"/>
  <c r="P273" i="14"/>
  <c r="P272" i="14"/>
  <c r="P271" i="14"/>
  <c r="P270" i="14"/>
  <c r="P269" i="14"/>
  <c r="P268" i="14"/>
  <c r="P267" i="14"/>
  <c r="P266" i="14"/>
  <c r="P265" i="14"/>
  <c r="P264" i="14"/>
  <c r="P263" i="14"/>
  <c r="P262" i="14"/>
  <c r="P261" i="14"/>
  <c r="P260" i="14"/>
  <c r="P259" i="14"/>
  <c r="P258" i="14"/>
  <c r="P257" i="14"/>
  <c r="P256" i="14"/>
  <c r="P255" i="14"/>
  <c r="P254" i="14"/>
  <c r="P253" i="14"/>
  <c r="P252" i="14"/>
  <c r="P250" i="14"/>
  <c r="P249" i="14"/>
  <c r="P246" i="14"/>
  <c r="P245" i="14"/>
  <c r="P244" i="14"/>
  <c r="P243" i="14"/>
  <c r="P242" i="14"/>
  <c r="P241" i="14"/>
  <c r="P240" i="14"/>
  <c r="P239" i="14"/>
  <c r="P238" i="14"/>
  <c r="P237" i="14"/>
  <c r="P236" i="14"/>
  <c r="P235" i="14"/>
  <c r="P234" i="14"/>
  <c r="P233" i="14"/>
  <c r="P231" i="14"/>
  <c r="P229" i="14"/>
  <c r="P227" i="14"/>
  <c r="P226" i="14"/>
  <c r="P225" i="14"/>
  <c r="P224" i="14"/>
  <c r="P223" i="14"/>
  <c r="P222" i="14"/>
  <c r="P221" i="14"/>
  <c r="P220" i="14"/>
  <c r="P219" i="14"/>
  <c r="P218" i="14"/>
  <c r="P217" i="14"/>
  <c r="P216" i="14"/>
  <c r="P215" i="14"/>
  <c r="P214" i="14"/>
  <c r="P213" i="14"/>
  <c r="P212" i="14"/>
  <c r="P211" i="14"/>
  <c r="P210" i="14"/>
  <c r="P209" i="14"/>
  <c r="P208" i="14"/>
  <c r="P207" i="14"/>
  <c r="P206" i="14"/>
  <c r="P205" i="14"/>
  <c r="P204" i="14"/>
  <c r="P203" i="14"/>
  <c r="P202" i="14"/>
  <c r="P201" i="14"/>
  <c r="P200" i="14"/>
  <c r="P199" i="14"/>
  <c r="P198" i="14"/>
  <c r="P197" i="14"/>
  <c r="P196" i="14"/>
  <c r="P195" i="14"/>
  <c r="P194" i="14"/>
  <c r="P193" i="14"/>
  <c r="P192" i="14"/>
  <c r="P191" i="14"/>
  <c r="P190" i="14"/>
  <c r="P189" i="14"/>
  <c r="P188" i="14"/>
  <c r="P187" i="14"/>
  <c r="P186" i="14"/>
  <c r="P185" i="14"/>
  <c r="P184" i="14"/>
  <c r="P183" i="14"/>
  <c r="P182" i="14"/>
  <c r="P181" i="14"/>
  <c r="P180" i="14"/>
  <c r="P179" i="14"/>
  <c r="P178" i="14"/>
  <c r="P177" i="14"/>
  <c r="P176" i="14"/>
  <c r="P175" i="14"/>
  <c r="P173" i="14"/>
  <c r="P172" i="14"/>
  <c r="P171" i="14"/>
  <c r="P170" i="14"/>
  <c r="P169" i="14"/>
  <c r="P168" i="14"/>
  <c r="P167" i="14"/>
  <c r="P166" i="14"/>
  <c r="P165" i="14"/>
  <c r="P164" i="14"/>
  <c r="P163" i="14"/>
  <c r="P162" i="14"/>
  <c r="P161" i="14"/>
  <c r="P160" i="14"/>
  <c r="P159" i="14"/>
  <c r="P158" i="14"/>
  <c r="P157" i="14"/>
  <c r="P156" i="14"/>
  <c r="P155" i="14"/>
  <c r="P154" i="14"/>
  <c r="P153" i="14"/>
  <c r="P152" i="14"/>
  <c r="P151" i="14"/>
  <c r="P150" i="14"/>
  <c r="P149" i="14"/>
  <c r="P148" i="14"/>
  <c r="P147" i="14"/>
  <c r="P146" i="14"/>
  <c r="P145" i="14"/>
  <c r="P144" i="14"/>
  <c r="P143" i="14"/>
  <c r="P142" i="14"/>
  <c r="P141" i="14"/>
  <c r="P140" i="14"/>
  <c r="P139" i="14"/>
  <c r="P138" i="14"/>
  <c r="P137" i="14"/>
  <c r="P136" i="14"/>
  <c r="P135" i="14"/>
  <c r="P134" i="14"/>
  <c r="P133" i="14"/>
  <c r="P132" i="14"/>
  <c r="P131" i="14"/>
  <c r="P130" i="14"/>
  <c r="P129" i="14"/>
  <c r="P128" i="14"/>
  <c r="P127" i="14"/>
  <c r="P126" i="14"/>
  <c r="P125" i="14"/>
  <c r="P124" i="14"/>
  <c r="P123" i="14"/>
  <c r="P122" i="14"/>
  <c r="P121" i="14"/>
  <c r="P120" i="14"/>
  <c r="P119" i="14"/>
  <c r="P118" i="14"/>
  <c r="P117" i="14"/>
  <c r="P116" i="14"/>
  <c r="P115" i="14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1" i="14"/>
  <c r="P100" i="14"/>
  <c r="P99" i="14"/>
  <c r="P98" i="14"/>
  <c r="P97" i="14"/>
  <c r="P96" i="14"/>
  <c r="P94" i="14"/>
  <c r="P93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2" i="14"/>
  <c r="P61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2" i="14"/>
  <c r="P41" i="14"/>
  <c r="P40" i="14"/>
  <c r="P39" i="14"/>
  <c r="P38" i="14"/>
  <c r="P37" i="14"/>
  <c r="P36" i="14"/>
  <c r="P35" i="14"/>
  <c r="P34" i="14"/>
  <c r="P33" i="14"/>
  <c r="P32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3" i="14"/>
  <c r="P12" i="14"/>
  <c r="P11" i="14"/>
  <c r="P10" i="14"/>
  <c r="P9" i="14"/>
  <c r="P8" i="14"/>
  <c r="P7" i="14"/>
  <c r="P6" i="14"/>
  <c r="O600" i="14"/>
  <c r="O535" i="14"/>
  <c r="O530" i="14"/>
  <c r="O524" i="14"/>
  <c r="O523" i="14"/>
  <c r="O522" i="14"/>
  <c r="O512" i="14"/>
  <c r="O507" i="14"/>
  <c r="O505" i="14"/>
  <c r="O500" i="14"/>
  <c r="O490" i="14"/>
  <c r="O485" i="14"/>
  <c r="O484" i="14"/>
  <c r="O480" i="14"/>
  <c r="O468" i="14"/>
  <c r="O446" i="14"/>
  <c r="O440" i="14"/>
  <c r="O432" i="14"/>
  <c r="O421" i="14"/>
  <c r="O402" i="14"/>
  <c r="O399" i="14"/>
  <c r="O397" i="14"/>
  <c r="O388" i="14"/>
  <c r="O387" i="14"/>
  <c r="O383" i="14"/>
  <c r="O382" i="14"/>
  <c r="O377" i="14"/>
  <c r="O376" i="14"/>
  <c r="O360" i="14"/>
  <c r="O344" i="14"/>
  <c r="O343" i="14"/>
  <c r="O342" i="14"/>
  <c r="O339" i="14"/>
  <c r="O337" i="14"/>
  <c r="O323" i="14"/>
  <c r="O321" i="14"/>
  <c r="O308" i="14"/>
  <c r="O295" i="14"/>
  <c r="O290" i="14"/>
  <c r="O285" i="14"/>
  <c r="O280" i="14"/>
  <c r="O279" i="14"/>
  <c r="O274" i="14"/>
  <c r="O265" i="14"/>
  <c r="O264" i="14"/>
  <c r="O262" i="14"/>
  <c r="O252" i="14"/>
  <c r="O236" i="14"/>
  <c r="O218" i="14"/>
  <c r="O216" i="14"/>
  <c r="O213" i="14"/>
  <c r="O202" i="14"/>
  <c r="O201" i="14"/>
  <c r="O200" i="14"/>
  <c r="O182" i="14"/>
  <c r="O166" i="14"/>
  <c r="O164" i="14"/>
  <c r="O162" i="14"/>
  <c r="O161" i="14"/>
  <c r="O157" i="14"/>
  <c r="O153" i="14"/>
  <c r="O148" i="14"/>
  <c r="O138" i="14"/>
  <c r="O136" i="14"/>
  <c r="O131" i="14"/>
  <c r="O126" i="14"/>
  <c r="O125" i="14"/>
  <c r="O122" i="14"/>
  <c r="O121" i="14"/>
  <c r="O120" i="14"/>
  <c r="O119" i="14"/>
  <c r="O105" i="14"/>
  <c r="O103" i="14"/>
  <c r="O84" i="14"/>
  <c r="O79" i="14"/>
  <c r="O76" i="14"/>
  <c r="O68" i="14"/>
  <c r="O59" i="14"/>
  <c r="O57" i="14"/>
  <c r="O45" i="14"/>
  <c r="O40" i="14"/>
  <c r="O38" i="14"/>
  <c r="O22" i="14"/>
  <c r="O20" i="14"/>
  <c r="L7" i="14"/>
  <c r="M7" i="14"/>
  <c r="L8" i="14"/>
  <c r="N8" i="14" s="1"/>
  <c r="O8" i="14" s="1"/>
  <c r="M8" i="14"/>
  <c r="L9" i="14"/>
  <c r="M9" i="14"/>
  <c r="N9" i="14"/>
  <c r="O9" i="14" s="1"/>
  <c r="L10" i="14"/>
  <c r="M10" i="14"/>
  <c r="N10" i="14"/>
  <c r="O10" i="14" s="1"/>
  <c r="L11" i="14"/>
  <c r="M11" i="14"/>
  <c r="L12" i="14"/>
  <c r="M12" i="14"/>
  <c r="N12" i="14"/>
  <c r="O12" i="14" s="1"/>
  <c r="L13" i="14"/>
  <c r="M13" i="14"/>
  <c r="L14" i="14"/>
  <c r="M14" i="14"/>
  <c r="N14" i="14"/>
  <c r="L15" i="14"/>
  <c r="N15" i="14" s="1"/>
  <c r="O15" i="14" s="1"/>
  <c r="M15" i="14"/>
  <c r="L16" i="14"/>
  <c r="M16" i="14"/>
  <c r="L17" i="14"/>
  <c r="M17" i="14"/>
  <c r="N17" i="14"/>
  <c r="O17" i="14" s="1"/>
  <c r="L18" i="14"/>
  <c r="N18" i="14" s="1"/>
  <c r="O18" i="14" s="1"/>
  <c r="M18" i="14"/>
  <c r="L19" i="14"/>
  <c r="N19" i="14" s="1"/>
  <c r="O19" i="14" s="1"/>
  <c r="M19" i="14"/>
  <c r="L20" i="14"/>
  <c r="M20" i="14"/>
  <c r="N20" i="14"/>
  <c r="L21" i="14"/>
  <c r="M21" i="14"/>
  <c r="L22" i="14"/>
  <c r="M22" i="14"/>
  <c r="N22" i="14"/>
  <c r="L23" i="14"/>
  <c r="M23" i="14"/>
  <c r="L24" i="14"/>
  <c r="M24" i="14"/>
  <c r="L25" i="14"/>
  <c r="M25" i="14"/>
  <c r="L26" i="14"/>
  <c r="M26" i="14"/>
  <c r="L27" i="14"/>
  <c r="N27" i="14" s="1"/>
  <c r="O27" i="14" s="1"/>
  <c r="M27" i="14"/>
  <c r="L28" i="14"/>
  <c r="M28" i="14"/>
  <c r="N28" i="14"/>
  <c r="O28" i="14" s="1"/>
  <c r="L29" i="14"/>
  <c r="M29" i="14"/>
  <c r="N29" i="14"/>
  <c r="O29" i="14" s="1"/>
  <c r="L30" i="14"/>
  <c r="M30" i="14"/>
  <c r="L31" i="14"/>
  <c r="M31" i="14"/>
  <c r="L32" i="14"/>
  <c r="M32" i="14"/>
  <c r="L33" i="14"/>
  <c r="M33" i="14"/>
  <c r="N33" i="14"/>
  <c r="O33" i="14" s="1"/>
  <c r="L34" i="14"/>
  <c r="M34" i="14"/>
  <c r="N34" i="14"/>
  <c r="O34" i="14" s="1"/>
  <c r="L35" i="14"/>
  <c r="N35" i="14" s="1"/>
  <c r="O35" i="14" s="1"/>
  <c r="M35" i="14"/>
  <c r="L36" i="14"/>
  <c r="M36" i="14"/>
  <c r="L37" i="14"/>
  <c r="M37" i="14"/>
  <c r="L38" i="14"/>
  <c r="N38" i="14" s="1"/>
  <c r="M38" i="14"/>
  <c r="L39" i="14"/>
  <c r="M39" i="14"/>
  <c r="L40" i="14"/>
  <c r="M40" i="14"/>
  <c r="N40" i="14"/>
  <c r="L41" i="14"/>
  <c r="M41" i="14"/>
  <c r="L42" i="14"/>
  <c r="M42" i="14"/>
  <c r="L43" i="14"/>
  <c r="M43" i="14"/>
  <c r="N43" i="14"/>
  <c r="L44" i="14"/>
  <c r="M44" i="14"/>
  <c r="L45" i="14"/>
  <c r="M45" i="14"/>
  <c r="N45" i="14" s="1"/>
  <c r="L46" i="14"/>
  <c r="M46" i="14"/>
  <c r="L47" i="14"/>
  <c r="N47" i="14" s="1"/>
  <c r="O47" i="14" s="1"/>
  <c r="M47" i="14"/>
  <c r="L48" i="14"/>
  <c r="M48" i="14"/>
  <c r="N48" i="14"/>
  <c r="O48" i="14" s="1"/>
  <c r="L49" i="14"/>
  <c r="M49" i="14"/>
  <c r="N49" i="14"/>
  <c r="O49" i="14" s="1"/>
  <c r="L50" i="14"/>
  <c r="M50" i="14"/>
  <c r="L51" i="14"/>
  <c r="M51" i="14"/>
  <c r="L52" i="14"/>
  <c r="M52" i="14"/>
  <c r="L53" i="14"/>
  <c r="M53" i="14"/>
  <c r="L54" i="14"/>
  <c r="M54" i="14"/>
  <c r="N54" i="14"/>
  <c r="O54" i="14" s="1"/>
  <c r="L55" i="14"/>
  <c r="M55" i="14"/>
  <c r="L56" i="14"/>
  <c r="N56" i="14" s="1"/>
  <c r="O56" i="14" s="1"/>
  <c r="M56" i="14"/>
  <c r="L57" i="14"/>
  <c r="N57" i="14" s="1"/>
  <c r="M57" i="14"/>
  <c r="L58" i="14"/>
  <c r="M58" i="14"/>
  <c r="L59" i="14"/>
  <c r="N59" i="14" s="1"/>
  <c r="M59" i="14"/>
  <c r="L60" i="14"/>
  <c r="M60" i="14"/>
  <c r="N60" i="14" s="1"/>
  <c r="L61" i="14"/>
  <c r="M61" i="14"/>
  <c r="N61" i="14"/>
  <c r="O61" i="14" s="1"/>
  <c r="L62" i="14"/>
  <c r="M62" i="14"/>
  <c r="L63" i="14"/>
  <c r="M63" i="14"/>
  <c r="N63" i="14"/>
  <c r="L64" i="14"/>
  <c r="N64" i="14" s="1"/>
  <c r="O64" i="14" s="1"/>
  <c r="M64" i="14"/>
  <c r="L65" i="14"/>
  <c r="M65" i="14"/>
  <c r="L66" i="14"/>
  <c r="N66" i="14" s="1"/>
  <c r="O66" i="14" s="1"/>
  <c r="M66" i="14"/>
  <c r="L67" i="14"/>
  <c r="M67" i="14"/>
  <c r="L68" i="14"/>
  <c r="M68" i="14"/>
  <c r="N68" i="14"/>
  <c r="L69" i="14"/>
  <c r="M69" i="14"/>
  <c r="L70" i="14"/>
  <c r="M70" i="14"/>
  <c r="L71" i="14"/>
  <c r="M71" i="14"/>
  <c r="N71" i="14"/>
  <c r="O71" i="14" s="1"/>
  <c r="L72" i="14"/>
  <c r="M72" i="14"/>
  <c r="L73" i="14"/>
  <c r="M73" i="14"/>
  <c r="L74" i="14"/>
  <c r="M74" i="14"/>
  <c r="N74" i="14"/>
  <c r="O74" i="14" s="1"/>
  <c r="L75" i="14"/>
  <c r="M75" i="14"/>
  <c r="L76" i="14"/>
  <c r="M76" i="14"/>
  <c r="N76" i="14"/>
  <c r="L77" i="14"/>
  <c r="M77" i="14"/>
  <c r="N77" i="14" s="1"/>
  <c r="O77" i="14" s="1"/>
  <c r="L78" i="14"/>
  <c r="M78" i="14"/>
  <c r="L79" i="14"/>
  <c r="N79" i="14" s="1"/>
  <c r="M79" i="14"/>
  <c r="L80" i="14"/>
  <c r="M80" i="14"/>
  <c r="L81" i="14"/>
  <c r="M81" i="14"/>
  <c r="L82" i="14"/>
  <c r="M82" i="14"/>
  <c r="N82" i="14"/>
  <c r="O82" i="14" s="1"/>
  <c r="L83" i="14"/>
  <c r="N83" i="14" s="1"/>
  <c r="O83" i="14" s="1"/>
  <c r="M83" i="14"/>
  <c r="L84" i="14"/>
  <c r="M84" i="14"/>
  <c r="N84" i="14" s="1"/>
  <c r="L85" i="14"/>
  <c r="M85" i="14"/>
  <c r="L86" i="14"/>
  <c r="M86" i="14"/>
  <c r="L87" i="14"/>
  <c r="M87" i="14"/>
  <c r="N87" i="14"/>
  <c r="O87" i="14" s="1"/>
  <c r="L88" i="14"/>
  <c r="M88" i="14"/>
  <c r="N88" i="14"/>
  <c r="O88" i="14" s="1"/>
  <c r="L89" i="14"/>
  <c r="N89" i="14" s="1"/>
  <c r="O89" i="14" s="1"/>
  <c r="M89" i="14"/>
  <c r="L90" i="14"/>
  <c r="M90" i="14"/>
  <c r="L91" i="14"/>
  <c r="M91" i="14"/>
  <c r="L92" i="14"/>
  <c r="M92" i="14"/>
  <c r="N92" i="14"/>
  <c r="L93" i="14"/>
  <c r="M93" i="14"/>
  <c r="N93" i="14"/>
  <c r="O93" i="14" s="1"/>
  <c r="L94" i="14"/>
  <c r="M94" i="14"/>
  <c r="L95" i="14"/>
  <c r="M95" i="14"/>
  <c r="L96" i="14"/>
  <c r="M96" i="14"/>
  <c r="L97" i="14"/>
  <c r="M97" i="14"/>
  <c r="L98" i="14"/>
  <c r="M98" i="14"/>
  <c r="N98" i="14"/>
  <c r="O98" i="14" s="1"/>
  <c r="L99" i="14"/>
  <c r="M99" i="14"/>
  <c r="L100" i="14"/>
  <c r="N100" i="14" s="1"/>
  <c r="O100" i="14" s="1"/>
  <c r="M100" i="14"/>
  <c r="L101" i="14"/>
  <c r="N101" i="14" s="1"/>
  <c r="O101" i="14" s="1"/>
  <c r="M101" i="14"/>
  <c r="L102" i="14"/>
  <c r="N102" i="14" s="1"/>
  <c r="M102" i="14"/>
  <c r="L103" i="14"/>
  <c r="N103" i="14" s="1"/>
  <c r="M103" i="14"/>
  <c r="L104" i="14"/>
  <c r="M104" i="14"/>
  <c r="L105" i="14"/>
  <c r="M105" i="14"/>
  <c r="N105" i="14"/>
  <c r="L106" i="14"/>
  <c r="M106" i="14"/>
  <c r="L107" i="14"/>
  <c r="N107" i="14" s="1"/>
  <c r="O107" i="14" s="1"/>
  <c r="M107" i="14"/>
  <c r="L108" i="14"/>
  <c r="M108" i="14"/>
  <c r="L109" i="14"/>
  <c r="M109" i="14"/>
  <c r="L110" i="14"/>
  <c r="M110" i="14"/>
  <c r="N110" i="14"/>
  <c r="O110" i="14" s="1"/>
  <c r="L111" i="14"/>
  <c r="N111" i="14" s="1"/>
  <c r="O111" i="14" s="1"/>
  <c r="M111" i="14"/>
  <c r="L112" i="14"/>
  <c r="M112" i="14"/>
  <c r="N112" i="14"/>
  <c r="O112" i="14" s="1"/>
  <c r="L113" i="14"/>
  <c r="N113" i="14" s="1"/>
  <c r="O113" i="14" s="1"/>
  <c r="M113" i="14"/>
  <c r="L114" i="14"/>
  <c r="M114" i="14"/>
  <c r="L115" i="14"/>
  <c r="M115" i="14"/>
  <c r="N115" i="14"/>
  <c r="O115" i="14" s="1"/>
  <c r="L116" i="14"/>
  <c r="M116" i="14"/>
  <c r="L117" i="14"/>
  <c r="M117" i="14"/>
  <c r="N117" i="14"/>
  <c r="O117" i="14" s="1"/>
  <c r="L118" i="14"/>
  <c r="M118" i="14"/>
  <c r="N118" i="14"/>
  <c r="O118" i="14" s="1"/>
  <c r="L119" i="14"/>
  <c r="N119" i="14" s="1"/>
  <c r="M119" i="14"/>
  <c r="L120" i="14"/>
  <c r="M120" i="14"/>
  <c r="N120" i="14"/>
  <c r="L121" i="14"/>
  <c r="M121" i="14"/>
  <c r="N121" i="14"/>
  <c r="L122" i="14"/>
  <c r="M122" i="14"/>
  <c r="N122" i="14"/>
  <c r="L123" i="14"/>
  <c r="M123" i="14"/>
  <c r="L124" i="14"/>
  <c r="M124" i="14"/>
  <c r="L125" i="14"/>
  <c r="M125" i="14"/>
  <c r="N125" i="14"/>
  <c r="L126" i="14"/>
  <c r="M126" i="14"/>
  <c r="N126" i="14"/>
  <c r="L127" i="14"/>
  <c r="M127" i="14"/>
  <c r="N127" i="14"/>
  <c r="O127" i="14" s="1"/>
  <c r="L128" i="14"/>
  <c r="M128" i="14"/>
  <c r="L129" i="14"/>
  <c r="M129" i="14"/>
  <c r="L130" i="14"/>
  <c r="N130" i="14" s="1"/>
  <c r="O130" i="14" s="1"/>
  <c r="M130" i="14"/>
  <c r="L131" i="14"/>
  <c r="M131" i="14"/>
  <c r="N131" i="14"/>
  <c r="L132" i="14"/>
  <c r="M132" i="14"/>
  <c r="L133" i="14"/>
  <c r="M133" i="14"/>
  <c r="N133" i="14"/>
  <c r="O133" i="14" s="1"/>
  <c r="L134" i="14"/>
  <c r="M134" i="14"/>
  <c r="L135" i="14"/>
  <c r="M135" i="14"/>
  <c r="L136" i="14"/>
  <c r="M136" i="14"/>
  <c r="N136" i="14"/>
  <c r="L137" i="14"/>
  <c r="M137" i="14"/>
  <c r="L138" i="14"/>
  <c r="M138" i="14"/>
  <c r="N138" i="14"/>
  <c r="L139" i="14"/>
  <c r="M139" i="14"/>
  <c r="L140" i="14"/>
  <c r="M140" i="14"/>
  <c r="L141" i="14"/>
  <c r="M141" i="14"/>
  <c r="L142" i="14"/>
  <c r="M142" i="14"/>
  <c r="L143" i="14"/>
  <c r="M143" i="14"/>
  <c r="N143" i="14"/>
  <c r="O143" i="14" s="1"/>
  <c r="L144" i="14"/>
  <c r="M144" i="14"/>
  <c r="L145" i="14"/>
  <c r="M145" i="14"/>
  <c r="L146" i="14"/>
  <c r="M146" i="14"/>
  <c r="N146" i="14"/>
  <c r="O146" i="14" s="1"/>
  <c r="L147" i="14"/>
  <c r="N147" i="14" s="1"/>
  <c r="O147" i="14" s="1"/>
  <c r="M147" i="14"/>
  <c r="L148" i="14"/>
  <c r="M148" i="14"/>
  <c r="N148" i="14"/>
  <c r="L149" i="14"/>
  <c r="M149" i="14"/>
  <c r="N149" i="14"/>
  <c r="O149" i="14" s="1"/>
  <c r="L150" i="14"/>
  <c r="M150" i="14"/>
  <c r="L151" i="14"/>
  <c r="M151" i="14"/>
  <c r="L152" i="14"/>
  <c r="M152" i="14"/>
  <c r="L153" i="14"/>
  <c r="M153" i="14"/>
  <c r="N153" i="14"/>
  <c r="L154" i="14"/>
  <c r="M154" i="14"/>
  <c r="L155" i="14"/>
  <c r="M155" i="14"/>
  <c r="L156" i="14"/>
  <c r="M156" i="14"/>
  <c r="L157" i="14"/>
  <c r="M157" i="14"/>
  <c r="N157" i="14"/>
  <c r="L158" i="14"/>
  <c r="M158" i="14"/>
  <c r="L159" i="14"/>
  <c r="M159" i="14"/>
  <c r="N159" i="14"/>
  <c r="O159" i="14" s="1"/>
  <c r="L160" i="14"/>
  <c r="N160" i="14" s="1"/>
  <c r="O160" i="14" s="1"/>
  <c r="M160" i="14"/>
  <c r="L161" i="14"/>
  <c r="M161" i="14"/>
  <c r="N161" i="14"/>
  <c r="L162" i="14"/>
  <c r="M162" i="14"/>
  <c r="N162" i="14"/>
  <c r="L163" i="14"/>
  <c r="M163" i="14"/>
  <c r="L164" i="14"/>
  <c r="M164" i="14"/>
  <c r="N164" i="14"/>
  <c r="L165" i="14"/>
  <c r="M165" i="14"/>
  <c r="L166" i="14"/>
  <c r="M166" i="14"/>
  <c r="N166" i="14"/>
  <c r="L167" i="14"/>
  <c r="M167" i="14"/>
  <c r="N167" i="14"/>
  <c r="O167" i="14" s="1"/>
  <c r="L168" i="14"/>
  <c r="M168" i="14"/>
  <c r="L169" i="14"/>
  <c r="N169" i="14" s="1"/>
  <c r="O169" i="14" s="1"/>
  <c r="M169" i="14"/>
  <c r="L170" i="14"/>
  <c r="M170" i="14"/>
  <c r="L171" i="14"/>
  <c r="M171" i="14"/>
  <c r="N171" i="14"/>
  <c r="O171" i="14" s="1"/>
  <c r="L172" i="14"/>
  <c r="M172" i="14"/>
  <c r="N172" i="14"/>
  <c r="O172" i="14" s="1"/>
  <c r="L173" i="14"/>
  <c r="M173" i="14"/>
  <c r="L174" i="14"/>
  <c r="M174" i="14"/>
  <c r="L175" i="14"/>
  <c r="M175" i="14"/>
  <c r="N175" i="14"/>
  <c r="O175" i="14" s="1"/>
  <c r="L176" i="14"/>
  <c r="N176" i="14" s="1"/>
  <c r="O176" i="14" s="1"/>
  <c r="M176" i="14"/>
  <c r="L177" i="14"/>
  <c r="M177" i="14"/>
  <c r="N177" i="14"/>
  <c r="O177" i="14" s="1"/>
  <c r="L178" i="14"/>
  <c r="M178" i="14"/>
  <c r="L179" i="14"/>
  <c r="M179" i="14"/>
  <c r="L180" i="14"/>
  <c r="M180" i="14"/>
  <c r="N180" i="14"/>
  <c r="O180" i="14" s="1"/>
  <c r="L181" i="14"/>
  <c r="M181" i="14"/>
  <c r="L182" i="14"/>
  <c r="M182" i="14"/>
  <c r="N182" i="14"/>
  <c r="L183" i="14"/>
  <c r="M183" i="14"/>
  <c r="L184" i="14"/>
  <c r="M184" i="14"/>
  <c r="L185" i="14"/>
  <c r="M185" i="14"/>
  <c r="L186" i="14"/>
  <c r="M186" i="14"/>
  <c r="N186" i="14"/>
  <c r="O186" i="14" s="1"/>
  <c r="L187" i="14"/>
  <c r="M187" i="14"/>
  <c r="N187" i="14" s="1"/>
  <c r="O187" i="14" s="1"/>
  <c r="L188" i="14"/>
  <c r="M188" i="14"/>
  <c r="L189" i="14"/>
  <c r="M189" i="14"/>
  <c r="L190" i="14"/>
  <c r="M190" i="14"/>
  <c r="N190" i="14"/>
  <c r="O190" i="14" s="1"/>
  <c r="L191" i="14"/>
  <c r="M191" i="14"/>
  <c r="N191" i="14"/>
  <c r="O191" i="14" s="1"/>
  <c r="L192" i="14"/>
  <c r="M192" i="14"/>
  <c r="N192" i="14"/>
  <c r="O192" i="14" s="1"/>
  <c r="L193" i="14"/>
  <c r="M193" i="14"/>
  <c r="L194" i="14"/>
  <c r="M194" i="14"/>
  <c r="L195" i="14"/>
  <c r="M195" i="14"/>
  <c r="N195" i="14"/>
  <c r="O195" i="14" s="1"/>
  <c r="L196" i="14"/>
  <c r="N196" i="14" s="1"/>
  <c r="O196" i="14" s="1"/>
  <c r="M196" i="14"/>
  <c r="L197" i="14"/>
  <c r="M197" i="14"/>
  <c r="N197" i="14" s="1"/>
  <c r="O197" i="14" s="1"/>
  <c r="L198" i="14"/>
  <c r="M198" i="14"/>
  <c r="L199" i="14"/>
  <c r="N199" i="14" s="1"/>
  <c r="O199" i="14" s="1"/>
  <c r="M199" i="14"/>
  <c r="L200" i="14"/>
  <c r="M200" i="14"/>
  <c r="N200" i="14"/>
  <c r="L201" i="14"/>
  <c r="M201" i="14"/>
  <c r="N201" i="14"/>
  <c r="L202" i="14"/>
  <c r="M202" i="14"/>
  <c r="N202" i="14"/>
  <c r="L203" i="14"/>
  <c r="M203" i="14"/>
  <c r="N203" i="14"/>
  <c r="O203" i="14" s="1"/>
  <c r="L204" i="14"/>
  <c r="N204" i="14" s="1"/>
  <c r="O204" i="14" s="1"/>
  <c r="M204" i="14"/>
  <c r="L205" i="14"/>
  <c r="M205" i="14"/>
  <c r="N205" i="14"/>
  <c r="O205" i="14" s="1"/>
  <c r="L206" i="14"/>
  <c r="M206" i="14"/>
  <c r="N206" i="14"/>
  <c r="O206" i="14" s="1"/>
  <c r="L207" i="14"/>
  <c r="M207" i="14"/>
  <c r="L208" i="14"/>
  <c r="M208" i="14"/>
  <c r="L209" i="14"/>
  <c r="M209" i="14"/>
  <c r="L210" i="14"/>
  <c r="N210" i="14" s="1"/>
  <c r="O210" i="14" s="1"/>
  <c r="M210" i="14"/>
  <c r="L211" i="14"/>
  <c r="M211" i="14"/>
  <c r="N211" i="14"/>
  <c r="O211" i="14" s="1"/>
  <c r="L212" i="14"/>
  <c r="M212" i="14"/>
  <c r="L213" i="14"/>
  <c r="M213" i="14"/>
  <c r="N213" i="14"/>
  <c r="L214" i="14"/>
  <c r="M214" i="14"/>
  <c r="L215" i="14"/>
  <c r="M215" i="14"/>
  <c r="L216" i="14"/>
  <c r="M216" i="14"/>
  <c r="N216" i="14"/>
  <c r="L217" i="14"/>
  <c r="M217" i="14"/>
  <c r="L218" i="14"/>
  <c r="N218" i="14" s="1"/>
  <c r="M218" i="14"/>
  <c r="L219" i="14"/>
  <c r="M219" i="14"/>
  <c r="N219" i="14"/>
  <c r="O219" i="14" s="1"/>
  <c r="L220" i="14"/>
  <c r="M220" i="14"/>
  <c r="N220" i="14"/>
  <c r="O220" i="14" s="1"/>
  <c r="L221" i="14"/>
  <c r="M221" i="14"/>
  <c r="L222" i="14"/>
  <c r="M222" i="14"/>
  <c r="L223" i="14"/>
  <c r="M223" i="14"/>
  <c r="L224" i="14"/>
  <c r="M224" i="14"/>
  <c r="L225" i="14"/>
  <c r="M225" i="14"/>
  <c r="N225" i="14"/>
  <c r="O225" i="14" s="1"/>
  <c r="L226" i="14"/>
  <c r="M226" i="14"/>
  <c r="L227" i="14"/>
  <c r="M227" i="14"/>
  <c r="L228" i="14"/>
  <c r="M228" i="14"/>
  <c r="N228" i="14"/>
  <c r="L229" i="14"/>
  <c r="N229" i="14" s="1"/>
  <c r="O229" i="14" s="1"/>
  <c r="M229" i="14"/>
  <c r="L230" i="14"/>
  <c r="M230" i="14"/>
  <c r="N230" i="14"/>
  <c r="L231" i="14"/>
  <c r="M231" i="14"/>
  <c r="N231" i="14" s="1"/>
  <c r="O231" i="14" s="1"/>
  <c r="L232" i="14"/>
  <c r="M232" i="14"/>
  <c r="L233" i="14"/>
  <c r="N233" i="14" s="1"/>
  <c r="O233" i="14" s="1"/>
  <c r="M233" i="14"/>
  <c r="L234" i="14"/>
  <c r="M234" i="14"/>
  <c r="N234" i="14"/>
  <c r="O234" i="14" s="1"/>
  <c r="L235" i="14"/>
  <c r="M235" i="14"/>
  <c r="L236" i="14"/>
  <c r="M236" i="14"/>
  <c r="N236" i="14"/>
  <c r="L237" i="14"/>
  <c r="M237" i="14"/>
  <c r="L238" i="14"/>
  <c r="M238" i="14"/>
  <c r="L239" i="14"/>
  <c r="N239" i="14" s="1"/>
  <c r="O239" i="14" s="1"/>
  <c r="M239" i="14"/>
  <c r="L240" i="14"/>
  <c r="M240" i="14"/>
  <c r="L241" i="14"/>
  <c r="M241" i="14"/>
  <c r="L242" i="14"/>
  <c r="M242" i="14"/>
  <c r="L243" i="14"/>
  <c r="M243" i="14"/>
  <c r="L244" i="14"/>
  <c r="M244" i="14"/>
  <c r="N244" i="14"/>
  <c r="O244" i="14" s="1"/>
  <c r="L245" i="14"/>
  <c r="N245" i="14" s="1"/>
  <c r="O245" i="14" s="1"/>
  <c r="M245" i="14"/>
  <c r="L246" i="14"/>
  <c r="M246" i="14"/>
  <c r="L247" i="14"/>
  <c r="M247" i="14"/>
  <c r="N247" i="14"/>
  <c r="L248" i="14"/>
  <c r="M248" i="14"/>
  <c r="L249" i="14"/>
  <c r="M249" i="14"/>
  <c r="L250" i="14"/>
  <c r="M250" i="14"/>
  <c r="N250" i="14"/>
  <c r="O250" i="14" s="1"/>
  <c r="L251" i="14"/>
  <c r="M251" i="14"/>
  <c r="N251" i="14"/>
  <c r="L252" i="14"/>
  <c r="M252" i="14"/>
  <c r="N252" i="14"/>
  <c r="L253" i="14"/>
  <c r="M253" i="14"/>
  <c r="L254" i="14"/>
  <c r="M254" i="14"/>
  <c r="L255" i="14"/>
  <c r="M255" i="14"/>
  <c r="N255" i="14"/>
  <c r="O255" i="14" s="1"/>
  <c r="L256" i="14"/>
  <c r="N256" i="14" s="1"/>
  <c r="O256" i="14" s="1"/>
  <c r="M256" i="14"/>
  <c r="L257" i="14"/>
  <c r="N257" i="14" s="1"/>
  <c r="O257" i="14" s="1"/>
  <c r="M257" i="14"/>
  <c r="L258" i="14"/>
  <c r="M258" i="14"/>
  <c r="L259" i="14"/>
  <c r="M259" i="14"/>
  <c r="N259" i="14"/>
  <c r="O259" i="14" s="1"/>
  <c r="L260" i="14"/>
  <c r="M260" i="14"/>
  <c r="N260" i="14"/>
  <c r="O260" i="14" s="1"/>
  <c r="L261" i="14"/>
  <c r="M261" i="14"/>
  <c r="L262" i="14"/>
  <c r="M262" i="14"/>
  <c r="N262" i="14"/>
  <c r="L263" i="14"/>
  <c r="M263" i="14"/>
  <c r="L264" i="14"/>
  <c r="M264" i="14"/>
  <c r="N264" i="14"/>
  <c r="L265" i="14"/>
  <c r="M265" i="14"/>
  <c r="N265" i="14"/>
  <c r="L266" i="14"/>
  <c r="M266" i="14"/>
  <c r="L267" i="14"/>
  <c r="N267" i="14" s="1"/>
  <c r="O267" i="14" s="1"/>
  <c r="M267" i="14"/>
  <c r="L268" i="14"/>
  <c r="M268" i="14"/>
  <c r="L269" i="14"/>
  <c r="M269" i="14"/>
  <c r="N269" i="14"/>
  <c r="O269" i="14" s="1"/>
  <c r="L270" i="14"/>
  <c r="M270" i="14"/>
  <c r="N270" i="14"/>
  <c r="O270" i="14" s="1"/>
  <c r="L271" i="14"/>
  <c r="M271" i="14"/>
  <c r="L272" i="14"/>
  <c r="M272" i="14"/>
  <c r="L273" i="14"/>
  <c r="M273" i="14"/>
  <c r="L274" i="14"/>
  <c r="M274" i="14"/>
  <c r="N274" i="14"/>
  <c r="L275" i="14"/>
  <c r="M275" i="14"/>
  <c r="N275" i="14"/>
  <c r="O275" i="14" s="1"/>
  <c r="L276" i="14"/>
  <c r="M276" i="14"/>
  <c r="L277" i="14"/>
  <c r="M277" i="14"/>
  <c r="L278" i="14"/>
  <c r="N278" i="14" s="1"/>
  <c r="O278" i="14" s="1"/>
  <c r="M278" i="14"/>
  <c r="L279" i="14"/>
  <c r="M279" i="14"/>
  <c r="N279" i="14"/>
  <c r="L280" i="14"/>
  <c r="M280" i="14"/>
  <c r="N280" i="14"/>
  <c r="L281" i="14"/>
  <c r="M281" i="14"/>
  <c r="L282" i="14"/>
  <c r="M282" i="14"/>
  <c r="L283" i="14"/>
  <c r="M283" i="14"/>
  <c r="L284" i="14"/>
  <c r="N284" i="14" s="1"/>
  <c r="O284" i="14" s="1"/>
  <c r="M284" i="14"/>
  <c r="L285" i="14"/>
  <c r="M285" i="14"/>
  <c r="N285" i="14" s="1"/>
  <c r="L286" i="14"/>
  <c r="M286" i="14"/>
  <c r="L287" i="14"/>
  <c r="M287" i="14"/>
  <c r="L288" i="14"/>
  <c r="N288" i="14" s="1"/>
  <c r="O288" i="14" s="1"/>
  <c r="M288" i="14"/>
  <c r="L289" i="14"/>
  <c r="M289" i="14"/>
  <c r="L290" i="14"/>
  <c r="M290" i="14"/>
  <c r="N290" i="14"/>
  <c r="L291" i="14"/>
  <c r="M291" i="14"/>
  <c r="L292" i="14"/>
  <c r="M292" i="14"/>
  <c r="L293" i="14"/>
  <c r="M293" i="14"/>
  <c r="N293" i="14"/>
  <c r="O293" i="14" s="1"/>
  <c r="L294" i="14"/>
  <c r="N294" i="14" s="1"/>
  <c r="O294" i="14" s="1"/>
  <c r="M294" i="14"/>
  <c r="L295" i="14"/>
  <c r="N295" i="14" s="1"/>
  <c r="M295" i="14"/>
  <c r="L296" i="14"/>
  <c r="M296" i="14"/>
  <c r="L297" i="14"/>
  <c r="M297" i="14"/>
  <c r="L298" i="14"/>
  <c r="M298" i="14"/>
  <c r="N298" i="14"/>
  <c r="O298" i="14" s="1"/>
  <c r="L299" i="14"/>
  <c r="M299" i="14"/>
  <c r="N299" i="14"/>
  <c r="O299" i="14" s="1"/>
  <c r="L300" i="14"/>
  <c r="M300" i="14"/>
  <c r="L301" i="14"/>
  <c r="N301" i="14" s="1"/>
  <c r="O301" i="14" s="1"/>
  <c r="M301" i="14"/>
  <c r="L302" i="14"/>
  <c r="M302" i="14"/>
  <c r="L303" i="14"/>
  <c r="M303" i="14"/>
  <c r="N303" i="14"/>
  <c r="O303" i="14" s="1"/>
  <c r="L304" i="14"/>
  <c r="M304" i="14"/>
  <c r="N304" i="14"/>
  <c r="O304" i="14" s="1"/>
  <c r="L305" i="14"/>
  <c r="M305" i="14"/>
  <c r="L306" i="14"/>
  <c r="M306" i="14"/>
  <c r="N306" i="14" s="1"/>
  <c r="O306" i="14" s="1"/>
  <c r="L307" i="14"/>
  <c r="M307" i="14"/>
  <c r="L308" i="14"/>
  <c r="M308" i="14"/>
  <c r="N308" i="14"/>
  <c r="L309" i="14"/>
  <c r="M309" i="14"/>
  <c r="N309" i="14"/>
  <c r="O309" i="14" s="1"/>
  <c r="L310" i="14"/>
  <c r="M310" i="14"/>
  <c r="L311" i="14"/>
  <c r="N311" i="14" s="1"/>
  <c r="O311" i="14" s="1"/>
  <c r="M311" i="14"/>
  <c r="L312" i="14"/>
  <c r="M312" i="14"/>
  <c r="L313" i="14"/>
  <c r="M313" i="14"/>
  <c r="N313" i="14"/>
  <c r="O313" i="14" s="1"/>
  <c r="L314" i="14"/>
  <c r="M314" i="14"/>
  <c r="N314" i="14"/>
  <c r="O314" i="14" s="1"/>
  <c r="L315" i="14"/>
  <c r="M315" i="14"/>
  <c r="L316" i="14"/>
  <c r="M316" i="14"/>
  <c r="L317" i="14"/>
  <c r="N317" i="14" s="1"/>
  <c r="O317" i="14" s="1"/>
  <c r="M317" i="14"/>
  <c r="L318" i="14"/>
  <c r="M318" i="14"/>
  <c r="N318" i="14"/>
  <c r="O318" i="14" s="1"/>
  <c r="L319" i="14"/>
  <c r="M319" i="14"/>
  <c r="L320" i="14"/>
  <c r="M320" i="14"/>
  <c r="L321" i="14"/>
  <c r="M321" i="14"/>
  <c r="N321" i="14"/>
  <c r="L322" i="14"/>
  <c r="M322" i="14"/>
  <c r="N322" i="14"/>
  <c r="O322" i="14" s="1"/>
  <c r="L323" i="14"/>
  <c r="M323" i="14"/>
  <c r="N323" i="14"/>
  <c r="L324" i="14"/>
  <c r="M324" i="14"/>
  <c r="L325" i="14"/>
  <c r="M325" i="14"/>
  <c r="L326" i="14"/>
  <c r="M326" i="14"/>
  <c r="N326" i="14"/>
  <c r="O326" i="14" s="1"/>
  <c r="L327" i="14"/>
  <c r="M327" i="14"/>
  <c r="N327" i="14"/>
  <c r="O327" i="14" s="1"/>
  <c r="L328" i="14"/>
  <c r="N328" i="14" s="1"/>
  <c r="O328" i="14" s="1"/>
  <c r="M328" i="14"/>
  <c r="L329" i="14"/>
  <c r="N329" i="14" s="1"/>
  <c r="O329" i="14" s="1"/>
  <c r="M329" i="14"/>
  <c r="L330" i="14"/>
  <c r="M330" i="14"/>
  <c r="L331" i="14"/>
  <c r="M331" i="14"/>
  <c r="L332" i="14"/>
  <c r="M332" i="14"/>
  <c r="L333" i="14"/>
  <c r="M333" i="14"/>
  <c r="L334" i="14"/>
  <c r="N334" i="14" s="1"/>
  <c r="O334" i="14" s="1"/>
  <c r="M334" i="14"/>
  <c r="L335" i="14"/>
  <c r="N335" i="14" s="1"/>
  <c r="O335" i="14" s="1"/>
  <c r="M335" i="14"/>
  <c r="L336" i="14"/>
  <c r="M336" i="14"/>
  <c r="L337" i="14"/>
  <c r="M337" i="14"/>
  <c r="N337" i="14"/>
  <c r="L338" i="14"/>
  <c r="M338" i="14"/>
  <c r="L339" i="14"/>
  <c r="M339" i="14"/>
  <c r="N339" i="14" s="1"/>
  <c r="L340" i="14"/>
  <c r="N340" i="14" s="1"/>
  <c r="M340" i="14"/>
  <c r="L341" i="14"/>
  <c r="M341" i="14"/>
  <c r="L342" i="14"/>
  <c r="N342" i="14" s="1"/>
  <c r="M342" i="14"/>
  <c r="L343" i="14"/>
  <c r="M343" i="14"/>
  <c r="N343" i="14"/>
  <c r="L344" i="14"/>
  <c r="M344" i="14"/>
  <c r="N344" i="14"/>
  <c r="L345" i="14"/>
  <c r="M345" i="14"/>
  <c r="L346" i="14"/>
  <c r="M346" i="14"/>
  <c r="L347" i="14"/>
  <c r="M347" i="14"/>
  <c r="L348" i="14"/>
  <c r="M348" i="14"/>
  <c r="N348" i="14"/>
  <c r="O348" i="14" s="1"/>
  <c r="L349" i="14"/>
  <c r="M349" i="14"/>
  <c r="L350" i="14"/>
  <c r="M350" i="14"/>
  <c r="N350" i="14"/>
  <c r="O350" i="14" s="1"/>
  <c r="L351" i="14"/>
  <c r="N351" i="14" s="1"/>
  <c r="O351" i="14" s="1"/>
  <c r="M351" i="14"/>
  <c r="L352" i="14"/>
  <c r="M352" i="14"/>
  <c r="L353" i="14"/>
  <c r="M353" i="14"/>
  <c r="L354" i="14"/>
  <c r="M354" i="14"/>
  <c r="N354" i="14"/>
  <c r="O354" i="14" s="1"/>
  <c r="L355" i="14"/>
  <c r="M355" i="14"/>
  <c r="N355" i="14"/>
  <c r="O355" i="14" s="1"/>
  <c r="L356" i="14"/>
  <c r="M356" i="14"/>
  <c r="L357" i="14"/>
  <c r="M357" i="14"/>
  <c r="N357" i="14"/>
  <c r="O357" i="14" s="1"/>
  <c r="L358" i="14"/>
  <c r="M358" i="14"/>
  <c r="L359" i="14"/>
  <c r="M359" i="14"/>
  <c r="L360" i="14"/>
  <c r="M360" i="14"/>
  <c r="N360" i="14"/>
  <c r="L361" i="14"/>
  <c r="M361" i="14"/>
  <c r="L362" i="14"/>
  <c r="N362" i="14" s="1"/>
  <c r="O362" i="14" s="1"/>
  <c r="M362" i="14"/>
  <c r="L363" i="14"/>
  <c r="M363" i="14"/>
  <c r="N363" i="14"/>
  <c r="O363" i="14" s="1"/>
  <c r="L364" i="14"/>
  <c r="M364" i="14"/>
  <c r="L365" i="14"/>
  <c r="M365" i="14"/>
  <c r="L366" i="14"/>
  <c r="M366" i="14"/>
  <c r="L367" i="14"/>
  <c r="M367" i="14"/>
  <c r="N367" i="14"/>
  <c r="O367" i="14" s="1"/>
  <c r="L368" i="14"/>
  <c r="M368" i="14"/>
  <c r="N368" i="14"/>
  <c r="O368" i="14" s="1"/>
  <c r="L369" i="14"/>
  <c r="M369" i="14"/>
  <c r="L370" i="14"/>
  <c r="N370" i="14" s="1"/>
  <c r="O370" i="14" s="1"/>
  <c r="M370" i="14"/>
  <c r="L371" i="14"/>
  <c r="M371" i="14"/>
  <c r="N371" i="14"/>
  <c r="O371" i="14" s="1"/>
  <c r="L372" i="14"/>
  <c r="M372" i="14"/>
  <c r="N372" i="14"/>
  <c r="O372" i="14" s="1"/>
  <c r="L373" i="14"/>
  <c r="M373" i="14"/>
  <c r="N373" i="14"/>
  <c r="O373" i="14" s="1"/>
  <c r="L374" i="14"/>
  <c r="M374" i="14"/>
  <c r="L375" i="14"/>
  <c r="M375" i="14"/>
  <c r="L376" i="14"/>
  <c r="M376" i="14"/>
  <c r="N376" i="14"/>
  <c r="L377" i="14"/>
  <c r="M377" i="14"/>
  <c r="N377" i="14"/>
  <c r="L378" i="14"/>
  <c r="N378" i="14" s="1"/>
  <c r="O378" i="14" s="1"/>
  <c r="M378" i="14"/>
  <c r="L379" i="14"/>
  <c r="M379" i="14"/>
  <c r="L380" i="14"/>
  <c r="M380" i="14"/>
  <c r="L381" i="14"/>
  <c r="N381" i="14" s="1"/>
  <c r="O381" i="14" s="1"/>
  <c r="M381" i="14"/>
  <c r="L382" i="14"/>
  <c r="M382" i="14"/>
  <c r="N382" i="14"/>
  <c r="L383" i="14"/>
  <c r="M383" i="14"/>
  <c r="N383" i="14"/>
  <c r="L384" i="14"/>
  <c r="M384" i="14"/>
  <c r="L385" i="14"/>
  <c r="M385" i="14"/>
  <c r="L386" i="14"/>
  <c r="M386" i="14"/>
  <c r="N386" i="14"/>
  <c r="O386" i="14" s="1"/>
  <c r="L387" i="14"/>
  <c r="M387" i="14"/>
  <c r="N387" i="14"/>
  <c r="L388" i="14"/>
  <c r="M388" i="14"/>
  <c r="N388" i="14" s="1"/>
  <c r="L389" i="14"/>
  <c r="M389" i="14"/>
  <c r="L390" i="14"/>
  <c r="M390" i="14"/>
  <c r="L391" i="14"/>
  <c r="M391" i="14"/>
  <c r="N391" i="14"/>
  <c r="O391" i="14" s="1"/>
  <c r="L392" i="14"/>
  <c r="M392" i="14"/>
  <c r="L393" i="14"/>
  <c r="M393" i="14"/>
  <c r="N393" i="14"/>
  <c r="O393" i="14" s="1"/>
  <c r="L394" i="14"/>
  <c r="M394" i="14"/>
  <c r="L395" i="14"/>
  <c r="M395" i="14"/>
  <c r="L396" i="14"/>
  <c r="M396" i="14"/>
  <c r="N396" i="14"/>
  <c r="O396" i="14" s="1"/>
  <c r="L397" i="14"/>
  <c r="M397" i="14"/>
  <c r="N397" i="14"/>
  <c r="L398" i="14"/>
  <c r="M398" i="14"/>
  <c r="L399" i="14"/>
  <c r="M399" i="14"/>
  <c r="N399" i="14"/>
  <c r="L400" i="14"/>
  <c r="M400" i="14"/>
  <c r="L401" i="14"/>
  <c r="N401" i="14" s="1"/>
  <c r="M401" i="14"/>
  <c r="L402" i="14"/>
  <c r="M402" i="14"/>
  <c r="N402" i="14"/>
  <c r="L403" i="14"/>
  <c r="N403" i="14" s="1"/>
  <c r="O403" i="14" s="1"/>
  <c r="M403" i="14"/>
  <c r="L404" i="14"/>
  <c r="N404" i="14" s="1"/>
  <c r="O404" i="14" s="1"/>
  <c r="M404" i="14"/>
  <c r="L405" i="14"/>
  <c r="M405" i="14"/>
  <c r="L406" i="14"/>
  <c r="M406" i="14"/>
  <c r="L407" i="14"/>
  <c r="M407" i="14"/>
  <c r="N407" i="14"/>
  <c r="O407" i="14" s="1"/>
  <c r="L408" i="14"/>
  <c r="M408" i="14"/>
  <c r="L409" i="14"/>
  <c r="M409" i="14"/>
  <c r="N409" i="14"/>
  <c r="O409" i="14" s="1"/>
  <c r="L410" i="14"/>
  <c r="M410" i="14"/>
  <c r="L411" i="14"/>
  <c r="M411" i="14"/>
  <c r="N411" i="14"/>
  <c r="O411" i="14" s="1"/>
  <c r="L412" i="14"/>
  <c r="M412" i="14"/>
  <c r="N412" i="14"/>
  <c r="L413" i="14"/>
  <c r="M413" i="14"/>
  <c r="L414" i="14"/>
  <c r="M414" i="14"/>
  <c r="N414" i="14"/>
  <c r="O414" i="14" s="1"/>
  <c r="L415" i="14"/>
  <c r="N415" i="14" s="1"/>
  <c r="O415" i="14" s="1"/>
  <c r="M415" i="14"/>
  <c r="L416" i="14"/>
  <c r="M416" i="14"/>
  <c r="N416" i="14"/>
  <c r="O416" i="14" s="1"/>
  <c r="L417" i="14"/>
  <c r="M417" i="14"/>
  <c r="L418" i="14"/>
  <c r="M418" i="14"/>
  <c r="L419" i="14"/>
  <c r="M419" i="14"/>
  <c r="L420" i="14"/>
  <c r="M420" i="14"/>
  <c r="N420" i="14"/>
  <c r="O420" i="14" s="1"/>
  <c r="L421" i="14"/>
  <c r="M421" i="14"/>
  <c r="N421" i="14"/>
  <c r="L422" i="14"/>
  <c r="M422" i="14"/>
  <c r="L423" i="14"/>
  <c r="M423" i="14"/>
  <c r="L424" i="14"/>
  <c r="M424" i="14"/>
  <c r="N424" i="14"/>
  <c r="O424" i="14" s="1"/>
  <c r="L425" i="14"/>
  <c r="M425" i="14"/>
  <c r="N425" i="14"/>
  <c r="O425" i="14" s="1"/>
  <c r="L426" i="14"/>
  <c r="N426" i="14" s="1"/>
  <c r="O426" i="14" s="1"/>
  <c r="M426" i="14"/>
  <c r="L427" i="14"/>
  <c r="M427" i="14"/>
  <c r="N427" i="14"/>
  <c r="O427" i="14" s="1"/>
  <c r="L428" i="14"/>
  <c r="M428" i="14"/>
  <c r="L429" i="14"/>
  <c r="M429" i="14"/>
  <c r="L430" i="14"/>
  <c r="M430" i="14"/>
  <c r="N430" i="14"/>
  <c r="O430" i="14" s="1"/>
  <c r="L431" i="14"/>
  <c r="M431" i="14"/>
  <c r="L432" i="14"/>
  <c r="M432" i="14"/>
  <c r="N432" i="14"/>
  <c r="L433" i="14"/>
  <c r="M433" i="14"/>
  <c r="L434" i="14"/>
  <c r="M434" i="14"/>
  <c r="L435" i="14"/>
  <c r="M435" i="14"/>
  <c r="N435" i="14"/>
  <c r="O435" i="14" s="1"/>
  <c r="L436" i="14"/>
  <c r="M436" i="14"/>
  <c r="L437" i="14"/>
  <c r="M437" i="14"/>
  <c r="L438" i="14"/>
  <c r="M438" i="14"/>
  <c r="L439" i="14"/>
  <c r="M439" i="14"/>
  <c r="L440" i="14"/>
  <c r="M440" i="14"/>
  <c r="N440" i="14"/>
  <c r="L441" i="14"/>
  <c r="M441" i="14"/>
  <c r="L442" i="14"/>
  <c r="M442" i="14"/>
  <c r="N442" i="14" s="1"/>
  <c r="O442" i="14" s="1"/>
  <c r="L443" i="14"/>
  <c r="M443" i="14"/>
  <c r="L444" i="14"/>
  <c r="M444" i="14"/>
  <c r="L445" i="14"/>
  <c r="M445" i="14"/>
  <c r="L446" i="14"/>
  <c r="M446" i="14"/>
  <c r="N446" i="14"/>
  <c r="L447" i="14"/>
  <c r="M447" i="14"/>
  <c r="N447" i="14"/>
  <c r="O447" i="14" s="1"/>
  <c r="L448" i="14"/>
  <c r="M448" i="14"/>
  <c r="N448" i="14"/>
  <c r="O448" i="14" s="1"/>
  <c r="L449" i="14"/>
  <c r="M449" i="14"/>
  <c r="L450" i="14"/>
  <c r="M450" i="14"/>
  <c r="L451" i="14"/>
  <c r="N451" i="14" s="1"/>
  <c r="O451" i="14" s="1"/>
  <c r="M451" i="14"/>
  <c r="L452" i="14"/>
  <c r="M452" i="14"/>
  <c r="L453" i="14"/>
  <c r="M453" i="14"/>
  <c r="N453" i="14"/>
  <c r="O453" i="14" s="1"/>
  <c r="L454" i="14"/>
  <c r="M454" i="14"/>
  <c r="L455" i="14"/>
  <c r="N455" i="14" s="1"/>
  <c r="O455" i="14" s="1"/>
  <c r="M455" i="14"/>
  <c r="L456" i="14"/>
  <c r="M456" i="14"/>
  <c r="L457" i="14"/>
  <c r="M457" i="14"/>
  <c r="L458" i="14"/>
  <c r="M458" i="14"/>
  <c r="N458" i="14"/>
  <c r="O458" i="14" s="1"/>
  <c r="L459" i="14"/>
  <c r="M459" i="14"/>
  <c r="L460" i="14"/>
  <c r="M460" i="14"/>
  <c r="N460" i="14"/>
  <c r="O460" i="14" s="1"/>
  <c r="L461" i="14"/>
  <c r="M461" i="14"/>
  <c r="N461" i="14"/>
  <c r="O461" i="14" s="1"/>
  <c r="L462" i="14"/>
  <c r="M462" i="14"/>
  <c r="L463" i="14"/>
  <c r="M463" i="14"/>
  <c r="L464" i="14"/>
  <c r="M464" i="14"/>
  <c r="L465" i="14"/>
  <c r="M465" i="14"/>
  <c r="N465" i="14"/>
  <c r="O465" i="14" s="1"/>
  <c r="L466" i="14"/>
  <c r="M466" i="14"/>
  <c r="L467" i="14"/>
  <c r="M467" i="14"/>
  <c r="L468" i="14"/>
  <c r="M468" i="14"/>
  <c r="N468" i="14"/>
  <c r="L469" i="14"/>
  <c r="M469" i="14"/>
  <c r="N469" i="14"/>
  <c r="O469" i="14" s="1"/>
  <c r="L470" i="14"/>
  <c r="N470" i="14" s="1"/>
  <c r="O470" i="14" s="1"/>
  <c r="M470" i="14"/>
  <c r="L471" i="14"/>
  <c r="M471" i="14"/>
  <c r="L472" i="14"/>
  <c r="M472" i="14"/>
  <c r="L473" i="14"/>
  <c r="M473" i="14"/>
  <c r="L474" i="14"/>
  <c r="M474" i="14"/>
  <c r="N474" i="14"/>
  <c r="O474" i="14" s="1"/>
  <c r="L475" i="14"/>
  <c r="M475" i="14"/>
  <c r="N475" i="14"/>
  <c r="O475" i="14" s="1"/>
  <c r="L476" i="14"/>
  <c r="M476" i="14"/>
  <c r="N476" i="14"/>
  <c r="O476" i="14" s="1"/>
  <c r="L477" i="14"/>
  <c r="M477" i="14"/>
  <c r="L478" i="14"/>
  <c r="M478" i="14"/>
  <c r="L479" i="14"/>
  <c r="M479" i="14"/>
  <c r="L480" i="14"/>
  <c r="M480" i="14"/>
  <c r="N480" i="14"/>
  <c r="L481" i="14"/>
  <c r="N481" i="14" s="1"/>
  <c r="O481" i="14" s="1"/>
  <c r="M481" i="14"/>
  <c r="L482" i="14"/>
  <c r="M482" i="14"/>
  <c r="L483" i="14"/>
  <c r="M483" i="14"/>
  <c r="L484" i="14"/>
  <c r="N484" i="14" s="1"/>
  <c r="M484" i="14"/>
  <c r="L485" i="14"/>
  <c r="M485" i="14"/>
  <c r="N485" i="14"/>
  <c r="L486" i="14"/>
  <c r="M486" i="14"/>
  <c r="N486" i="14"/>
  <c r="O486" i="14" s="1"/>
  <c r="L487" i="14"/>
  <c r="N487" i="14" s="1"/>
  <c r="O487" i="14" s="1"/>
  <c r="M487" i="14"/>
  <c r="L488" i="14"/>
  <c r="M488" i="14"/>
  <c r="L489" i="14"/>
  <c r="M489" i="14"/>
  <c r="L490" i="14"/>
  <c r="M490" i="14"/>
  <c r="N490" i="14"/>
  <c r="L491" i="14"/>
  <c r="M491" i="14"/>
  <c r="N491" i="14"/>
  <c r="O491" i="14" s="1"/>
  <c r="L492" i="14"/>
  <c r="M492" i="14"/>
  <c r="L493" i="14"/>
  <c r="N493" i="14" s="1"/>
  <c r="M493" i="14"/>
  <c r="L494" i="14"/>
  <c r="M494" i="14"/>
  <c r="L495" i="14"/>
  <c r="M495" i="14"/>
  <c r="L496" i="14"/>
  <c r="M496" i="14"/>
  <c r="N496" i="14"/>
  <c r="O496" i="14" s="1"/>
  <c r="L497" i="14"/>
  <c r="M497" i="14"/>
  <c r="N497" i="14"/>
  <c r="O497" i="14" s="1"/>
  <c r="L498" i="14"/>
  <c r="M498" i="14"/>
  <c r="L499" i="14"/>
  <c r="N499" i="14" s="1"/>
  <c r="O499" i="14" s="1"/>
  <c r="M499" i="14"/>
  <c r="L500" i="14"/>
  <c r="N500" i="14" s="1"/>
  <c r="M500" i="14"/>
  <c r="L501" i="14"/>
  <c r="M501" i="14"/>
  <c r="L502" i="14"/>
  <c r="M502" i="14"/>
  <c r="N502" i="14"/>
  <c r="O502" i="14" s="1"/>
  <c r="L503" i="14"/>
  <c r="M503" i="14"/>
  <c r="N503" i="14"/>
  <c r="O503" i="14" s="1"/>
  <c r="L504" i="14"/>
  <c r="N504" i="14" s="1"/>
  <c r="O504" i="14" s="1"/>
  <c r="M504" i="14"/>
  <c r="L505" i="14"/>
  <c r="N505" i="14" s="1"/>
  <c r="M505" i="14"/>
  <c r="L506" i="14"/>
  <c r="M506" i="14"/>
  <c r="L507" i="14"/>
  <c r="M507" i="14"/>
  <c r="N507" i="14"/>
  <c r="L508" i="14"/>
  <c r="M508" i="14"/>
  <c r="N508" i="14"/>
  <c r="O508" i="14" s="1"/>
  <c r="L509" i="14"/>
  <c r="M509" i="14"/>
  <c r="N509" i="14"/>
  <c r="O509" i="14" s="1"/>
  <c r="L510" i="14"/>
  <c r="M510" i="14"/>
  <c r="L511" i="14"/>
  <c r="M511" i="14"/>
  <c r="L512" i="14"/>
  <c r="M512" i="14"/>
  <c r="N512" i="14"/>
  <c r="L513" i="14"/>
  <c r="M513" i="14"/>
  <c r="N513" i="14"/>
  <c r="O513" i="14" s="1"/>
  <c r="L514" i="14"/>
  <c r="M514" i="14"/>
  <c r="N514" i="14"/>
  <c r="O514" i="14" s="1"/>
  <c r="L515" i="14"/>
  <c r="M515" i="14"/>
  <c r="L516" i="14"/>
  <c r="M516" i="14"/>
  <c r="L517" i="14"/>
  <c r="M517" i="14"/>
  <c r="N517" i="14"/>
  <c r="O517" i="14" s="1"/>
  <c r="L518" i="14"/>
  <c r="M518" i="14"/>
  <c r="N518" i="14"/>
  <c r="O518" i="14" s="1"/>
  <c r="L519" i="14"/>
  <c r="M519" i="14"/>
  <c r="N519" i="14"/>
  <c r="O519" i="14" s="1"/>
  <c r="L520" i="14"/>
  <c r="M520" i="14"/>
  <c r="L521" i="14"/>
  <c r="M521" i="14"/>
  <c r="L522" i="14"/>
  <c r="N522" i="14" s="1"/>
  <c r="M522" i="14"/>
  <c r="L523" i="14"/>
  <c r="M523" i="14"/>
  <c r="N523" i="14"/>
  <c r="L524" i="14"/>
  <c r="M524" i="14"/>
  <c r="N524" i="14"/>
  <c r="L525" i="14"/>
  <c r="M525" i="14"/>
  <c r="N525" i="14" s="1"/>
  <c r="O525" i="14" s="1"/>
  <c r="L526" i="14"/>
  <c r="M526" i="14"/>
  <c r="L527" i="14"/>
  <c r="M527" i="14"/>
  <c r="L528" i="14"/>
  <c r="M528" i="14"/>
  <c r="N528" i="14"/>
  <c r="O528" i="14" s="1"/>
  <c r="L529" i="14"/>
  <c r="M529" i="14"/>
  <c r="L530" i="14"/>
  <c r="M530" i="14"/>
  <c r="N530" i="14"/>
  <c r="L531" i="14"/>
  <c r="M531" i="14"/>
  <c r="L532" i="14"/>
  <c r="M532" i="14"/>
  <c r="L533" i="14"/>
  <c r="M533" i="14"/>
  <c r="N533" i="14" s="1"/>
  <c r="O533" i="14" s="1"/>
  <c r="L534" i="14"/>
  <c r="M534" i="14"/>
  <c r="L535" i="14"/>
  <c r="M535" i="14"/>
  <c r="N535" i="14"/>
  <c r="L536" i="14"/>
  <c r="M536" i="14"/>
  <c r="L537" i="14"/>
  <c r="M537" i="14"/>
  <c r="L538" i="14"/>
  <c r="M538" i="14"/>
  <c r="L539" i="14"/>
  <c r="N539" i="14" s="1"/>
  <c r="M539" i="14"/>
  <c r="L540" i="14"/>
  <c r="M540" i="14"/>
  <c r="N540" i="14"/>
  <c r="L541" i="14"/>
  <c r="M541" i="14"/>
  <c r="N541" i="14"/>
  <c r="L542" i="14"/>
  <c r="M542" i="14"/>
  <c r="N542" i="14"/>
  <c r="L543" i="14"/>
  <c r="M543" i="14"/>
  <c r="L544" i="14"/>
  <c r="M544" i="14"/>
  <c r="L545" i="14"/>
  <c r="M545" i="14"/>
  <c r="N545" i="14" s="1"/>
  <c r="L546" i="14"/>
  <c r="M546" i="14"/>
  <c r="N546" i="14"/>
  <c r="L547" i="14"/>
  <c r="M547" i="14"/>
  <c r="N547" i="14"/>
  <c r="L548" i="14"/>
  <c r="M548" i="14"/>
  <c r="L549" i="14"/>
  <c r="M549" i="14"/>
  <c r="L550" i="14"/>
  <c r="M550" i="14"/>
  <c r="N550" i="14" s="1"/>
  <c r="L551" i="14"/>
  <c r="M551" i="14"/>
  <c r="N551" i="14"/>
  <c r="L552" i="14"/>
  <c r="M552" i="14"/>
  <c r="N552" i="14"/>
  <c r="L553" i="14"/>
  <c r="M553" i="14"/>
  <c r="N553" i="14"/>
  <c r="L554" i="14"/>
  <c r="N554" i="14" s="1"/>
  <c r="M554" i="14"/>
  <c r="L555" i="14"/>
  <c r="M555" i="14"/>
  <c r="L556" i="14"/>
  <c r="N556" i="14" s="1"/>
  <c r="M556" i="14"/>
  <c r="L557" i="14"/>
  <c r="M557" i="14"/>
  <c r="L558" i="14"/>
  <c r="M558" i="14"/>
  <c r="L559" i="14"/>
  <c r="M559" i="14"/>
  <c r="N559" i="14"/>
  <c r="L560" i="14"/>
  <c r="M560" i="14"/>
  <c r="L561" i="14"/>
  <c r="M561" i="14"/>
  <c r="N561" i="14"/>
  <c r="L562" i="14"/>
  <c r="M562" i="14"/>
  <c r="L563" i="14"/>
  <c r="M563" i="14"/>
  <c r="N563" i="14"/>
  <c r="L564" i="14"/>
  <c r="M564" i="14"/>
  <c r="N564" i="14"/>
  <c r="L565" i="14"/>
  <c r="M565" i="14"/>
  <c r="L566" i="14"/>
  <c r="M566" i="14"/>
  <c r="N566" i="14"/>
  <c r="L567" i="14"/>
  <c r="N567" i="14" s="1"/>
  <c r="M567" i="14"/>
  <c r="L568" i="14"/>
  <c r="M568" i="14"/>
  <c r="N568" i="14"/>
  <c r="O568" i="14" s="1"/>
  <c r="L569" i="14"/>
  <c r="M569" i="14"/>
  <c r="N569" i="14"/>
  <c r="L570" i="14"/>
  <c r="N570" i="14" s="1"/>
  <c r="M570" i="14"/>
  <c r="L571" i="14"/>
  <c r="M571" i="14"/>
  <c r="L572" i="14"/>
  <c r="M572" i="14"/>
  <c r="L573" i="14"/>
  <c r="M573" i="14"/>
  <c r="N573" i="14"/>
  <c r="L574" i="14"/>
  <c r="M574" i="14"/>
  <c r="N574" i="14"/>
  <c r="L575" i="14"/>
  <c r="M575" i="14"/>
  <c r="L576" i="14"/>
  <c r="M576" i="14"/>
  <c r="L577" i="14"/>
  <c r="M577" i="14"/>
  <c r="N577" i="14"/>
  <c r="O577" i="14" s="1"/>
  <c r="L578" i="14"/>
  <c r="M578" i="14"/>
  <c r="N578" i="14"/>
  <c r="L579" i="14"/>
  <c r="M579" i="14"/>
  <c r="N579" i="14" s="1"/>
  <c r="L580" i="14"/>
  <c r="M580" i="14"/>
  <c r="L581" i="14"/>
  <c r="M581" i="14"/>
  <c r="L582" i="14"/>
  <c r="M582" i="14"/>
  <c r="N582" i="14"/>
  <c r="L583" i="14"/>
  <c r="M583" i="14"/>
  <c r="L584" i="14"/>
  <c r="M584" i="14"/>
  <c r="N584" i="14"/>
  <c r="L585" i="14"/>
  <c r="N585" i="14" s="1"/>
  <c r="O585" i="14" s="1"/>
  <c r="M585" i="14"/>
  <c r="L586" i="14"/>
  <c r="M586" i="14"/>
  <c r="L587" i="14"/>
  <c r="N587" i="14" s="1"/>
  <c r="M587" i="14"/>
  <c r="L588" i="14"/>
  <c r="M588" i="14"/>
  <c r="N588" i="14"/>
  <c r="O588" i="14" s="1"/>
  <c r="L589" i="14"/>
  <c r="N589" i="14" s="1"/>
  <c r="M589" i="14"/>
  <c r="L590" i="14"/>
  <c r="M590" i="14"/>
  <c r="L591" i="14"/>
  <c r="N591" i="14" s="1"/>
  <c r="M591" i="14"/>
  <c r="L592" i="14"/>
  <c r="M592" i="14"/>
  <c r="N592" i="14"/>
  <c r="O592" i="14" s="1"/>
  <c r="L593" i="14"/>
  <c r="M593" i="14"/>
  <c r="N593" i="14"/>
  <c r="L594" i="14"/>
  <c r="M594" i="14"/>
  <c r="L595" i="14"/>
  <c r="N595" i="14" s="1"/>
  <c r="O595" i="14" s="1"/>
  <c r="M595" i="14"/>
  <c r="L596" i="14"/>
  <c r="M596" i="14"/>
  <c r="L597" i="14"/>
  <c r="M597" i="14"/>
  <c r="N597" i="14"/>
  <c r="L598" i="14"/>
  <c r="N598" i="14" s="1"/>
  <c r="O598" i="14" s="1"/>
  <c r="M598" i="14"/>
  <c r="L599" i="14"/>
  <c r="M599" i="14"/>
  <c r="L600" i="14"/>
  <c r="M600" i="14"/>
  <c r="N600" i="14"/>
  <c r="L601" i="14"/>
  <c r="M601" i="14"/>
  <c r="L602" i="14"/>
  <c r="M602" i="14"/>
  <c r="N602" i="14"/>
  <c r="M6" i="14"/>
  <c r="L6" i="14"/>
  <c r="N6" i="14" s="1"/>
  <c r="O6" i="14" s="1"/>
  <c r="N544" i="14" l="1"/>
  <c r="N532" i="14"/>
  <c r="O532" i="14" s="1"/>
  <c r="N526" i="14"/>
  <c r="O526" i="14" s="1"/>
  <c r="N353" i="14"/>
  <c r="O353" i="14" s="1"/>
  <c r="N141" i="14"/>
  <c r="O141" i="14" s="1"/>
  <c r="N135" i="14"/>
  <c r="O135" i="14" s="1"/>
  <c r="N94" i="14"/>
  <c r="O94" i="14" s="1"/>
  <c r="N572" i="14"/>
  <c r="N538" i="14"/>
  <c r="N498" i="14"/>
  <c r="O498" i="14" s="1"/>
  <c r="N358" i="14"/>
  <c r="O358" i="14" s="1"/>
  <c r="N316" i="14"/>
  <c r="O316" i="14" s="1"/>
  <c r="N181" i="14"/>
  <c r="O181" i="14" s="1"/>
  <c r="N583" i="14"/>
  <c r="N549" i="14"/>
  <c r="N152" i="14"/>
  <c r="O152" i="14" s="1"/>
  <c r="N140" i="14"/>
  <c r="O140" i="14" s="1"/>
  <c r="N134" i="14"/>
  <c r="O134" i="14" s="1"/>
  <c r="N392" i="14"/>
  <c r="O392" i="14" s="1"/>
  <c r="N215" i="14"/>
  <c r="O215" i="14" s="1"/>
  <c r="N209" i="14"/>
  <c r="O209" i="14" s="1"/>
  <c r="N594" i="14"/>
  <c r="N374" i="14"/>
  <c r="O374" i="14" s="1"/>
  <c r="N238" i="14"/>
  <c r="O238" i="14" s="1"/>
  <c r="N232" i="14"/>
  <c r="N437" i="14"/>
  <c r="O437" i="14" s="1"/>
  <c r="N385" i="14"/>
  <c r="O385" i="14" s="1"/>
  <c r="N379" i="14"/>
  <c r="O379" i="14" s="1"/>
  <c r="N599" i="14"/>
  <c r="N443" i="14"/>
  <c r="N237" i="14"/>
  <c r="O237" i="14" s="1"/>
  <c r="N32" i="14"/>
  <c r="O32" i="14" s="1"/>
  <c r="N419" i="14"/>
  <c r="O419" i="14" s="1"/>
  <c r="N272" i="14"/>
  <c r="O272" i="14" s="1"/>
  <c r="N466" i="14"/>
  <c r="O466" i="14" s="1"/>
  <c r="N454" i="14"/>
  <c r="O454" i="14" s="1"/>
  <c r="N37" i="14"/>
  <c r="O37" i="14" s="1"/>
  <c r="N471" i="14"/>
  <c r="O471" i="14" s="1"/>
  <c r="N283" i="14"/>
  <c r="O283" i="14" s="1"/>
  <c r="N73" i="14"/>
  <c r="O73" i="14" s="1"/>
  <c r="N55" i="14"/>
  <c r="O55" i="14" s="1"/>
  <c r="N494" i="14"/>
  <c r="O494" i="14" s="1"/>
  <c r="N488" i="14"/>
  <c r="O488" i="14" s="1"/>
  <c r="N482" i="14"/>
  <c r="O482" i="14" s="1"/>
  <c r="N289" i="14"/>
  <c r="O289" i="14" s="1"/>
  <c r="N78" i="14"/>
  <c r="O78" i="14" s="1"/>
  <c r="N510" i="14"/>
  <c r="O510" i="14" s="1"/>
  <c r="N300" i="14"/>
  <c r="O300" i="14" s="1"/>
  <c r="N276" i="14"/>
  <c r="O276" i="14" s="1"/>
  <c r="N95" i="14"/>
  <c r="N531" i="14"/>
  <c r="O531" i="14" s="1"/>
  <c r="N492" i="14"/>
  <c r="O492" i="14" s="1"/>
  <c r="N441" i="14"/>
  <c r="O441" i="14" s="1"/>
  <c r="N345" i="14"/>
  <c r="O345" i="14" s="1"/>
  <c r="N281" i="14"/>
  <c r="O281" i="14" s="1"/>
  <c r="N243" i="14"/>
  <c r="O243" i="14" s="1"/>
  <c r="N174" i="14"/>
  <c r="N139" i="14"/>
  <c r="O139" i="14" s="1"/>
  <c r="N581" i="14"/>
  <c r="O581" i="14" s="1"/>
  <c r="N575" i="14"/>
  <c r="N537" i="14"/>
  <c r="N429" i="14"/>
  <c r="O429" i="14" s="1"/>
  <c r="N356" i="14"/>
  <c r="O356" i="14" s="1"/>
  <c r="N287" i="14"/>
  <c r="O287" i="14" s="1"/>
  <c r="N248" i="14"/>
  <c r="N185" i="14"/>
  <c r="O185" i="14" s="1"/>
  <c r="N145" i="14"/>
  <c r="O145" i="14" s="1"/>
  <c r="N99" i="14"/>
  <c r="O99" i="14" s="1"/>
  <c r="N24" i="14"/>
  <c r="O24" i="14" s="1"/>
  <c r="N7" i="14"/>
  <c r="O7" i="14" s="1"/>
  <c r="N586" i="14"/>
  <c r="N452" i="14"/>
  <c r="N332" i="14"/>
  <c r="O332" i="14" s="1"/>
  <c r="N292" i="14"/>
  <c r="O292" i="14" s="1"/>
  <c r="N253" i="14"/>
  <c r="O253" i="14" s="1"/>
  <c r="N173" i="14"/>
  <c r="O173" i="14" s="1"/>
  <c r="N150" i="14"/>
  <c r="O150" i="14" s="1"/>
  <c r="N116" i="14"/>
  <c r="O116" i="14" s="1"/>
  <c r="N536" i="14"/>
  <c r="O536" i="14" s="1"/>
  <c r="N463" i="14"/>
  <c r="O463" i="14" s="1"/>
  <c r="N395" i="14"/>
  <c r="O395" i="14" s="1"/>
  <c r="N286" i="14"/>
  <c r="O286" i="14" s="1"/>
  <c r="N178" i="14"/>
  <c r="O178" i="14" s="1"/>
  <c r="N132" i="14"/>
  <c r="O132" i="14" s="1"/>
  <c r="N23" i="14"/>
  <c r="O23" i="14" s="1"/>
  <c r="N558" i="14"/>
  <c r="N406" i="14"/>
  <c r="O406" i="14" s="1"/>
  <c r="N400" i="14"/>
  <c r="O400" i="14" s="1"/>
  <c r="N331" i="14"/>
  <c r="O331" i="14" s="1"/>
  <c r="N297" i="14"/>
  <c r="O297" i="14" s="1"/>
  <c r="N223" i="14"/>
  <c r="O223" i="14" s="1"/>
  <c r="N52" i="14"/>
  <c r="O52" i="14" s="1"/>
  <c r="N439" i="14"/>
  <c r="O439" i="14" s="1"/>
  <c r="N433" i="14"/>
  <c r="O433" i="14" s="1"/>
  <c r="N394" i="14"/>
  <c r="O394" i="14" s="1"/>
  <c r="N349" i="14"/>
  <c r="O349" i="14" s="1"/>
  <c r="N325" i="14"/>
  <c r="O325" i="14" s="1"/>
  <c r="N189" i="14"/>
  <c r="O189" i="14" s="1"/>
  <c r="N183" i="14"/>
  <c r="O183" i="14" s="1"/>
  <c r="N155" i="14"/>
  <c r="O155" i="14" s="1"/>
  <c r="N69" i="14"/>
  <c r="O69" i="14" s="1"/>
  <c r="N596" i="14"/>
  <c r="N456" i="14"/>
  <c r="O456" i="14" s="1"/>
  <c r="N405" i="14"/>
  <c r="O405" i="14" s="1"/>
  <c r="N330" i="14"/>
  <c r="O330" i="14" s="1"/>
  <c r="N302" i="14"/>
  <c r="O302" i="14" s="1"/>
  <c r="N246" i="14"/>
  <c r="O246" i="14" s="1"/>
  <c r="N222" i="14"/>
  <c r="O222" i="14" s="1"/>
  <c r="N194" i="14"/>
  <c r="O194" i="14" s="1"/>
  <c r="N97" i="14"/>
  <c r="O97" i="14" s="1"/>
  <c r="N91" i="14"/>
  <c r="O91" i="14" s="1"/>
  <c r="N80" i="14"/>
  <c r="O80" i="14" s="1"/>
  <c r="N51" i="14"/>
  <c r="O51" i="14" s="1"/>
  <c r="N590" i="14"/>
  <c r="N472" i="14"/>
  <c r="O472" i="14" s="1"/>
  <c r="N444" i="14"/>
  <c r="O444" i="14" s="1"/>
  <c r="N438" i="14"/>
  <c r="N365" i="14"/>
  <c r="O365" i="14" s="1"/>
  <c r="N273" i="14"/>
  <c r="O273" i="14" s="1"/>
  <c r="N188" i="14"/>
  <c r="O188" i="14" s="1"/>
  <c r="N154" i="14"/>
  <c r="O154" i="14" s="1"/>
  <c r="N85" i="14"/>
  <c r="O85" i="14" s="1"/>
  <c r="N601" i="14"/>
  <c r="N489" i="14"/>
  <c r="O489" i="14" s="1"/>
  <c r="N483" i="14"/>
  <c r="O483" i="14" s="1"/>
  <c r="N477" i="14"/>
  <c r="O477" i="14" s="1"/>
  <c r="N449" i="14"/>
  <c r="O449" i="14" s="1"/>
  <c r="N410" i="14"/>
  <c r="O410" i="14" s="1"/>
  <c r="N336" i="14"/>
  <c r="O336" i="14" s="1"/>
  <c r="N193" i="14"/>
  <c r="O193" i="14" s="1"/>
  <c r="N108" i="14"/>
  <c r="O108" i="14" s="1"/>
  <c r="N96" i="14"/>
  <c r="O96" i="14" s="1"/>
  <c r="N90" i="14"/>
  <c r="O90" i="14" s="1"/>
  <c r="N62" i="14"/>
  <c r="O62" i="14" s="1"/>
  <c r="N50" i="14"/>
  <c r="O50" i="14" s="1"/>
  <c r="N291" i="14"/>
  <c r="O291" i="14" s="1"/>
  <c r="N242" i="14"/>
  <c r="O242" i="14" s="1"/>
  <c r="N208" i="14"/>
  <c r="O208" i="14" s="1"/>
  <c r="N104" i="14"/>
  <c r="O104" i="14" s="1"/>
  <c r="N42" i="14"/>
  <c r="O42" i="14" s="1"/>
  <c r="N36" i="14"/>
  <c r="O36" i="14" s="1"/>
  <c r="N479" i="14"/>
  <c r="O479" i="14" s="1"/>
  <c r="N457" i="14"/>
  <c r="O457" i="14" s="1"/>
  <c r="N346" i="14"/>
  <c r="O346" i="14" s="1"/>
  <c r="N341" i="14"/>
  <c r="O341" i="14" s="1"/>
  <c r="N307" i="14"/>
  <c r="O307" i="14" s="1"/>
  <c r="N296" i="14"/>
  <c r="O296" i="14" s="1"/>
  <c r="N258" i="14"/>
  <c r="O258" i="14" s="1"/>
  <c r="N224" i="14"/>
  <c r="O224" i="14" s="1"/>
  <c r="N495" i="14"/>
  <c r="O495" i="14" s="1"/>
  <c r="N434" i="14"/>
  <c r="O434" i="14" s="1"/>
  <c r="N428" i="14"/>
  <c r="O428" i="14" s="1"/>
  <c r="N390" i="14"/>
  <c r="O390" i="14" s="1"/>
  <c r="N384" i="14"/>
  <c r="O384" i="14" s="1"/>
  <c r="N312" i="14"/>
  <c r="O312" i="14" s="1"/>
  <c r="N241" i="14"/>
  <c r="O241" i="14" s="1"/>
  <c r="N158" i="14"/>
  <c r="O158" i="14" s="1"/>
  <c r="N41" i="14"/>
  <c r="O41" i="14" s="1"/>
  <c r="N580" i="14"/>
  <c r="O580" i="14" s="1"/>
  <c r="N527" i="14"/>
  <c r="N516" i="14"/>
  <c r="O516" i="14" s="1"/>
  <c r="N398" i="14"/>
  <c r="O398" i="14" s="1"/>
  <c r="N214" i="14"/>
  <c r="O214" i="14" s="1"/>
  <c r="N144" i="14"/>
  <c r="O144" i="14" s="1"/>
  <c r="N106" i="14"/>
  <c r="O106" i="14" s="1"/>
  <c r="N46" i="14"/>
  <c r="O46" i="14" s="1"/>
  <c r="N13" i="14"/>
  <c r="O13" i="14" s="1"/>
  <c r="N364" i="14"/>
  <c r="O364" i="14" s="1"/>
  <c r="N266" i="14"/>
  <c r="O266" i="14" s="1"/>
  <c r="N511" i="14"/>
  <c r="O511" i="14" s="1"/>
  <c r="N506" i="14"/>
  <c r="O506" i="14" s="1"/>
  <c r="N501" i="14"/>
  <c r="O501" i="14" s="1"/>
  <c r="N271" i="14"/>
  <c r="O271" i="14" s="1"/>
  <c r="N217" i="14"/>
  <c r="O217" i="14" s="1"/>
  <c r="N315" i="14"/>
  <c r="O315" i="14" s="1"/>
  <c r="N462" i="14"/>
  <c r="O462" i="14" s="1"/>
  <c r="N408" i="14"/>
  <c r="O408" i="14" s="1"/>
  <c r="N124" i="14"/>
  <c r="O124" i="14" s="1"/>
  <c r="N467" i="14"/>
  <c r="O467" i="14" s="1"/>
  <c r="N413" i="14"/>
  <c r="O413" i="14" s="1"/>
  <c r="N129" i="14"/>
  <c r="O129" i="14" s="1"/>
  <c r="N65" i="14"/>
  <c r="O65" i="14" s="1"/>
  <c r="N11" i="14"/>
  <c r="O11" i="14" s="1"/>
  <c r="N418" i="14"/>
  <c r="O418" i="14" s="1"/>
  <c r="N70" i="14"/>
  <c r="O70" i="14" s="1"/>
  <c r="N16" i="14"/>
  <c r="O16" i="14" s="1"/>
  <c r="N423" i="14"/>
  <c r="O423" i="14" s="1"/>
  <c r="N359" i="14"/>
  <c r="O359" i="14" s="1"/>
  <c r="N305" i="14"/>
  <c r="O305" i="14" s="1"/>
  <c r="N75" i="14"/>
  <c r="O75" i="14" s="1"/>
  <c r="N21" i="14"/>
  <c r="O21" i="14" s="1"/>
  <c r="N555" i="14"/>
  <c r="N310" i="14"/>
  <c r="O310" i="14" s="1"/>
  <c r="N26" i="14"/>
  <c r="O26" i="14" s="1"/>
  <c r="N560" i="14"/>
  <c r="N369" i="14"/>
  <c r="N31" i="14"/>
  <c r="N565" i="14"/>
  <c r="N320" i="14"/>
  <c r="O320" i="14" s="1"/>
  <c r="N261" i="14"/>
  <c r="O261" i="14" s="1"/>
  <c r="N207" i="14"/>
  <c r="O207" i="14" s="1"/>
  <c r="N212" i="14"/>
  <c r="O212" i="14" s="1"/>
  <c r="N521" i="14"/>
  <c r="N227" i="14"/>
  <c r="O227" i="14" s="1"/>
  <c r="N163" i="14"/>
  <c r="O163" i="14" s="1"/>
  <c r="N109" i="14"/>
  <c r="O109" i="14" s="1"/>
  <c r="N168" i="14"/>
  <c r="O168" i="14" s="1"/>
  <c r="N114" i="14"/>
  <c r="O114" i="14" s="1"/>
  <c r="N221" i="14"/>
  <c r="O221" i="14" s="1"/>
  <c r="N25" i="14"/>
  <c r="O25" i="14" s="1"/>
  <c r="N529" i="14"/>
  <c r="O529" i="14" s="1"/>
  <c r="N333" i="14"/>
  <c r="O333" i="14" s="1"/>
  <c r="N235" i="14"/>
  <c r="O235" i="14" s="1"/>
  <c r="N137" i="14"/>
  <c r="O137" i="14" s="1"/>
  <c r="N562" i="14"/>
  <c r="N557" i="14"/>
  <c r="O557" i="14" s="1"/>
  <c r="N464" i="14"/>
  <c r="O464" i="14" s="1"/>
  <c r="N459" i="14"/>
  <c r="O459" i="14" s="1"/>
  <c r="N366" i="14"/>
  <c r="O366" i="14" s="1"/>
  <c r="N361" i="14"/>
  <c r="O361" i="14" s="1"/>
  <c r="N268" i="14"/>
  <c r="O268" i="14" s="1"/>
  <c r="N263" i="14"/>
  <c r="O263" i="14" s="1"/>
  <c r="N170" i="14"/>
  <c r="O170" i="14" s="1"/>
  <c r="N165" i="14"/>
  <c r="O165" i="14" s="1"/>
  <c r="N72" i="14"/>
  <c r="O72" i="14" s="1"/>
  <c r="N67" i="14"/>
  <c r="O67" i="14" s="1"/>
  <c r="N520" i="14"/>
  <c r="O520" i="14" s="1"/>
  <c r="N422" i="14"/>
  <c r="O422" i="14" s="1"/>
  <c r="N324" i="14"/>
  <c r="O324" i="14" s="1"/>
  <c r="N128" i="14"/>
  <c r="O128" i="14" s="1"/>
  <c r="N534" i="14"/>
  <c r="N431" i="14"/>
  <c r="O431" i="14" s="1"/>
  <c r="N338" i="14"/>
  <c r="O338" i="14" s="1"/>
  <c r="N39" i="14"/>
  <c r="O39" i="14" s="1"/>
  <c r="N548" i="14"/>
  <c r="N450" i="14"/>
  <c r="O450" i="14" s="1"/>
  <c r="N352" i="14"/>
  <c r="O352" i="14" s="1"/>
  <c r="N254" i="14"/>
  <c r="O254" i="14" s="1"/>
  <c r="N151" i="14"/>
  <c r="O151" i="14" s="1"/>
  <c r="N53" i="14"/>
  <c r="O53" i="14" s="1"/>
  <c r="N571" i="14"/>
  <c r="N473" i="14"/>
  <c r="O473" i="14" s="1"/>
  <c r="N380" i="14"/>
  <c r="O380" i="14" s="1"/>
  <c r="N277" i="14"/>
  <c r="O277" i="14" s="1"/>
  <c r="N184" i="14"/>
  <c r="O184" i="14" s="1"/>
  <c r="N81" i="14"/>
  <c r="O81" i="14" s="1"/>
  <c r="N515" i="14"/>
  <c r="O515" i="14" s="1"/>
  <c r="N417" i="14"/>
  <c r="O417" i="14" s="1"/>
  <c r="N319" i="14"/>
  <c r="O319" i="14" s="1"/>
  <c r="N226" i="14"/>
  <c r="O226" i="14" s="1"/>
  <c r="N123" i="14"/>
  <c r="O123" i="14" s="1"/>
  <c r="N30" i="14"/>
  <c r="O30" i="14" s="1"/>
  <c r="N436" i="14"/>
  <c r="O436" i="14" s="1"/>
  <c r="N240" i="14"/>
  <c r="O240" i="14" s="1"/>
  <c r="N142" i="14"/>
  <c r="O142" i="14" s="1"/>
  <c r="N44" i="14"/>
  <c r="O44" i="14" s="1"/>
  <c r="N543" i="14"/>
  <c r="O543" i="14" s="1"/>
  <c r="N445" i="14"/>
  <c r="O445" i="14" s="1"/>
  <c r="N347" i="14"/>
  <c r="O347" i="14" s="1"/>
  <c r="N249" i="14"/>
  <c r="O249" i="14" s="1"/>
  <c r="N156" i="14"/>
  <c r="O156" i="14" s="1"/>
  <c r="N58" i="14"/>
  <c r="O58" i="14" s="1"/>
  <c r="N576" i="14"/>
  <c r="N478" i="14"/>
  <c r="O478" i="14" s="1"/>
  <c r="N375" i="14"/>
  <c r="O375" i="14" s="1"/>
  <c r="N282" i="14"/>
  <c r="O282" i="14" s="1"/>
  <c r="N179" i="14"/>
  <c r="O179" i="14" s="1"/>
  <c r="N86" i="14"/>
  <c r="O86" i="14" s="1"/>
  <c r="N389" i="14"/>
  <c r="O389" i="14" s="1"/>
  <c r="N198" i="14"/>
  <c r="O198" i="14" s="1"/>
  <c r="E56" i="6" l="1"/>
  <c r="F56" i="6"/>
  <c r="G56" i="6"/>
  <c r="H56" i="6"/>
  <c r="I56" i="6"/>
  <c r="J56" i="6"/>
  <c r="K56" i="6"/>
  <c r="L56" i="6"/>
  <c r="M56" i="6"/>
  <c r="N56" i="6"/>
  <c r="O56" i="6"/>
  <c r="P56" i="6"/>
  <c r="D56" i="6"/>
</calcChain>
</file>

<file path=xl/sharedStrings.xml><?xml version="1.0" encoding="utf-8"?>
<sst xmlns="http://schemas.openxmlformats.org/spreadsheetml/2006/main" count="4696" uniqueCount="1559">
  <si>
    <r>
      <rPr>
        <b/>
        <sz val="12"/>
        <color rgb="FF000000"/>
        <rFont val="Arial"/>
      </rPr>
      <t xml:space="preserve">Ops Summary Report For </t>
    </r>
    <r>
      <rPr>
        <b/>
        <sz val="12"/>
        <color rgb="FF000000"/>
        <rFont val="Arial"/>
      </rPr>
      <t>7272 - New Orleans - 1601 Tchoupitoulas</t>
    </r>
  </si>
  <si>
    <r>
      <rPr>
        <sz val="9"/>
        <color rgb="FF000000"/>
        <rFont val="Segoe UI"/>
      </rPr>
      <t xml:space="preserve">District Manager: </t>
    </r>
    <r>
      <rPr>
        <sz val="9"/>
        <color rgb="FF000000"/>
        <rFont val="Segoe UI"/>
      </rPr>
      <t>Cynthia Gaines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</si>
  <si>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>July 2025</t>
    </r>
  </si>
  <si>
    <r>
      <rPr>
        <sz val="9"/>
        <color rgb="FF000000"/>
        <rFont val="Arial"/>
      </rPr>
      <t xml:space="preserve">Mature: </t>
    </r>
    <r>
      <rPr>
        <sz val="9"/>
        <color rgb="FF000000"/>
        <rFont val="Arial"/>
      </rPr>
      <t>Yes</t>
    </r>
  </si>
  <si>
    <t/>
  </si>
  <si>
    <r>
      <rPr>
        <sz val="9"/>
        <color rgb="FF000000"/>
        <rFont val="Segoe UI"/>
      </rPr>
      <t xml:space="preserve">Partner Service Group: </t>
    </r>
    <r>
      <rPr>
        <sz val="9"/>
        <color rgb="FF000000"/>
        <rFont val="Segoe UI"/>
      </rPr>
      <t>Abbie LaMunyon</t>
    </r>
  </si>
  <si>
    <t>Metrics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</si>
  <si>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</si>
  <si>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</si>
  <si>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</si>
  <si>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</si>
  <si>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</si>
  <si>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</si>
  <si>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</si>
  <si>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</si>
  <si>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</si>
  <si>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</si>
  <si>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</si>
  <si>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</si>
  <si>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</si>
  <si>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</si>
  <si>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</si>
  <si>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YoY Delta</t>
  </si>
  <si>
    <t>Total Units Available</t>
  </si>
  <si>
    <t>Total Occupancy %</t>
  </si>
  <si>
    <t xml:space="preserve">    Total Company Units</t>
  </si>
  <si>
    <t xml:space="preserve">    Total Maintenance Units</t>
  </si>
  <si>
    <t xml:space="preserve">    Total Reserved Units</t>
  </si>
  <si>
    <t>Total Sq Ft Occupancy %</t>
  </si>
  <si>
    <t>Pricecast Goals</t>
  </si>
  <si>
    <t xml:space="preserve">    SFO% - Non Climate Controlled</t>
  </si>
  <si>
    <t xml:space="preserve">    SFO% - Climate Controlled</t>
  </si>
  <si>
    <t xml:space="preserve">    SFO% - Up</t>
  </si>
  <si>
    <t xml:space="preserve">    SFO% - Down</t>
  </si>
  <si>
    <t xml:space="preserve">    SFO% - In</t>
  </si>
  <si>
    <t xml:space="preserve">    SFO% - Out</t>
  </si>
  <si>
    <t xml:space="preserve">    SFO% - Annex</t>
  </si>
  <si>
    <t>Rentals During Month</t>
  </si>
  <si>
    <t xml:space="preserve">    Walk In Rentals</t>
  </si>
  <si>
    <t xml:space="preserve">    NSC rentals</t>
  </si>
  <si>
    <t xml:space="preserve">    Web Rentals</t>
  </si>
  <si>
    <t>Vacates During Month</t>
  </si>
  <si>
    <t>Net Rentals</t>
  </si>
  <si>
    <t>Res Rented / Reservations NSC + Web</t>
  </si>
  <si>
    <t xml:space="preserve">    Total Reservations NSC + Web</t>
  </si>
  <si>
    <t>Res Rented / Reservations NSC</t>
  </si>
  <si>
    <t xml:space="preserve">    Reservations NSC</t>
  </si>
  <si>
    <t xml:space="preserve">    Sales Calls NSC</t>
  </si>
  <si>
    <t xml:space="preserve">    Service Calls NSC</t>
  </si>
  <si>
    <t xml:space="preserve">    Reservations / Sales Calls NSC</t>
  </si>
  <si>
    <t>Res Rented / Reservations Web</t>
  </si>
  <si>
    <t>    Reservations Web</t>
  </si>
  <si>
    <t>    Rentals / Visitors Web</t>
  </si>
  <si>
    <t>New Customers on EZ Pay %</t>
  </si>
  <si>
    <t>    Total Customers on EZ Pay %</t>
  </si>
  <si>
    <t>New Renters Tenant Insurance %</t>
  </si>
  <si>
    <t>    Overall Tenant Insurance %</t>
  </si>
  <si>
    <t>Total Standard Rate Rentals</t>
  </si>
  <si>
    <t>    NSC Store Rentals w/SR</t>
  </si>
  <si>
    <t>    Walk-In Rentals Store w/SR</t>
  </si>
  <si>
    <t>Store Walk-In vs NSC Gap</t>
  </si>
  <si>
    <t>Standard Rate Gross Potential</t>
  </si>
  <si>
    <t>    GPI vs LY</t>
  </si>
  <si>
    <t>    Average GPI Standard Rate</t>
  </si>
  <si>
    <t>    Achieved Gross Potential</t>
  </si>
  <si>
    <t>Average Internet Special Rate %</t>
  </si>
  <si>
    <t>Net Rental Income</t>
  </si>
  <si>
    <t>    Forecast NRI</t>
  </si>
  <si>
    <t>    NRI vs LY</t>
  </si>
  <si>
    <t>Rental Income</t>
  </si>
  <si>
    <t>Projected Rent</t>
  </si>
  <si>
    <t>    Projected Rent vs LY </t>
  </si>
  <si>
    <t>Total $ Increase from ECRI</t>
  </si>
  <si>
    <t>    Total Customers Given ECRI</t>
  </si>
  <si>
    <t>Discounts Given (Accrued per Month)</t>
  </si>
  <si>
    <t>    Rentals w/ Discount</t>
  </si>
  <si>
    <t>    Last Resort Discount</t>
  </si>
  <si>
    <t>Bad Debt</t>
  </si>
  <si>
    <t>    Bad Debt % of Rental Income</t>
  </si>
  <si>
    <t>    AR % over 30</t>
  </si>
  <si>
    <t>    Units over 90 Days</t>
  </si>
  <si>
    <r>
      <rPr>
        <b/>
        <sz val="12"/>
        <color rgb="FF000000"/>
        <rFont val="Arial"/>
      </rPr>
      <t xml:space="preserve">Unit Status for </t>
    </r>
    <r>
      <rPr>
        <b/>
        <sz val="12"/>
        <color rgb="FF000000"/>
        <rFont val="Arial"/>
      </rPr>
      <t xml:space="preserve">7272 - New Orleans - 1601 Tchoupitoulas
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</si>
  <si>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 xml:space="preserve">July 2025
</t>
    </r>
    <r>
      <rPr>
        <i/>
        <sz val="10"/>
        <color rgb="FF000000"/>
        <rFont val="Arial"/>
      </rPr>
      <t>Includes Monthly Vacant Units</t>
    </r>
  </si>
  <si>
    <t>Unit Type</t>
  </si>
  <si>
    <t>Curent Status Detail</t>
  </si>
  <si>
    <t>Size &amp; Attribute</t>
  </si>
  <si>
    <t>Sq Ft</t>
  </si>
  <si>
    <t>Unit Occupancy</t>
  </si>
  <si>
    <t>Total Units</t>
  </si>
  <si>
    <t>104X403-WAA</t>
  </si>
  <si>
    <t>10X10-CDN</t>
  </si>
  <si>
    <t>10X10-CEN</t>
  </si>
  <si>
    <t>10X11-CDN</t>
  </si>
  <si>
    <t>10X11-CEN</t>
  </si>
  <si>
    <t>10X14-CEN</t>
  </si>
  <si>
    <t>10X15-CDN</t>
  </si>
  <si>
    <t>10X15-CDNM</t>
  </si>
  <si>
    <t>10X15-CEN</t>
  </si>
  <si>
    <t>10X15-CEP</t>
  </si>
  <si>
    <t>10X16-CEN</t>
  </si>
  <si>
    <t>10X20-CDN</t>
  </si>
  <si>
    <t>10X20-CDNM</t>
  </si>
  <si>
    <t>10X20-CEN</t>
  </si>
  <si>
    <t>10X21-CDN</t>
  </si>
  <si>
    <t>10X21-CEN</t>
  </si>
  <si>
    <t>10X30-CDNM</t>
  </si>
  <si>
    <t>10X30-CEN</t>
  </si>
  <si>
    <t>10X30-CENM</t>
  </si>
  <si>
    <t>10X04-CDN</t>
  </si>
  <si>
    <t>10X05-CDN</t>
  </si>
  <si>
    <t>10X05-CEN</t>
  </si>
  <si>
    <t>10X06-CEN</t>
  </si>
  <si>
    <t>11X10-CDN</t>
  </si>
  <si>
    <t>11X10-CEN</t>
  </si>
  <si>
    <t>11X11-CEN</t>
  </si>
  <si>
    <t>11X04-CDN</t>
  </si>
  <si>
    <t>11X05-CDN</t>
  </si>
  <si>
    <t>11X05-CEN</t>
  </si>
  <si>
    <t>15X10-CEN</t>
  </si>
  <si>
    <t>15X15-CDNM</t>
  </si>
  <si>
    <t>15X20-CDNM</t>
  </si>
  <si>
    <t>15X04-CEN</t>
  </si>
  <si>
    <t>15X05-CDN</t>
  </si>
  <si>
    <t>15X05-CEN</t>
  </si>
  <si>
    <t>16X04-CEN</t>
  </si>
  <si>
    <t>20X10-CDNM</t>
  </si>
  <si>
    <t>20X10-CEN</t>
  </si>
  <si>
    <t>20X10-CENM</t>
  </si>
  <si>
    <t>20X15-CDNM</t>
  </si>
  <si>
    <t>20X15-CENM</t>
  </si>
  <si>
    <t>20X20-CDNM</t>
  </si>
  <si>
    <t>20X20-CENM</t>
  </si>
  <si>
    <t>20X21-CDNM</t>
  </si>
  <si>
    <t>20X21-CENM</t>
  </si>
  <si>
    <t>24X587-WAA</t>
  </si>
  <si>
    <t>26X10-CENM</t>
  </si>
  <si>
    <t>30X10-CENM</t>
  </si>
  <si>
    <t>40X128-WAA</t>
  </si>
  <si>
    <t>475X103-WAA</t>
  </si>
  <si>
    <t>48X50-WAA</t>
  </si>
  <si>
    <t>05X10-CDN</t>
  </si>
  <si>
    <t>05X10-CEN</t>
  </si>
  <si>
    <t>05X11-CDN</t>
  </si>
  <si>
    <t>05X15-CDN</t>
  </si>
  <si>
    <t>05X15-CEN</t>
  </si>
  <si>
    <t>05X20-CEN</t>
  </si>
  <si>
    <t>05X04-CDN</t>
  </si>
  <si>
    <t>05X04-CEE</t>
  </si>
  <si>
    <t>05X04-CEN</t>
  </si>
  <si>
    <t>05X05-CDN</t>
  </si>
  <si>
    <t>05X05-CEN</t>
  </si>
  <si>
    <t>05X05-CEP</t>
  </si>
  <si>
    <t>05X06-CEN</t>
  </si>
  <si>
    <t>06X05-CDN</t>
  </si>
  <si>
    <t>06X05-CEN</t>
  </si>
  <si>
    <t>75X57-OAA</t>
  </si>
  <si>
    <t>08X18-PAA</t>
  </si>
  <si>
    <t>08X19-PAA</t>
  </si>
  <si>
    <t>950X12-WAA</t>
  </si>
  <si>
    <t>959X51-WAA</t>
  </si>
  <si>
    <t>09X10-CDN</t>
  </si>
  <si>
    <t>09X10-CEN</t>
  </si>
  <si>
    <t>09X15-CEN</t>
  </si>
  <si>
    <t>09X19-PAA</t>
  </si>
  <si>
    <t>09X20-CEN</t>
  </si>
  <si>
    <t>09X05-CEN</t>
  </si>
  <si>
    <r>
      <rPr>
        <b/>
        <sz val="8"/>
        <color rgb="FF000000"/>
        <rFont val="Arial"/>
      </rPr>
      <t xml:space="preserve">UNIT TYPE TRANSLATIONS:
</t>
    </r>
    <r>
      <rPr>
        <sz val="8"/>
        <color rgb="FF000000"/>
        <rFont val="Arial"/>
      </rPr>
      <t>1st Letter - Environment:  N (Non-Climate), C (Climate), H (Heated), E (Evaporated Only), T (Cell Tower), B (Billboard), D (Dehumidified), R (Retail), O (Office Space)
2nd Letter - Location.  O (Outside), D (Downstairs Inside), E (Upstairs Elevator Inside), S (Upstairs by Stairs), B (Basement), L (Upstairs by Lift), Stacked Units (X - Lower,Y - Middle, Z - Upper)
3rd Letter - Desirability.  N (Normal), E (Economy), P (Premium), U (Unique)
4th Letter - Extra Attributes:  M (Multidoor), U (Unusual Size), V (Wine), A (Annex)</t>
    </r>
  </si>
  <si>
    <r>
      <rPr>
        <b/>
        <sz val="12"/>
        <color rgb="FF000000"/>
        <rFont val="Arial"/>
      </rPr>
      <t xml:space="preserve">Unit Rate Report For </t>
    </r>
    <r>
      <rPr>
        <b/>
        <sz val="12"/>
        <color rgb="FF000000"/>
        <rFont val="Arial"/>
      </rPr>
      <t>7272 - New Orleans - 1601 Tchoupitoulas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</si>
  <si>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 xml:space="preserve">July 2025
</t>
    </r>
    <r>
      <rPr>
        <i/>
        <sz val="10"/>
        <color rgb="FF000000"/>
        <rFont val="Arial"/>
      </rPr>
      <t>Includes Monthly Street Rate by Unit Type</t>
    </r>
  </si>
  <si>
    <t>Total</t>
  </si>
  <si>
    <t>Climate Control</t>
  </si>
  <si>
    <t>Down</t>
  </si>
  <si>
    <t>Up</t>
  </si>
  <si>
    <t>Inside</t>
  </si>
  <si>
    <t>RV Parking</t>
  </si>
  <si>
    <t>Office</t>
  </si>
  <si>
    <t>Units Available</t>
  </si>
  <si>
    <t>Units Rented</t>
  </si>
  <si>
    <t>Sq Ft Available</t>
  </si>
  <si>
    <t>Sq Ft Rented</t>
  </si>
  <si>
    <t>Pot Avg RPSF</t>
  </si>
  <si>
    <t>Exp Avg RPSF</t>
  </si>
  <si>
    <t>Avg Unit Size Sq Ft</t>
  </si>
  <si>
    <t>Street Rate</t>
  </si>
  <si>
    <t>Pot RPSF</t>
  </si>
  <si>
    <t>Exp RPSF</t>
  </si>
  <si>
    <r>
      <rPr>
        <b/>
        <sz val="12"/>
        <color rgb="FF000000"/>
        <rFont val="Arial"/>
      </rPr>
      <t xml:space="preserve">Income Statement For </t>
    </r>
    <r>
      <rPr>
        <b/>
        <sz val="12"/>
        <color rgb="FF000000"/>
        <rFont val="Arial"/>
      </rPr>
      <t>7272 - New Orleans - 1601 Tchoupitoulas</t>
    </r>
  </si>
  <si>
    <r>
      <rPr>
        <b/>
        <sz val="10"/>
        <color rgb="FF000000"/>
        <rFont val="Arial"/>
      </rPr>
      <t>2025</t>
    </r>
    <r>
      <rPr>
        <b/>
        <sz val="10"/>
        <color rgb="FF000000"/>
        <rFont val="Arial"/>
      </rPr>
      <t xml:space="preserve"> YTD</t>
    </r>
  </si>
  <si>
    <r>
      <rPr>
        <sz val="10"/>
        <color rgb="FF000000"/>
        <rFont val="Arial"/>
      </rPr>
      <t>Rental Income</t>
    </r>
  </si>
  <si>
    <r>
      <rPr>
        <sz val="10"/>
        <color rgb="FF000000"/>
        <rFont val="Arial"/>
      </rPr>
      <t>Rental Income - Retail/Office</t>
    </r>
  </si>
  <si>
    <r>
      <rPr>
        <sz val="10"/>
        <color rgb="FF000000"/>
        <rFont val="Arial"/>
      </rPr>
      <t>Rental Income - Other</t>
    </r>
  </si>
  <si>
    <r>
      <rPr>
        <sz val="10"/>
        <color rgb="FF000000"/>
        <rFont val="Arial"/>
      </rPr>
      <t>Rental Income - Parking</t>
    </r>
  </si>
  <si>
    <r>
      <rPr>
        <sz val="10"/>
        <color rgb="FF000000"/>
        <rFont val="Arial"/>
      </rPr>
      <t>Rental Income - Billboard</t>
    </r>
  </si>
  <si>
    <r>
      <rPr>
        <sz val="10"/>
        <color rgb="FF000000"/>
        <rFont val="Arial"/>
      </rPr>
      <t>Rental Income - Cell tower</t>
    </r>
  </si>
  <si>
    <r>
      <rPr>
        <sz val="10"/>
        <color rgb="FF000000"/>
        <rFont val="Arial"/>
      </rPr>
      <t>Rental Income - Solar Roof</t>
    </r>
  </si>
  <si>
    <r>
      <rPr>
        <sz val="10"/>
        <color rgb="FF000000"/>
        <rFont val="Arial"/>
      </rPr>
      <t>Rental Income - TRS/Merch</t>
    </r>
  </si>
  <si>
    <r>
      <rPr>
        <sz val="10"/>
        <color rgb="FF000000"/>
        <rFont val="Arial"/>
      </rPr>
      <t>Rental Refunds</t>
    </r>
  </si>
  <si>
    <r>
      <rPr>
        <sz val="10"/>
        <color rgb="FF000000"/>
        <rFont val="Arial"/>
      </rPr>
      <t>Discounts Charged</t>
    </r>
  </si>
  <si>
    <r>
      <rPr>
        <sz val="10"/>
        <color rgb="FF000000"/>
        <rFont val="Arial"/>
      </rPr>
      <t>Bad Debt Expense</t>
    </r>
  </si>
  <si>
    <r>
      <rPr>
        <b/>
        <sz val="10"/>
        <color rgb="FF000000"/>
        <rFont val="Arial"/>
      </rPr>
      <t>NRI</t>
    </r>
  </si>
  <si>
    <r>
      <rPr>
        <sz val="10"/>
        <color rgb="FF000000"/>
        <rFont val="Arial"/>
      </rPr>
      <t>Administrative Fees</t>
    </r>
  </si>
  <si>
    <r>
      <rPr>
        <sz val="10"/>
        <color rgb="FF000000"/>
        <rFont val="Arial"/>
      </rPr>
      <t>Admin Fees Waived</t>
    </r>
  </si>
  <si>
    <r>
      <rPr>
        <b/>
        <sz val="10"/>
        <color rgb="FF000000"/>
        <rFont val="Arial"/>
      </rPr>
      <t>Admin Fees</t>
    </r>
  </si>
  <si>
    <r>
      <rPr>
        <sz val="10"/>
        <color rgb="FF000000"/>
        <rFont val="Arial"/>
      </rPr>
      <t>Late Fees</t>
    </r>
  </si>
  <si>
    <r>
      <rPr>
        <sz val="10"/>
        <color rgb="FF000000"/>
        <rFont val="Arial"/>
      </rPr>
      <t>Late Fees Waived</t>
    </r>
  </si>
  <si>
    <r>
      <rPr>
        <b/>
        <sz val="10"/>
        <color rgb="FF000000"/>
        <rFont val="Arial"/>
      </rPr>
      <t>Late Fees</t>
    </r>
  </si>
  <si>
    <r>
      <rPr>
        <sz val="10"/>
        <color rgb="FF000000"/>
        <rFont val="Arial"/>
      </rPr>
      <t>Other Fees</t>
    </r>
  </si>
  <si>
    <r>
      <rPr>
        <sz val="10"/>
        <color rgb="FF000000"/>
        <rFont val="Arial"/>
      </rPr>
      <t>Other Fees Waived</t>
    </r>
  </si>
  <si>
    <r>
      <rPr>
        <b/>
        <sz val="10"/>
        <color rgb="FF000000"/>
        <rFont val="Arial"/>
      </rPr>
      <t>Other Fees</t>
    </r>
  </si>
  <si>
    <r>
      <rPr>
        <sz val="10"/>
        <color rgb="FF000000"/>
        <rFont val="Arial"/>
      </rPr>
      <t>Merchandise Sales</t>
    </r>
  </si>
  <si>
    <r>
      <rPr>
        <sz val="10"/>
        <color rgb="FF000000"/>
        <rFont val="Arial"/>
      </rPr>
      <t>Merchandise Sales - Contra</t>
    </r>
  </si>
  <si>
    <r>
      <rPr>
        <b/>
        <sz val="10"/>
        <color rgb="FF000000"/>
        <rFont val="Arial"/>
      </rPr>
      <t>Lock &amp; Pack</t>
    </r>
  </si>
  <si>
    <r>
      <rPr>
        <sz val="10"/>
        <color rgb="FF000000"/>
        <rFont val="Arial"/>
      </rPr>
      <t>Miscellaneous Revenue</t>
    </r>
  </si>
  <si>
    <r>
      <rPr>
        <sz val="10"/>
        <color rgb="FF000000"/>
        <rFont val="Arial"/>
      </rPr>
      <t>Rental Income - Truck</t>
    </r>
  </si>
  <si>
    <r>
      <rPr>
        <sz val="10"/>
        <color rgb="FF000000"/>
        <rFont val="Arial"/>
      </rPr>
      <t>Tenant Deposits - Retained</t>
    </r>
  </si>
  <si>
    <r>
      <rPr>
        <sz val="10"/>
        <color rgb="FF000000"/>
        <rFont val="Arial"/>
      </rPr>
      <t>Tenant Deposits - Refunded</t>
    </r>
  </si>
  <si>
    <r>
      <rPr>
        <sz val="10"/>
        <color rgb="FF000000"/>
        <rFont val="Arial"/>
      </rPr>
      <t>Interest Income</t>
    </r>
  </si>
  <si>
    <r>
      <rPr>
        <sz val="10"/>
        <color rgb="FF000000"/>
        <rFont val="Arial"/>
      </rPr>
      <t>Other Income</t>
    </r>
  </si>
  <si>
    <t>Revenue - Property</t>
  </si>
  <si>
    <r>
      <rPr>
        <sz val="10"/>
        <color rgb="FF000000"/>
        <rFont val="Arial"/>
      </rPr>
      <t>Manager Payroll</t>
    </r>
  </si>
  <si>
    <r>
      <rPr>
        <sz val="10"/>
        <color rgb="FF000000"/>
        <rFont val="Arial"/>
      </rPr>
      <t>Overtime</t>
    </r>
  </si>
  <si>
    <r>
      <rPr>
        <sz val="10"/>
        <color rgb="FF000000"/>
        <rFont val="Arial"/>
      </rPr>
      <t>Vacation &amp; Personal Leave</t>
    </r>
  </si>
  <si>
    <r>
      <rPr>
        <sz val="10"/>
        <color rgb="FF000000"/>
        <rFont val="Arial"/>
      </rPr>
      <t>Temporary Labor - Site Coverage</t>
    </r>
  </si>
  <si>
    <r>
      <rPr>
        <sz val="10"/>
        <color rgb="FF000000"/>
        <rFont val="Arial"/>
      </rPr>
      <t>Performance Bonus</t>
    </r>
  </si>
  <si>
    <r>
      <rPr>
        <sz val="10"/>
        <color rgb="FF000000"/>
        <rFont val="Arial"/>
      </rPr>
      <t>401K Match</t>
    </r>
  </si>
  <si>
    <r>
      <rPr>
        <sz val="10"/>
        <color rgb="FF000000"/>
        <rFont val="Arial"/>
      </rPr>
      <t>Apartment Lease Monthly Charge</t>
    </r>
  </si>
  <si>
    <r>
      <rPr>
        <sz val="10"/>
        <color rgb="FF000000"/>
        <rFont val="Arial"/>
      </rPr>
      <t>Employee Incentives</t>
    </r>
  </si>
  <si>
    <r>
      <rPr>
        <sz val="10"/>
        <color rgb="FF000000"/>
        <rFont val="Arial"/>
      </rPr>
      <t>Auto Allowance</t>
    </r>
  </si>
  <si>
    <r>
      <rPr>
        <sz val="10"/>
        <color rgb="FF000000"/>
        <rFont val="Arial"/>
      </rPr>
      <t>Workmans Compensation</t>
    </r>
  </si>
  <si>
    <r>
      <rPr>
        <sz val="10"/>
        <color rgb="FF000000"/>
        <rFont val="Arial"/>
      </rPr>
      <t>Group Health &amp; Life Insurance</t>
    </r>
  </si>
  <si>
    <r>
      <rPr>
        <sz val="10"/>
        <color rgb="FF000000"/>
        <rFont val="Arial"/>
      </rPr>
      <t>Payroll Tax</t>
    </r>
  </si>
  <si>
    <r>
      <rPr>
        <b/>
        <sz val="10"/>
        <color rgb="FF000000"/>
        <rFont val="Arial"/>
      </rPr>
      <t>Payroll</t>
    </r>
  </si>
  <si>
    <r>
      <rPr>
        <sz val="10"/>
        <color rgb="FF000000"/>
        <rFont val="Arial"/>
      </rPr>
      <t>Management Fee - ESMI</t>
    </r>
  </si>
  <si>
    <r>
      <rPr>
        <sz val="10"/>
        <color rgb="FF000000"/>
        <rFont val="Arial"/>
      </rPr>
      <t>Management Fee - Non ESS</t>
    </r>
  </si>
  <si>
    <r>
      <rPr>
        <sz val="10"/>
        <color rgb="FF000000"/>
        <rFont val="Arial"/>
      </rPr>
      <t>Management Fee - Concessions</t>
    </r>
  </si>
  <si>
    <r>
      <rPr>
        <sz val="10"/>
        <color rgb="FF000000"/>
        <rFont val="Arial"/>
      </rPr>
      <t>Royalty Fees</t>
    </r>
  </si>
  <si>
    <r>
      <rPr>
        <sz val="10"/>
        <color rgb="FF000000"/>
        <rFont val="Arial"/>
      </rPr>
      <t>Regional Manager Fee</t>
    </r>
  </si>
  <si>
    <r>
      <rPr>
        <b/>
        <sz val="10"/>
        <color rgb="FF000000"/>
        <rFont val="Arial"/>
      </rPr>
      <t>Management Fees</t>
    </r>
  </si>
  <si>
    <r>
      <rPr>
        <sz val="10"/>
        <color rgb="FF000000"/>
        <rFont val="Arial"/>
      </rPr>
      <t>Marketing Credit</t>
    </r>
  </si>
  <si>
    <r>
      <rPr>
        <sz val="10"/>
        <color rgb="FF000000"/>
        <rFont val="Arial"/>
      </rPr>
      <t>Other Advertising</t>
    </r>
  </si>
  <si>
    <r>
      <rPr>
        <sz val="10"/>
        <color rgb="FF000000"/>
        <rFont val="Arial"/>
      </rPr>
      <t>Internet &amp; Call Center</t>
    </r>
  </si>
  <si>
    <r>
      <rPr>
        <b/>
        <sz val="10"/>
        <color rgb="FF000000"/>
        <rFont val="Arial"/>
      </rPr>
      <t>Marketing</t>
    </r>
  </si>
  <si>
    <r>
      <rPr>
        <sz val="10"/>
        <color rgb="FF000000"/>
        <rFont val="Arial"/>
      </rPr>
      <t>Electricity</t>
    </r>
  </si>
  <si>
    <r>
      <rPr>
        <sz val="10"/>
        <color rgb="FF000000"/>
        <rFont val="Arial"/>
      </rPr>
      <t>Utility - Solar</t>
    </r>
  </si>
  <si>
    <r>
      <rPr>
        <sz val="10"/>
        <color rgb="FF000000"/>
        <rFont val="Arial"/>
      </rPr>
      <t>Gas</t>
    </r>
  </si>
  <si>
    <r>
      <rPr>
        <sz val="10"/>
        <color rgb="FF000000"/>
        <rFont val="Arial"/>
      </rPr>
      <t>Telecom</t>
    </r>
  </si>
  <si>
    <r>
      <rPr>
        <sz val="10"/>
        <color rgb="FF000000"/>
        <rFont val="Arial"/>
      </rPr>
      <t>Water &amp; Sewer</t>
    </r>
  </si>
  <si>
    <r>
      <rPr>
        <sz val="10"/>
        <color rgb="FF000000"/>
        <rFont val="Arial"/>
      </rPr>
      <t>Trash Removal</t>
    </r>
  </si>
  <si>
    <r>
      <rPr>
        <b/>
        <sz val="10"/>
        <color rgb="FF000000"/>
        <rFont val="Arial"/>
      </rPr>
      <t>Utilities</t>
    </r>
  </si>
  <si>
    <r>
      <rPr>
        <sz val="10"/>
        <color rgb="FF000000"/>
        <rFont val="Arial"/>
      </rPr>
      <t>Office Supplies &amp; Expense</t>
    </r>
  </si>
  <si>
    <r>
      <rPr>
        <sz val="10"/>
        <color rgb="FF000000"/>
        <rFont val="Arial"/>
      </rPr>
      <t>Postage/Express Delivery</t>
    </r>
  </si>
  <si>
    <r>
      <rPr>
        <sz val="10"/>
        <color rgb="FF000000"/>
        <rFont val="Arial"/>
      </rPr>
      <t>Recruiting</t>
    </r>
  </si>
  <si>
    <r>
      <rPr>
        <sz val="10"/>
        <color rgb="FF000000"/>
        <rFont val="Arial"/>
      </rPr>
      <t>Employee Relations</t>
    </r>
  </si>
  <si>
    <r>
      <rPr>
        <sz val="10"/>
        <color rgb="FF000000"/>
        <rFont val="Arial"/>
      </rPr>
      <t>Training</t>
    </r>
  </si>
  <si>
    <r>
      <rPr>
        <sz val="10"/>
        <color rgb="FF000000"/>
        <rFont val="Arial"/>
      </rPr>
      <t>Business Travel</t>
    </r>
  </si>
  <si>
    <r>
      <rPr>
        <sz val="10"/>
        <color rgb="FF000000"/>
        <rFont val="Arial"/>
      </rPr>
      <t>Computer</t>
    </r>
  </si>
  <si>
    <r>
      <rPr>
        <b/>
        <sz val="10"/>
        <color rgb="FF000000"/>
        <rFont val="Arial"/>
      </rPr>
      <t>Office &amp; Employee</t>
    </r>
  </si>
  <si>
    <r>
      <rPr>
        <sz val="10"/>
        <color rgb="FF000000"/>
        <rFont val="Arial"/>
      </rPr>
      <t>Bank Charges</t>
    </r>
  </si>
  <si>
    <r>
      <rPr>
        <sz val="10"/>
        <color rgb="FF000000"/>
        <rFont val="Arial"/>
      </rPr>
      <t>Legal &amp; Professional</t>
    </r>
  </si>
  <si>
    <r>
      <rPr>
        <sz val="10"/>
        <color rgb="FF000000"/>
        <rFont val="Arial"/>
      </rPr>
      <t>Operational Fees, Licenses &amp; Taxes</t>
    </r>
  </si>
  <si>
    <r>
      <rPr>
        <sz val="10"/>
        <color rgb="FF000000"/>
        <rFont val="Arial"/>
      </rPr>
      <t>Credit Card Merchant Fees</t>
    </r>
  </si>
  <si>
    <r>
      <rPr>
        <b/>
        <sz val="10"/>
        <color rgb="FF000000"/>
        <rFont val="Arial"/>
      </rPr>
      <t>Administrative</t>
    </r>
  </si>
  <si>
    <r>
      <rPr>
        <sz val="10"/>
        <color rgb="FF000000"/>
        <rFont val="Arial"/>
      </rPr>
      <t>Repairs &amp; Maintenance</t>
    </r>
  </si>
  <si>
    <r>
      <rPr>
        <sz val="10"/>
        <color rgb="FF000000"/>
        <rFont val="Arial"/>
      </rPr>
      <t>Lighting / Electrical</t>
    </r>
  </si>
  <si>
    <r>
      <rPr>
        <sz val="10"/>
        <color rgb="FF000000"/>
        <rFont val="Arial"/>
      </rPr>
      <t>Unit Doors</t>
    </r>
  </si>
  <si>
    <r>
      <rPr>
        <sz val="10"/>
        <color rgb="FF000000"/>
        <rFont val="Arial"/>
      </rPr>
      <t>Landscaping Maintenance</t>
    </r>
  </si>
  <si>
    <r>
      <rPr>
        <sz val="10"/>
        <color rgb="FF000000"/>
        <rFont val="Arial"/>
      </rPr>
      <t>Landscaping Projects</t>
    </r>
  </si>
  <si>
    <r>
      <rPr>
        <sz val="10"/>
        <color rgb="FF000000"/>
        <rFont val="Arial"/>
      </rPr>
      <t>Snow Removal</t>
    </r>
  </si>
  <si>
    <r>
      <rPr>
        <sz val="10"/>
        <color rgb="FF000000"/>
        <rFont val="Arial"/>
      </rPr>
      <t>Pest Control</t>
    </r>
  </si>
  <si>
    <r>
      <rPr>
        <sz val="10"/>
        <color rgb="FF000000"/>
        <rFont val="Arial"/>
      </rPr>
      <t>Elevator Maintenance</t>
    </r>
  </si>
  <si>
    <r>
      <rPr>
        <sz val="10"/>
        <color rgb="FF000000"/>
        <rFont val="Arial"/>
      </rPr>
      <t>HVAC Repairs</t>
    </r>
  </si>
  <si>
    <r>
      <rPr>
        <sz val="10"/>
        <color rgb="FF000000"/>
        <rFont val="Arial"/>
      </rPr>
      <t>Security System</t>
    </r>
  </si>
  <si>
    <r>
      <rPr>
        <sz val="10"/>
        <color rgb="FF000000"/>
        <rFont val="Arial"/>
      </rPr>
      <t>Gate &amp; Fence</t>
    </r>
  </si>
  <si>
    <r>
      <rPr>
        <sz val="10"/>
        <color rgb="FF000000"/>
        <rFont val="Arial"/>
      </rPr>
      <t>Fire Prevention</t>
    </r>
  </si>
  <si>
    <r>
      <rPr>
        <sz val="10"/>
        <color rgb="FF000000"/>
        <rFont val="Arial"/>
      </rPr>
      <t>Painting</t>
    </r>
  </si>
  <si>
    <r>
      <rPr>
        <b/>
        <sz val="10"/>
        <color rgb="FF000000"/>
        <rFont val="Arial"/>
      </rPr>
      <t>R&amp;M</t>
    </r>
  </si>
  <si>
    <r>
      <rPr>
        <sz val="10"/>
        <color rgb="FF000000"/>
        <rFont val="Arial"/>
      </rPr>
      <t>CAM Charges</t>
    </r>
  </si>
  <si>
    <r>
      <rPr>
        <sz val="10"/>
        <color rgb="FF000000"/>
        <rFont val="Arial"/>
      </rPr>
      <t>Lease Commissions</t>
    </r>
  </si>
  <si>
    <r>
      <rPr>
        <sz val="10"/>
        <color rgb="FF000000"/>
        <rFont val="Arial"/>
      </rPr>
      <t>Land Lease Expense</t>
    </r>
  </si>
  <si>
    <r>
      <rPr>
        <b/>
        <sz val="10"/>
        <color rgb="FF000000"/>
        <rFont val="Arial"/>
      </rPr>
      <t>Leasing</t>
    </r>
  </si>
  <si>
    <r>
      <rPr>
        <sz val="10"/>
        <color rgb="FF000000"/>
        <rFont val="Arial"/>
      </rPr>
      <t>Auction</t>
    </r>
  </si>
  <si>
    <r>
      <rPr>
        <sz val="10"/>
        <color rgb="FF000000"/>
        <rFont val="Arial"/>
      </rPr>
      <t>Rental Truck Expense</t>
    </r>
  </si>
  <si>
    <r>
      <rPr>
        <sz val="10"/>
        <color rgb="FF000000"/>
        <rFont val="Arial"/>
      </rPr>
      <t>Auctioneer</t>
    </r>
  </si>
  <si>
    <r>
      <rPr>
        <sz val="10"/>
        <color rgb="FF000000"/>
        <rFont val="Arial"/>
      </rPr>
      <t>Resale Merchandise</t>
    </r>
  </si>
  <si>
    <r>
      <rPr>
        <sz val="10"/>
        <color rgb="FF000000"/>
        <rFont val="Arial"/>
      </rPr>
      <t>Resale Merchandise - Contra</t>
    </r>
  </si>
  <si>
    <r>
      <rPr>
        <b/>
        <sz val="10"/>
        <color rgb="FF000000"/>
        <rFont val="Arial"/>
      </rPr>
      <t>Other</t>
    </r>
  </si>
  <si>
    <r>
      <rPr>
        <sz val="10"/>
        <color rgb="FF000000"/>
        <rFont val="Arial"/>
      </rPr>
      <t>Real Property Tax</t>
    </r>
  </si>
  <si>
    <r>
      <rPr>
        <sz val="10"/>
        <color rgb="FF000000"/>
        <rFont val="Arial"/>
      </rPr>
      <t>Personal Property Tax</t>
    </r>
  </si>
  <si>
    <r>
      <rPr>
        <sz val="10"/>
        <color rgb="FF000000"/>
        <rFont val="Arial"/>
      </rPr>
      <t>Property Tax Fees</t>
    </r>
  </si>
  <si>
    <r>
      <rPr>
        <sz val="10"/>
        <color rgb="FF000000"/>
        <rFont val="Arial"/>
      </rPr>
      <t>Prior Year Tax Adjustments</t>
    </r>
  </si>
  <si>
    <r>
      <rPr>
        <b/>
        <sz val="10"/>
        <color rgb="FF000000"/>
        <rFont val="Arial"/>
      </rPr>
      <t>Tax</t>
    </r>
  </si>
  <si>
    <r>
      <rPr>
        <sz val="10"/>
        <color rgb="FF000000"/>
        <rFont val="Arial"/>
      </rPr>
      <t>Property &amp; Casualty Insurance</t>
    </r>
  </si>
  <si>
    <r>
      <rPr>
        <b/>
        <sz val="10"/>
        <color rgb="FF000000"/>
        <rFont val="Arial"/>
      </rPr>
      <t>Insurance</t>
    </r>
  </si>
  <si>
    <r>
      <rPr>
        <sz val="10"/>
        <color rgb="FF000000"/>
        <rFont val="Arial"/>
      </rPr>
      <t>Casualty Loss</t>
    </r>
  </si>
  <si>
    <r>
      <rPr>
        <sz val="10"/>
        <color rgb="FF000000"/>
        <rFont val="Arial"/>
      </rPr>
      <t>Casualty Loss - Catastrophes</t>
    </r>
  </si>
  <si>
    <r>
      <rPr>
        <b/>
        <sz val="10"/>
        <color rgb="FF000000"/>
        <rFont val="Arial"/>
      </rPr>
      <t>Casualty Loss</t>
    </r>
  </si>
  <si>
    <t>Expense - Property</t>
  </si>
  <si>
    <t>Net Operating Income</t>
  </si>
  <si>
    <r>
      <rPr>
        <b/>
        <sz val="12"/>
        <color rgb="FF000000"/>
        <rFont val="Arial"/>
      </rPr>
      <t xml:space="preserve">Rolling 13 Month Income Statement For </t>
    </r>
    <r>
      <rPr>
        <b/>
        <sz val="12"/>
        <color rgb="FF000000"/>
        <rFont val="Arial"/>
      </rPr>
      <t>7272 - New Orleans - 1601 Tchoupitoulas</t>
    </r>
  </si>
  <si>
    <t>Net Rentable Square Feet (9951)</t>
  </si>
  <si>
    <t>Projected Rent (9975)</t>
  </si>
  <si>
    <t>Gross Potential (9970)</t>
  </si>
  <si>
    <t>Occupied Sq. Ft. (9955)</t>
  </si>
  <si>
    <t>Sq. Ft. Occupancy (9960)</t>
  </si>
  <si>
    <t>Average Sq. Ft. Occupancy (9992)</t>
  </si>
  <si>
    <r>
      <rPr>
        <sz val="10"/>
        <color rgb="FF000000"/>
        <rFont val="Arial"/>
      </rPr>
      <t>Rental Income (4000)</t>
    </r>
  </si>
  <si>
    <r>
      <rPr>
        <sz val="10"/>
        <color rgb="FF000000"/>
        <rFont val="Arial"/>
      </rPr>
      <t>Rental Income - Retail/Office (4001)</t>
    </r>
  </si>
  <si>
    <r>
      <rPr>
        <sz val="10"/>
        <color rgb="FF000000"/>
        <rFont val="Arial"/>
      </rPr>
      <t>Rental Income - Other (4010)</t>
    </r>
  </si>
  <si>
    <r>
      <rPr>
        <sz val="10"/>
        <color rgb="FF000000"/>
        <rFont val="Arial"/>
      </rPr>
      <t>Rental Income - Parking (4020)</t>
    </r>
  </si>
  <si>
    <r>
      <rPr>
        <sz val="10"/>
        <color rgb="FF000000"/>
        <rFont val="Arial"/>
      </rPr>
      <t>Rental Income - Billboard (4030)</t>
    </r>
  </si>
  <si>
    <r>
      <rPr>
        <sz val="10"/>
        <color rgb="FF000000"/>
        <rFont val="Arial"/>
      </rPr>
      <t>Rental Income - Cell tower (4045)</t>
    </r>
  </si>
  <si>
    <r>
      <rPr>
        <sz val="10"/>
        <color rgb="FF000000"/>
        <rFont val="Arial"/>
      </rPr>
      <t>Rental Income - Solar Roof (4050)</t>
    </r>
  </si>
  <si>
    <r>
      <rPr>
        <sz val="10"/>
        <color rgb="FF000000"/>
        <rFont val="Arial"/>
      </rPr>
      <t>Rental Income - TRS/Merch (4011)</t>
    </r>
  </si>
  <si>
    <r>
      <rPr>
        <sz val="10"/>
        <color rgb="FF000000"/>
        <rFont val="Arial"/>
      </rPr>
      <t>Rental Refunds (4090)</t>
    </r>
  </si>
  <si>
    <r>
      <rPr>
        <sz val="10"/>
        <color rgb="FF000000"/>
        <rFont val="Arial"/>
      </rPr>
      <t>Discounts Charged (4250)</t>
    </r>
  </si>
  <si>
    <r>
      <rPr>
        <sz val="10"/>
        <color rgb="FF000000"/>
        <rFont val="Arial"/>
      </rPr>
      <t>Bad Debt Expense (4990)</t>
    </r>
  </si>
  <si>
    <r>
      <rPr>
        <sz val="10"/>
        <color rgb="FF000000"/>
        <rFont val="Arial"/>
      </rPr>
      <t>Administrative Fees (4310)</t>
    </r>
  </si>
  <si>
    <r>
      <rPr>
        <sz val="10"/>
        <color rgb="FF000000"/>
        <rFont val="Arial"/>
      </rPr>
      <t>Admin Fees Waived (4360)</t>
    </r>
  </si>
  <si>
    <r>
      <rPr>
        <sz val="10"/>
        <color rgb="FF000000"/>
        <rFont val="Arial"/>
      </rPr>
      <t>Late Fees (4300)</t>
    </r>
  </si>
  <si>
    <r>
      <rPr>
        <sz val="10"/>
        <color rgb="FF000000"/>
        <rFont val="Arial"/>
      </rPr>
      <t>Late Fees Waived (4350)</t>
    </r>
  </si>
  <si>
    <r>
      <rPr>
        <sz val="10"/>
        <color rgb="FF000000"/>
        <rFont val="Arial"/>
      </rPr>
      <t>Other Fees (4305)</t>
    </r>
  </si>
  <si>
    <r>
      <rPr>
        <sz val="10"/>
        <color rgb="FF000000"/>
        <rFont val="Arial"/>
      </rPr>
      <t>Other Fees Waived (4355)</t>
    </r>
  </si>
  <si>
    <r>
      <rPr>
        <sz val="10"/>
        <color rgb="FF000000"/>
        <rFont val="Arial"/>
      </rPr>
      <t>Merchandise Sales (4320)</t>
    </r>
  </si>
  <si>
    <r>
      <rPr>
        <sz val="10"/>
        <color rgb="FF000000"/>
        <rFont val="Arial"/>
      </rPr>
      <t>Merchandise Sales - Contra (4325)</t>
    </r>
  </si>
  <si>
    <r>
      <rPr>
        <sz val="10"/>
        <color rgb="FF000000"/>
        <rFont val="Arial"/>
      </rPr>
      <t>Miscellaneous Revenue (4510)</t>
    </r>
  </si>
  <si>
    <r>
      <rPr>
        <sz val="10"/>
        <color rgb="FF000000"/>
        <rFont val="Arial"/>
      </rPr>
      <t>Rental Income - Truck (4040)</t>
    </r>
  </si>
  <si>
    <r>
      <rPr>
        <sz val="10"/>
        <color rgb="FF000000"/>
        <rFont val="Arial"/>
      </rPr>
      <t>Tenant Deposits - Retained (4200)</t>
    </r>
  </si>
  <si>
    <r>
      <rPr>
        <sz val="10"/>
        <color rgb="FF000000"/>
        <rFont val="Arial"/>
      </rPr>
      <t>Tenant Deposits - Refunded (4290)</t>
    </r>
  </si>
  <si>
    <r>
      <rPr>
        <sz val="10"/>
        <color rgb="FF000000"/>
        <rFont val="Arial"/>
      </rPr>
      <t>Interest Income (4970)</t>
    </r>
  </si>
  <si>
    <r>
      <rPr>
        <sz val="10"/>
        <color rgb="FF000000"/>
        <rFont val="Arial"/>
      </rPr>
      <t>Other Income (4980)</t>
    </r>
  </si>
  <si>
    <r>
      <rPr>
        <sz val="10"/>
        <color rgb="FF000000"/>
        <rFont val="Arial"/>
      </rPr>
      <t>Manager Payroll (5000)</t>
    </r>
  </si>
  <si>
    <r>
      <rPr>
        <sz val="10"/>
        <color rgb="FF000000"/>
        <rFont val="Arial"/>
      </rPr>
      <t>Overtime (5005)</t>
    </r>
  </si>
  <si>
    <r>
      <rPr>
        <sz val="10"/>
        <color rgb="FF000000"/>
        <rFont val="Arial"/>
      </rPr>
      <t>Vacation &amp; Personal Leave (5010)</t>
    </r>
  </si>
  <si>
    <r>
      <rPr>
        <sz val="10"/>
        <color rgb="FF000000"/>
        <rFont val="Arial"/>
      </rPr>
      <t>Temporary Labor - Site Coverage (5015)</t>
    </r>
  </si>
  <si>
    <r>
      <rPr>
        <sz val="10"/>
        <color rgb="FF000000"/>
        <rFont val="Arial"/>
      </rPr>
      <t>Performance Bonus (5030)</t>
    </r>
  </si>
  <si>
    <r>
      <rPr>
        <sz val="10"/>
        <color rgb="FF000000"/>
        <rFont val="Arial"/>
      </rPr>
      <t>401K Match (5035)</t>
    </r>
  </si>
  <si>
    <r>
      <rPr>
        <sz val="10"/>
        <color rgb="FF000000"/>
        <rFont val="Arial"/>
      </rPr>
      <t>Apartment Lease Monthly Charge (5040)</t>
    </r>
  </si>
  <si>
    <r>
      <rPr>
        <sz val="10"/>
        <color rgb="FF000000"/>
        <rFont val="Arial"/>
      </rPr>
      <t>Employee Incentives (5050)</t>
    </r>
  </si>
  <si>
    <r>
      <rPr>
        <sz val="10"/>
        <color rgb="FF000000"/>
        <rFont val="Arial"/>
      </rPr>
      <t>Auto Allowance (5060)</t>
    </r>
  </si>
  <si>
    <r>
      <rPr>
        <sz val="10"/>
        <color rgb="FF000000"/>
        <rFont val="Arial"/>
      </rPr>
      <t>Workmans Compensation (5070)</t>
    </r>
  </si>
  <si>
    <r>
      <rPr>
        <sz val="10"/>
        <color rgb="FF000000"/>
        <rFont val="Arial"/>
      </rPr>
      <t>Group Health &amp; Life Insurance (5080)</t>
    </r>
  </si>
  <si>
    <r>
      <rPr>
        <sz val="10"/>
        <color rgb="FF000000"/>
        <rFont val="Arial"/>
      </rPr>
      <t>Payroll Tax (5090)</t>
    </r>
  </si>
  <si>
    <r>
      <rPr>
        <sz val="10"/>
        <color rgb="FF000000"/>
        <rFont val="Arial"/>
      </rPr>
      <t>Management Fee - ESMI (5100)</t>
    </r>
  </si>
  <si>
    <r>
      <rPr>
        <sz val="10"/>
        <color rgb="FF000000"/>
        <rFont val="Arial"/>
      </rPr>
      <t>Management Fee - Non ESS (5101)</t>
    </r>
  </si>
  <si>
    <r>
      <rPr>
        <sz val="10"/>
        <color rgb="FF000000"/>
        <rFont val="Arial"/>
      </rPr>
      <t>Management Fee - Concessions (5102)</t>
    </r>
  </si>
  <si>
    <r>
      <rPr>
        <sz val="10"/>
        <color rgb="FF000000"/>
        <rFont val="Arial"/>
      </rPr>
      <t>Royalty Fees (5120)</t>
    </r>
  </si>
  <si>
    <r>
      <rPr>
        <sz val="10"/>
        <color rgb="FF000000"/>
        <rFont val="Arial"/>
      </rPr>
      <t>Regional Manager Fee (5150)</t>
    </r>
  </si>
  <si>
    <r>
      <rPr>
        <sz val="10"/>
        <color rgb="FF000000"/>
        <rFont val="Arial"/>
      </rPr>
      <t>Marketing Credit (5200)</t>
    </r>
  </si>
  <si>
    <r>
      <rPr>
        <sz val="10"/>
        <color rgb="FF000000"/>
        <rFont val="Arial"/>
      </rPr>
      <t>Other Advertising (5210)</t>
    </r>
  </si>
  <si>
    <r>
      <rPr>
        <sz val="10"/>
        <color rgb="FF000000"/>
        <rFont val="Arial"/>
      </rPr>
      <t>Internet &amp; Call Center (5220)</t>
    </r>
  </si>
  <si>
    <r>
      <rPr>
        <sz val="10"/>
        <color rgb="FF000000"/>
        <rFont val="Arial"/>
      </rPr>
      <t>Electricity (5300)</t>
    </r>
  </si>
  <si>
    <r>
      <rPr>
        <sz val="10"/>
        <color rgb="FF000000"/>
        <rFont val="Arial"/>
      </rPr>
      <t>Utility - Solar (5305)</t>
    </r>
  </si>
  <si>
    <r>
      <rPr>
        <sz val="10"/>
        <color rgb="FF000000"/>
        <rFont val="Arial"/>
      </rPr>
      <t>Gas (5310)</t>
    </r>
  </si>
  <si>
    <r>
      <rPr>
        <sz val="10"/>
        <color rgb="FF000000"/>
        <rFont val="Arial"/>
      </rPr>
      <t>Telecom (5500)</t>
    </r>
  </si>
  <si>
    <r>
      <rPr>
        <sz val="10"/>
        <color rgb="FF000000"/>
        <rFont val="Arial"/>
      </rPr>
      <t>Water &amp; Sewer (5320)</t>
    </r>
  </si>
  <si>
    <r>
      <rPr>
        <sz val="10"/>
        <color rgb="FF000000"/>
        <rFont val="Arial"/>
      </rPr>
      <t>Trash Removal (5610)</t>
    </r>
  </si>
  <si>
    <r>
      <rPr>
        <sz val="10"/>
        <color rgb="FF000000"/>
        <rFont val="Arial"/>
      </rPr>
      <t>Office Supplies &amp; Expense (5400)</t>
    </r>
  </si>
  <si>
    <r>
      <rPr>
        <sz val="10"/>
        <color rgb="FF000000"/>
        <rFont val="Arial"/>
      </rPr>
      <t>Postage/Express Delivery (5410)</t>
    </r>
  </si>
  <si>
    <r>
      <rPr>
        <sz val="10"/>
        <color rgb="FF000000"/>
        <rFont val="Arial"/>
      </rPr>
      <t>Recruiting (5460)</t>
    </r>
  </si>
  <si>
    <r>
      <rPr>
        <sz val="10"/>
        <color rgb="FF000000"/>
        <rFont val="Arial"/>
      </rPr>
      <t>Employee Relations (5470)</t>
    </r>
  </si>
  <si>
    <r>
      <rPr>
        <sz val="10"/>
        <color rgb="FF000000"/>
        <rFont val="Arial"/>
      </rPr>
      <t>Training (5475)</t>
    </r>
  </si>
  <si>
    <r>
      <rPr>
        <sz val="10"/>
        <color rgb="FF000000"/>
        <rFont val="Arial"/>
      </rPr>
      <t>Business Travel (5490)</t>
    </r>
  </si>
  <si>
    <r>
      <rPr>
        <sz val="10"/>
        <color rgb="FF000000"/>
        <rFont val="Arial"/>
      </rPr>
      <t>Computer (5550)</t>
    </r>
  </si>
  <si>
    <r>
      <rPr>
        <sz val="10"/>
        <color rgb="FF000000"/>
        <rFont val="Arial"/>
      </rPr>
      <t>Bank Charges (5430)</t>
    </r>
  </si>
  <si>
    <r>
      <rPr>
        <sz val="10"/>
        <color rgb="FF000000"/>
        <rFont val="Arial"/>
      </rPr>
      <t>Legal &amp; Professional (5440)</t>
    </r>
  </si>
  <si>
    <r>
      <rPr>
        <sz val="10"/>
        <color rgb="FF000000"/>
        <rFont val="Arial"/>
      </rPr>
      <t>Operational Fees, Licenses &amp; Taxes (5450)</t>
    </r>
  </si>
  <si>
    <r>
      <rPr>
        <sz val="10"/>
        <color rgb="FF000000"/>
        <rFont val="Arial"/>
      </rPr>
      <t>Credit Card Merchant Fees (5435)</t>
    </r>
  </si>
  <si>
    <r>
      <rPr>
        <sz val="10"/>
        <color rgb="FF000000"/>
        <rFont val="Arial"/>
      </rPr>
      <t>Repairs &amp; Maintenance (5600)</t>
    </r>
  </si>
  <si>
    <r>
      <rPr>
        <sz val="10"/>
        <color rgb="FF000000"/>
        <rFont val="Arial"/>
      </rPr>
      <t>Lighting / Electrical (5605)</t>
    </r>
  </si>
  <si>
    <r>
      <rPr>
        <sz val="10"/>
        <color rgb="FF000000"/>
        <rFont val="Arial"/>
      </rPr>
      <t>Unit Doors (5615)</t>
    </r>
  </si>
  <si>
    <r>
      <rPr>
        <sz val="10"/>
        <color rgb="FF000000"/>
        <rFont val="Arial"/>
      </rPr>
      <t>Landscaping Maintenance (5620)</t>
    </r>
  </si>
  <si>
    <r>
      <rPr>
        <sz val="10"/>
        <color rgb="FF000000"/>
        <rFont val="Arial"/>
      </rPr>
      <t>Landscaping Projects (5625)</t>
    </r>
  </si>
  <si>
    <r>
      <rPr>
        <sz val="10"/>
        <color rgb="FF000000"/>
        <rFont val="Arial"/>
      </rPr>
      <t>Snow Removal (5630)</t>
    </r>
  </si>
  <si>
    <r>
      <rPr>
        <sz val="10"/>
        <color rgb="FF000000"/>
        <rFont val="Arial"/>
      </rPr>
      <t>Pest Control (5640)</t>
    </r>
  </si>
  <si>
    <r>
      <rPr>
        <sz val="10"/>
        <color rgb="FF000000"/>
        <rFont val="Arial"/>
      </rPr>
      <t>Elevator Maintenance (5650)</t>
    </r>
  </si>
  <si>
    <r>
      <rPr>
        <sz val="10"/>
        <color rgb="FF000000"/>
        <rFont val="Arial"/>
      </rPr>
      <t>HVAC Repairs (5655)</t>
    </r>
  </si>
  <si>
    <r>
      <rPr>
        <sz val="10"/>
        <color rgb="FF000000"/>
        <rFont val="Arial"/>
      </rPr>
      <t>Security System (5660)</t>
    </r>
  </si>
  <si>
    <r>
      <rPr>
        <sz val="10"/>
        <color rgb="FF000000"/>
        <rFont val="Arial"/>
      </rPr>
      <t>Gate &amp; Fence (5665)</t>
    </r>
  </si>
  <si>
    <r>
      <rPr>
        <sz val="10"/>
        <color rgb="FF000000"/>
        <rFont val="Arial"/>
      </rPr>
      <t>Fire Prevention (5670)</t>
    </r>
  </si>
  <si>
    <r>
      <rPr>
        <sz val="10"/>
        <color rgb="FF000000"/>
        <rFont val="Arial"/>
      </rPr>
      <t>Painting (5680)</t>
    </r>
  </si>
  <si>
    <r>
      <rPr>
        <sz val="10"/>
        <color rgb="FF000000"/>
        <rFont val="Arial"/>
      </rPr>
      <t>CAM Charges (5675)</t>
    </r>
  </si>
  <si>
    <r>
      <rPr>
        <sz val="10"/>
        <color rgb="FF000000"/>
        <rFont val="Arial"/>
      </rPr>
      <t>Lease Commissions (5250)</t>
    </r>
  </si>
  <si>
    <r>
      <rPr>
        <sz val="10"/>
        <color rgb="FF000000"/>
        <rFont val="Arial"/>
      </rPr>
      <t>Land Lease Expense (5750)</t>
    </r>
  </si>
  <si>
    <r>
      <rPr>
        <sz val="10"/>
        <color rgb="FF000000"/>
        <rFont val="Arial"/>
      </rPr>
      <t>Auction (5700)</t>
    </r>
  </si>
  <si>
    <r>
      <rPr>
        <sz val="10"/>
        <color rgb="FF000000"/>
        <rFont val="Arial"/>
      </rPr>
      <t>Rental Truck Expense (5710)</t>
    </r>
  </si>
  <si>
    <r>
      <rPr>
        <sz val="10"/>
        <color rgb="FF000000"/>
        <rFont val="Arial"/>
      </rPr>
      <t>Auctioneer (5705)</t>
    </r>
  </si>
  <si>
    <r>
      <rPr>
        <sz val="10"/>
        <color rgb="FF000000"/>
        <rFont val="Arial"/>
      </rPr>
      <t>Resale Merchandise (5740)</t>
    </r>
  </si>
  <si>
    <r>
      <rPr>
        <sz val="10"/>
        <color rgb="FF000000"/>
        <rFont val="Arial"/>
      </rPr>
      <t>Resale Merchandise - Contra (5745)</t>
    </r>
  </si>
  <si>
    <r>
      <rPr>
        <sz val="10"/>
        <color rgb="FF000000"/>
        <rFont val="Arial"/>
      </rPr>
      <t>Real Property Tax (5780)</t>
    </r>
  </si>
  <si>
    <r>
      <rPr>
        <sz val="10"/>
        <color rgb="FF000000"/>
        <rFont val="Arial"/>
      </rPr>
      <t>Personal Property Tax (5781)</t>
    </r>
  </si>
  <si>
    <r>
      <rPr>
        <sz val="10"/>
        <color rgb="FF000000"/>
        <rFont val="Arial"/>
      </rPr>
      <t>Property Tax Fees (5782)</t>
    </r>
  </si>
  <si>
    <r>
      <rPr>
        <sz val="10"/>
        <color rgb="FF000000"/>
        <rFont val="Arial"/>
      </rPr>
      <t>Prior Year Tax Adjustments (5783)</t>
    </r>
  </si>
  <si>
    <r>
      <rPr>
        <sz val="10"/>
        <color rgb="FF000000"/>
        <rFont val="Arial"/>
      </rPr>
      <t>Property &amp; Casualty Insurance (5785)</t>
    </r>
  </si>
  <si>
    <r>
      <rPr>
        <sz val="10"/>
        <color rgb="FF000000"/>
        <rFont val="Arial"/>
      </rPr>
      <t>Casualty Loss (5790)</t>
    </r>
  </si>
  <si>
    <r>
      <rPr>
        <sz val="10"/>
        <color rgb="FF000000"/>
        <rFont val="Arial"/>
      </rPr>
      <t>Casualty Loss - Catastrophes (5791)</t>
    </r>
  </si>
  <si>
    <r>
      <rPr>
        <b/>
        <sz val="12"/>
        <color rgb="FF000000"/>
        <rFont val="Arial"/>
      </rPr>
      <t xml:space="preserve">Forecast vs Actuals </t>
    </r>
    <r>
      <rPr>
        <b/>
        <sz val="12"/>
        <color rgb="FF000000"/>
        <rFont val="Arial"/>
      </rPr>
      <t>7272 - New Orleans - 1601 Tchoupitoulas</t>
    </r>
  </si>
  <si>
    <t>Rpt Month</t>
  </si>
  <si>
    <t>Rpt Month QTD</t>
  </si>
  <si>
    <r>
      <rPr>
        <b/>
        <sz val="10"/>
        <color rgb="FF000000"/>
        <rFont val="Arial"/>
      </rPr>
      <t xml:space="preserve">Rpt Month YTD
</t>
    </r>
  </si>
  <si>
    <t>Actual</t>
  </si>
  <si>
    <t xml:space="preserve">Forecast </t>
  </si>
  <si>
    <t>FvA</t>
  </si>
  <si>
    <t>FvA%</t>
  </si>
  <si>
    <r>
      <rPr>
        <b/>
        <sz val="12"/>
        <color rgb="FF000000"/>
        <rFont val="Arial"/>
      </rPr>
      <t xml:space="preserve">Current vs Prior </t>
    </r>
    <r>
      <rPr>
        <b/>
        <sz val="12"/>
        <color rgb="FF000000"/>
        <rFont val="Arial"/>
      </rPr>
      <t>7272 - New Orleans - 1601 Tchoupitoulas</t>
    </r>
  </si>
  <si>
    <t>Actual PY</t>
  </si>
  <si>
    <t>YOY</t>
  </si>
  <si>
    <t>YOY%</t>
  </si>
  <si>
    <r>
      <rPr>
        <b/>
        <sz val="12"/>
        <color rgb="FF000000"/>
        <rFont val="Arial"/>
      </rPr>
      <t xml:space="preserve">Budget vs Actuals </t>
    </r>
    <r>
      <rPr>
        <b/>
        <sz val="12"/>
        <color rgb="FF000000"/>
        <rFont val="Arial"/>
      </rPr>
      <t>7272 - New Orleans - 1601 Tchoupitoulas</t>
    </r>
  </si>
  <si>
    <t>Budget</t>
  </si>
  <si>
    <t>BvA</t>
  </si>
  <si>
    <t>BvA%</t>
  </si>
  <si>
    <r>
      <rPr>
        <b/>
        <sz val="12"/>
        <color rgb="FF000000"/>
        <rFont val="Arial"/>
      </rPr>
      <t xml:space="preserve">Rent Roll for </t>
    </r>
    <r>
      <rPr>
        <b/>
        <sz val="12"/>
        <color rgb="FF000000"/>
        <rFont val="Arial"/>
      </rPr>
      <t>7272 - New Orleans - 1601 Tchoupitoulas</t>
    </r>
  </si>
  <si>
    <r>
      <rPr>
        <i/>
        <sz val="10"/>
        <color rgb="FF000000"/>
        <rFont val="Arial"/>
      </rPr>
      <t xml:space="preserve">Reporting Date: </t>
    </r>
    <r>
      <rPr>
        <i/>
        <sz val="10"/>
        <color rgb="FF000000"/>
        <rFont val="Arial"/>
      </rPr>
      <t>July 2025</t>
    </r>
  </si>
  <si>
    <t>Tenant Account</t>
  </si>
  <si>
    <t>Unit #</t>
  </si>
  <si>
    <t>Move-In Date</t>
  </si>
  <si>
    <t>Rent Rate</t>
  </si>
  <si>
    <t>Paid-Thru Date</t>
  </si>
  <si>
    <t>Status</t>
  </si>
  <si>
    <t>Size</t>
  </si>
  <si>
    <t>Type</t>
  </si>
  <si>
    <t>2001101214</t>
  </si>
  <si>
    <t>1001</t>
  </si>
  <si>
    <t>Current</t>
  </si>
  <si>
    <t>10X15</t>
  </si>
  <si>
    <t>CDN</t>
  </si>
  <si>
    <t>2002510436</t>
  </si>
  <si>
    <t>1004</t>
  </si>
  <si>
    <t>10X10</t>
  </si>
  <si>
    <t>2004682775</t>
  </si>
  <si>
    <t>1005</t>
  </si>
  <si>
    <t>05X15</t>
  </si>
  <si>
    <t>2002192431</t>
  </si>
  <si>
    <t>1006</t>
  </si>
  <si>
    <t>2004911918</t>
  </si>
  <si>
    <t>1007</t>
  </si>
  <si>
    <t>2002406801</t>
  </si>
  <si>
    <t>1008</t>
  </si>
  <si>
    <t>2002381777</t>
  </si>
  <si>
    <t>1009</t>
  </si>
  <si>
    <t>2003055006</t>
  </si>
  <si>
    <t>1010</t>
  </si>
  <si>
    <t>Delinquent</t>
  </si>
  <si>
    <t>10X05</t>
  </si>
  <si>
    <t>1012</t>
  </si>
  <si>
    <t>Available</t>
  </si>
  <si>
    <t>15X05</t>
  </si>
  <si>
    <t>2005254002</t>
  </si>
  <si>
    <t>1013</t>
  </si>
  <si>
    <t>20X10</t>
  </si>
  <si>
    <t>CDNM</t>
  </si>
  <si>
    <t>2005801564</t>
  </si>
  <si>
    <t>1015</t>
  </si>
  <si>
    <t>2003267955</t>
  </si>
  <si>
    <t>1016</t>
  </si>
  <si>
    <t>2004760310</t>
  </si>
  <si>
    <t>1017</t>
  </si>
  <si>
    <t>2004934054</t>
  </si>
  <si>
    <t>1018</t>
  </si>
  <si>
    <t>2003083798</t>
  </si>
  <si>
    <t>1019</t>
  </si>
  <si>
    <t>2005280091</t>
  </si>
  <si>
    <t>1020</t>
  </si>
  <si>
    <t>05X10</t>
  </si>
  <si>
    <t>2002477517</t>
  </si>
  <si>
    <t>1021</t>
  </si>
  <si>
    <t>2005590167</t>
  </si>
  <si>
    <t>1022</t>
  </si>
  <si>
    <t>2005805549</t>
  </si>
  <si>
    <t>1024</t>
  </si>
  <si>
    <t>2002973753</t>
  </si>
  <si>
    <t>1025</t>
  </si>
  <si>
    <t>2002991686</t>
  </si>
  <si>
    <t>1026</t>
  </si>
  <si>
    <t>2002419760</t>
  </si>
  <si>
    <t>1027</t>
  </si>
  <si>
    <t>2001580671</t>
  </si>
  <si>
    <t>1028</t>
  </si>
  <si>
    <t>2002850224</t>
  </si>
  <si>
    <t>1029</t>
  </si>
  <si>
    <t>2005096306</t>
  </si>
  <si>
    <t>1030</t>
  </si>
  <si>
    <t>05X05</t>
  </si>
  <si>
    <t>1031</t>
  </si>
  <si>
    <t>2004592450</t>
  </si>
  <si>
    <t>1032</t>
  </si>
  <si>
    <t>2005446870</t>
  </si>
  <si>
    <t>1033</t>
  </si>
  <si>
    <t>2002414536</t>
  </si>
  <si>
    <t>1034</t>
  </si>
  <si>
    <t>2003143774</t>
  </si>
  <si>
    <t>1035</t>
  </si>
  <si>
    <t>2005612887</t>
  </si>
  <si>
    <t>1037</t>
  </si>
  <si>
    <t>2003269745</t>
  </si>
  <si>
    <t>1038</t>
  </si>
  <si>
    <t>2000277295</t>
  </si>
  <si>
    <t>1039</t>
  </si>
  <si>
    <t>10X04</t>
  </si>
  <si>
    <t>2005388527</t>
  </si>
  <si>
    <t>1040</t>
  </si>
  <si>
    <t>2002348288</t>
  </si>
  <si>
    <t>1041</t>
  </si>
  <si>
    <t>2005255432</t>
  </si>
  <si>
    <t>1043</t>
  </si>
  <si>
    <t>05X11</t>
  </si>
  <si>
    <t>2005693296</t>
  </si>
  <si>
    <t>1044</t>
  </si>
  <si>
    <t>1045</t>
  </si>
  <si>
    <t>2002765815</t>
  </si>
  <si>
    <t>1046</t>
  </si>
  <si>
    <t>2001352192</t>
  </si>
  <si>
    <t>1047</t>
  </si>
  <si>
    <t>2000493063</t>
  </si>
  <si>
    <t>1048</t>
  </si>
  <si>
    <t>2002052646</t>
  </si>
  <si>
    <t>1049</t>
  </si>
  <si>
    <t>2005389361</t>
  </si>
  <si>
    <t>1050</t>
  </si>
  <si>
    <t>2001238171</t>
  </si>
  <si>
    <t>1053</t>
  </si>
  <si>
    <t>10X30</t>
  </si>
  <si>
    <t>2005420950</t>
  </si>
  <si>
    <t>1054</t>
  </si>
  <si>
    <t>2003087152</t>
  </si>
  <si>
    <t>1055</t>
  </si>
  <si>
    <t>2001709476</t>
  </si>
  <si>
    <t>1056</t>
  </si>
  <si>
    <t>2004999753</t>
  </si>
  <si>
    <t>1057</t>
  </si>
  <si>
    <t>2001138292</t>
  </si>
  <si>
    <t>1058</t>
  </si>
  <si>
    <t>2003081215</t>
  </si>
  <si>
    <t>1059</t>
  </si>
  <si>
    <t>2005644159</t>
  </si>
  <si>
    <t>1060</t>
  </si>
  <si>
    <t>2002781410</t>
  </si>
  <si>
    <t>1061</t>
  </si>
  <si>
    <t>2000285299</t>
  </si>
  <si>
    <t>1062</t>
  </si>
  <si>
    <t>2001009556</t>
  </si>
  <si>
    <t>1063</t>
  </si>
  <si>
    <t>1064</t>
  </si>
  <si>
    <t>2002444528</t>
  </si>
  <si>
    <t>1066</t>
  </si>
  <si>
    <t>1006786935</t>
  </si>
  <si>
    <t>1068</t>
  </si>
  <si>
    <t>1069</t>
  </si>
  <si>
    <t>2003117513</t>
  </si>
  <si>
    <t>1070</t>
  </si>
  <si>
    <t>2002831514</t>
  </si>
  <si>
    <t>1071</t>
  </si>
  <si>
    <t>2000200664</t>
  </si>
  <si>
    <t>1072</t>
  </si>
  <si>
    <t>1006762500</t>
  </si>
  <si>
    <t>1073</t>
  </si>
  <si>
    <t>2002717367</t>
  </si>
  <si>
    <t>1074</t>
  </si>
  <si>
    <t>2002524441</t>
  </si>
  <si>
    <t>1075</t>
  </si>
  <si>
    <t>2005366864</t>
  </si>
  <si>
    <t>1076</t>
  </si>
  <si>
    <t>20X15</t>
  </si>
  <si>
    <t>2005428927</t>
  </si>
  <si>
    <t>1077</t>
  </si>
  <si>
    <t>2005533586</t>
  </si>
  <si>
    <t>1079</t>
  </si>
  <si>
    <t>2000860876</t>
  </si>
  <si>
    <t>1081</t>
  </si>
  <si>
    <t>2001001620</t>
  </si>
  <si>
    <t>1082</t>
  </si>
  <si>
    <t>2005428936</t>
  </si>
  <si>
    <t>1083</t>
  </si>
  <si>
    <t>2001617336</t>
  </si>
  <si>
    <t>1085</t>
  </si>
  <si>
    <t>2003298750</t>
  </si>
  <si>
    <t>1087</t>
  </si>
  <si>
    <t>2005518563</t>
  </si>
  <si>
    <t>1091</t>
  </si>
  <si>
    <t>2005392950</t>
  </si>
  <si>
    <t>1092</t>
  </si>
  <si>
    <t>10X11</t>
  </si>
  <si>
    <t>2002680230</t>
  </si>
  <si>
    <t>1093</t>
  </si>
  <si>
    <t>2001643261</t>
  </si>
  <si>
    <t>1094</t>
  </si>
  <si>
    <t>2002849466</t>
  </si>
  <si>
    <t>1095</t>
  </si>
  <si>
    <t>2005804936</t>
  </si>
  <si>
    <t>1096</t>
  </si>
  <si>
    <t>1098</t>
  </si>
  <si>
    <t>2002316074</t>
  </si>
  <si>
    <t>1099</t>
  </si>
  <si>
    <t>2005443304</t>
  </si>
  <si>
    <t>1100</t>
  </si>
  <si>
    <t>2005841804</t>
  </si>
  <si>
    <t>1101</t>
  </si>
  <si>
    <t>2000267028</t>
  </si>
  <si>
    <t>1102</t>
  </si>
  <si>
    <t>2005830116</t>
  </si>
  <si>
    <t>1103</t>
  </si>
  <si>
    <t>2000149699</t>
  </si>
  <si>
    <t>1104</t>
  </si>
  <si>
    <t>2003063610</t>
  </si>
  <si>
    <t>1105</t>
  </si>
  <si>
    <t>1106</t>
  </si>
  <si>
    <t>2002414469</t>
  </si>
  <si>
    <t>1109</t>
  </si>
  <si>
    <t>1110</t>
  </si>
  <si>
    <t>10X20</t>
  </si>
  <si>
    <t>1111</t>
  </si>
  <si>
    <t>1112</t>
  </si>
  <si>
    <t>2002528968</t>
  </si>
  <si>
    <t>1113</t>
  </si>
  <si>
    <t>1114</t>
  </si>
  <si>
    <t>10X21</t>
  </si>
  <si>
    <t>2005112834</t>
  </si>
  <si>
    <t>1115</t>
  </si>
  <si>
    <t>1004862151</t>
  </si>
  <si>
    <t>1116</t>
  </si>
  <si>
    <t>2003006207</t>
  </si>
  <si>
    <t>1117</t>
  </si>
  <si>
    <t>1118</t>
  </si>
  <si>
    <t>2004595379</t>
  </si>
  <si>
    <t>1119</t>
  </si>
  <si>
    <t>2000632792</t>
  </si>
  <si>
    <t>1120</t>
  </si>
  <si>
    <t>06X05</t>
  </si>
  <si>
    <t>2001905687</t>
  </si>
  <si>
    <t>1121</t>
  </si>
  <si>
    <t>11X05</t>
  </si>
  <si>
    <t>2000607217</t>
  </si>
  <si>
    <t>1122</t>
  </si>
  <si>
    <t>11X10</t>
  </si>
  <si>
    <t>2001786278</t>
  </si>
  <si>
    <t>1123</t>
  </si>
  <si>
    <t>2002719466</t>
  </si>
  <si>
    <t>1124</t>
  </si>
  <si>
    <t>2005888315</t>
  </si>
  <si>
    <t>1125</t>
  </si>
  <si>
    <t>2005892772</t>
  </si>
  <si>
    <t>1127</t>
  </si>
  <si>
    <t>2005148673</t>
  </si>
  <si>
    <t>1129</t>
  </si>
  <si>
    <t>1006348498</t>
  </si>
  <si>
    <t>1130</t>
  </si>
  <si>
    <t>2005454884</t>
  </si>
  <si>
    <t>1131</t>
  </si>
  <si>
    <t>2002404484</t>
  </si>
  <si>
    <t>1132</t>
  </si>
  <si>
    <t>2000705041</t>
  </si>
  <si>
    <t>1133</t>
  </si>
  <si>
    <t>1006382260</t>
  </si>
  <si>
    <t>1134</t>
  </si>
  <si>
    <t>1135</t>
  </si>
  <si>
    <t>2005484456</t>
  </si>
  <si>
    <t>1137</t>
  </si>
  <si>
    <t>2003298866</t>
  </si>
  <si>
    <t>1138</t>
  </si>
  <si>
    <t>2005186466</t>
  </si>
  <si>
    <t>1139</t>
  </si>
  <si>
    <t>2005532293</t>
  </si>
  <si>
    <t>1140</t>
  </si>
  <si>
    <t>2005914037</t>
  </si>
  <si>
    <t>1141</t>
  </si>
  <si>
    <t>2002223594</t>
  </si>
  <si>
    <t>1142</t>
  </si>
  <si>
    <t>2005477112</t>
  </si>
  <si>
    <t>1143</t>
  </si>
  <si>
    <t>2003306163</t>
  </si>
  <si>
    <t>1144</t>
  </si>
  <si>
    <t>2003211082</t>
  </si>
  <si>
    <t>1145</t>
  </si>
  <si>
    <t>2005834404</t>
  </si>
  <si>
    <t>1146</t>
  </si>
  <si>
    <t>2001470157</t>
  </si>
  <si>
    <t>1147</t>
  </si>
  <si>
    <t>2005539191</t>
  </si>
  <si>
    <t>1148</t>
  </si>
  <si>
    <t>2003038691</t>
  </si>
  <si>
    <t>1149</t>
  </si>
  <si>
    <t>1006384735</t>
  </si>
  <si>
    <t>1150</t>
  </si>
  <si>
    <t>2002044931</t>
  </si>
  <si>
    <t>1151</t>
  </si>
  <si>
    <t>2003163736</t>
  </si>
  <si>
    <t>1152</t>
  </si>
  <si>
    <t>1006462561</t>
  </si>
  <si>
    <t>1153</t>
  </si>
  <si>
    <t>2002456823</t>
  </si>
  <si>
    <t>1154</t>
  </si>
  <si>
    <t>2005025510</t>
  </si>
  <si>
    <t>1156</t>
  </si>
  <si>
    <t>2004786445</t>
  </si>
  <si>
    <t>1157</t>
  </si>
  <si>
    <t>2000358907</t>
  </si>
  <si>
    <t>1158</t>
  </si>
  <si>
    <t>2005294247</t>
  </si>
  <si>
    <t>1159</t>
  </si>
  <si>
    <t>05X04</t>
  </si>
  <si>
    <t>1006721066</t>
  </si>
  <si>
    <t>1160</t>
  </si>
  <si>
    <t>2005034718</t>
  </si>
  <si>
    <t>1161</t>
  </si>
  <si>
    <t>2001217680</t>
  </si>
  <si>
    <t>1162</t>
  </si>
  <si>
    <t>2002259247</t>
  </si>
  <si>
    <t>1163</t>
  </si>
  <si>
    <t>1006765465</t>
  </si>
  <si>
    <t>1164</t>
  </si>
  <si>
    <t>2002635857</t>
  </si>
  <si>
    <t>1165</t>
  </si>
  <si>
    <t>2005694328</t>
  </si>
  <si>
    <t>1167</t>
  </si>
  <si>
    <t>2002259241</t>
  </si>
  <si>
    <t>1168</t>
  </si>
  <si>
    <t>2002486906</t>
  </si>
  <si>
    <t>1169</t>
  </si>
  <si>
    <t>2005399912</t>
  </si>
  <si>
    <t>1170</t>
  </si>
  <si>
    <t>2000244166</t>
  </si>
  <si>
    <t>1171</t>
  </si>
  <si>
    <t>2004765314</t>
  </si>
  <si>
    <t>1172</t>
  </si>
  <si>
    <t>2005450311</t>
  </si>
  <si>
    <t>1173</t>
  </si>
  <si>
    <t>1006318502</t>
  </si>
  <si>
    <t>1175</t>
  </si>
  <si>
    <t>2002478851</t>
  </si>
  <si>
    <t>1176</t>
  </si>
  <si>
    <t>2005510035</t>
  </si>
  <si>
    <t>1177</t>
  </si>
  <si>
    <t>2000154591</t>
  </si>
  <si>
    <t>1178</t>
  </si>
  <si>
    <t>2005513365</t>
  </si>
  <si>
    <t>1179</t>
  </si>
  <si>
    <t>2001368114</t>
  </si>
  <si>
    <t>1180</t>
  </si>
  <si>
    <t>2003078389</t>
  </si>
  <si>
    <t>1181</t>
  </si>
  <si>
    <t>2000662859</t>
  </si>
  <si>
    <t>1182</t>
  </si>
  <si>
    <t>2005596969</t>
  </si>
  <si>
    <t>1183</t>
  </si>
  <si>
    <t>2001152216</t>
  </si>
  <si>
    <t>1185</t>
  </si>
  <si>
    <t>1006693831</t>
  </si>
  <si>
    <t>1187</t>
  </si>
  <si>
    <t>1188</t>
  </si>
  <si>
    <t>2005126318</t>
  </si>
  <si>
    <t>1189</t>
  </si>
  <si>
    <t>1190</t>
  </si>
  <si>
    <t>1192</t>
  </si>
  <si>
    <t>1193</t>
  </si>
  <si>
    <t>2001101110</t>
  </si>
  <si>
    <t>1195</t>
  </si>
  <si>
    <t>2005532321</t>
  </si>
  <si>
    <t>1196</t>
  </si>
  <si>
    <t>2005209160</t>
  </si>
  <si>
    <t>1197</t>
  </si>
  <si>
    <t>1198</t>
  </si>
  <si>
    <t>2001985663</t>
  </si>
  <si>
    <t>1199</t>
  </si>
  <si>
    <t>1201</t>
  </si>
  <si>
    <t>2005265110</t>
  </si>
  <si>
    <t>1202</t>
  </si>
  <si>
    <t>2002147038</t>
  </si>
  <si>
    <t>1203</t>
  </si>
  <si>
    <t>2005730005</t>
  </si>
  <si>
    <t>1204</t>
  </si>
  <si>
    <t>2002887042</t>
  </si>
  <si>
    <t>1205</t>
  </si>
  <si>
    <t>20X20</t>
  </si>
  <si>
    <t>1209</t>
  </si>
  <si>
    <t>1211</t>
  </si>
  <si>
    <t>2002056534</t>
  </si>
  <si>
    <t>1212</t>
  </si>
  <si>
    <t>1213</t>
  </si>
  <si>
    <t>2000187604</t>
  </si>
  <si>
    <t>1214</t>
  </si>
  <si>
    <t>2001659281</t>
  </si>
  <si>
    <t>1215</t>
  </si>
  <si>
    <t>2003162992</t>
  </si>
  <si>
    <t>1216</t>
  </si>
  <si>
    <t>2002521084</t>
  </si>
  <si>
    <t>1217</t>
  </si>
  <si>
    <t>2003304854</t>
  </si>
  <si>
    <t>1218</t>
  </si>
  <si>
    <t>2005338339</t>
  </si>
  <si>
    <t>1219</t>
  </si>
  <si>
    <t>2002383045</t>
  </si>
  <si>
    <t>1220</t>
  </si>
  <si>
    <t>1006704933</t>
  </si>
  <si>
    <t>1221</t>
  </si>
  <si>
    <t>2005290307</t>
  </si>
  <si>
    <t>1222</t>
  </si>
  <si>
    <t>2003039381</t>
  </si>
  <si>
    <t>1223</t>
  </si>
  <si>
    <t>2001603953</t>
  </si>
  <si>
    <t>1224</t>
  </si>
  <si>
    <t>1006330694</t>
  </si>
  <si>
    <t>1226</t>
  </si>
  <si>
    <t>2001940478</t>
  </si>
  <si>
    <t>1227</t>
  </si>
  <si>
    <t>2002501544</t>
  </si>
  <si>
    <t>1228</t>
  </si>
  <si>
    <t>2002501558</t>
  </si>
  <si>
    <t>1230</t>
  </si>
  <si>
    <t>2001069084</t>
  </si>
  <si>
    <t>1231</t>
  </si>
  <si>
    <t>2005218427</t>
  </si>
  <si>
    <t>1232</t>
  </si>
  <si>
    <t>2000881359</t>
  </si>
  <si>
    <t>1236</t>
  </si>
  <si>
    <t>2002375172</t>
  </si>
  <si>
    <t>1237</t>
  </si>
  <si>
    <t>2001338514</t>
  </si>
  <si>
    <t>1238</t>
  </si>
  <si>
    <t>2005286615</t>
  </si>
  <si>
    <t>1239</t>
  </si>
  <si>
    <t>2003271608</t>
  </si>
  <si>
    <t>1240</t>
  </si>
  <si>
    <t>2005916960</t>
  </si>
  <si>
    <t>1241</t>
  </si>
  <si>
    <t>2000287027</t>
  </si>
  <si>
    <t>1244</t>
  </si>
  <si>
    <t>20X21</t>
  </si>
  <si>
    <t>2005220418</t>
  </si>
  <si>
    <t>1247</t>
  </si>
  <si>
    <t>2000281526</t>
  </si>
  <si>
    <t>1248</t>
  </si>
  <si>
    <t>2005805687</t>
  </si>
  <si>
    <t>1249</t>
  </si>
  <si>
    <t>2001767763</t>
  </si>
  <si>
    <t>1251</t>
  </si>
  <si>
    <t>2002285660</t>
  </si>
  <si>
    <t>1254</t>
  </si>
  <si>
    <t>1255</t>
  </si>
  <si>
    <t>1256</t>
  </si>
  <si>
    <t>2005307250</t>
  </si>
  <si>
    <t>1257</t>
  </si>
  <si>
    <t>2005551699</t>
  </si>
  <si>
    <t>1258</t>
  </si>
  <si>
    <t>2000507549</t>
  </si>
  <si>
    <t>1259</t>
  </si>
  <si>
    <t>2001423605</t>
  </si>
  <si>
    <t>1260</t>
  </si>
  <si>
    <t>2005266806</t>
  </si>
  <si>
    <t>1261</t>
  </si>
  <si>
    <t>2002264219</t>
  </si>
  <si>
    <t>1262</t>
  </si>
  <si>
    <t>2002788590</t>
  </si>
  <si>
    <t>1263</t>
  </si>
  <si>
    <t>2005062738</t>
  </si>
  <si>
    <t>1264</t>
  </si>
  <si>
    <t>2000724049</t>
  </si>
  <si>
    <t>1265</t>
  </si>
  <si>
    <t>2002521435</t>
  </si>
  <si>
    <t>1267</t>
  </si>
  <si>
    <t>2002391206</t>
  </si>
  <si>
    <t>1270</t>
  </si>
  <si>
    <t>1006120831</t>
  </si>
  <si>
    <t>1271</t>
  </si>
  <si>
    <t>2005355514</t>
  </si>
  <si>
    <t>1274</t>
  </si>
  <si>
    <t>09X10</t>
  </si>
  <si>
    <t>2002413921</t>
  </si>
  <si>
    <t>1275</t>
  </si>
  <si>
    <t>1276</t>
  </si>
  <si>
    <t>2002183061</t>
  </si>
  <si>
    <t>1280</t>
  </si>
  <si>
    <t>1281</t>
  </si>
  <si>
    <t>2003116864</t>
  </si>
  <si>
    <t>1282</t>
  </si>
  <si>
    <t>1283</t>
  </si>
  <si>
    <t>2005389143</t>
  </si>
  <si>
    <t>1284</t>
  </si>
  <si>
    <t>2003196564</t>
  </si>
  <si>
    <t>1285</t>
  </si>
  <si>
    <t>2001393814</t>
  </si>
  <si>
    <t>1288</t>
  </si>
  <si>
    <t>2001929404</t>
  </si>
  <si>
    <t>1289</t>
  </si>
  <si>
    <t>2005527031</t>
  </si>
  <si>
    <t>1291</t>
  </si>
  <si>
    <t>2003254071</t>
  </si>
  <si>
    <t>1293</t>
  </si>
  <si>
    <t>1294</t>
  </si>
  <si>
    <t>2001403591</t>
  </si>
  <si>
    <t>1295</t>
  </si>
  <si>
    <t>2001588607</t>
  </si>
  <si>
    <t>1297</t>
  </si>
  <si>
    <t>11X04</t>
  </si>
  <si>
    <t>2003069826</t>
  </si>
  <si>
    <t>1298</t>
  </si>
  <si>
    <t>2003169077</t>
  </si>
  <si>
    <t>1300</t>
  </si>
  <si>
    <t>2002501593</t>
  </si>
  <si>
    <t>1304</t>
  </si>
  <si>
    <t>2001816349</t>
  </si>
  <si>
    <t>1309</t>
  </si>
  <si>
    <t>2000148812</t>
  </si>
  <si>
    <t>1310</t>
  </si>
  <si>
    <t>1313</t>
  </si>
  <si>
    <t>1315</t>
  </si>
  <si>
    <t>2002284903</t>
  </si>
  <si>
    <t>1318</t>
  </si>
  <si>
    <t>15X15</t>
  </si>
  <si>
    <t>2000707523</t>
  </si>
  <si>
    <t>1319</t>
  </si>
  <si>
    <t>1320</t>
  </si>
  <si>
    <t>2005754737</t>
  </si>
  <si>
    <t>2000</t>
  </si>
  <si>
    <t>CEN</t>
  </si>
  <si>
    <t>2001018206</t>
  </si>
  <si>
    <t>2001</t>
  </si>
  <si>
    <t>1006718419</t>
  </si>
  <si>
    <t>2002</t>
  </si>
  <si>
    <t>2001223861</t>
  </si>
  <si>
    <t>2004</t>
  </si>
  <si>
    <t>1006661200</t>
  </si>
  <si>
    <t>2005</t>
  </si>
  <si>
    <t>2006</t>
  </si>
  <si>
    <t>2000476951</t>
  </si>
  <si>
    <t>2007</t>
  </si>
  <si>
    <t>2005198826</t>
  </si>
  <si>
    <t>2008</t>
  </si>
  <si>
    <t>1006605300</t>
  </si>
  <si>
    <t>2009</t>
  </si>
  <si>
    <t>2005302333</t>
  </si>
  <si>
    <t>2010</t>
  </si>
  <si>
    <t>2003102983</t>
  </si>
  <si>
    <t>2011</t>
  </si>
  <si>
    <t>2001578180</t>
  </si>
  <si>
    <t>2012</t>
  </si>
  <si>
    <t>2002071846</t>
  </si>
  <si>
    <t>2013</t>
  </si>
  <si>
    <t>2004917693</t>
  </si>
  <si>
    <t>2014</t>
  </si>
  <si>
    <t>5085958428</t>
  </si>
  <si>
    <t>2015</t>
  </si>
  <si>
    <t>1006697788</t>
  </si>
  <si>
    <t>2016</t>
  </si>
  <si>
    <t>2005736346</t>
  </si>
  <si>
    <t>2017</t>
  </si>
  <si>
    <t>1006722744</t>
  </si>
  <si>
    <t>2018</t>
  </si>
  <si>
    <t>2002784747</t>
  </si>
  <si>
    <t>2019</t>
  </si>
  <si>
    <t>2005773413</t>
  </si>
  <si>
    <t>2020</t>
  </si>
  <si>
    <t>2005385872</t>
  </si>
  <si>
    <t>2021</t>
  </si>
  <si>
    <t>2002119696</t>
  </si>
  <si>
    <t>2022</t>
  </si>
  <si>
    <t>2004886987</t>
  </si>
  <si>
    <t>2023</t>
  </si>
  <si>
    <t>2005051817</t>
  </si>
  <si>
    <t>2024</t>
  </si>
  <si>
    <t>2025</t>
  </si>
  <si>
    <t>Rented</t>
  </si>
  <si>
    <t>2001193384</t>
  </si>
  <si>
    <t>2026</t>
  </si>
  <si>
    <t>2002171172</t>
  </si>
  <si>
    <t>2028</t>
  </si>
  <si>
    <t>2004982914</t>
  </si>
  <si>
    <t>2029</t>
  </si>
  <si>
    <t>2002691742</t>
  </si>
  <si>
    <t>2030</t>
  </si>
  <si>
    <t>2005169193</t>
  </si>
  <si>
    <t>2031</t>
  </si>
  <si>
    <t>2002232319</t>
  </si>
  <si>
    <t>2032</t>
  </si>
  <si>
    <t>2000456446</t>
  </si>
  <si>
    <t>2034</t>
  </si>
  <si>
    <t>2001200505</t>
  </si>
  <si>
    <t>2035</t>
  </si>
  <si>
    <t>2001239368</t>
  </si>
  <si>
    <t>2036</t>
  </si>
  <si>
    <t>2000398347</t>
  </si>
  <si>
    <t>2037</t>
  </si>
  <si>
    <t>15X04</t>
  </si>
  <si>
    <t>1006719588</t>
  </si>
  <si>
    <t>2039</t>
  </si>
  <si>
    <t>1006788801</t>
  </si>
  <si>
    <t>2040</t>
  </si>
  <si>
    <t>2005531761</t>
  </si>
  <si>
    <t>2041</t>
  </si>
  <si>
    <t>1006454875</t>
  </si>
  <si>
    <t>2042</t>
  </si>
  <si>
    <t>2000518049</t>
  </si>
  <si>
    <t>2043</t>
  </si>
  <si>
    <t>2005008832</t>
  </si>
  <si>
    <t>2044</t>
  </si>
  <si>
    <t>2005475898</t>
  </si>
  <si>
    <t>2045</t>
  </si>
  <si>
    <t>2005651108</t>
  </si>
  <si>
    <t>2046</t>
  </si>
  <si>
    <t>2005483091</t>
  </si>
  <si>
    <t>2047</t>
  </si>
  <si>
    <t>2005458929</t>
  </si>
  <si>
    <t>2048</t>
  </si>
  <si>
    <t>2004644106</t>
  </si>
  <si>
    <t>2049</t>
  </si>
  <si>
    <t>2005906492</t>
  </si>
  <si>
    <t>2051</t>
  </si>
  <si>
    <t>2000803019</t>
  </si>
  <si>
    <t>2052</t>
  </si>
  <si>
    <t>2002108346</t>
  </si>
  <si>
    <t>2053</t>
  </si>
  <si>
    <t>2000840525</t>
  </si>
  <si>
    <t>2054</t>
  </si>
  <si>
    <t>1006746068</t>
  </si>
  <si>
    <t>2055</t>
  </si>
  <si>
    <t>2002652066</t>
  </si>
  <si>
    <t>2056</t>
  </si>
  <si>
    <t>2004900913</t>
  </si>
  <si>
    <t>2057</t>
  </si>
  <si>
    <t>2002353769</t>
  </si>
  <si>
    <t>2058</t>
  </si>
  <si>
    <t>2003423436</t>
  </si>
  <si>
    <t>2059</t>
  </si>
  <si>
    <t>2003676427</t>
  </si>
  <si>
    <t>2060</t>
  </si>
  <si>
    <t>1006653396</t>
  </si>
  <si>
    <t>2061</t>
  </si>
  <si>
    <t>2062</t>
  </si>
  <si>
    <t>1006520045</t>
  </si>
  <si>
    <t>2063</t>
  </si>
  <si>
    <t>2005858090</t>
  </si>
  <si>
    <t>2064</t>
  </si>
  <si>
    <t>2000942042</t>
  </si>
  <si>
    <t>2066</t>
  </si>
  <si>
    <t>2000934736</t>
  </si>
  <si>
    <t>2068</t>
  </si>
  <si>
    <t>2002996108</t>
  </si>
  <si>
    <t>2069</t>
  </si>
  <si>
    <t>2000317544</t>
  </si>
  <si>
    <t>2070</t>
  </si>
  <si>
    <t>2002564962</t>
  </si>
  <si>
    <t>2071</t>
  </si>
  <si>
    <t>2002316713</t>
  </si>
  <si>
    <t>2072</t>
  </si>
  <si>
    <t>2002411989</t>
  </si>
  <si>
    <t>2073</t>
  </si>
  <si>
    <t>1006670933</t>
  </si>
  <si>
    <t>2074</t>
  </si>
  <si>
    <t>2076</t>
  </si>
  <si>
    <t>2002532865</t>
  </si>
  <si>
    <t>2077</t>
  </si>
  <si>
    <t>2005053081</t>
  </si>
  <si>
    <t>2078</t>
  </si>
  <si>
    <t>10X14</t>
  </si>
  <si>
    <t>1006635079</t>
  </si>
  <si>
    <t>2079</t>
  </si>
  <si>
    <t>2003053285</t>
  </si>
  <si>
    <t>2082</t>
  </si>
  <si>
    <t>2084</t>
  </si>
  <si>
    <t>2085</t>
  </si>
  <si>
    <t>2001130568</t>
  </si>
  <si>
    <t>2086</t>
  </si>
  <si>
    <t>2002443486</t>
  </si>
  <si>
    <t>2087</t>
  </si>
  <si>
    <t>2004297025</t>
  </si>
  <si>
    <t>2088</t>
  </si>
  <si>
    <t>2001277147</t>
  </si>
  <si>
    <t>2089</t>
  </si>
  <si>
    <t>2003511396</t>
  </si>
  <si>
    <t>2090</t>
  </si>
  <si>
    <t>2003598901</t>
  </si>
  <si>
    <t>2091</t>
  </si>
  <si>
    <t>1006756355</t>
  </si>
  <si>
    <t>2092</t>
  </si>
  <si>
    <t>2000838329</t>
  </si>
  <si>
    <t>2094</t>
  </si>
  <si>
    <t>2005543925</t>
  </si>
  <si>
    <t>2096</t>
  </si>
  <si>
    <t>2002437578</t>
  </si>
  <si>
    <t>2097</t>
  </si>
  <si>
    <t>2003271498</t>
  </si>
  <si>
    <t>2098</t>
  </si>
  <si>
    <t>CENM</t>
  </si>
  <si>
    <t>2005437583</t>
  </si>
  <si>
    <t>2099</t>
  </si>
  <si>
    <t>2005703720</t>
  </si>
  <si>
    <t>2100</t>
  </si>
  <si>
    <t>2101</t>
  </si>
  <si>
    <t>2000678195</t>
  </si>
  <si>
    <t>2102</t>
  </si>
  <si>
    <t>2002717289</t>
  </si>
  <si>
    <t>2103</t>
  </si>
  <si>
    <t>2005469391</t>
  </si>
  <si>
    <t>2104</t>
  </si>
  <si>
    <t>2003526611</t>
  </si>
  <si>
    <t>2105</t>
  </si>
  <si>
    <t>2001256326</t>
  </si>
  <si>
    <t>2106</t>
  </si>
  <si>
    <t>1006761442</t>
  </si>
  <si>
    <t>2107</t>
  </si>
  <si>
    <t>2000195077</t>
  </si>
  <si>
    <t>2109</t>
  </si>
  <si>
    <t>2005442863</t>
  </si>
  <si>
    <t>2111</t>
  </si>
  <si>
    <t>2000401261</t>
  </si>
  <si>
    <t>2112</t>
  </si>
  <si>
    <t>2001759832</t>
  </si>
  <si>
    <t>2113</t>
  </si>
  <si>
    <t>1006596593</t>
  </si>
  <si>
    <t>2114</t>
  </si>
  <si>
    <t>2005564849</t>
  </si>
  <si>
    <t>2115</t>
  </si>
  <si>
    <t>2005293625</t>
  </si>
  <si>
    <t>2116</t>
  </si>
  <si>
    <t>2000453811</t>
  </si>
  <si>
    <t>2117</t>
  </si>
  <si>
    <t>1006495842</t>
  </si>
  <si>
    <t>2118</t>
  </si>
  <si>
    <t>2002249776</t>
  </si>
  <si>
    <t>2119</t>
  </si>
  <si>
    <t>2005230574</t>
  </si>
  <si>
    <t>2120</t>
  </si>
  <si>
    <t>2000458456</t>
  </si>
  <si>
    <t>2121</t>
  </si>
  <si>
    <t>2001028729</t>
  </si>
  <si>
    <t>2122</t>
  </si>
  <si>
    <t>1006724098</t>
  </si>
  <si>
    <t>2123</t>
  </si>
  <si>
    <t>2005054351</t>
  </si>
  <si>
    <t>2124</t>
  </si>
  <si>
    <t>2005419719</t>
  </si>
  <si>
    <t>2125</t>
  </si>
  <si>
    <t>11X11</t>
  </si>
  <si>
    <t>2005447393</t>
  </si>
  <si>
    <t>2126</t>
  </si>
  <si>
    <t>1006688028</t>
  </si>
  <si>
    <t>2127</t>
  </si>
  <si>
    <t>2001445215</t>
  </si>
  <si>
    <t>2128</t>
  </si>
  <si>
    <t>2002227313</t>
  </si>
  <si>
    <t>2129</t>
  </si>
  <si>
    <t>2000722314</t>
  </si>
  <si>
    <t>2131</t>
  </si>
  <si>
    <t>2001066590</t>
  </si>
  <si>
    <t>2132</t>
  </si>
  <si>
    <t>2133</t>
  </si>
  <si>
    <t>2005448515</t>
  </si>
  <si>
    <t>2135</t>
  </si>
  <si>
    <t>2000701869</t>
  </si>
  <si>
    <t>2136</t>
  </si>
  <si>
    <t>2000576758</t>
  </si>
  <si>
    <t>2137</t>
  </si>
  <si>
    <t>2002568648</t>
  </si>
  <si>
    <t>2138</t>
  </si>
  <si>
    <t>2000732842</t>
  </si>
  <si>
    <t>2139</t>
  </si>
  <si>
    <t>1006585906</t>
  </si>
  <si>
    <t>2140</t>
  </si>
  <si>
    <t>2005799053</t>
  </si>
  <si>
    <t>2141</t>
  </si>
  <si>
    <t>2005935104</t>
  </si>
  <si>
    <t>2142</t>
  </si>
  <si>
    <t>1006511467</t>
  </si>
  <si>
    <t>2143</t>
  </si>
  <si>
    <t>1006622688</t>
  </si>
  <si>
    <t>2144</t>
  </si>
  <si>
    <t>2004597297</t>
  </si>
  <si>
    <t>2145</t>
  </si>
  <si>
    <t>2001940126</t>
  </si>
  <si>
    <t>2146</t>
  </si>
  <si>
    <t>1006760919</t>
  </si>
  <si>
    <t>2147</t>
  </si>
  <si>
    <t>2005446299</t>
  </si>
  <si>
    <t>2148</t>
  </si>
  <si>
    <t>2005653389</t>
  </si>
  <si>
    <t>2149</t>
  </si>
  <si>
    <t>2005480334</t>
  </si>
  <si>
    <t>2150</t>
  </si>
  <si>
    <t>2005416035</t>
  </si>
  <si>
    <t>2151</t>
  </si>
  <si>
    <t>2005359256</t>
  </si>
  <si>
    <t>2152</t>
  </si>
  <si>
    <t>2005063938</t>
  </si>
  <si>
    <t>2153</t>
  </si>
  <si>
    <t>2000741381</t>
  </si>
  <si>
    <t>2155</t>
  </si>
  <si>
    <t>2005222356</t>
  </si>
  <si>
    <t>2159</t>
  </si>
  <si>
    <t>2005456181</t>
  </si>
  <si>
    <t>2160</t>
  </si>
  <si>
    <t>2005775598</t>
  </si>
  <si>
    <t>2162</t>
  </si>
  <si>
    <t>2000841932</t>
  </si>
  <si>
    <t>2165</t>
  </si>
  <si>
    <t>09X15</t>
  </si>
  <si>
    <t>1006426664</t>
  </si>
  <si>
    <t>2166</t>
  </si>
  <si>
    <t>2002386568</t>
  </si>
  <si>
    <t>2167</t>
  </si>
  <si>
    <t>1006398035</t>
  </si>
  <si>
    <t>2168</t>
  </si>
  <si>
    <t>2000667830</t>
  </si>
  <si>
    <t>2169</t>
  </si>
  <si>
    <t>1006637944</t>
  </si>
  <si>
    <t>2170</t>
  </si>
  <si>
    <t>2005412141</t>
  </si>
  <si>
    <t>2171</t>
  </si>
  <si>
    <t>2003794086</t>
  </si>
  <si>
    <t>2172</t>
  </si>
  <si>
    <t>2173</t>
  </si>
  <si>
    <t>1006442377</t>
  </si>
  <si>
    <t>2174</t>
  </si>
  <si>
    <t>09X05</t>
  </si>
  <si>
    <t>2002118267</t>
  </si>
  <si>
    <t>2175</t>
  </si>
  <si>
    <t>1006397847</t>
  </si>
  <si>
    <t>2176</t>
  </si>
  <si>
    <t>2004807459</t>
  </si>
  <si>
    <t>2177</t>
  </si>
  <si>
    <t>1006595170</t>
  </si>
  <si>
    <t>2178</t>
  </si>
  <si>
    <t>2000159640</t>
  </si>
  <si>
    <t>2179</t>
  </si>
  <si>
    <t>1006499556</t>
  </si>
  <si>
    <t>2180</t>
  </si>
  <si>
    <t>2181</t>
  </si>
  <si>
    <t>1006580943</t>
  </si>
  <si>
    <t>2182</t>
  </si>
  <si>
    <t>2002469196</t>
  </si>
  <si>
    <t>2183</t>
  </si>
  <si>
    <t>2184</t>
  </si>
  <si>
    <t>2005887616</t>
  </si>
  <si>
    <t>2186</t>
  </si>
  <si>
    <t>2000297797</t>
  </si>
  <si>
    <t>2189</t>
  </si>
  <si>
    <t>2004567045</t>
  </si>
  <si>
    <t>2190</t>
  </si>
  <si>
    <t>1006308512</t>
  </si>
  <si>
    <t>2191</t>
  </si>
  <si>
    <t>2001114063</t>
  </si>
  <si>
    <t>2192</t>
  </si>
  <si>
    <t>2005300070</t>
  </si>
  <si>
    <t>2193</t>
  </si>
  <si>
    <t>2001949784</t>
  </si>
  <si>
    <t>2195</t>
  </si>
  <si>
    <t>2000220013</t>
  </si>
  <si>
    <t>2196</t>
  </si>
  <si>
    <t>2197</t>
  </si>
  <si>
    <t>2198</t>
  </si>
  <si>
    <t>2005461445</t>
  </si>
  <si>
    <t>2199</t>
  </si>
  <si>
    <t>2000798632</t>
  </si>
  <si>
    <t>2201</t>
  </si>
  <si>
    <t>2003911482</t>
  </si>
  <si>
    <t>2202</t>
  </si>
  <si>
    <t>2001952100</t>
  </si>
  <si>
    <t>2206</t>
  </si>
  <si>
    <t>2208</t>
  </si>
  <si>
    <t>2001908256</t>
  </si>
  <si>
    <t>2209</t>
  </si>
  <si>
    <t>1006653306</t>
  </si>
  <si>
    <t>2210</t>
  </si>
  <si>
    <t>2005657061</t>
  </si>
  <si>
    <t>2211</t>
  </si>
  <si>
    <t>2001215199</t>
  </si>
  <si>
    <t>2212</t>
  </si>
  <si>
    <t>2001111575</t>
  </si>
  <si>
    <t>2213</t>
  </si>
  <si>
    <t>2005307385</t>
  </si>
  <si>
    <t>2214</t>
  </si>
  <si>
    <t>2002132756</t>
  </si>
  <si>
    <t>2215</t>
  </si>
  <si>
    <t>2005713162</t>
  </si>
  <si>
    <t>2216</t>
  </si>
  <si>
    <t>2005508574</t>
  </si>
  <si>
    <t>2217</t>
  </si>
  <si>
    <t>2005310041</t>
  </si>
  <si>
    <t>2218</t>
  </si>
  <si>
    <t>2219</t>
  </si>
  <si>
    <t>2004964080</t>
  </si>
  <si>
    <t>2222</t>
  </si>
  <si>
    <t>2005439514</t>
  </si>
  <si>
    <t>2223</t>
  </si>
  <si>
    <t>2001700103</t>
  </si>
  <si>
    <t>2224</t>
  </si>
  <si>
    <t>2005534451</t>
  </si>
  <si>
    <t>2225</t>
  </si>
  <si>
    <t>2226</t>
  </si>
  <si>
    <t>2002646921</t>
  </si>
  <si>
    <t>2227</t>
  </si>
  <si>
    <t>2005587738</t>
  </si>
  <si>
    <t>2228</t>
  </si>
  <si>
    <t>2002932498</t>
  </si>
  <si>
    <t>2229</t>
  </si>
  <si>
    <t>2001638958</t>
  </si>
  <si>
    <t>2230</t>
  </si>
  <si>
    <t>2000490069</t>
  </si>
  <si>
    <t>2231</t>
  </si>
  <si>
    <t>2001674027</t>
  </si>
  <si>
    <t>2232</t>
  </si>
  <si>
    <t>2005486499</t>
  </si>
  <si>
    <t>2233</t>
  </si>
  <si>
    <t>2001854459</t>
  </si>
  <si>
    <t>2234</t>
  </si>
  <si>
    <t>2235</t>
  </si>
  <si>
    <t>2005517380</t>
  </si>
  <si>
    <t>2236</t>
  </si>
  <si>
    <t>2000728594</t>
  </si>
  <si>
    <t>2237</t>
  </si>
  <si>
    <t>2002918572</t>
  </si>
  <si>
    <t>2239</t>
  </si>
  <si>
    <t>2005386048</t>
  </si>
  <si>
    <t>2240</t>
  </si>
  <si>
    <t>2001219140</t>
  </si>
  <si>
    <t>2243</t>
  </si>
  <si>
    <t>2001535659</t>
  </si>
  <si>
    <t>2244</t>
  </si>
  <si>
    <t>2002216531</t>
  </si>
  <si>
    <t>2246</t>
  </si>
  <si>
    <t>2000929805</t>
  </si>
  <si>
    <t>2248</t>
  </si>
  <si>
    <t>2002402250</t>
  </si>
  <si>
    <t>2249</t>
  </si>
  <si>
    <t>2000331956</t>
  </si>
  <si>
    <t>2250</t>
  </si>
  <si>
    <t>2251</t>
  </si>
  <si>
    <t>2002253243</t>
  </si>
  <si>
    <t>2252</t>
  </si>
  <si>
    <t>2005346386</t>
  </si>
  <si>
    <t>2254</t>
  </si>
  <si>
    <t>2002254287</t>
  </si>
  <si>
    <t>2257</t>
  </si>
  <si>
    <t>2000526335</t>
  </si>
  <si>
    <t>2258</t>
  </si>
  <si>
    <t>2005352684</t>
  </si>
  <si>
    <t>2259</t>
  </si>
  <si>
    <t>2005548471</t>
  </si>
  <si>
    <t>2262</t>
  </si>
  <si>
    <t>2000637493</t>
  </si>
  <si>
    <t>2263</t>
  </si>
  <si>
    <t>2001133826</t>
  </si>
  <si>
    <t>2264</t>
  </si>
  <si>
    <t>2003528703</t>
  </si>
  <si>
    <t>2265</t>
  </si>
  <si>
    <t>2005454111</t>
  </si>
  <si>
    <t>2266</t>
  </si>
  <si>
    <t>2000415884</t>
  </si>
  <si>
    <t>2267</t>
  </si>
  <si>
    <t>2005226544</t>
  </si>
  <si>
    <t>2268</t>
  </si>
  <si>
    <t>2005179615</t>
  </si>
  <si>
    <t>2269</t>
  </si>
  <si>
    <t>2000825606</t>
  </si>
  <si>
    <t>2270</t>
  </si>
  <si>
    <t>2002581813</t>
  </si>
  <si>
    <t>2271</t>
  </si>
  <si>
    <t>2272</t>
  </si>
  <si>
    <t>15X10</t>
  </si>
  <si>
    <t>2002553367</t>
  </si>
  <si>
    <t>2273</t>
  </si>
  <si>
    <t>2274</t>
  </si>
  <si>
    <t>2002594607</t>
  </si>
  <si>
    <t>2275</t>
  </si>
  <si>
    <t>2000974948</t>
  </si>
  <si>
    <t>2277</t>
  </si>
  <si>
    <t>2001145193</t>
  </si>
  <si>
    <t>2278</t>
  </si>
  <si>
    <t>2001281249</t>
  </si>
  <si>
    <t>2279</t>
  </si>
  <si>
    <t>2001145712</t>
  </si>
  <si>
    <t>2280</t>
  </si>
  <si>
    <t>2003451049</t>
  </si>
  <si>
    <t>2283</t>
  </si>
  <si>
    <t>2005400720</t>
  </si>
  <si>
    <t>2285</t>
  </si>
  <si>
    <t>2005503478</t>
  </si>
  <si>
    <t>2286</t>
  </si>
  <si>
    <t>2001982513</t>
  </si>
  <si>
    <t>2287</t>
  </si>
  <si>
    <t>2002222557</t>
  </si>
  <si>
    <t>2288</t>
  </si>
  <si>
    <t>2003030027</t>
  </si>
  <si>
    <t>2289</t>
  </si>
  <si>
    <t>2290</t>
  </si>
  <si>
    <t>2292</t>
  </si>
  <si>
    <t>2005622650</t>
  </si>
  <si>
    <t>2293</t>
  </si>
  <si>
    <t>2005901752</t>
  </si>
  <si>
    <t>2296</t>
  </si>
  <si>
    <t>2005333727</t>
  </si>
  <si>
    <t>2297</t>
  </si>
  <si>
    <t>2005343599</t>
  </si>
  <si>
    <t>2298</t>
  </si>
  <si>
    <t>2001583197</t>
  </si>
  <si>
    <t>2299</t>
  </si>
  <si>
    <t>2001738948</t>
  </si>
  <si>
    <t>2300</t>
  </si>
  <si>
    <t>2001019552</t>
  </si>
  <si>
    <t>2301</t>
  </si>
  <si>
    <t>2005595228</t>
  </si>
  <si>
    <t>2303</t>
  </si>
  <si>
    <t>30X10</t>
  </si>
  <si>
    <t>2005812002</t>
  </si>
  <si>
    <t>2304</t>
  </si>
  <si>
    <t>2001499783</t>
  </si>
  <si>
    <t>2307</t>
  </si>
  <si>
    <t>2001004535</t>
  </si>
  <si>
    <t>2308</t>
  </si>
  <si>
    <t>2005520504</t>
  </si>
  <si>
    <t>2309</t>
  </si>
  <si>
    <t>2310</t>
  </si>
  <si>
    <t>2311</t>
  </si>
  <si>
    <t>Reserved</t>
  </si>
  <si>
    <t>2002845761</t>
  </si>
  <si>
    <t>2312</t>
  </si>
  <si>
    <t>1006746099</t>
  </si>
  <si>
    <t>2313</t>
  </si>
  <si>
    <t>2001732749</t>
  </si>
  <si>
    <t>2314</t>
  </si>
  <si>
    <t>2005392033</t>
  </si>
  <si>
    <t>2316</t>
  </si>
  <si>
    <t>10X16</t>
  </si>
  <si>
    <t>2002696949</t>
  </si>
  <si>
    <t>2317</t>
  </si>
  <si>
    <t>1006735915</t>
  </si>
  <si>
    <t>2318</t>
  </si>
  <si>
    <t>2002552537</t>
  </si>
  <si>
    <t>2320</t>
  </si>
  <si>
    <t>26X10</t>
  </si>
  <si>
    <t>2001482907</t>
  </si>
  <si>
    <t>2322</t>
  </si>
  <si>
    <t>05X06</t>
  </si>
  <si>
    <t>2000345229</t>
  </si>
  <si>
    <t>2323</t>
  </si>
  <si>
    <t>2005573313</t>
  </si>
  <si>
    <t>2324</t>
  </si>
  <si>
    <t>2002556445</t>
  </si>
  <si>
    <t>2325</t>
  </si>
  <si>
    <t>2327</t>
  </si>
  <si>
    <t>2328</t>
  </si>
  <si>
    <t>2001100275</t>
  </si>
  <si>
    <t>2329</t>
  </si>
  <si>
    <t>2005506957</t>
  </si>
  <si>
    <t>2330</t>
  </si>
  <si>
    <t>2005699933</t>
  </si>
  <si>
    <t>2331</t>
  </si>
  <si>
    <t>2001585321</t>
  </si>
  <si>
    <t>2332</t>
  </si>
  <si>
    <t>2002365392</t>
  </si>
  <si>
    <t>2333</t>
  </si>
  <si>
    <t>2334</t>
  </si>
  <si>
    <t>2005478738</t>
  </si>
  <si>
    <t>2335</t>
  </si>
  <si>
    <t>2004699167</t>
  </si>
  <si>
    <t>2336</t>
  </si>
  <si>
    <t>2003035790</t>
  </si>
  <si>
    <t>2337</t>
  </si>
  <si>
    <t>2000940517</t>
  </si>
  <si>
    <t>2338</t>
  </si>
  <si>
    <t>2002133188</t>
  </si>
  <si>
    <t>2339</t>
  </si>
  <si>
    <t>2003033015</t>
  </si>
  <si>
    <t>2340</t>
  </si>
  <si>
    <t>2341</t>
  </si>
  <si>
    <t>2005868344</t>
  </si>
  <si>
    <t>3000</t>
  </si>
  <si>
    <t>2005929242</t>
  </si>
  <si>
    <t>3001</t>
  </si>
  <si>
    <t>3002</t>
  </si>
  <si>
    <t>3003</t>
  </si>
  <si>
    <t>3004</t>
  </si>
  <si>
    <t>3005</t>
  </si>
  <si>
    <t>3012</t>
  </si>
  <si>
    <t>3014</t>
  </si>
  <si>
    <t>2005874306</t>
  </si>
  <si>
    <t>3016</t>
  </si>
  <si>
    <t>3017</t>
  </si>
  <si>
    <t>3018</t>
  </si>
  <si>
    <t>3019</t>
  </si>
  <si>
    <t>3020</t>
  </si>
  <si>
    <t>3021</t>
  </si>
  <si>
    <t>3023</t>
  </si>
  <si>
    <t>3024</t>
  </si>
  <si>
    <t>3025</t>
  </si>
  <si>
    <t>3031</t>
  </si>
  <si>
    <t>3033</t>
  </si>
  <si>
    <t>3034</t>
  </si>
  <si>
    <t>3035</t>
  </si>
  <si>
    <t>3036</t>
  </si>
  <si>
    <t>2005879152</t>
  </si>
  <si>
    <t>3037</t>
  </si>
  <si>
    <t>3038</t>
  </si>
  <si>
    <t>3039</t>
  </si>
  <si>
    <t>3040</t>
  </si>
  <si>
    <t>3046</t>
  </si>
  <si>
    <t>3047</t>
  </si>
  <si>
    <t>3048</t>
  </si>
  <si>
    <t>3049</t>
  </si>
  <si>
    <t>3050</t>
  </si>
  <si>
    <t>3053</t>
  </si>
  <si>
    <t>3054</t>
  </si>
  <si>
    <t>2005884817</t>
  </si>
  <si>
    <t>3055</t>
  </si>
  <si>
    <t>3060</t>
  </si>
  <si>
    <t>3061</t>
  </si>
  <si>
    <t>3078</t>
  </si>
  <si>
    <t>3081</t>
  </si>
  <si>
    <t>3101</t>
  </si>
  <si>
    <t>3102</t>
  </si>
  <si>
    <t>3103</t>
  </si>
  <si>
    <t>3104</t>
  </si>
  <si>
    <t>3105</t>
  </si>
  <si>
    <t>3119</t>
  </si>
  <si>
    <t>3120</t>
  </si>
  <si>
    <t>3121</t>
  </si>
  <si>
    <t>2005929660</t>
  </si>
  <si>
    <t>5001</t>
  </si>
  <si>
    <t>08X19</t>
  </si>
  <si>
    <t>PAA</t>
  </si>
  <si>
    <t>5002</t>
  </si>
  <si>
    <t>5003</t>
  </si>
  <si>
    <t>5004</t>
  </si>
  <si>
    <t>2005839647</t>
  </si>
  <si>
    <t>5005</t>
  </si>
  <si>
    <t>09X19</t>
  </si>
  <si>
    <t>5006</t>
  </si>
  <si>
    <t>5007</t>
  </si>
  <si>
    <t>2005928039</t>
  </si>
  <si>
    <t>5009</t>
  </si>
  <si>
    <t>P5008</t>
  </si>
  <si>
    <t>P5010</t>
  </si>
  <si>
    <t>P5011</t>
  </si>
  <si>
    <t>2003937184</t>
  </si>
  <si>
    <t>P5012</t>
  </si>
  <si>
    <t>08X18</t>
  </si>
  <si>
    <t>P5013</t>
  </si>
  <si>
    <t>P5014</t>
  </si>
  <si>
    <t>2005892826</t>
  </si>
  <si>
    <t>P5015</t>
  </si>
  <si>
    <t>P5016</t>
  </si>
  <si>
    <t>P5017</t>
  </si>
  <si>
    <t>2005838790</t>
  </si>
  <si>
    <t>P5018</t>
  </si>
  <si>
    <t>P5019</t>
  </si>
  <si>
    <t>2003524651</t>
  </si>
  <si>
    <t>P5020</t>
  </si>
  <si>
    <t>P5021</t>
  </si>
  <si>
    <t>P5022</t>
  </si>
  <si>
    <r>
      <rPr>
        <b/>
        <sz val="12"/>
        <color rgb="FF000000"/>
        <rFont val="Arial"/>
      </rPr>
      <t xml:space="preserve">Unit Mix For </t>
    </r>
    <r>
      <rPr>
        <b/>
        <sz val="12"/>
        <color rgb="FF000000"/>
        <rFont val="Arial"/>
      </rPr>
      <t>7272 - New Orleans - 1601 Tchoupitoulas</t>
    </r>
  </si>
  <si>
    <t>Dimension/Attributes</t>
  </si>
  <si>
    <t>Unit Sq Ft</t>
  </si>
  <si>
    <t>Total Sq Ft</t>
  </si>
  <si>
    <t>Occupied Units</t>
  </si>
  <si>
    <t>Vacant Units</t>
  </si>
  <si>
    <t>Reserved Units</t>
  </si>
  <si>
    <t>Company Units</t>
  </si>
  <si>
    <t>Damaged Units</t>
  </si>
  <si>
    <t>Sq Ft Occupied</t>
  </si>
  <si>
    <t>GPI</t>
  </si>
  <si>
    <t>Projected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</si>
</sst>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164" formatCode="[$-10409]#,##0;\(#,##0\)"/>
    <numFmt numFmtId="165" formatCode="[$-10409]#0.0%;\-#0.0%"/>
    <numFmt numFmtId="166" formatCode="[$-10409]###0.0%;\(###0.0%\)"/>
    <numFmt numFmtId="167" formatCode="[$-10409]\$#,##0;\(\$#,##0\)"/>
    <numFmt numFmtId="168" formatCode="[$-10409]0"/>
    <numFmt numFmtId="169" formatCode="[$-10409]#,##0.0#%"/>
    <numFmt numFmtId="170" formatCode="[$-10409]#,##0;\-#,##0"/>
    <numFmt numFmtId="171" formatCode="[$-10409]&quot;$&quot;#,##0.00;\(&quot;$&quot;#,##0.00\)"/>
    <numFmt numFmtId="172" formatCode="[$-10409]&quot;$&quot;#,##0;\(&quot;$&quot;#,##0\)"/>
    <numFmt numFmtId="173" formatCode="[$-10409]0.0%;\(0.0%\)"/>
    <numFmt numFmtId="174" formatCode="[$-10409]###0%;\(###0%\)"/>
    <numFmt numFmtId="175" formatCode="[$-10409]#,##0;\(#,##0\);0"/>
    <numFmt numFmtId="176" formatCode="[$-10409]m/d/yyyy"/>
    <numFmt numFmtId="177" formatCode="[$-10409]0#;\-0#;0"/>
    <numFmt numFmtId="178" formatCode="[$-10409]0;\(0\);&quot;0&quot;"/>
  </numFmts>
  <fonts count="1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9"/>
      <color rgb="FF000000"/>
      <name val="Segoe UI"/>
    </font>
    <font>
      <i/>
      <sz val="10"/>
      <color rgb="FF000000"/>
      <name val="Arial"/>
    </font>
    <font>
      <sz val="9"/>
      <color rgb="FF000000"/>
      <name val="Arial"/>
    </font>
    <font>
      <i/>
      <sz val="10"/>
      <color rgb="FF000000"/>
      <name val="Segoe UI"/>
    </font>
    <font>
      <b/>
      <sz val="9"/>
      <color rgb="FF000000"/>
      <name val="Segoe U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Segoe UI"/>
    </font>
    <font>
      <b/>
      <sz val="8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1C717"/>
        <bgColor rgb="FF91C717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60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applyFont="1" applyAlignment="1">
      <alignment horizontal="left" wrapText="1" readingOrder="1"/>
    </xf>
    <xf numFmtId="0" fontId="7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8" fillId="2" borderId="2" xfId="0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vertical="top" wrapText="1" readingOrder="1"/>
    </xf>
    <xf numFmtId="164" fontId="9" fillId="3" borderId="3" xfId="0" applyNumberFormat="1" applyFont="1" applyFill="1" applyBorder="1" applyAlignment="1">
      <alignment vertical="top" wrapText="1" readingOrder="1"/>
    </xf>
    <xf numFmtId="165" fontId="9" fillId="3" borderId="4" xfId="0" applyNumberFormat="1" applyFont="1" applyFill="1" applyBorder="1" applyAlignment="1">
      <alignment vertical="top" wrapText="1" readingOrder="1"/>
    </xf>
    <xf numFmtId="0" fontId="9" fillId="0" borderId="3" xfId="0" applyFont="1" applyBorder="1" applyAlignment="1">
      <alignment vertical="top" wrapText="1" readingOrder="1"/>
    </xf>
    <xf numFmtId="166" fontId="9" fillId="0" borderId="3" xfId="0" applyNumberFormat="1" applyFont="1" applyBorder="1" applyAlignment="1">
      <alignment vertical="top" wrapText="1" readingOrder="1"/>
    </xf>
    <xf numFmtId="165" fontId="9" fillId="0" borderId="4" xfId="0" applyNumberFormat="1" applyFont="1" applyBorder="1" applyAlignment="1">
      <alignment vertical="top" wrapText="1" readingOrder="1"/>
    </xf>
    <xf numFmtId="164" fontId="9" fillId="0" borderId="3" xfId="0" applyNumberFormat="1" applyFont="1" applyBorder="1" applyAlignment="1">
      <alignment vertical="top" wrapText="1" readingOrder="1"/>
    </xf>
    <xf numFmtId="0" fontId="9" fillId="0" borderId="4" xfId="0" applyFont="1" applyBorder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6" fontId="9" fillId="3" borderId="3" xfId="0" applyNumberFormat="1" applyFont="1" applyFill="1" applyBorder="1" applyAlignment="1">
      <alignment vertical="top" wrapText="1" readingOrder="1"/>
    </xf>
    <xf numFmtId="0" fontId="9" fillId="3" borderId="4" xfId="0" applyFont="1" applyFill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167" fontId="9" fillId="3" borderId="3" xfId="0" applyNumberFormat="1" applyFont="1" applyFill="1" applyBorder="1" applyAlignment="1">
      <alignment vertical="top" wrapText="1" readingOrder="1"/>
    </xf>
    <xf numFmtId="167" fontId="9" fillId="0" borderId="3" xfId="0" applyNumberFormat="1" applyFont="1" applyBorder="1" applyAlignment="1">
      <alignment vertical="top" wrapText="1" readingOrder="1"/>
    </xf>
    <xf numFmtId="165" fontId="9" fillId="0" borderId="3" xfId="0" applyNumberFormat="1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8" fillId="2" borderId="5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wrapText="1" readingOrder="1"/>
    </xf>
    <xf numFmtId="0" fontId="9" fillId="4" borderId="0" xfId="0" applyFont="1" applyFill="1" applyAlignment="1">
      <alignment vertical="top" wrapText="1" readingOrder="1"/>
    </xf>
    <xf numFmtId="168" fontId="9" fillId="4" borderId="0" xfId="0" applyNumberFormat="1" applyFont="1" applyFill="1" applyAlignment="1">
      <alignment horizontal="center" vertical="top" wrapText="1" readingOrder="1"/>
    </xf>
    <xf numFmtId="169" fontId="9" fillId="4" borderId="0" xfId="0" applyNumberFormat="1" applyFont="1" applyFill="1" applyAlignment="1">
      <alignment horizontal="center" vertical="top" wrapText="1" readingOrder="1"/>
    </xf>
    <xf numFmtId="168" fontId="9" fillId="4" borderId="7" xfId="0" applyNumberFormat="1" applyFont="1" applyFill="1" applyBorder="1" applyAlignment="1">
      <alignment horizontal="center" vertical="top" wrapText="1" readingOrder="1"/>
    </xf>
    <xf numFmtId="0" fontId="9" fillId="4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vertical="top" wrapText="1" readingOrder="1"/>
    </xf>
    <xf numFmtId="168" fontId="9" fillId="3" borderId="0" xfId="0" applyNumberFormat="1" applyFont="1" applyFill="1" applyAlignment="1">
      <alignment horizontal="center" vertical="top" wrapText="1" readingOrder="1"/>
    </xf>
    <xf numFmtId="169" fontId="9" fillId="3" borderId="0" xfId="0" applyNumberFormat="1" applyFont="1" applyFill="1" applyAlignment="1">
      <alignment horizontal="center" vertical="top" wrapText="1" readingOrder="1"/>
    </xf>
    <xf numFmtId="168" fontId="9" fillId="3" borderId="7" xfId="0" applyNumberFormat="1" applyFont="1" applyFill="1" applyBorder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9" fillId="3" borderId="7" xfId="0" applyFont="1" applyFill="1" applyBorder="1" applyAlignment="1">
      <alignment horizontal="center" vertical="top" wrapText="1" readingOrder="1"/>
    </xf>
    <xf numFmtId="0" fontId="9" fillId="4" borderId="7" xfId="0" applyFont="1" applyFill="1" applyBorder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wrapText="1" readingOrder="1"/>
    </xf>
    <xf numFmtId="170" fontId="9" fillId="3" borderId="0" xfId="0" applyNumberFormat="1" applyFont="1" applyFill="1" applyAlignment="1">
      <alignment vertical="top" wrapText="1" readingOrder="1"/>
    </xf>
    <xf numFmtId="170" fontId="9" fillId="0" borderId="0" xfId="0" applyNumberFormat="1" applyFont="1" applyAlignment="1">
      <alignment vertical="top" wrapText="1" readingOrder="1"/>
    </xf>
    <xf numFmtId="171" fontId="9" fillId="3" borderId="0" xfId="0" applyNumberFormat="1" applyFont="1" applyFill="1" applyAlignment="1">
      <alignment vertical="top" wrapText="1" readingOrder="1"/>
    </xf>
    <xf numFmtId="171" fontId="9" fillId="0" borderId="0" xfId="0" applyNumberFormat="1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172" fontId="9" fillId="4" borderId="0" xfId="0" applyNumberFormat="1" applyFont="1" applyFill="1" applyAlignment="1">
      <alignment vertical="top" wrapText="1" readingOrder="1"/>
    </xf>
    <xf numFmtId="172" fontId="9" fillId="3" borderId="0" xfId="0" applyNumberFormat="1" applyFont="1" applyFill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9" fillId="0" borderId="0" xfId="0" applyFont="1" applyAlignment="1">
      <alignment vertical="top" wrapText="1" indent="2" readingOrder="1"/>
    </xf>
    <xf numFmtId="0" fontId="8" fillId="0" borderId="0" xfId="0" applyFont="1" applyAlignment="1">
      <alignment horizontal="right" vertical="top" wrapText="1" readingOrder="1"/>
    </xf>
    <xf numFmtId="0" fontId="8" fillId="3" borderId="9" xfId="0" applyFont="1" applyFill="1" applyBorder="1" applyAlignment="1">
      <alignment vertical="top" wrapText="1" readingOrder="1"/>
    </xf>
    <xf numFmtId="164" fontId="9" fillId="0" borderId="8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vertical="top" wrapText="1" indent="2" readingOrder="1"/>
    </xf>
    <xf numFmtId="164" fontId="8" fillId="0" borderId="8" xfId="0" applyNumberFormat="1" applyFont="1" applyBorder="1" applyAlignment="1">
      <alignment horizontal="right" vertical="top" wrapText="1" readingOrder="1"/>
    </xf>
    <xf numFmtId="164" fontId="8" fillId="3" borderId="2" xfId="0" applyNumberFormat="1" applyFont="1" applyFill="1" applyBorder="1" applyAlignment="1">
      <alignment horizontal="right" vertical="top" wrapText="1" readingOrder="1"/>
    </xf>
    <xf numFmtId="0" fontId="8" fillId="2" borderId="5" xfId="0" applyFont="1" applyFill="1" applyBorder="1" applyAlignment="1">
      <alignment horizontal="right" vertical="top" wrapText="1" readingOrder="1"/>
    </xf>
    <xf numFmtId="0" fontId="13" fillId="0" borderId="0" xfId="0" applyFont="1" applyAlignment="1">
      <alignment horizontal="right" vertical="top" wrapText="1" readingOrder="1"/>
    </xf>
    <xf numFmtId="0" fontId="8" fillId="0" borderId="7" xfId="0" applyFont="1" applyBorder="1" applyAlignment="1">
      <alignment vertical="top" wrapText="1" readingOrder="1"/>
    </xf>
    <xf numFmtId="164" fontId="13" fillId="0" borderId="7" xfId="0" applyNumberFormat="1" applyFont="1" applyBorder="1" applyAlignment="1">
      <alignment horizontal="right" vertical="top" wrapText="1" readingOrder="1"/>
    </xf>
    <xf numFmtId="173" fontId="13" fillId="0" borderId="7" xfId="0" applyNumberFormat="1" applyFont="1" applyBorder="1" applyAlignment="1">
      <alignment horizontal="right" vertical="top" wrapText="1" readingOrder="1"/>
    </xf>
    <xf numFmtId="0" fontId="15" fillId="0" borderId="0" xfId="0" applyFont="1" applyAlignment="1">
      <alignment horizontal="right" vertical="top" wrapText="1" readingOrder="1"/>
    </xf>
    <xf numFmtId="0" fontId="9" fillId="0" borderId="7" xfId="0" applyFont="1" applyBorder="1" applyAlignment="1">
      <alignment vertical="top" wrapText="1" indent="2" readingOrder="1"/>
    </xf>
    <xf numFmtId="164" fontId="15" fillId="0" borderId="7" xfId="0" applyNumberFormat="1" applyFont="1" applyBorder="1" applyAlignment="1">
      <alignment horizontal="right" vertical="top" wrapText="1" readingOrder="1"/>
    </xf>
    <xf numFmtId="0" fontId="8" fillId="0" borderId="7" xfId="0" applyFont="1" applyBorder="1" applyAlignment="1">
      <alignment vertical="top" wrapText="1" indent="2" readingOrder="1"/>
    </xf>
    <xf numFmtId="164" fontId="8" fillId="0" borderId="7" xfId="0" applyNumberFormat="1" applyFont="1" applyBorder="1" applyAlignment="1">
      <alignment horizontal="right" vertical="top" wrapText="1" readingOrder="1"/>
    </xf>
    <xf numFmtId="164" fontId="9" fillId="0" borderId="7" xfId="0" applyNumberFormat="1" applyFont="1" applyBorder="1" applyAlignment="1">
      <alignment horizontal="right" vertical="top" wrapText="1" readingOrder="1"/>
    </xf>
    <xf numFmtId="0" fontId="8" fillId="3" borderId="10" xfId="0" applyFont="1" applyFill="1" applyBorder="1" applyAlignment="1">
      <alignment vertical="top" wrapText="1" readingOrder="1"/>
    </xf>
    <xf numFmtId="164" fontId="8" fillId="3" borderId="10" xfId="0" applyNumberFormat="1" applyFont="1" applyFill="1" applyBorder="1" applyAlignment="1">
      <alignment horizontal="right" vertical="top" wrapText="1" readingOrder="1"/>
    </xf>
    <xf numFmtId="0" fontId="8" fillId="0" borderId="11" xfId="0" applyFont="1" applyBorder="1" applyAlignment="1">
      <alignment horizontal="center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0" fontId="8" fillId="0" borderId="6" xfId="0" applyFont="1" applyBorder="1" applyAlignment="1">
      <alignment horizontal="center" vertical="top" wrapText="1" readingOrder="1"/>
    </xf>
    <xf numFmtId="164" fontId="9" fillId="0" borderId="12" xfId="0" applyNumberFormat="1" applyFont="1" applyBorder="1" applyAlignment="1">
      <alignment horizontal="right" vertical="top" wrapText="1" readingOrder="1"/>
    </xf>
    <xf numFmtId="164" fontId="9" fillId="0" borderId="0" xfId="0" applyNumberFormat="1" applyFont="1" applyAlignment="1">
      <alignment horizontal="right" vertical="top" wrapText="1" readingOrder="1"/>
    </xf>
    <xf numFmtId="174" fontId="9" fillId="0" borderId="0" xfId="0" applyNumberFormat="1" applyFont="1" applyAlignment="1">
      <alignment horizontal="right" vertical="top" wrapText="1" readingOrder="1"/>
    </xf>
    <xf numFmtId="174" fontId="9" fillId="0" borderId="7" xfId="0" applyNumberFormat="1" applyFont="1" applyBorder="1" applyAlignment="1">
      <alignment horizontal="right" vertical="top" wrapText="1" readingOrder="1"/>
    </xf>
    <xf numFmtId="164" fontId="8" fillId="0" borderId="12" xfId="0" applyNumberFormat="1" applyFont="1" applyBorder="1" applyAlignment="1">
      <alignment horizontal="right" vertical="top" wrapText="1" readingOrder="1"/>
    </xf>
    <xf numFmtId="164" fontId="8" fillId="0" borderId="0" xfId="0" applyNumberFormat="1" applyFont="1" applyAlignment="1">
      <alignment horizontal="right" vertical="top" wrapText="1" readingOrder="1"/>
    </xf>
    <xf numFmtId="174" fontId="8" fillId="0" borderId="0" xfId="0" applyNumberFormat="1" applyFont="1" applyAlignment="1">
      <alignment horizontal="right" vertical="top" wrapText="1" readingOrder="1"/>
    </xf>
    <xf numFmtId="164" fontId="8" fillId="3" borderId="13" xfId="0" applyNumberFormat="1" applyFont="1" applyFill="1" applyBorder="1" applyAlignment="1">
      <alignment horizontal="right" vertical="top" wrapText="1" readingOrder="1"/>
    </xf>
    <xf numFmtId="164" fontId="8" fillId="3" borderId="9" xfId="0" applyNumberFormat="1" applyFont="1" applyFill="1" applyBorder="1" applyAlignment="1">
      <alignment horizontal="right" vertical="top" wrapText="1" readingOrder="1"/>
    </xf>
    <xf numFmtId="174" fontId="8" fillId="3" borderId="9" xfId="0" applyNumberFormat="1" applyFont="1" applyFill="1" applyBorder="1" applyAlignment="1">
      <alignment horizontal="right" vertical="top" wrapText="1" readingOrder="1"/>
    </xf>
    <xf numFmtId="174" fontId="9" fillId="3" borderId="9" xfId="0" applyNumberFormat="1" applyFont="1" applyFill="1" applyBorder="1" applyAlignment="1">
      <alignment horizontal="right" vertical="top" wrapText="1" readingOrder="1"/>
    </xf>
    <xf numFmtId="174" fontId="9" fillId="3" borderId="10" xfId="0" applyNumberFormat="1" applyFont="1" applyFill="1" applyBorder="1" applyAlignment="1">
      <alignment horizontal="right" vertical="top" wrapText="1" readingOrder="1"/>
    </xf>
    <xf numFmtId="174" fontId="8" fillId="3" borderId="10" xfId="0" applyNumberFormat="1" applyFont="1" applyFill="1" applyBorder="1" applyAlignment="1">
      <alignment horizontal="right" vertical="top" wrapText="1" readingOrder="1"/>
    </xf>
    <xf numFmtId="175" fontId="9" fillId="0" borderId="0" xfId="0" applyNumberFormat="1" applyFont="1" applyAlignment="1">
      <alignment horizontal="right" vertical="top" wrapText="1" readingOrder="1"/>
    </xf>
    <xf numFmtId="174" fontId="10" fillId="0" borderId="0" xfId="0" applyNumberFormat="1" applyFont="1" applyAlignment="1">
      <alignment horizontal="right" vertical="top" wrapText="1" readingOrder="1"/>
    </xf>
    <xf numFmtId="174" fontId="10" fillId="0" borderId="7" xfId="0" applyNumberFormat="1" applyFont="1" applyBorder="1" applyAlignment="1">
      <alignment horizontal="right" vertical="top" wrapText="1" readingOrder="1"/>
    </xf>
    <xf numFmtId="175" fontId="8" fillId="0" borderId="0" xfId="0" applyNumberFormat="1" applyFont="1" applyAlignment="1">
      <alignment horizontal="right" vertical="top" wrapText="1" readingOrder="1"/>
    </xf>
    <xf numFmtId="174" fontId="14" fillId="0" borderId="0" xfId="0" applyNumberFormat="1" applyFont="1" applyAlignment="1">
      <alignment horizontal="right" vertical="top" wrapText="1" readingOrder="1"/>
    </xf>
    <xf numFmtId="174" fontId="14" fillId="0" borderId="7" xfId="0" applyNumberFormat="1" applyFont="1" applyBorder="1" applyAlignment="1">
      <alignment horizontal="right" vertical="top" wrapText="1" readingOrder="1"/>
    </xf>
    <xf numFmtId="175" fontId="8" fillId="3" borderId="9" xfId="0" applyNumberFormat="1" applyFont="1" applyFill="1" applyBorder="1" applyAlignment="1">
      <alignment horizontal="right" vertical="top" wrapText="1" readingOrder="1"/>
    </xf>
    <xf numFmtId="174" fontId="14" fillId="3" borderId="9" xfId="0" applyNumberFormat="1" applyFont="1" applyFill="1" applyBorder="1" applyAlignment="1">
      <alignment horizontal="right" vertical="top" wrapText="1" readingOrder="1"/>
    </xf>
    <xf numFmtId="175" fontId="8" fillId="3" borderId="0" xfId="0" applyNumberFormat="1" applyFont="1" applyFill="1" applyAlignment="1">
      <alignment horizontal="right" vertical="top" wrapText="1" readingOrder="1"/>
    </xf>
    <xf numFmtId="174" fontId="14" fillId="3" borderId="10" xfId="0" applyNumberFormat="1" applyFont="1" applyFill="1" applyBorder="1" applyAlignment="1">
      <alignment horizontal="right" vertical="top" wrapText="1" readingOrder="1"/>
    </xf>
    <xf numFmtId="164" fontId="14" fillId="3" borderId="13" xfId="0" applyNumberFormat="1" applyFont="1" applyFill="1" applyBorder="1" applyAlignment="1">
      <alignment horizontal="right" vertical="top" wrapText="1" readingOrder="1"/>
    </xf>
    <xf numFmtId="164" fontId="14" fillId="3" borderId="9" xfId="0" applyNumberFormat="1" applyFont="1" applyFill="1" applyBorder="1" applyAlignment="1">
      <alignment horizontal="right" vertical="top" wrapText="1" readingOrder="1"/>
    </xf>
    <xf numFmtId="174" fontId="8" fillId="0" borderId="7" xfId="0" applyNumberFormat="1" applyFont="1" applyBorder="1" applyAlignment="1">
      <alignment horizontal="right" vertical="top" wrapText="1" readingOrder="1"/>
    </xf>
    <xf numFmtId="0" fontId="9" fillId="4" borderId="3" xfId="0" applyFont="1" applyFill="1" applyBorder="1" applyAlignment="1">
      <alignment vertical="top" wrapText="1" readingOrder="1"/>
    </xf>
    <xf numFmtId="0" fontId="14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left" wrapText="1" readingOrder="1"/>
    </xf>
    <xf numFmtId="0" fontId="5" fillId="4" borderId="14" xfId="0" applyFont="1" applyFill="1" applyBorder="1" applyAlignment="1">
      <alignment vertical="top" wrapText="1" readingOrder="1"/>
    </xf>
    <xf numFmtId="0" fontId="5" fillId="4" borderId="14" xfId="0" applyFont="1" applyFill="1" applyBorder="1" applyAlignment="1">
      <alignment horizontal="left" vertical="top" wrapText="1" readingOrder="1"/>
    </xf>
    <xf numFmtId="176" fontId="5" fillId="4" borderId="14" xfId="0" applyNumberFormat="1" applyFont="1" applyFill="1" applyBorder="1" applyAlignment="1">
      <alignment horizontal="left" vertical="top" wrapText="1" readingOrder="1"/>
    </xf>
    <xf numFmtId="170" fontId="5" fillId="4" borderId="14" xfId="0" applyNumberFormat="1" applyFont="1" applyFill="1" applyBorder="1" applyAlignment="1">
      <alignment vertical="top" wrapText="1" readingOrder="1"/>
    </xf>
    <xf numFmtId="0" fontId="5" fillId="3" borderId="14" xfId="0" applyFont="1" applyFill="1" applyBorder="1" applyAlignment="1">
      <alignment vertical="top" wrapText="1" readingOrder="1"/>
    </xf>
    <xf numFmtId="0" fontId="5" fillId="3" borderId="14" xfId="0" applyFont="1" applyFill="1" applyBorder="1" applyAlignment="1">
      <alignment horizontal="left" vertical="top" wrapText="1" readingOrder="1"/>
    </xf>
    <xf numFmtId="176" fontId="5" fillId="3" borderId="14" xfId="0" applyNumberFormat="1" applyFont="1" applyFill="1" applyBorder="1" applyAlignment="1">
      <alignment horizontal="left" vertical="top" wrapText="1" readingOrder="1"/>
    </xf>
    <xf numFmtId="170" fontId="5" fillId="3" borderId="14" xfId="0" applyNumberFormat="1" applyFont="1" applyFill="1" applyBorder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8" fillId="2" borderId="3" xfId="0" applyFont="1" applyFill="1" applyBorder="1" applyAlignment="1">
      <alignment horizontal="left" wrapText="1" readingOrder="1"/>
    </xf>
    <xf numFmtId="177" fontId="9" fillId="4" borderId="3" xfId="0" applyNumberFormat="1" applyFont="1" applyFill="1" applyBorder="1" applyAlignment="1">
      <alignment horizontal="right" vertical="top" wrapText="1" readingOrder="1"/>
    </xf>
    <xf numFmtId="0" fontId="9" fillId="4" borderId="3" xfId="0" applyFont="1" applyFill="1" applyBorder="1" applyAlignment="1">
      <alignment horizontal="right" vertical="top" wrapText="1" readingOrder="1"/>
    </xf>
    <xf numFmtId="170" fontId="9" fillId="4" borderId="3" xfId="0" applyNumberFormat="1" applyFont="1" applyFill="1" applyBorder="1" applyAlignment="1">
      <alignment horizontal="right" vertical="top" wrapText="1" readingOrder="1"/>
    </xf>
    <xf numFmtId="178" fontId="9" fillId="4" borderId="3" xfId="0" applyNumberFormat="1" applyFont="1" applyFill="1" applyBorder="1" applyAlignment="1">
      <alignment horizontal="right" vertical="top" wrapText="1" readingOrder="1"/>
    </xf>
    <xf numFmtId="177" fontId="9" fillId="3" borderId="3" xfId="0" applyNumberFormat="1" applyFont="1" applyFill="1" applyBorder="1" applyAlignment="1">
      <alignment horizontal="right" vertical="top" wrapText="1" readingOrder="1"/>
    </xf>
    <xf numFmtId="0" fontId="9" fillId="3" borderId="3" xfId="0" applyFont="1" applyFill="1" applyBorder="1" applyAlignment="1">
      <alignment horizontal="right" vertical="top" wrapText="1" readingOrder="1"/>
    </xf>
    <xf numFmtId="170" fontId="9" fillId="3" borderId="3" xfId="0" applyNumberFormat="1" applyFont="1" applyFill="1" applyBorder="1" applyAlignment="1">
      <alignment horizontal="right" vertical="top" wrapText="1" readingOrder="1"/>
    </xf>
    <xf numFmtId="178" fontId="9" fillId="3" borderId="3" xfId="0" applyNumberFormat="1" applyFont="1" applyFill="1" applyBorder="1" applyAlignment="1">
      <alignment horizontal="righ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9" fillId="4" borderId="0" xfId="0" applyFont="1" applyFill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8" fillId="2" borderId="5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wrapText="1" readingOrder="1"/>
    </xf>
    <xf numFmtId="172" fontId="9" fillId="3" borderId="0" xfId="0" applyNumberFormat="1" applyFont="1" applyFill="1" applyAlignment="1">
      <alignment vertical="top" wrapText="1" readingOrder="1"/>
    </xf>
    <xf numFmtId="0" fontId="9" fillId="4" borderId="1" xfId="0" applyFont="1" applyFill="1" applyBorder="1" applyAlignment="1">
      <alignment vertical="top" wrapText="1" readingOrder="1"/>
    </xf>
    <xf numFmtId="171" fontId="9" fillId="4" borderId="1" xfId="0" applyNumberFormat="1" applyFont="1" applyFill="1" applyBorder="1" applyAlignment="1">
      <alignment vertical="top" wrapText="1" readingOrder="1"/>
    </xf>
    <xf numFmtId="172" fontId="9" fillId="4" borderId="0" xfId="0" applyNumberFormat="1" applyFont="1" applyFill="1" applyAlignment="1">
      <alignment vertical="top" wrapText="1" readingOrder="1"/>
    </xf>
    <xf numFmtId="0" fontId="9" fillId="3" borderId="1" xfId="0" applyFont="1" applyFill="1" applyBorder="1" applyAlignment="1">
      <alignment vertical="top" wrapText="1" readingOrder="1"/>
    </xf>
    <xf numFmtId="171" fontId="9" fillId="3" borderId="1" xfId="0" applyNumberFormat="1" applyFont="1" applyFill="1" applyBorder="1" applyAlignment="1">
      <alignment vertical="top" wrapText="1" readingOrder="1"/>
    </xf>
    <xf numFmtId="0" fontId="9" fillId="3" borderId="0" xfId="0" applyFont="1" applyFill="1" applyAlignment="1">
      <alignment vertical="top" wrapText="1" readingOrder="1"/>
    </xf>
    <xf numFmtId="0" fontId="9" fillId="4" borderId="0" xfId="0" applyFont="1" applyFill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170" fontId="9" fillId="3" borderId="0" xfId="0" applyNumberFormat="1" applyFont="1" applyFill="1" applyAlignment="1">
      <alignment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12" fillId="3" borderId="0" xfId="0" applyFont="1" applyFill="1" applyAlignment="1">
      <alignment vertical="top" wrapText="1" readingOrder="1"/>
    </xf>
    <xf numFmtId="170" fontId="9" fillId="3" borderId="8" xfId="0" applyNumberFormat="1" applyFont="1" applyFill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171" fontId="9" fillId="3" borderId="0" xfId="0" applyNumberFormat="1" applyFont="1" applyFill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171" fontId="9" fillId="0" borderId="8" xfId="0" applyNumberFormat="1" applyFont="1" applyBorder="1" applyAlignment="1">
      <alignment vertical="top" wrapText="1" readingOrder="1"/>
    </xf>
    <xf numFmtId="171" fontId="9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71" fontId="9" fillId="3" borderId="8" xfId="0" applyNumberFormat="1" applyFont="1" applyFill="1" applyBorder="1" applyAlignment="1">
      <alignment vertical="top" wrapText="1" readingOrder="1"/>
    </xf>
    <xf numFmtId="170" fontId="9" fillId="0" borderId="8" xfId="0" applyNumberFormat="1" applyFont="1" applyBorder="1" applyAlignment="1">
      <alignment vertical="top" wrapText="1" readingOrder="1"/>
    </xf>
    <xf numFmtId="170" fontId="9" fillId="0" borderId="0" xfId="0" applyNumberFormat="1" applyFont="1" applyAlignment="1">
      <alignment vertical="top" wrapText="1" readingOrder="1"/>
    </xf>
    <xf numFmtId="0" fontId="8" fillId="2" borderId="1" xfId="0" applyFont="1" applyFill="1" applyBorder="1" applyAlignment="1">
      <alignment horizontal="center" wrapText="1" readingOrder="1"/>
    </xf>
    <xf numFmtId="0" fontId="2" fillId="0" borderId="0" xfId="0" applyFont="1" applyAlignment="1">
      <alignment wrapText="1" readingOrder="1"/>
    </xf>
    <xf numFmtId="0" fontId="4" fillId="0" borderId="0" xfId="0" applyFont="1" applyAlignment="1">
      <alignment wrapText="1" readingOrder="1"/>
    </xf>
    <xf numFmtId="0" fontId="6" fillId="0" borderId="0" xfId="0" applyFont="1" applyAlignment="1">
      <alignment vertical="top" wrapText="1" readingOrder="1"/>
    </xf>
    <xf numFmtId="10" fontId="15" fillId="0" borderId="7" xfId="0" applyNumberFormat="1" applyFont="1" applyBorder="1" applyAlignment="1">
      <alignment horizontal="right" vertical="top" wrapText="1" readingOrder="1"/>
    </xf>
    <xf numFmtId="8" fontId="1" fillId="0" borderId="0" xfId="0" applyNumberFormat="1" applyFon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91C717"/>
      <rgbColor rgb="0069696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555253</xdr:colOff>
      <xdr:row>1</xdr:row>
      <xdr:rowOff>240692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514941</xdr:colOff>
      <xdr:row>1</xdr:row>
      <xdr:rowOff>227978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500439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473784</xdr:colOff>
      <xdr:row>1</xdr:row>
      <xdr:rowOff>215268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85039</xdr:colOff>
      <xdr:row>1</xdr:row>
      <xdr:rowOff>279400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471406</xdr:colOff>
      <xdr:row>1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502561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75"/>
  <sheetViews>
    <sheetView showGridLines="0" workbookViewId="0">
      <selection activeCell="Q27" sqref="K27:Q27"/>
    </sheetView>
  </sheetViews>
  <sheetFormatPr defaultRowHeight="14.4" x14ac:dyDescent="0.3"/>
  <cols>
    <col min="1" max="1" width="2.5546875" customWidth="1"/>
    <col min="2" max="2" width="38.6640625" customWidth="1"/>
    <col min="3" max="17" width="10.33203125" customWidth="1"/>
    <col min="18" max="18" width="11" customWidth="1"/>
    <col min="19" max="19" width="171" customWidth="1"/>
  </cols>
  <sheetData>
    <row r="1" spans="2:18" ht="3.75" customHeight="1" x14ac:dyDescent="0.3"/>
    <row r="2" spans="2:18" ht="19.95" customHeight="1" x14ac:dyDescent="0.3">
      <c r="C2" s="121" t="s">
        <v>0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2:18" x14ac:dyDescent="0.3">
      <c r="B3" s="1" t="s">
        <v>1</v>
      </c>
      <c r="C3" s="122" t="s">
        <v>2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2:18" x14ac:dyDescent="0.3">
      <c r="B4" s="2" t="s">
        <v>3</v>
      </c>
      <c r="C4" s="121" t="s">
        <v>4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2:18" x14ac:dyDescent="0.3">
      <c r="B5" s="3" t="s">
        <v>5</v>
      </c>
      <c r="C5" s="123" t="s">
        <v>4</v>
      </c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</row>
    <row r="6" spans="2:18" x14ac:dyDescent="0.3">
      <c r="B6" s="4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  <c r="Q6" s="5" t="s">
        <v>21</v>
      </c>
      <c r="R6" s="6" t="s">
        <v>22</v>
      </c>
    </row>
    <row r="7" spans="2:18" x14ac:dyDescent="0.3">
      <c r="B7" s="7" t="s">
        <v>23</v>
      </c>
      <c r="C7" s="8">
        <v>792</v>
      </c>
      <c r="D7" s="8">
        <v>792</v>
      </c>
      <c r="E7" s="8">
        <v>499</v>
      </c>
      <c r="F7" s="8">
        <v>542</v>
      </c>
      <c r="G7" s="8">
        <v>564</v>
      </c>
      <c r="H7" s="8">
        <v>551</v>
      </c>
      <c r="I7" s="8">
        <v>551</v>
      </c>
      <c r="J7" s="8">
        <v>551</v>
      </c>
      <c r="K7" s="8">
        <v>551</v>
      </c>
      <c r="L7" s="8">
        <v>550</v>
      </c>
      <c r="M7" s="8">
        <v>550</v>
      </c>
      <c r="N7" s="8">
        <v>550</v>
      </c>
      <c r="O7" s="8">
        <v>552</v>
      </c>
      <c r="P7" s="8">
        <v>552</v>
      </c>
      <c r="Q7" s="8">
        <v>598</v>
      </c>
      <c r="R7" s="9">
        <v>0.19839679358717399</v>
      </c>
    </row>
    <row r="8" spans="2:18" x14ac:dyDescent="0.3">
      <c r="B8" s="10" t="s">
        <v>24</v>
      </c>
      <c r="C8" s="11">
        <v>0.68813131313131304</v>
      </c>
      <c r="D8" s="11">
        <v>0.62626262626262597</v>
      </c>
      <c r="E8" s="11">
        <v>0.96993987975951901</v>
      </c>
      <c r="F8" s="11">
        <v>0.87269372693726899</v>
      </c>
      <c r="G8" s="11">
        <v>0.81205673758865204</v>
      </c>
      <c r="H8" s="11">
        <v>0.80762250453720497</v>
      </c>
      <c r="I8" s="11">
        <v>0.79854809437386598</v>
      </c>
      <c r="J8" s="11">
        <v>0.79854809437386598</v>
      </c>
      <c r="K8" s="11">
        <v>0.81488203266787695</v>
      </c>
      <c r="L8" s="11">
        <v>0.81818181818181801</v>
      </c>
      <c r="M8" s="11">
        <v>0.84181818181818202</v>
      </c>
      <c r="N8" s="11">
        <v>0.90363636363636402</v>
      </c>
      <c r="O8" s="11">
        <v>0.94565217391304301</v>
      </c>
      <c r="P8" s="11">
        <v>0.92934782608695699</v>
      </c>
      <c r="Q8" s="11">
        <v>0.86120401337792596</v>
      </c>
      <c r="R8" s="12">
        <v>-0.112105779595898</v>
      </c>
    </row>
    <row r="9" spans="2:18" x14ac:dyDescent="0.3">
      <c r="B9" s="10" t="s">
        <v>25</v>
      </c>
      <c r="C9" s="13">
        <v>230</v>
      </c>
      <c r="D9" s="13">
        <v>276</v>
      </c>
      <c r="E9" s="13">
        <v>1</v>
      </c>
      <c r="F9" s="13">
        <v>0</v>
      </c>
      <c r="G9" s="13">
        <v>2</v>
      </c>
      <c r="H9" s="13">
        <v>0</v>
      </c>
      <c r="I9" s="13">
        <v>0</v>
      </c>
      <c r="J9" s="13">
        <v>0</v>
      </c>
      <c r="K9" s="13">
        <v>1</v>
      </c>
      <c r="L9" s="13">
        <v>1</v>
      </c>
      <c r="M9" s="13">
        <v>0</v>
      </c>
      <c r="N9" s="13">
        <v>0</v>
      </c>
      <c r="O9" s="13">
        <v>2</v>
      </c>
      <c r="P9" s="13">
        <v>1</v>
      </c>
      <c r="Q9" s="13">
        <v>0</v>
      </c>
      <c r="R9" s="12">
        <v>-1</v>
      </c>
    </row>
    <row r="10" spans="2:18" x14ac:dyDescent="0.3">
      <c r="B10" s="10" t="s">
        <v>26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4"/>
    </row>
    <row r="11" spans="2:18" x14ac:dyDescent="0.3">
      <c r="B11" s="10" t="s">
        <v>27</v>
      </c>
      <c r="C11" s="13">
        <v>0</v>
      </c>
      <c r="D11" s="13">
        <v>1</v>
      </c>
      <c r="E11" s="13">
        <v>0</v>
      </c>
      <c r="F11" s="13">
        <v>1</v>
      </c>
      <c r="G11" s="13">
        <v>0</v>
      </c>
      <c r="H11" s="13">
        <v>1</v>
      </c>
      <c r="I11" s="13">
        <v>1</v>
      </c>
      <c r="J11" s="13">
        <v>0</v>
      </c>
      <c r="K11" s="13">
        <v>2</v>
      </c>
      <c r="L11" s="13">
        <v>0</v>
      </c>
      <c r="M11" s="13">
        <v>2</v>
      </c>
      <c r="N11" s="13">
        <v>4</v>
      </c>
      <c r="O11" s="13">
        <v>0</v>
      </c>
      <c r="P11" s="13">
        <v>1</v>
      </c>
      <c r="Q11" s="13">
        <v>3</v>
      </c>
      <c r="R11" s="14"/>
    </row>
    <row r="12" spans="2:18" x14ac:dyDescent="0.3">
      <c r="B12" s="15" t="s">
        <v>4</v>
      </c>
      <c r="C12" s="15" t="s">
        <v>4</v>
      </c>
      <c r="D12" s="15" t="s">
        <v>4</v>
      </c>
      <c r="E12" s="15" t="s">
        <v>4</v>
      </c>
      <c r="F12" s="15" t="s">
        <v>4</v>
      </c>
      <c r="G12" s="15" t="s">
        <v>4</v>
      </c>
      <c r="H12" s="15" t="s">
        <v>4</v>
      </c>
      <c r="I12" s="15" t="s">
        <v>4</v>
      </c>
      <c r="J12" s="15" t="s">
        <v>4</v>
      </c>
      <c r="K12" s="15" t="s">
        <v>4</v>
      </c>
      <c r="L12" s="15" t="s">
        <v>4</v>
      </c>
      <c r="M12" s="15" t="s">
        <v>4</v>
      </c>
      <c r="N12" s="15" t="s">
        <v>4</v>
      </c>
      <c r="O12" s="15" t="s">
        <v>4</v>
      </c>
      <c r="P12" s="15" t="s">
        <v>4</v>
      </c>
      <c r="Q12" s="15" t="s">
        <v>4</v>
      </c>
      <c r="R12" s="15" t="s">
        <v>4</v>
      </c>
    </row>
    <row r="13" spans="2:18" x14ac:dyDescent="0.3">
      <c r="B13" s="7" t="s">
        <v>28</v>
      </c>
      <c r="C13" s="16">
        <v>0.74702010675442498</v>
      </c>
      <c r="D13" s="16">
        <v>0.69798731789541302</v>
      </c>
      <c r="E13" s="16">
        <v>0.968039822946276</v>
      </c>
      <c r="F13" s="16">
        <v>0.90565303713243195</v>
      </c>
      <c r="G13" s="16">
        <v>0.84205488671203199</v>
      </c>
      <c r="H13" s="16">
        <v>0.89579554822753504</v>
      </c>
      <c r="I13" s="16">
        <v>0.89056786770767704</v>
      </c>
      <c r="J13" s="16">
        <v>0.89416316754104397</v>
      </c>
      <c r="K13" s="16">
        <v>0.90274531860629703</v>
      </c>
      <c r="L13" s="16">
        <v>0.90085475060880404</v>
      </c>
      <c r="M13" s="16">
        <v>0.90388067802271199</v>
      </c>
      <c r="N13" s="16">
        <v>0.93681384684487101</v>
      </c>
      <c r="O13" s="16">
        <v>0.95837343599614999</v>
      </c>
      <c r="P13" s="16">
        <v>0.95070363719881401</v>
      </c>
      <c r="Q13" s="16">
        <v>0.93853858177031901</v>
      </c>
      <c r="R13" s="9">
        <v>-3.0475235085027901E-2</v>
      </c>
    </row>
    <row r="14" spans="2:18" x14ac:dyDescent="0.3">
      <c r="B14" s="10" t="s">
        <v>29</v>
      </c>
      <c r="C14" s="10" t="s">
        <v>4</v>
      </c>
      <c r="D14" s="10" t="s">
        <v>4</v>
      </c>
      <c r="E14" s="10" t="s">
        <v>4</v>
      </c>
      <c r="F14" s="10" t="s">
        <v>4</v>
      </c>
      <c r="G14" s="10" t="s">
        <v>4</v>
      </c>
      <c r="H14" s="10" t="s">
        <v>4</v>
      </c>
      <c r="I14" s="10" t="s">
        <v>4</v>
      </c>
      <c r="J14" s="10" t="s">
        <v>4</v>
      </c>
      <c r="K14" s="10" t="s">
        <v>4</v>
      </c>
      <c r="L14" s="10" t="s">
        <v>4</v>
      </c>
      <c r="M14" s="10" t="s">
        <v>4</v>
      </c>
      <c r="N14" s="10" t="s">
        <v>4</v>
      </c>
      <c r="O14" s="10" t="s">
        <v>4</v>
      </c>
      <c r="P14" s="10" t="s">
        <v>4</v>
      </c>
      <c r="Q14" s="10" t="s">
        <v>4</v>
      </c>
      <c r="R14" s="14" t="s">
        <v>4</v>
      </c>
    </row>
    <row r="15" spans="2:18" x14ac:dyDescent="0.3">
      <c r="B15" s="10" t="s">
        <v>30</v>
      </c>
      <c r="C15" s="11">
        <v>0.90037609026166299</v>
      </c>
      <c r="D15" s="11">
        <v>0.90613747299351799</v>
      </c>
      <c r="E15" s="11">
        <v>0.91157877890693795</v>
      </c>
      <c r="F15" s="11">
        <v>0.90549731935664601</v>
      </c>
      <c r="G15" s="11">
        <v>0.83051535236034102</v>
      </c>
      <c r="H15" s="11">
        <v>0.94917296108614602</v>
      </c>
      <c r="I15" s="11">
        <v>0.94641935175447001</v>
      </c>
      <c r="J15" s="11">
        <v>0.94918850719733905</v>
      </c>
      <c r="K15" s="11">
        <v>0.95759974001643999</v>
      </c>
      <c r="L15" s="11">
        <v>0.94679895241918499</v>
      </c>
      <c r="M15" s="11">
        <v>0.931608459534637</v>
      </c>
      <c r="N15" s="11">
        <v>0.93478740783257497</v>
      </c>
      <c r="O15" s="11">
        <v>0.93478740783257497</v>
      </c>
      <c r="P15" s="11">
        <v>0.94432425272638998</v>
      </c>
      <c r="Q15" s="11">
        <v>0.94862907854651402</v>
      </c>
      <c r="R15" s="12">
        <v>4.0644100649209002E-2</v>
      </c>
    </row>
    <row r="16" spans="2:18" x14ac:dyDescent="0.3">
      <c r="B16" s="10" t="s">
        <v>31</v>
      </c>
      <c r="C16" s="11">
        <v>0.69569060181589304</v>
      </c>
      <c r="D16" s="11">
        <v>0.62831775450625404</v>
      </c>
      <c r="E16" s="11">
        <v>0.99890636278133804</v>
      </c>
      <c r="F16" s="11">
        <v>0.90573158425832501</v>
      </c>
      <c r="G16" s="11">
        <v>0.84533113155014505</v>
      </c>
      <c r="H16" s="11">
        <v>0.84085809879944895</v>
      </c>
      <c r="I16" s="11">
        <v>0.83308403857508395</v>
      </c>
      <c r="J16" s="11">
        <v>0.83751230072820304</v>
      </c>
      <c r="K16" s="11">
        <v>0.84627041920881696</v>
      </c>
      <c r="L16" s="11">
        <v>0.85350669818754898</v>
      </c>
      <c r="M16" s="11">
        <v>0.87901405662245102</v>
      </c>
      <c r="N16" s="11">
        <v>0.938633885198771</v>
      </c>
      <c r="O16" s="11">
        <v>0.97961821435673102</v>
      </c>
      <c r="P16" s="11">
        <v>0.95642701525054497</v>
      </c>
      <c r="Q16" s="11">
        <v>0.92974013474494699</v>
      </c>
      <c r="R16" s="12">
        <v>-6.9241953613956103E-2</v>
      </c>
    </row>
    <row r="17" spans="2:18" x14ac:dyDescent="0.3">
      <c r="B17" s="10" t="s">
        <v>32</v>
      </c>
      <c r="C17" s="11">
        <v>0.56304634418416</v>
      </c>
      <c r="D17" s="11">
        <v>0.48980833586857297</v>
      </c>
      <c r="E17" s="11">
        <v>1</v>
      </c>
      <c r="F17" s="11">
        <v>0.89669468639458405</v>
      </c>
      <c r="G17" s="11">
        <v>0.78413637154287696</v>
      </c>
      <c r="H17" s="11">
        <v>0.85661722433022902</v>
      </c>
      <c r="I17" s="11">
        <v>0.85182630025679396</v>
      </c>
      <c r="J17" s="11">
        <v>0.838411712851175</v>
      </c>
      <c r="K17" s="11">
        <v>0.84492736959104697</v>
      </c>
      <c r="L17" s="11">
        <v>0.86198305929247598</v>
      </c>
      <c r="M17" s="11">
        <v>0.88497949484496596</v>
      </c>
      <c r="N17" s="11">
        <v>0.93407688474953099</v>
      </c>
      <c r="O17" s="11">
        <v>0.98072920681415199</v>
      </c>
      <c r="P17" s="11">
        <v>0.95697238583339705</v>
      </c>
      <c r="Q17" s="11">
        <v>0.91125117728030103</v>
      </c>
      <c r="R17" s="12">
        <v>-8.8748822719698597E-2</v>
      </c>
    </row>
    <row r="18" spans="2:18" x14ac:dyDescent="0.3">
      <c r="B18" s="10" t="s">
        <v>33</v>
      </c>
      <c r="C18" s="11">
        <v>0.95348653868895095</v>
      </c>
      <c r="D18" s="11">
        <v>0.89751271236548502</v>
      </c>
      <c r="E18" s="11">
        <v>0.99770051508462099</v>
      </c>
      <c r="F18" s="11">
        <v>0.91594651532740001</v>
      </c>
      <c r="G18" s="11">
        <v>0.92071655095568705</v>
      </c>
      <c r="H18" s="11">
        <v>0.82422428091751299</v>
      </c>
      <c r="I18" s="11">
        <v>0.81330150896071896</v>
      </c>
      <c r="J18" s="11">
        <v>0.83656296775759498</v>
      </c>
      <c r="K18" s="11">
        <v>0.847688013269145</v>
      </c>
      <c r="L18" s="11">
        <v>0.84454173253881404</v>
      </c>
      <c r="M18" s="11">
        <v>0.87264015725459698</v>
      </c>
      <c r="N18" s="11">
        <v>0.94351790995727902</v>
      </c>
      <c r="O18" s="11">
        <v>0.97843411107459699</v>
      </c>
      <c r="P18" s="11">
        <v>0.95584127505750904</v>
      </c>
      <c r="Q18" s="11">
        <v>0.95070653959908002</v>
      </c>
      <c r="R18" s="12">
        <v>-4.7102286482788303E-2</v>
      </c>
    </row>
    <row r="19" spans="2:18" x14ac:dyDescent="0.3">
      <c r="B19" s="10" t="s">
        <v>34</v>
      </c>
      <c r="C19" s="11">
        <v>0.74702010675442498</v>
      </c>
      <c r="D19" s="11">
        <v>0.69798731789541302</v>
      </c>
      <c r="E19" s="11">
        <v>0.968039822946276</v>
      </c>
      <c r="F19" s="11">
        <v>0.90565303713243195</v>
      </c>
      <c r="G19" s="11">
        <v>0.84205488671203199</v>
      </c>
      <c r="H19" s="11">
        <v>0.89579554822753504</v>
      </c>
      <c r="I19" s="11">
        <v>0.89056786770767704</v>
      </c>
      <c r="J19" s="11">
        <v>0.89416316754104397</v>
      </c>
      <c r="K19" s="11">
        <v>0.90274531860629703</v>
      </c>
      <c r="L19" s="11">
        <v>0.90085475060880404</v>
      </c>
      <c r="M19" s="11">
        <v>0.90388067802271199</v>
      </c>
      <c r="N19" s="11">
        <v>0.93681384684487101</v>
      </c>
      <c r="O19" s="11">
        <v>0.95837343599614999</v>
      </c>
      <c r="P19" s="11">
        <v>0.95070363719881401</v>
      </c>
      <c r="Q19" s="11">
        <v>0.93853858177031901</v>
      </c>
      <c r="R19" s="12">
        <v>-3.0475235085027901E-2</v>
      </c>
    </row>
    <row r="20" spans="2:18" x14ac:dyDescent="0.3">
      <c r="B20" s="10" t="s">
        <v>35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4"/>
    </row>
    <row r="21" spans="2:18" x14ac:dyDescent="0.3">
      <c r="B21" s="10" t="s">
        <v>36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4"/>
    </row>
    <row r="22" spans="2:18" x14ac:dyDescent="0.3">
      <c r="B22" s="15" t="s">
        <v>4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  <c r="N22" s="15" t="s">
        <v>4</v>
      </c>
      <c r="O22" s="15" t="s">
        <v>4</v>
      </c>
      <c r="P22" s="15" t="s">
        <v>4</v>
      </c>
      <c r="Q22" s="15" t="s">
        <v>4</v>
      </c>
      <c r="R22" s="15" t="s">
        <v>4</v>
      </c>
    </row>
    <row r="23" spans="2:18" x14ac:dyDescent="0.3">
      <c r="B23" s="7" t="s">
        <v>37</v>
      </c>
      <c r="C23" s="8">
        <v>1</v>
      </c>
      <c r="D23" s="8">
        <v>1</v>
      </c>
      <c r="E23" s="8">
        <v>3</v>
      </c>
      <c r="F23" s="8">
        <v>2</v>
      </c>
      <c r="G23" s="8">
        <v>14</v>
      </c>
      <c r="H23" s="8">
        <v>13</v>
      </c>
      <c r="I23" s="8">
        <v>11</v>
      </c>
      <c r="J23" s="8">
        <v>18</v>
      </c>
      <c r="K23" s="8">
        <v>23</v>
      </c>
      <c r="L23" s="8">
        <v>24</v>
      </c>
      <c r="M23" s="8">
        <v>38</v>
      </c>
      <c r="N23" s="8">
        <v>55</v>
      </c>
      <c r="O23" s="8">
        <v>55</v>
      </c>
      <c r="P23" s="8">
        <v>17</v>
      </c>
      <c r="Q23" s="8">
        <v>38</v>
      </c>
      <c r="R23" s="9">
        <v>11.6666666666667</v>
      </c>
    </row>
    <row r="24" spans="2:18" x14ac:dyDescent="0.3">
      <c r="B24" s="10" t="s">
        <v>38</v>
      </c>
      <c r="C24" s="13">
        <v>0</v>
      </c>
      <c r="D24" s="13">
        <v>1</v>
      </c>
      <c r="E24" s="13">
        <v>2</v>
      </c>
      <c r="F24" s="13">
        <v>0</v>
      </c>
      <c r="G24" s="13">
        <v>3</v>
      </c>
      <c r="H24" s="13">
        <v>5</v>
      </c>
      <c r="I24" s="13">
        <v>7</v>
      </c>
      <c r="J24" s="13">
        <v>8</v>
      </c>
      <c r="K24" s="13">
        <v>7</v>
      </c>
      <c r="L24" s="13">
        <v>5</v>
      </c>
      <c r="M24" s="13">
        <v>8</v>
      </c>
      <c r="N24" s="13">
        <v>12</v>
      </c>
      <c r="O24" s="13">
        <v>18</v>
      </c>
      <c r="P24" s="13">
        <v>8</v>
      </c>
      <c r="Q24" s="13">
        <v>12</v>
      </c>
      <c r="R24" s="12">
        <v>5</v>
      </c>
    </row>
    <row r="25" spans="2:18" x14ac:dyDescent="0.3">
      <c r="B25" s="10" t="s">
        <v>39</v>
      </c>
      <c r="C25" s="13">
        <v>0</v>
      </c>
      <c r="D25" s="13">
        <v>0</v>
      </c>
      <c r="E25" s="13">
        <v>1</v>
      </c>
      <c r="F25" s="13">
        <v>1</v>
      </c>
      <c r="G25" s="13">
        <v>5</v>
      </c>
      <c r="H25" s="13">
        <v>1</v>
      </c>
      <c r="I25" s="13">
        <v>1</v>
      </c>
      <c r="J25" s="13">
        <v>1</v>
      </c>
      <c r="K25" s="13">
        <v>1</v>
      </c>
      <c r="L25" s="13">
        <v>6</v>
      </c>
      <c r="M25" s="13">
        <v>10</v>
      </c>
      <c r="N25" s="13">
        <v>12</v>
      </c>
      <c r="O25" s="13">
        <v>12</v>
      </c>
      <c r="P25" s="13">
        <v>2</v>
      </c>
      <c r="Q25" s="13">
        <v>4</v>
      </c>
      <c r="R25" s="12">
        <v>3</v>
      </c>
    </row>
    <row r="26" spans="2:18" x14ac:dyDescent="0.3">
      <c r="B26" s="10" t="s">
        <v>40</v>
      </c>
      <c r="C26" s="13">
        <v>1</v>
      </c>
      <c r="D26" s="13">
        <v>0</v>
      </c>
      <c r="E26" s="13">
        <v>0</v>
      </c>
      <c r="F26" s="13">
        <v>1</v>
      </c>
      <c r="G26" s="13">
        <v>6</v>
      </c>
      <c r="H26" s="13">
        <v>7</v>
      </c>
      <c r="I26" s="13">
        <v>3</v>
      </c>
      <c r="J26" s="13">
        <v>9</v>
      </c>
      <c r="K26" s="13">
        <v>15</v>
      </c>
      <c r="L26" s="13">
        <v>13</v>
      </c>
      <c r="M26" s="13">
        <v>20</v>
      </c>
      <c r="N26" s="13">
        <v>31</v>
      </c>
      <c r="O26" s="13">
        <v>25</v>
      </c>
      <c r="P26" s="13">
        <v>7</v>
      </c>
      <c r="Q26" s="13">
        <v>22</v>
      </c>
      <c r="R26" s="12">
        <v>3</v>
      </c>
    </row>
    <row r="27" spans="2:18" x14ac:dyDescent="0.3">
      <c r="B27" s="7" t="s">
        <v>41</v>
      </c>
      <c r="C27" s="8">
        <v>114</v>
      </c>
      <c r="D27" s="8">
        <v>50</v>
      </c>
      <c r="E27" s="8">
        <v>15</v>
      </c>
      <c r="F27" s="8">
        <v>13</v>
      </c>
      <c r="G27" s="8">
        <v>28</v>
      </c>
      <c r="H27" s="8">
        <v>26</v>
      </c>
      <c r="I27" s="8">
        <v>16</v>
      </c>
      <c r="J27" s="8">
        <v>18</v>
      </c>
      <c r="K27" s="8">
        <v>13</v>
      </c>
      <c r="L27" s="8">
        <v>22</v>
      </c>
      <c r="M27" s="8">
        <v>25</v>
      </c>
      <c r="N27" s="8">
        <v>21</v>
      </c>
      <c r="O27" s="8">
        <v>30</v>
      </c>
      <c r="P27" s="8">
        <v>26</v>
      </c>
      <c r="Q27" s="8">
        <v>35</v>
      </c>
      <c r="R27" s="9">
        <v>1.3333333333333299</v>
      </c>
    </row>
    <row r="28" spans="2:18" x14ac:dyDescent="0.3">
      <c r="B28" s="10" t="s">
        <v>42</v>
      </c>
      <c r="C28" s="13">
        <v>-113</v>
      </c>
      <c r="D28" s="13">
        <v>-49</v>
      </c>
      <c r="E28" s="13">
        <v>-12</v>
      </c>
      <c r="F28" s="13">
        <v>-11</v>
      </c>
      <c r="G28" s="13">
        <v>-14</v>
      </c>
      <c r="H28" s="13">
        <v>-13</v>
      </c>
      <c r="I28" s="13">
        <v>-5</v>
      </c>
      <c r="J28" s="13">
        <v>0</v>
      </c>
      <c r="K28" s="13">
        <v>10</v>
      </c>
      <c r="L28" s="13">
        <v>2</v>
      </c>
      <c r="M28" s="13">
        <v>13</v>
      </c>
      <c r="N28" s="13">
        <v>34</v>
      </c>
      <c r="O28" s="13">
        <v>25</v>
      </c>
      <c r="P28" s="13">
        <v>-9</v>
      </c>
      <c r="Q28" s="13">
        <v>3</v>
      </c>
      <c r="R28" s="12">
        <v>-1.25</v>
      </c>
    </row>
    <row r="29" spans="2:18" x14ac:dyDescent="0.3">
      <c r="B29" s="15" t="s">
        <v>4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</row>
    <row r="30" spans="2:18" x14ac:dyDescent="0.3">
      <c r="B30" s="7" t="s">
        <v>43</v>
      </c>
      <c r="C30" s="16">
        <v>0</v>
      </c>
      <c r="D30" s="16">
        <v>0</v>
      </c>
      <c r="E30" s="16">
        <v>0</v>
      </c>
      <c r="F30" s="16">
        <v>0.16666666666666699</v>
      </c>
      <c r="G30" s="16">
        <v>0.4</v>
      </c>
      <c r="H30" s="16">
        <v>0.42105263157894701</v>
      </c>
      <c r="I30" s="16">
        <v>0.1875</v>
      </c>
      <c r="J30" s="16">
        <v>0</v>
      </c>
      <c r="K30" s="16">
        <v>0.36585365853658502</v>
      </c>
      <c r="L30" s="16">
        <v>0.3</v>
      </c>
      <c r="M30" s="16">
        <v>0.45098039215686297</v>
      </c>
      <c r="N30" s="16">
        <v>0.5</v>
      </c>
      <c r="O30" s="16">
        <v>0.58695652173913004</v>
      </c>
      <c r="P30" s="16">
        <v>0.44444444444444398</v>
      </c>
      <c r="Q30" s="16">
        <v>0.43859649122806998</v>
      </c>
      <c r="R30" s="17"/>
    </row>
    <row r="31" spans="2:18" x14ac:dyDescent="0.3">
      <c r="B31" s="10" t="s">
        <v>44</v>
      </c>
      <c r="C31" s="13">
        <v>6</v>
      </c>
      <c r="D31" s="13">
        <v>6</v>
      </c>
      <c r="E31" s="13">
        <v>1</v>
      </c>
      <c r="F31" s="13">
        <v>6</v>
      </c>
      <c r="G31" s="13">
        <v>15</v>
      </c>
      <c r="H31" s="13">
        <v>19</v>
      </c>
      <c r="I31" s="13">
        <v>16</v>
      </c>
      <c r="J31" s="13">
        <v>18</v>
      </c>
      <c r="K31" s="13">
        <v>41</v>
      </c>
      <c r="L31" s="13">
        <v>50</v>
      </c>
      <c r="M31" s="13">
        <v>51</v>
      </c>
      <c r="N31" s="13">
        <v>68</v>
      </c>
      <c r="O31" s="13">
        <v>46</v>
      </c>
      <c r="P31" s="13">
        <v>18</v>
      </c>
      <c r="Q31" s="13">
        <v>57</v>
      </c>
      <c r="R31" s="12">
        <v>56</v>
      </c>
    </row>
    <row r="32" spans="2:18" x14ac:dyDescent="0.3">
      <c r="B32" s="7" t="s">
        <v>45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0.25</v>
      </c>
      <c r="I32" s="16">
        <v>0</v>
      </c>
      <c r="J32" s="16">
        <v>0</v>
      </c>
      <c r="K32" s="16">
        <v>0</v>
      </c>
      <c r="L32" s="16">
        <v>0.28571428571428598</v>
      </c>
      <c r="M32" s="16">
        <v>0.25</v>
      </c>
      <c r="N32" s="16">
        <v>0.42857142857142899</v>
      </c>
      <c r="O32" s="16">
        <v>0.25</v>
      </c>
      <c r="P32" s="16">
        <v>0.5</v>
      </c>
      <c r="Q32" s="16">
        <v>0.4</v>
      </c>
      <c r="R32" s="17"/>
    </row>
    <row r="33" spans="2:18" x14ac:dyDescent="0.3">
      <c r="B33" s="10" t="s">
        <v>46</v>
      </c>
      <c r="C33" s="13">
        <v>0</v>
      </c>
      <c r="D33" s="13">
        <v>3</v>
      </c>
      <c r="E33" s="13">
        <v>0</v>
      </c>
      <c r="F33" s="13">
        <v>2</v>
      </c>
      <c r="G33" s="13">
        <v>8</v>
      </c>
      <c r="H33" s="13">
        <v>4</v>
      </c>
      <c r="I33" s="13">
        <v>3</v>
      </c>
      <c r="J33" s="13">
        <v>0</v>
      </c>
      <c r="K33" s="13">
        <v>5</v>
      </c>
      <c r="L33" s="13">
        <v>7</v>
      </c>
      <c r="M33" s="13">
        <v>12</v>
      </c>
      <c r="N33" s="13">
        <v>7</v>
      </c>
      <c r="O33" s="13">
        <v>8</v>
      </c>
      <c r="P33" s="13">
        <v>2</v>
      </c>
      <c r="Q33" s="13">
        <v>5</v>
      </c>
      <c r="R33" s="14"/>
    </row>
    <row r="34" spans="2:18" x14ac:dyDescent="0.3">
      <c r="B34" s="10" t="s">
        <v>47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2">
        <v>0</v>
      </c>
    </row>
    <row r="35" spans="2:18" x14ac:dyDescent="0.3">
      <c r="B35" s="10" t="s">
        <v>48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2">
        <v>0</v>
      </c>
    </row>
    <row r="36" spans="2:18" x14ac:dyDescent="0.3">
      <c r="B36" s="10" t="s">
        <v>49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2">
        <v>0</v>
      </c>
    </row>
    <row r="37" spans="2:18" x14ac:dyDescent="0.3">
      <c r="B37" s="7" t="s">
        <v>50</v>
      </c>
      <c r="C37" s="16">
        <v>0.16666666666666699</v>
      </c>
      <c r="D37" s="16">
        <v>0</v>
      </c>
      <c r="E37" s="16">
        <v>0</v>
      </c>
      <c r="F37" s="16">
        <v>0.25</v>
      </c>
      <c r="G37" s="16">
        <v>0.85714285714285698</v>
      </c>
      <c r="H37" s="16">
        <v>0.46666666666666701</v>
      </c>
      <c r="I37" s="16">
        <v>0.230769230769231</v>
      </c>
      <c r="J37" s="16">
        <v>0.5</v>
      </c>
      <c r="K37" s="16">
        <v>0.41666666666666702</v>
      </c>
      <c r="L37" s="16">
        <v>0.30232558139534899</v>
      </c>
      <c r="M37" s="16">
        <v>0.512820512820513</v>
      </c>
      <c r="N37" s="16">
        <v>0.50819672131147497</v>
      </c>
      <c r="O37" s="16">
        <v>0.65789473684210498</v>
      </c>
      <c r="P37" s="16">
        <v>0.4375</v>
      </c>
      <c r="Q37" s="16">
        <v>0.44230769230769201</v>
      </c>
      <c r="R37" s="9">
        <v>51</v>
      </c>
    </row>
    <row r="38" spans="2:18" x14ac:dyDescent="0.3">
      <c r="B38" s="10" t="s">
        <v>51</v>
      </c>
      <c r="C38" s="13">
        <v>6</v>
      </c>
      <c r="D38" s="13">
        <v>3</v>
      </c>
      <c r="E38" s="13">
        <v>1</v>
      </c>
      <c r="F38" s="13">
        <v>4</v>
      </c>
      <c r="G38" s="13">
        <v>7</v>
      </c>
      <c r="H38" s="13">
        <v>15</v>
      </c>
      <c r="I38" s="13">
        <v>13</v>
      </c>
      <c r="J38" s="13">
        <v>18</v>
      </c>
      <c r="K38" s="13">
        <v>36</v>
      </c>
      <c r="L38" s="13">
        <v>43</v>
      </c>
      <c r="M38" s="13">
        <v>39</v>
      </c>
      <c r="N38" s="13">
        <v>61</v>
      </c>
      <c r="O38" s="13">
        <v>38</v>
      </c>
      <c r="P38" s="13">
        <v>16</v>
      </c>
      <c r="Q38" s="13">
        <v>52</v>
      </c>
      <c r="R38" s="12">
        <v>51</v>
      </c>
    </row>
    <row r="39" spans="2:18" x14ac:dyDescent="0.3">
      <c r="B39" s="10" t="s">
        <v>52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4"/>
    </row>
    <row r="40" spans="2:18" ht="15" x14ac:dyDescent="0.3">
      <c r="B40" s="18" t="s">
        <v>4</v>
      </c>
      <c r="C40" s="15" t="s">
        <v>4</v>
      </c>
      <c r="D40" s="15" t="s">
        <v>4</v>
      </c>
      <c r="E40" s="15" t="s">
        <v>4</v>
      </c>
      <c r="F40" s="15" t="s">
        <v>4</v>
      </c>
      <c r="G40" s="15" t="s">
        <v>4</v>
      </c>
      <c r="H40" s="15" t="s">
        <v>4</v>
      </c>
      <c r="I40" s="15" t="s">
        <v>4</v>
      </c>
      <c r="J40" s="15" t="s">
        <v>4</v>
      </c>
      <c r="K40" s="15" t="s">
        <v>4</v>
      </c>
      <c r="L40" s="15" t="s">
        <v>4</v>
      </c>
      <c r="M40" s="15" t="s">
        <v>4</v>
      </c>
      <c r="N40" s="15" t="s">
        <v>4</v>
      </c>
      <c r="O40" s="15" t="s">
        <v>4</v>
      </c>
      <c r="P40" s="15" t="s">
        <v>4</v>
      </c>
      <c r="Q40" s="15" t="s">
        <v>4</v>
      </c>
      <c r="R40" s="15" t="s">
        <v>4</v>
      </c>
    </row>
    <row r="41" spans="2:18" x14ac:dyDescent="0.3">
      <c r="B41" s="7" t="s">
        <v>53</v>
      </c>
      <c r="C41" s="16">
        <v>1</v>
      </c>
      <c r="D41" s="16">
        <v>1</v>
      </c>
      <c r="E41" s="16">
        <v>0.66666666666666696</v>
      </c>
      <c r="F41" s="16">
        <v>1</v>
      </c>
      <c r="G41" s="16">
        <v>0.5</v>
      </c>
      <c r="H41" s="16">
        <v>0.92307692307692302</v>
      </c>
      <c r="I41" s="16">
        <v>0.81818181818181801</v>
      </c>
      <c r="J41" s="16">
        <v>0.83333333333333304</v>
      </c>
      <c r="K41" s="16">
        <v>0.86956521739130399</v>
      </c>
      <c r="L41" s="16">
        <v>0.75</v>
      </c>
      <c r="M41" s="16">
        <v>0.86842105263157898</v>
      </c>
      <c r="N41" s="16">
        <v>0.89090909090909098</v>
      </c>
      <c r="O41" s="16">
        <v>0.78181818181818197</v>
      </c>
      <c r="P41" s="16">
        <v>0.94117647058823495</v>
      </c>
      <c r="Q41" s="16">
        <v>0.86842105263157898</v>
      </c>
      <c r="R41" s="9">
        <v>0.30263157894736897</v>
      </c>
    </row>
    <row r="42" spans="2:18" x14ac:dyDescent="0.3">
      <c r="B42" s="10" t="s">
        <v>54</v>
      </c>
      <c r="C42" s="11">
        <v>0.8</v>
      </c>
      <c r="D42" s="11">
        <v>0.80443548387096797</v>
      </c>
      <c r="E42" s="11">
        <v>0.79338842975206603</v>
      </c>
      <c r="F42" s="11">
        <v>0.79915433403805503</v>
      </c>
      <c r="G42" s="11">
        <v>0.79257641921397404</v>
      </c>
      <c r="H42" s="11">
        <v>0.82022471910112404</v>
      </c>
      <c r="I42" s="11">
        <v>0.82272727272727297</v>
      </c>
      <c r="J42" s="11">
        <v>0.82727272727272705</v>
      </c>
      <c r="K42" s="11">
        <v>0.81737193763919802</v>
      </c>
      <c r="L42" s="11">
        <v>0.83111111111111102</v>
      </c>
      <c r="M42" s="11">
        <v>0.827213822894168</v>
      </c>
      <c r="N42" s="11">
        <v>0.83299798792756496</v>
      </c>
      <c r="O42" s="11">
        <v>0.83141762452107304</v>
      </c>
      <c r="P42" s="11">
        <v>0.83235867446393796</v>
      </c>
      <c r="Q42" s="11">
        <v>0.83883495145631104</v>
      </c>
      <c r="R42" s="12">
        <v>5.7281553398058301E-2</v>
      </c>
    </row>
    <row r="43" spans="2:18" x14ac:dyDescent="0.3">
      <c r="B43" s="7" t="s">
        <v>55</v>
      </c>
      <c r="C43" s="16">
        <v>1</v>
      </c>
      <c r="D43" s="16">
        <v>0.5</v>
      </c>
      <c r="E43" s="16">
        <v>0</v>
      </c>
      <c r="F43" s="16">
        <v>0.33333333333333298</v>
      </c>
      <c r="G43" s="16">
        <v>0.64285714285714302</v>
      </c>
      <c r="H43" s="16">
        <v>0.84615384615384603</v>
      </c>
      <c r="I43" s="16">
        <v>1</v>
      </c>
      <c r="J43" s="16">
        <v>0.78947368421052599</v>
      </c>
      <c r="K43" s="16">
        <v>0.70370370370370405</v>
      </c>
      <c r="L43" s="16">
        <v>0.84615384615384603</v>
      </c>
      <c r="M43" s="16">
        <v>0.94736842105263197</v>
      </c>
      <c r="N43" s="16">
        <v>0.76785714285714302</v>
      </c>
      <c r="O43" s="16">
        <v>0.83928571428571397</v>
      </c>
      <c r="P43" s="16">
        <v>0.8</v>
      </c>
      <c r="Q43" s="16">
        <v>0.69767441860465096</v>
      </c>
      <c r="R43" s="17"/>
    </row>
    <row r="44" spans="2:18" x14ac:dyDescent="0.3">
      <c r="B44" s="10" t="s">
        <v>56</v>
      </c>
      <c r="C44" s="11">
        <v>0.62313432835820903</v>
      </c>
      <c r="D44" s="11">
        <v>0.62345679012345701</v>
      </c>
      <c r="E44" s="11">
        <v>0.62790697674418605</v>
      </c>
      <c r="F44" s="11">
        <v>0.62203023758099396</v>
      </c>
      <c r="G44" s="11">
        <v>0.61640798226164095</v>
      </c>
      <c r="H44" s="11">
        <v>0.62642369020501099</v>
      </c>
      <c r="I44" s="11">
        <v>0.63448275862069003</v>
      </c>
      <c r="J44" s="11">
        <v>0.63594470046082996</v>
      </c>
      <c r="K44" s="11">
        <v>0.64772727272727304</v>
      </c>
      <c r="L44" s="11">
        <v>0.66067415730337098</v>
      </c>
      <c r="M44" s="11">
        <v>0.67173913043478295</v>
      </c>
      <c r="N44" s="11">
        <v>0.68762677484787005</v>
      </c>
      <c r="O44" s="11">
        <v>0.70077220077220104</v>
      </c>
      <c r="P44" s="11">
        <v>0.70553359683794503</v>
      </c>
      <c r="Q44" s="11">
        <v>0.70019723865877703</v>
      </c>
      <c r="R44" s="12">
        <v>0.115128935641756</v>
      </c>
    </row>
    <row r="45" spans="2:18" ht="15" x14ac:dyDescent="0.3">
      <c r="B45" s="18" t="s">
        <v>4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  <c r="N45" s="15" t="s">
        <v>4</v>
      </c>
      <c r="O45" s="15" t="s">
        <v>4</v>
      </c>
      <c r="P45" s="15" t="s">
        <v>4</v>
      </c>
      <c r="Q45" s="15" t="s">
        <v>4</v>
      </c>
      <c r="R45" s="15" t="s">
        <v>4</v>
      </c>
    </row>
    <row r="46" spans="2:18" x14ac:dyDescent="0.3">
      <c r="B46" s="7" t="s">
        <v>57</v>
      </c>
      <c r="C46" s="8">
        <v>0</v>
      </c>
      <c r="D46" s="8">
        <v>0</v>
      </c>
      <c r="E46" s="8">
        <v>2</v>
      </c>
      <c r="F46" s="8">
        <v>0</v>
      </c>
      <c r="G46" s="8">
        <v>5</v>
      </c>
      <c r="H46" s="8">
        <v>5</v>
      </c>
      <c r="I46" s="8">
        <v>2</v>
      </c>
      <c r="J46" s="8">
        <v>8</v>
      </c>
      <c r="K46" s="8">
        <v>7</v>
      </c>
      <c r="L46" s="8">
        <v>7</v>
      </c>
      <c r="M46" s="8">
        <v>10</v>
      </c>
      <c r="N46" s="8">
        <v>12</v>
      </c>
      <c r="O46" s="8">
        <v>10</v>
      </c>
      <c r="P46" s="8">
        <v>9</v>
      </c>
      <c r="Q46" s="8">
        <v>11</v>
      </c>
      <c r="R46" s="9">
        <v>4.5</v>
      </c>
    </row>
    <row r="47" spans="2:18" x14ac:dyDescent="0.3">
      <c r="B47" s="10" t="s">
        <v>58</v>
      </c>
      <c r="C47" s="13">
        <v>0</v>
      </c>
      <c r="D47" s="13">
        <v>0</v>
      </c>
      <c r="E47" s="13">
        <v>1</v>
      </c>
      <c r="F47" s="13">
        <v>0</v>
      </c>
      <c r="G47" s="13">
        <v>4</v>
      </c>
      <c r="H47" s="13">
        <v>1</v>
      </c>
      <c r="I47" s="13">
        <v>0</v>
      </c>
      <c r="J47" s="13">
        <v>1</v>
      </c>
      <c r="K47" s="13">
        <v>0</v>
      </c>
      <c r="L47" s="13">
        <v>2</v>
      </c>
      <c r="M47" s="13">
        <v>6</v>
      </c>
      <c r="N47" s="13">
        <v>6</v>
      </c>
      <c r="O47" s="13">
        <v>4</v>
      </c>
      <c r="P47" s="13">
        <v>1</v>
      </c>
      <c r="Q47" s="13">
        <v>1</v>
      </c>
      <c r="R47" s="12">
        <v>0</v>
      </c>
    </row>
    <row r="48" spans="2:18" x14ac:dyDescent="0.3">
      <c r="B48" s="10" t="s">
        <v>59</v>
      </c>
      <c r="C48" s="13">
        <v>0</v>
      </c>
      <c r="D48" s="13">
        <v>0</v>
      </c>
      <c r="E48" s="13">
        <v>1</v>
      </c>
      <c r="F48" s="13">
        <v>0</v>
      </c>
      <c r="G48" s="13">
        <v>1</v>
      </c>
      <c r="H48" s="13">
        <v>4</v>
      </c>
      <c r="I48" s="13">
        <v>2</v>
      </c>
      <c r="J48" s="13">
        <v>7</v>
      </c>
      <c r="K48" s="13">
        <v>5</v>
      </c>
      <c r="L48" s="13">
        <v>3</v>
      </c>
      <c r="M48" s="13">
        <v>4</v>
      </c>
      <c r="N48" s="13">
        <v>4</v>
      </c>
      <c r="O48" s="13">
        <v>5</v>
      </c>
      <c r="P48" s="13">
        <v>7</v>
      </c>
      <c r="Q48" s="13">
        <v>9</v>
      </c>
      <c r="R48" s="12">
        <v>8</v>
      </c>
    </row>
    <row r="49" spans="2:18" x14ac:dyDescent="0.3">
      <c r="B49" s="10" t="s">
        <v>60</v>
      </c>
      <c r="C49" s="10"/>
      <c r="D49" s="13">
        <v>0</v>
      </c>
      <c r="E49" s="13">
        <v>0.5</v>
      </c>
      <c r="F49" s="10"/>
      <c r="G49" s="13">
        <v>0.33333333333333298</v>
      </c>
      <c r="H49" s="13">
        <v>0.8</v>
      </c>
      <c r="I49" s="13">
        <v>0.28571428571428598</v>
      </c>
      <c r="J49" s="13">
        <v>0.875</v>
      </c>
      <c r="K49" s="13">
        <v>0.71428571428571397</v>
      </c>
      <c r="L49" s="13">
        <v>0.6</v>
      </c>
      <c r="M49" s="13">
        <v>0.5</v>
      </c>
      <c r="N49" s="13">
        <v>0.33333333333333298</v>
      </c>
      <c r="O49" s="13">
        <v>0.27777777777777801</v>
      </c>
      <c r="P49" s="13">
        <v>0.875</v>
      </c>
      <c r="Q49" s="13">
        <v>0.75</v>
      </c>
      <c r="R49" s="12">
        <v>0.5</v>
      </c>
    </row>
    <row r="50" spans="2:18" ht="15" x14ac:dyDescent="0.3">
      <c r="B50" s="18" t="s">
        <v>4</v>
      </c>
      <c r="C50" s="15" t="s">
        <v>4</v>
      </c>
      <c r="D50" s="15" t="s">
        <v>4</v>
      </c>
      <c r="E50" s="15" t="s">
        <v>4</v>
      </c>
      <c r="F50" s="15" t="s">
        <v>4</v>
      </c>
      <c r="G50" s="15" t="s">
        <v>4</v>
      </c>
      <c r="H50" s="15" t="s">
        <v>4</v>
      </c>
      <c r="I50" s="15" t="s">
        <v>4</v>
      </c>
      <c r="J50" s="15" t="s">
        <v>4</v>
      </c>
      <c r="K50" s="15" t="s">
        <v>4</v>
      </c>
      <c r="L50" s="15" t="s">
        <v>4</v>
      </c>
      <c r="M50" s="15" t="s">
        <v>4</v>
      </c>
      <c r="N50" s="15" t="s">
        <v>4</v>
      </c>
      <c r="O50" s="15" t="s">
        <v>4</v>
      </c>
      <c r="P50" s="15" t="s">
        <v>4</v>
      </c>
      <c r="Q50" s="15" t="s">
        <v>4</v>
      </c>
      <c r="R50" s="15" t="s">
        <v>4</v>
      </c>
    </row>
    <row r="51" spans="2:18" x14ac:dyDescent="0.3">
      <c r="B51" s="7" t="s">
        <v>61</v>
      </c>
      <c r="C51" s="19">
        <v>227080</v>
      </c>
      <c r="D51" s="19">
        <v>227605</v>
      </c>
      <c r="E51" s="19">
        <v>227570</v>
      </c>
      <c r="F51" s="19">
        <v>233896</v>
      </c>
      <c r="G51" s="19">
        <v>282553.90999999997</v>
      </c>
      <c r="H51" s="19">
        <v>270430.90999999997</v>
      </c>
      <c r="I51" s="19">
        <v>276496.90999999997</v>
      </c>
      <c r="J51" s="19">
        <v>284407.55</v>
      </c>
      <c r="K51" s="19">
        <v>233420.55</v>
      </c>
      <c r="L51" s="19">
        <v>230927.55</v>
      </c>
      <c r="M51" s="19">
        <v>184369.19</v>
      </c>
      <c r="N51" s="19">
        <v>184629.19</v>
      </c>
      <c r="O51" s="19">
        <v>256514.19</v>
      </c>
      <c r="P51" s="19">
        <v>186253.19</v>
      </c>
      <c r="Q51" s="19">
        <v>195494.19</v>
      </c>
      <c r="R51" s="9">
        <v>-0.140949202443204</v>
      </c>
    </row>
    <row r="52" spans="2:18" x14ac:dyDescent="0.3">
      <c r="B52" s="10" t="s">
        <v>62</v>
      </c>
      <c r="C52" s="11">
        <v>0.21920059463142599</v>
      </c>
      <c r="D52" s="11">
        <v>0.16425454894593</v>
      </c>
      <c r="E52" s="11">
        <v>-2.7046208571330801E-2</v>
      </c>
      <c r="F52" s="11">
        <v>-0.17220752669818001</v>
      </c>
      <c r="G52" s="11">
        <v>4.4828455445422299E-2</v>
      </c>
      <c r="H52" s="11">
        <v>-2.19387623536191E-2</v>
      </c>
      <c r="I52" s="11">
        <v>-2.78144514799273E-2</v>
      </c>
      <c r="J52" s="10"/>
      <c r="K52" s="11">
        <v>1.07955936829538E-2</v>
      </c>
      <c r="L52" s="11">
        <v>1.47494628050147E-2</v>
      </c>
      <c r="M52" s="11">
        <v>-0.19046490184283399</v>
      </c>
      <c r="N52" s="11">
        <v>-0.18890303959513099</v>
      </c>
      <c r="O52" s="11">
        <v>0.129620354060243</v>
      </c>
      <c r="P52" s="11">
        <v>-0.181682344412469</v>
      </c>
      <c r="Q52" s="11">
        <v>-0.140949202443204</v>
      </c>
      <c r="R52" s="14" t="s">
        <v>4</v>
      </c>
    </row>
    <row r="53" spans="2:18" x14ac:dyDescent="0.3">
      <c r="B53" s="10" t="s">
        <v>63</v>
      </c>
      <c r="C53" s="20">
        <v>7325.16129</v>
      </c>
      <c r="D53" s="20">
        <v>7586.8333329999996</v>
      </c>
      <c r="E53" s="20">
        <v>7340.9677410000004</v>
      </c>
      <c r="F53" s="20">
        <v>7545.0322580000002</v>
      </c>
      <c r="G53" s="20">
        <v>9418.4636659999996</v>
      </c>
      <c r="H53" s="20">
        <v>8723.5777409999992</v>
      </c>
      <c r="I53" s="20">
        <v>9216.563666</v>
      </c>
      <c r="J53" s="20">
        <v>9174.4370959999997</v>
      </c>
      <c r="K53" s="20">
        <v>7529.6951609999996</v>
      </c>
      <c r="L53" s="20">
        <v>8247.4125000000004</v>
      </c>
      <c r="M53" s="20">
        <v>5947.3932249999998</v>
      </c>
      <c r="N53" s="20">
        <v>6154.3063330000004</v>
      </c>
      <c r="O53" s="20">
        <v>8274.6512899999998</v>
      </c>
      <c r="P53" s="20">
        <v>6208.4396660000002</v>
      </c>
      <c r="Q53" s="20">
        <v>6306.264193</v>
      </c>
      <c r="R53" s="12">
        <v>-0.140949202408435</v>
      </c>
    </row>
    <row r="54" spans="2:18" x14ac:dyDescent="0.3">
      <c r="B54" s="10" t="s">
        <v>64</v>
      </c>
      <c r="C54" s="20">
        <v>1484.2703701550299</v>
      </c>
      <c r="D54" s="20">
        <v>826.09431537467299</v>
      </c>
      <c r="E54" s="20">
        <v>1599.68193439642</v>
      </c>
      <c r="F54" s="20">
        <v>1185.0874189869201</v>
      </c>
      <c r="G54" s="20">
        <v>2107.7549656385199</v>
      </c>
      <c r="H54" s="20">
        <v>1028.2455055677799</v>
      </c>
      <c r="I54" s="20">
        <v>863.392022401026</v>
      </c>
      <c r="J54" s="20">
        <v>1254.7721862246699</v>
      </c>
      <c r="K54" s="20">
        <v>1106.1076303704499</v>
      </c>
      <c r="L54" s="20">
        <v>1004.9931341348999</v>
      </c>
      <c r="M54" s="20">
        <v>784.18662864350404</v>
      </c>
      <c r="N54" s="20">
        <v>1205.69985660062</v>
      </c>
      <c r="O54" s="20">
        <v>1934.4339665436401</v>
      </c>
      <c r="P54" s="20">
        <v>996.05762295063596</v>
      </c>
      <c r="Q54" s="20">
        <v>844.68009050805301</v>
      </c>
      <c r="R54" s="12">
        <v>-0.47196997581474598</v>
      </c>
    </row>
    <row r="55" spans="2:18" x14ac:dyDescent="0.3">
      <c r="B55" s="10" t="s">
        <v>65</v>
      </c>
      <c r="C55" s="21">
        <v>6.2350000000000001E-3</v>
      </c>
      <c r="D55" s="21">
        <v>9.9000000000000008E-3</v>
      </c>
      <c r="E55" s="21">
        <v>8.9060000000000007E-3</v>
      </c>
      <c r="F55" s="21">
        <v>1.1612000000000001E-2</v>
      </c>
      <c r="G55" s="21">
        <v>6.9059999999999998E-3</v>
      </c>
      <c r="H55" s="21">
        <v>7.8320000000000004E-3</v>
      </c>
      <c r="I55" s="21">
        <v>8.8959999999999994E-3</v>
      </c>
      <c r="J55" s="21">
        <v>9.2669999999999992E-3</v>
      </c>
      <c r="K55" s="21">
        <v>8.2799999999999992E-3</v>
      </c>
      <c r="L55" s="21">
        <v>8.8350000000000008E-3</v>
      </c>
      <c r="M55" s="21">
        <v>7.2579999999999997E-3</v>
      </c>
      <c r="N55" s="21">
        <v>7.4130000000000003E-3</v>
      </c>
      <c r="O55" s="21">
        <v>5.5059999999999996E-3</v>
      </c>
      <c r="P55" s="21">
        <v>7.613E-3</v>
      </c>
      <c r="Q55" s="21">
        <v>7.1609999999999998E-3</v>
      </c>
      <c r="R55" s="12">
        <v>-0.19593532450033699</v>
      </c>
    </row>
    <row r="56" spans="2:18" ht="15" x14ac:dyDescent="0.3">
      <c r="B56" s="18" t="s">
        <v>4</v>
      </c>
      <c r="C56" s="15" t="s">
        <v>4</v>
      </c>
      <c r="D56" s="15" t="s">
        <v>4</v>
      </c>
      <c r="E56" s="15" t="s">
        <v>4</v>
      </c>
      <c r="F56" s="15" t="s">
        <v>4</v>
      </c>
      <c r="G56" s="15" t="s">
        <v>4</v>
      </c>
      <c r="H56" s="15" t="s">
        <v>4</v>
      </c>
      <c r="I56" s="15" t="s">
        <v>4</v>
      </c>
      <c r="J56" s="15" t="s">
        <v>4</v>
      </c>
      <c r="K56" s="15" t="s">
        <v>4</v>
      </c>
      <c r="L56" s="15" t="s">
        <v>4</v>
      </c>
      <c r="M56" s="15" t="s">
        <v>4</v>
      </c>
      <c r="N56" s="15" t="s">
        <v>4</v>
      </c>
      <c r="O56" s="15" t="s">
        <v>4</v>
      </c>
      <c r="P56" s="15" t="s">
        <v>4</v>
      </c>
      <c r="Q56" s="15" t="s">
        <v>4</v>
      </c>
      <c r="R56" s="15" t="s">
        <v>4</v>
      </c>
    </row>
    <row r="57" spans="2:18" x14ac:dyDescent="0.3">
      <c r="B57" s="7" t="s">
        <v>66</v>
      </c>
      <c r="C57" s="19">
        <v>145155.43</v>
      </c>
      <c r="D57" s="19">
        <v>141354.29999999999</v>
      </c>
      <c r="E57" s="19">
        <v>138199.04999999999</v>
      </c>
      <c r="F57" s="19">
        <v>137900.35999999999</v>
      </c>
      <c r="G57" s="19">
        <v>258567.11</v>
      </c>
      <c r="H57" s="19">
        <v>188529.38</v>
      </c>
      <c r="I57" s="19">
        <v>188433.89</v>
      </c>
      <c r="J57" s="19">
        <v>189429.22</v>
      </c>
      <c r="K57" s="19">
        <v>195164.59</v>
      </c>
      <c r="L57" s="19">
        <v>195913.46</v>
      </c>
      <c r="M57" s="19">
        <v>136665.95000000001</v>
      </c>
      <c r="N57" s="19">
        <v>98596.22</v>
      </c>
      <c r="O57" s="19">
        <v>179617.63</v>
      </c>
      <c r="P57" s="19">
        <v>228373.69</v>
      </c>
      <c r="Q57" s="19">
        <v>181930.13</v>
      </c>
      <c r="R57" s="9">
        <v>0.31643546030164499</v>
      </c>
    </row>
    <row r="58" spans="2:18" x14ac:dyDescent="0.3">
      <c r="B58" s="10" t="s">
        <v>67</v>
      </c>
      <c r="C58" s="20">
        <v>167090.97</v>
      </c>
      <c r="D58" s="20">
        <v>168313.61</v>
      </c>
      <c r="E58" s="20">
        <v>139837.98000000001</v>
      </c>
      <c r="F58" s="20">
        <v>142643.94</v>
      </c>
      <c r="G58" s="20">
        <v>143783.37</v>
      </c>
      <c r="H58" s="20">
        <v>262547.99</v>
      </c>
      <c r="I58" s="20">
        <v>260897.48</v>
      </c>
      <c r="J58" s="20">
        <v>259057.58</v>
      </c>
      <c r="K58" s="20">
        <v>134485.12</v>
      </c>
      <c r="L58" s="20">
        <v>135724.1</v>
      </c>
      <c r="M58" s="20">
        <v>137031.03</v>
      </c>
      <c r="N58" s="20">
        <v>441480.98</v>
      </c>
      <c r="O58" s="20">
        <v>449161.86</v>
      </c>
      <c r="P58" s="20">
        <v>470113.84</v>
      </c>
      <c r="Q58" s="20">
        <v>178222.17</v>
      </c>
      <c r="R58" s="12">
        <v>0.274490449590304</v>
      </c>
    </row>
    <row r="59" spans="2:18" x14ac:dyDescent="0.3">
      <c r="B59" s="10" t="s">
        <v>68</v>
      </c>
      <c r="C59" s="11">
        <v>-0.36439512800270502</v>
      </c>
      <c r="D59" s="11">
        <v>-0.223029742242255</v>
      </c>
      <c r="E59" s="11">
        <v>2.1659841932247302E-3</v>
      </c>
      <c r="F59" s="11">
        <v>-0.46667478319264999</v>
      </c>
      <c r="G59" s="11">
        <v>0.37149504231117703</v>
      </c>
      <c r="H59" s="11">
        <v>5.0675597685745399E-4</v>
      </c>
      <c r="I59" s="11">
        <v>-5.25436360873998E-3</v>
      </c>
      <c r="J59" s="10"/>
      <c r="K59" s="11">
        <v>-3.8224530361517799E-3</v>
      </c>
      <c r="L59" s="11">
        <v>6.8022236668697306E-2</v>
      </c>
      <c r="M59" s="11">
        <v>-0.17681339823932701</v>
      </c>
      <c r="N59" s="11">
        <v>-0.38772235659175103</v>
      </c>
      <c r="O59" s="11">
        <v>0.23741585140838301</v>
      </c>
      <c r="P59" s="11">
        <v>0.61561190568663304</v>
      </c>
      <c r="Q59" s="11">
        <v>0.31643546030164499</v>
      </c>
      <c r="R59" s="14" t="s">
        <v>4</v>
      </c>
    </row>
    <row r="60" spans="2:18" ht="15" x14ac:dyDescent="0.3">
      <c r="B60" s="18" t="s">
        <v>4</v>
      </c>
      <c r="C60" s="15" t="s">
        <v>4</v>
      </c>
      <c r="D60" s="15" t="s">
        <v>4</v>
      </c>
      <c r="E60" s="15" t="s">
        <v>4</v>
      </c>
      <c r="F60" s="15" t="s">
        <v>4</v>
      </c>
      <c r="G60" s="15" t="s">
        <v>4</v>
      </c>
      <c r="H60" s="15" t="s">
        <v>4</v>
      </c>
      <c r="I60" s="15" t="s">
        <v>4</v>
      </c>
      <c r="J60" s="15" t="s">
        <v>4</v>
      </c>
      <c r="K60" s="15" t="s">
        <v>4</v>
      </c>
      <c r="L60" s="15" t="s">
        <v>4</v>
      </c>
      <c r="M60" s="15" t="s">
        <v>4</v>
      </c>
      <c r="N60" s="15" t="s">
        <v>4</v>
      </c>
      <c r="O60" s="15" t="s">
        <v>4</v>
      </c>
      <c r="P60" s="15" t="s">
        <v>4</v>
      </c>
      <c r="Q60" s="15" t="s">
        <v>4</v>
      </c>
      <c r="R60" s="15" t="s">
        <v>4</v>
      </c>
    </row>
    <row r="61" spans="2:18" x14ac:dyDescent="0.3">
      <c r="B61" s="7" t="s">
        <v>69</v>
      </c>
      <c r="C61" s="19">
        <v>121011.93</v>
      </c>
      <c r="D61" s="19">
        <v>104404.52</v>
      </c>
      <c r="E61" s="19">
        <v>99765.66</v>
      </c>
      <c r="F61" s="19">
        <v>99140.83</v>
      </c>
      <c r="G61" s="19">
        <v>101305.79</v>
      </c>
      <c r="H61" s="19">
        <v>98425.87</v>
      </c>
      <c r="I61" s="19">
        <v>98103.79</v>
      </c>
      <c r="J61" s="19">
        <v>100492.06</v>
      </c>
      <c r="K61" s="19">
        <v>99492.01</v>
      </c>
      <c r="L61" s="19">
        <v>100460.16</v>
      </c>
      <c r="M61" s="19">
        <v>56746.91</v>
      </c>
      <c r="N61" s="19">
        <v>105828.26</v>
      </c>
      <c r="O61" s="19">
        <v>109901.34</v>
      </c>
      <c r="P61" s="19">
        <v>112128.55</v>
      </c>
      <c r="Q61" s="19">
        <v>112586.13</v>
      </c>
      <c r="R61" s="9">
        <v>0.12850584058683101</v>
      </c>
    </row>
    <row r="62" spans="2:18" x14ac:dyDescent="0.3">
      <c r="B62" s="10" t="s">
        <v>70</v>
      </c>
      <c r="C62" s="20">
        <v>146730.4</v>
      </c>
      <c r="D62" s="20">
        <v>139469.20000000001</v>
      </c>
      <c r="E62" s="20">
        <v>139059.20000000001</v>
      </c>
      <c r="F62" s="20">
        <v>139230.6</v>
      </c>
      <c r="G62" s="20">
        <v>238498.56</v>
      </c>
      <c r="H62" s="20">
        <v>190370.01</v>
      </c>
      <c r="I62" s="20">
        <v>190131.41</v>
      </c>
      <c r="J62" s="20">
        <v>192201.91</v>
      </c>
      <c r="K62" s="20">
        <v>199371.55</v>
      </c>
      <c r="L62" s="20">
        <v>198894.7</v>
      </c>
      <c r="M62" s="20">
        <v>176107.94</v>
      </c>
      <c r="N62" s="20">
        <v>180113.74</v>
      </c>
      <c r="O62" s="20">
        <v>185419.59</v>
      </c>
      <c r="P62" s="20">
        <v>184435.99</v>
      </c>
      <c r="Q62" s="20">
        <v>184765.29</v>
      </c>
      <c r="R62" s="12">
        <v>0.32868080644790099</v>
      </c>
    </row>
    <row r="63" spans="2:18" x14ac:dyDescent="0.3">
      <c r="B63" s="10" t="s">
        <v>71</v>
      </c>
      <c r="C63" s="11">
        <v>-0.204437268452865</v>
      </c>
      <c r="D63" s="11">
        <v>-0.245154758234082</v>
      </c>
      <c r="E63" s="11">
        <v>-1.23105122006226E-3</v>
      </c>
      <c r="F63" s="11">
        <v>-0.416220374663897</v>
      </c>
      <c r="G63" s="11">
        <v>0.25281581904628803</v>
      </c>
      <c r="H63" s="11">
        <v>1.2549215303247401E-3</v>
      </c>
      <c r="I63" s="11">
        <v>-1.07725256216236E-2</v>
      </c>
      <c r="J63" s="10"/>
      <c r="K63" s="11">
        <v>2.3974997825482501E-3</v>
      </c>
      <c r="L63" s="11">
        <v>0.185665288321363</v>
      </c>
      <c r="M63" s="11">
        <v>5.0892218586467503E-2</v>
      </c>
      <c r="N63" s="11">
        <v>0.12412270039734501</v>
      </c>
      <c r="O63" s="11">
        <v>0.26367535289210697</v>
      </c>
      <c r="P63" s="11">
        <v>0.32241376590673798</v>
      </c>
      <c r="Q63" s="11">
        <v>0.32868080644790099</v>
      </c>
      <c r="R63" s="14" t="s">
        <v>4</v>
      </c>
    </row>
    <row r="64" spans="2:18" x14ac:dyDescent="0.3">
      <c r="B64" s="10" t="s">
        <v>72</v>
      </c>
      <c r="C64" s="20">
        <v>12236.45</v>
      </c>
      <c r="D64" s="20">
        <v>4996.2</v>
      </c>
      <c r="E64" s="20">
        <v>3401.8</v>
      </c>
      <c r="F64" s="20">
        <v>3533</v>
      </c>
      <c r="G64" s="20">
        <v>1909.5</v>
      </c>
      <c r="H64" s="20">
        <v>2023</v>
      </c>
      <c r="I64" s="20">
        <v>2348.4</v>
      </c>
      <c r="J64" s="20">
        <v>1822.5</v>
      </c>
      <c r="K64" s="20">
        <v>2865</v>
      </c>
      <c r="L64" s="20">
        <v>2020</v>
      </c>
      <c r="M64" s="20">
        <v>3780</v>
      </c>
      <c r="N64" s="20">
        <v>1574</v>
      </c>
      <c r="O64" s="20">
        <v>2285</v>
      </c>
      <c r="P64" s="20">
        <v>1311</v>
      </c>
      <c r="Q64" s="20">
        <v>2251</v>
      </c>
      <c r="R64" s="12">
        <v>-0.338291492739138</v>
      </c>
    </row>
    <row r="65" spans="2:18" x14ac:dyDescent="0.3">
      <c r="B65" s="10" t="s">
        <v>73</v>
      </c>
      <c r="C65" s="13">
        <v>195</v>
      </c>
      <c r="D65" s="13">
        <v>105</v>
      </c>
      <c r="E65" s="13">
        <v>54</v>
      </c>
      <c r="F65" s="13">
        <v>60</v>
      </c>
      <c r="G65" s="13">
        <v>29</v>
      </c>
      <c r="H65" s="13">
        <v>28</v>
      </c>
      <c r="I65" s="13">
        <v>31</v>
      </c>
      <c r="J65" s="13">
        <v>26</v>
      </c>
      <c r="K65" s="13">
        <v>42</v>
      </c>
      <c r="L65" s="13">
        <v>41</v>
      </c>
      <c r="M65" s="13">
        <v>82</v>
      </c>
      <c r="N65" s="13">
        <v>27</v>
      </c>
      <c r="O65" s="13">
        <v>50</v>
      </c>
      <c r="P65" s="13">
        <v>23</v>
      </c>
      <c r="Q65" s="13">
        <v>43</v>
      </c>
      <c r="R65" s="12">
        <v>-0.203703703703704</v>
      </c>
    </row>
    <row r="66" spans="2:18" ht="15" x14ac:dyDescent="0.3">
      <c r="B66" s="18" t="s">
        <v>4</v>
      </c>
      <c r="C66" s="15" t="s">
        <v>4</v>
      </c>
      <c r="D66" s="15" t="s">
        <v>4</v>
      </c>
      <c r="E66" s="15" t="s">
        <v>4</v>
      </c>
      <c r="F66" s="15" t="s">
        <v>4</v>
      </c>
      <c r="G66" s="15" t="s">
        <v>4</v>
      </c>
      <c r="H66" s="15" t="s">
        <v>4</v>
      </c>
      <c r="I66" s="15" t="s">
        <v>4</v>
      </c>
      <c r="J66" s="15" t="s">
        <v>4</v>
      </c>
      <c r="K66" s="15" t="s">
        <v>4</v>
      </c>
      <c r="L66" s="15" t="s">
        <v>4</v>
      </c>
      <c r="M66" s="15" t="s">
        <v>4</v>
      </c>
      <c r="N66" s="15" t="s">
        <v>4</v>
      </c>
      <c r="O66" s="15" t="s">
        <v>4</v>
      </c>
      <c r="P66" s="15" t="s">
        <v>4</v>
      </c>
      <c r="Q66" s="15" t="s">
        <v>4</v>
      </c>
      <c r="R66" s="15" t="s">
        <v>4</v>
      </c>
    </row>
    <row r="67" spans="2:18" x14ac:dyDescent="0.3">
      <c r="B67" s="7" t="s">
        <v>74</v>
      </c>
      <c r="C67" s="8">
        <v>-2731.78</v>
      </c>
      <c r="D67" s="8">
        <v>-843.71</v>
      </c>
      <c r="E67" s="8">
        <v>-1427.29</v>
      </c>
      <c r="F67" s="8">
        <v>-966.96</v>
      </c>
      <c r="G67" s="8">
        <v>-1604.83</v>
      </c>
      <c r="H67" s="8">
        <v>-2189.37</v>
      </c>
      <c r="I67" s="8">
        <v>-1666.45</v>
      </c>
      <c r="J67" s="8">
        <v>-2589.04</v>
      </c>
      <c r="K67" s="8">
        <v>-1498.42</v>
      </c>
      <c r="L67" s="8">
        <v>-3506.87</v>
      </c>
      <c r="M67" s="8">
        <v>-2471.5500000000002</v>
      </c>
      <c r="N67" s="8">
        <v>-2582.0300000000002</v>
      </c>
      <c r="O67" s="8">
        <v>-2404.15</v>
      </c>
      <c r="P67" s="8">
        <v>-10823.34</v>
      </c>
      <c r="Q67" s="8">
        <v>-3262.29</v>
      </c>
      <c r="R67" s="9">
        <v>1.2856532309481601</v>
      </c>
    </row>
    <row r="68" spans="2:18" x14ac:dyDescent="0.3">
      <c r="B68" s="10" t="s">
        <v>75</v>
      </c>
      <c r="C68" s="13">
        <v>0</v>
      </c>
      <c r="D68" s="13">
        <v>0</v>
      </c>
      <c r="E68" s="13">
        <v>2</v>
      </c>
      <c r="F68" s="13">
        <v>0</v>
      </c>
      <c r="G68" s="13">
        <v>5</v>
      </c>
      <c r="H68" s="13">
        <v>5</v>
      </c>
      <c r="I68" s="13">
        <v>2</v>
      </c>
      <c r="J68" s="13">
        <v>10</v>
      </c>
      <c r="K68" s="13">
        <v>6</v>
      </c>
      <c r="L68" s="13">
        <v>11</v>
      </c>
      <c r="M68" s="13">
        <v>5</v>
      </c>
      <c r="N68" s="13">
        <v>9</v>
      </c>
      <c r="O68" s="13">
        <v>5</v>
      </c>
      <c r="P68" s="13">
        <v>8</v>
      </c>
      <c r="Q68" s="13">
        <v>11</v>
      </c>
      <c r="R68" s="12">
        <v>4.5</v>
      </c>
    </row>
    <row r="69" spans="2:18" x14ac:dyDescent="0.3">
      <c r="B69" s="10" t="s">
        <v>76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2">
        <v>0</v>
      </c>
    </row>
    <row r="70" spans="2:18" ht="15" x14ac:dyDescent="0.3">
      <c r="B70" s="18" t="s">
        <v>4</v>
      </c>
      <c r="C70" s="15" t="s">
        <v>4</v>
      </c>
      <c r="D70" s="15" t="s">
        <v>4</v>
      </c>
      <c r="E70" s="15" t="s">
        <v>4</v>
      </c>
      <c r="F70" s="15" t="s">
        <v>4</v>
      </c>
      <c r="G70" s="15" t="s">
        <v>4</v>
      </c>
      <c r="H70" s="15" t="s">
        <v>4</v>
      </c>
      <c r="I70" s="15" t="s">
        <v>4</v>
      </c>
      <c r="J70" s="15" t="s">
        <v>4</v>
      </c>
      <c r="K70" s="15" t="s">
        <v>4</v>
      </c>
      <c r="L70" s="15" t="s">
        <v>4</v>
      </c>
      <c r="M70" s="15" t="s">
        <v>4</v>
      </c>
      <c r="N70" s="15" t="s">
        <v>4</v>
      </c>
      <c r="O70" s="15" t="s">
        <v>4</v>
      </c>
      <c r="P70" s="15" t="s">
        <v>4</v>
      </c>
      <c r="Q70" s="15" t="s">
        <v>4</v>
      </c>
      <c r="R70" s="15" t="s">
        <v>4</v>
      </c>
    </row>
    <row r="71" spans="2:18" x14ac:dyDescent="0.3">
      <c r="B71" s="7" t="s">
        <v>77</v>
      </c>
      <c r="C71" s="19">
        <v>-5766.67</v>
      </c>
      <c r="D71" s="19">
        <v>-1561.19</v>
      </c>
      <c r="E71" s="19">
        <v>-556.88</v>
      </c>
      <c r="F71" s="19">
        <v>-781.58</v>
      </c>
      <c r="G71" s="19">
        <v>-4150.75</v>
      </c>
      <c r="H71" s="19">
        <v>-1252.95</v>
      </c>
      <c r="I71" s="19">
        <v>-1891.96</v>
      </c>
      <c r="J71" s="19">
        <v>-2264.23</v>
      </c>
      <c r="K71" s="19">
        <v>-751.52</v>
      </c>
      <c r="L71" s="19">
        <v>-582.80999999999995</v>
      </c>
      <c r="M71" s="19">
        <v>-2899.87</v>
      </c>
      <c r="N71" s="19">
        <v>-2431.16</v>
      </c>
      <c r="O71" s="19">
        <v>-957.5</v>
      </c>
      <c r="P71" s="19">
        <v>-1868.42</v>
      </c>
      <c r="Q71" s="19">
        <v>-382.08</v>
      </c>
      <c r="R71" s="9">
        <v>-0.31389168222956498</v>
      </c>
    </row>
    <row r="72" spans="2:18" x14ac:dyDescent="0.3">
      <c r="B72" s="10" t="s">
        <v>78</v>
      </c>
      <c r="C72" s="11">
        <v>-4.7653731330456403E-2</v>
      </c>
      <c r="D72" s="11">
        <v>-1.49532798005297E-2</v>
      </c>
      <c r="E72" s="11">
        <v>-5.5818805789487102E-3</v>
      </c>
      <c r="F72" s="11">
        <v>-7.88353295004692E-3</v>
      </c>
      <c r="G72" s="11">
        <v>-4.0972485383115799E-2</v>
      </c>
      <c r="H72" s="11">
        <v>-1.2729884937770899E-2</v>
      </c>
      <c r="I72" s="11">
        <v>-1.9285289589729401E-2</v>
      </c>
      <c r="J72" s="11">
        <v>-2.25314318365053E-2</v>
      </c>
      <c r="K72" s="11">
        <v>-7.5535713872902999E-3</v>
      </c>
      <c r="L72" s="11">
        <v>-5.8014042581656204E-3</v>
      </c>
      <c r="M72" s="11">
        <v>-5.1101813296970701E-2</v>
      </c>
      <c r="N72" s="11">
        <v>-2.2972691793288501E-2</v>
      </c>
      <c r="O72" s="11">
        <v>-8.7123596491180191E-3</v>
      </c>
      <c r="P72" s="11">
        <v>-1.6663195947865202E-2</v>
      </c>
      <c r="Q72" s="11">
        <v>-3.3936684740829099E-3</v>
      </c>
      <c r="R72" s="12">
        <v>-0.39202058767046</v>
      </c>
    </row>
    <row r="73" spans="2:18" x14ac:dyDescent="0.3">
      <c r="B73" s="10" t="s">
        <v>79</v>
      </c>
      <c r="C73" s="11">
        <v>1.6558259229171299E-2</v>
      </c>
      <c r="D73" s="11">
        <v>1.6370998041144599E-2</v>
      </c>
      <c r="E73" s="11">
        <v>1.2366315928755501E-2</v>
      </c>
      <c r="F73" s="11">
        <v>3.2931697486041099E-2</v>
      </c>
      <c r="G73" s="11">
        <v>2.73301440478299E-2</v>
      </c>
      <c r="H73" s="11">
        <v>4.2475177681610696E-3</v>
      </c>
      <c r="I73" s="11">
        <v>8.6477031859175692E-3</v>
      </c>
      <c r="J73" s="11">
        <v>2.1895724137184699E-2</v>
      </c>
      <c r="K73" s="11">
        <v>1.40842562542148E-2</v>
      </c>
      <c r="L73" s="11">
        <v>0.50394379538519596</v>
      </c>
      <c r="M73" s="11">
        <v>1.77788690277111E-2</v>
      </c>
      <c r="N73" s="11">
        <v>1.6561757031973202E-2</v>
      </c>
      <c r="O73" s="11">
        <v>1.80595804359183E-2</v>
      </c>
      <c r="P73" s="11">
        <v>2.3283145550930699E-2</v>
      </c>
      <c r="Q73" s="11">
        <v>2.4911605421126401E-2</v>
      </c>
      <c r="R73" s="12">
        <v>1.0144726662852901</v>
      </c>
    </row>
    <row r="74" spans="2:18" x14ac:dyDescent="0.3">
      <c r="B74" s="10" t="s">
        <v>80</v>
      </c>
      <c r="C74" s="13">
        <v>1</v>
      </c>
      <c r="D74" s="13">
        <v>2</v>
      </c>
      <c r="E74" s="13">
        <v>1</v>
      </c>
      <c r="F74" s="13">
        <v>1</v>
      </c>
      <c r="G74" s="13">
        <v>1</v>
      </c>
      <c r="H74" s="13">
        <v>0</v>
      </c>
      <c r="I74" s="13">
        <v>0</v>
      </c>
      <c r="J74" s="13">
        <v>1</v>
      </c>
      <c r="K74" s="13">
        <v>1</v>
      </c>
      <c r="L74" s="13">
        <v>0</v>
      </c>
      <c r="M74" s="13">
        <v>0</v>
      </c>
      <c r="N74" s="13">
        <v>0</v>
      </c>
      <c r="O74" s="13">
        <v>1</v>
      </c>
      <c r="P74" s="13">
        <v>0</v>
      </c>
      <c r="Q74" s="13">
        <v>2</v>
      </c>
      <c r="R74" s="12">
        <v>1</v>
      </c>
    </row>
    <row r="75" spans="2:18" ht="0" hidden="1" customHeight="1" x14ac:dyDescent="0.3"/>
  </sheetData>
  <mergeCells count="4">
    <mergeCell ref="C2:R2"/>
    <mergeCell ref="C3:R3"/>
    <mergeCell ref="C4:R4"/>
    <mergeCell ref="C5:R5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14"/>
  <sheetViews>
    <sheetView showGridLines="0" tabSelected="1" topLeftCell="A90" workbookViewId="0">
      <selection activeCell="C124" sqref="C124"/>
    </sheetView>
  </sheetViews>
  <sheetFormatPr defaultRowHeight="14.4" x14ac:dyDescent="0.3"/>
  <cols>
    <col min="1" max="1" width="2.109375" customWidth="1"/>
    <col min="2" max="2" width="8.109375" customWidth="1"/>
    <col min="3" max="3" width="41.109375" customWidth="1"/>
    <col min="4" max="5" width="13.6640625" customWidth="1"/>
    <col min="6" max="6" width="0" hidden="1" customWidth="1"/>
    <col min="7" max="7" width="154.88671875" customWidth="1"/>
  </cols>
  <sheetData>
    <row r="1" spans="2:6" ht="6.15" customHeight="1" x14ac:dyDescent="0.3"/>
    <row r="2" spans="2:6" ht="21.6" customHeight="1" x14ac:dyDescent="0.3">
      <c r="B2" s="116"/>
      <c r="C2" s="116"/>
      <c r="D2" s="116"/>
      <c r="E2" s="116"/>
      <c r="F2" s="116"/>
    </row>
    <row r="3" spans="2:6" ht="15" x14ac:dyDescent="0.3">
      <c r="B3" s="18" t="s">
        <v>4</v>
      </c>
      <c r="C3" s="117" t="s">
        <v>186</v>
      </c>
      <c r="D3" s="116"/>
      <c r="E3" s="116"/>
    </row>
    <row r="4" spans="2:6" x14ac:dyDescent="0.3">
      <c r="B4" s="42" t="s">
        <v>4</v>
      </c>
      <c r="C4" s="22" t="s">
        <v>2</v>
      </c>
      <c r="D4" s="5" t="s">
        <v>21</v>
      </c>
      <c r="E4" s="5" t="s">
        <v>187</v>
      </c>
    </row>
    <row r="5" spans="2:6" x14ac:dyDescent="0.3">
      <c r="B5" s="45" t="s">
        <v>4</v>
      </c>
      <c r="C5" s="46" t="s">
        <v>188</v>
      </c>
      <c r="D5" s="49">
        <v>112586.13</v>
      </c>
      <c r="E5" s="49">
        <v>697143.36</v>
      </c>
    </row>
    <row r="6" spans="2:6" x14ac:dyDescent="0.3">
      <c r="B6" s="45" t="s">
        <v>4</v>
      </c>
      <c r="C6" s="46" t="s">
        <v>189</v>
      </c>
      <c r="D6" s="49">
        <v>72242.19</v>
      </c>
      <c r="E6" s="49">
        <v>549312.88</v>
      </c>
    </row>
    <row r="7" spans="2:6" x14ac:dyDescent="0.3">
      <c r="B7" s="45" t="s">
        <v>4</v>
      </c>
      <c r="C7" s="46" t="s">
        <v>190</v>
      </c>
      <c r="D7" s="49">
        <v>0</v>
      </c>
      <c r="E7" s="49">
        <v>0</v>
      </c>
    </row>
    <row r="8" spans="2:6" x14ac:dyDescent="0.3">
      <c r="B8" s="45" t="s">
        <v>4</v>
      </c>
      <c r="C8" s="46" t="s">
        <v>191</v>
      </c>
      <c r="D8" s="49">
        <v>1264.07</v>
      </c>
      <c r="E8" s="49">
        <v>8531.1299999999992</v>
      </c>
    </row>
    <row r="9" spans="2:6" x14ac:dyDescent="0.3">
      <c r="B9" s="45" t="s">
        <v>4</v>
      </c>
      <c r="C9" s="46" t="s">
        <v>192</v>
      </c>
      <c r="D9" s="49">
        <v>0</v>
      </c>
      <c r="E9" s="49">
        <v>0</v>
      </c>
    </row>
    <row r="10" spans="2:6" x14ac:dyDescent="0.3">
      <c r="B10" s="45" t="s">
        <v>4</v>
      </c>
      <c r="C10" s="46" t="s">
        <v>193</v>
      </c>
      <c r="D10" s="49">
        <v>0</v>
      </c>
      <c r="E10" s="49">
        <v>0</v>
      </c>
    </row>
    <row r="11" spans="2:6" x14ac:dyDescent="0.3">
      <c r="B11" s="45" t="s">
        <v>4</v>
      </c>
      <c r="C11" s="46" t="s">
        <v>194</v>
      </c>
      <c r="D11" s="49">
        <v>0</v>
      </c>
      <c r="E11" s="49">
        <v>0</v>
      </c>
    </row>
    <row r="12" spans="2:6" x14ac:dyDescent="0.3">
      <c r="B12" s="45" t="s">
        <v>4</v>
      </c>
      <c r="C12" s="46" t="s">
        <v>195</v>
      </c>
      <c r="D12" s="49">
        <v>0</v>
      </c>
      <c r="E12" s="49">
        <v>0</v>
      </c>
    </row>
    <row r="13" spans="2:6" x14ac:dyDescent="0.3">
      <c r="B13" s="45" t="s">
        <v>4</v>
      </c>
      <c r="C13" s="46" t="s">
        <v>196</v>
      </c>
      <c r="D13" s="49">
        <v>-517.89</v>
      </c>
      <c r="E13" s="49">
        <v>-2303.69</v>
      </c>
    </row>
    <row r="14" spans="2:6" x14ac:dyDescent="0.3">
      <c r="B14" s="45" t="s">
        <v>4</v>
      </c>
      <c r="C14" s="46" t="s">
        <v>197</v>
      </c>
      <c r="D14" s="49">
        <v>-3262.29</v>
      </c>
      <c r="E14" s="49">
        <v>-26548.65</v>
      </c>
    </row>
    <row r="15" spans="2:6" x14ac:dyDescent="0.3">
      <c r="B15" s="45" t="s">
        <v>4</v>
      </c>
      <c r="C15" s="46" t="s">
        <v>198</v>
      </c>
      <c r="D15" s="49">
        <v>-382.08</v>
      </c>
      <c r="E15" s="49">
        <v>-9873.36</v>
      </c>
    </row>
    <row r="16" spans="2:6" x14ac:dyDescent="0.3">
      <c r="B16" s="47" t="s">
        <v>4</v>
      </c>
      <c r="C16" s="50" t="s">
        <v>199</v>
      </c>
      <c r="D16" s="51">
        <v>181930.13</v>
      </c>
      <c r="E16" s="51">
        <v>1216261.67</v>
      </c>
    </row>
    <row r="17" spans="2:5" x14ac:dyDescent="0.3">
      <c r="B17" s="45" t="s">
        <v>4</v>
      </c>
      <c r="C17" s="46" t="s">
        <v>200</v>
      </c>
      <c r="D17" s="49">
        <v>1073</v>
      </c>
      <c r="E17" s="49">
        <v>7192</v>
      </c>
    </row>
    <row r="18" spans="2:5" x14ac:dyDescent="0.3">
      <c r="B18" s="45" t="s">
        <v>4</v>
      </c>
      <c r="C18" s="46" t="s">
        <v>201</v>
      </c>
      <c r="D18" s="49">
        <v>0</v>
      </c>
      <c r="E18" s="49">
        <v>0</v>
      </c>
    </row>
    <row r="19" spans="2:5" x14ac:dyDescent="0.3">
      <c r="B19" s="47" t="s">
        <v>4</v>
      </c>
      <c r="C19" s="50" t="s">
        <v>202</v>
      </c>
      <c r="D19" s="51">
        <v>1073</v>
      </c>
      <c r="E19" s="51">
        <v>7192</v>
      </c>
    </row>
    <row r="20" spans="2:5" x14ac:dyDescent="0.3">
      <c r="B20" s="45" t="s">
        <v>4</v>
      </c>
      <c r="C20" s="46" t="s">
        <v>203</v>
      </c>
      <c r="D20" s="49">
        <v>2468.4</v>
      </c>
      <c r="E20" s="49">
        <v>19349.57</v>
      </c>
    </row>
    <row r="21" spans="2:5" x14ac:dyDescent="0.3">
      <c r="B21" s="45" t="s">
        <v>4</v>
      </c>
      <c r="C21" s="46" t="s">
        <v>204</v>
      </c>
      <c r="D21" s="49">
        <v>0</v>
      </c>
      <c r="E21" s="49">
        <v>-1484.08</v>
      </c>
    </row>
    <row r="22" spans="2:5" x14ac:dyDescent="0.3">
      <c r="B22" s="47" t="s">
        <v>4</v>
      </c>
      <c r="C22" s="50" t="s">
        <v>205</v>
      </c>
      <c r="D22" s="51">
        <v>2468.4</v>
      </c>
      <c r="E22" s="51">
        <v>17865.490000000002</v>
      </c>
    </row>
    <row r="23" spans="2:5" x14ac:dyDescent="0.3">
      <c r="B23" s="45" t="s">
        <v>4</v>
      </c>
      <c r="C23" s="46" t="s">
        <v>206</v>
      </c>
      <c r="D23" s="49">
        <v>46</v>
      </c>
      <c r="E23" s="49">
        <v>396</v>
      </c>
    </row>
    <row r="24" spans="2:5" x14ac:dyDescent="0.3">
      <c r="B24" s="45" t="s">
        <v>4</v>
      </c>
      <c r="C24" s="46" t="s">
        <v>207</v>
      </c>
      <c r="D24" s="49">
        <v>-10</v>
      </c>
      <c r="E24" s="49">
        <v>-126</v>
      </c>
    </row>
    <row r="25" spans="2:5" x14ac:dyDescent="0.3">
      <c r="B25" s="47" t="s">
        <v>4</v>
      </c>
      <c r="C25" s="50" t="s">
        <v>208</v>
      </c>
      <c r="D25" s="51">
        <v>36</v>
      </c>
      <c r="E25" s="51">
        <v>270</v>
      </c>
    </row>
    <row r="26" spans="2:5" x14ac:dyDescent="0.3">
      <c r="B26" s="45" t="s">
        <v>4</v>
      </c>
      <c r="C26" s="46" t="s">
        <v>209</v>
      </c>
      <c r="D26" s="49">
        <v>805.18</v>
      </c>
      <c r="E26" s="49">
        <v>5248.2</v>
      </c>
    </row>
    <row r="27" spans="2:5" x14ac:dyDescent="0.3">
      <c r="B27" s="45" t="s">
        <v>4</v>
      </c>
      <c r="C27" s="46" t="s">
        <v>210</v>
      </c>
      <c r="D27" s="49">
        <v>0</v>
      </c>
      <c r="E27" s="49">
        <v>0</v>
      </c>
    </row>
    <row r="28" spans="2:5" x14ac:dyDescent="0.3">
      <c r="B28" s="47" t="s">
        <v>4</v>
      </c>
      <c r="C28" s="50" t="s">
        <v>211</v>
      </c>
      <c r="D28" s="51">
        <v>805.18</v>
      </c>
      <c r="E28" s="51">
        <v>5248.2</v>
      </c>
    </row>
    <row r="29" spans="2:5" x14ac:dyDescent="0.3">
      <c r="B29" s="45" t="s">
        <v>4</v>
      </c>
      <c r="C29" s="50" t="s">
        <v>212</v>
      </c>
      <c r="D29" s="49">
        <v>0</v>
      </c>
      <c r="E29" s="49">
        <v>0</v>
      </c>
    </row>
    <row r="30" spans="2:5" x14ac:dyDescent="0.3">
      <c r="B30" s="45" t="s">
        <v>4</v>
      </c>
      <c r="C30" s="50" t="s">
        <v>213</v>
      </c>
      <c r="D30" s="49">
        <v>0</v>
      </c>
      <c r="E30" s="49">
        <v>0</v>
      </c>
    </row>
    <row r="31" spans="2:5" x14ac:dyDescent="0.3">
      <c r="B31" s="45" t="s">
        <v>4</v>
      </c>
      <c r="C31" s="50" t="s">
        <v>214</v>
      </c>
      <c r="D31" s="49">
        <v>0</v>
      </c>
      <c r="E31" s="49">
        <v>0</v>
      </c>
    </row>
    <row r="32" spans="2:5" x14ac:dyDescent="0.3">
      <c r="B32" s="45" t="s">
        <v>4</v>
      </c>
      <c r="C32" s="50" t="s">
        <v>215</v>
      </c>
      <c r="D32" s="49">
        <v>0</v>
      </c>
      <c r="E32" s="49">
        <v>0</v>
      </c>
    </row>
    <row r="33" spans="2:5" x14ac:dyDescent="0.3">
      <c r="B33" s="45" t="s">
        <v>4</v>
      </c>
      <c r="C33" s="50" t="s">
        <v>216</v>
      </c>
      <c r="D33" s="49">
        <v>0</v>
      </c>
      <c r="E33" s="49">
        <v>0</v>
      </c>
    </row>
    <row r="34" spans="2:5" x14ac:dyDescent="0.3">
      <c r="B34" s="45" t="s">
        <v>4</v>
      </c>
      <c r="C34" s="50" t="s">
        <v>217</v>
      </c>
      <c r="D34" s="49">
        <v>0</v>
      </c>
      <c r="E34" s="49">
        <v>0</v>
      </c>
    </row>
    <row r="35" spans="2:5" x14ac:dyDescent="0.3">
      <c r="B35" s="47" t="s">
        <v>4</v>
      </c>
      <c r="C35" s="48" t="s">
        <v>218</v>
      </c>
      <c r="D35" s="52">
        <v>186312.71</v>
      </c>
      <c r="E35" s="52">
        <v>1246837.3600000001</v>
      </c>
    </row>
    <row r="36" spans="2:5" x14ac:dyDescent="0.3">
      <c r="B36" s="45" t="s">
        <v>4</v>
      </c>
      <c r="C36" s="46" t="s">
        <v>219</v>
      </c>
      <c r="D36" s="49">
        <v>6463.32</v>
      </c>
      <c r="E36" s="49">
        <v>40880.839999999997</v>
      </c>
    </row>
    <row r="37" spans="2:5" x14ac:dyDescent="0.3">
      <c r="B37" s="45" t="s">
        <v>4</v>
      </c>
      <c r="C37" s="46" t="s">
        <v>220</v>
      </c>
      <c r="D37" s="49">
        <v>17.64</v>
      </c>
      <c r="E37" s="49">
        <v>494.38</v>
      </c>
    </row>
    <row r="38" spans="2:5" x14ac:dyDescent="0.3">
      <c r="B38" s="45" t="s">
        <v>4</v>
      </c>
      <c r="C38" s="46" t="s">
        <v>221</v>
      </c>
      <c r="D38" s="49">
        <v>282.31</v>
      </c>
      <c r="E38" s="49">
        <v>2105.8000000000002</v>
      </c>
    </row>
    <row r="39" spans="2:5" x14ac:dyDescent="0.3">
      <c r="B39" s="45" t="s">
        <v>4</v>
      </c>
      <c r="C39" s="46" t="s">
        <v>222</v>
      </c>
      <c r="D39" s="49">
        <v>0</v>
      </c>
      <c r="E39" s="49">
        <v>0</v>
      </c>
    </row>
    <row r="40" spans="2:5" x14ac:dyDescent="0.3">
      <c r="B40" s="45" t="s">
        <v>4</v>
      </c>
      <c r="C40" s="46" t="s">
        <v>223</v>
      </c>
      <c r="D40" s="49">
        <v>0</v>
      </c>
      <c r="E40" s="49">
        <v>0</v>
      </c>
    </row>
    <row r="41" spans="2:5" x14ac:dyDescent="0.3">
      <c r="B41" s="45" t="s">
        <v>4</v>
      </c>
      <c r="C41" s="46" t="s">
        <v>224</v>
      </c>
      <c r="D41" s="49">
        <v>70.59</v>
      </c>
      <c r="E41" s="49">
        <v>71.23</v>
      </c>
    </row>
    <row r="42" spans="2:5" x14ac:dyDescent="0.3">
      <c r="B42" s="45" t="s">
        <v>4</v>
      </c>
      <c r="C42" s="46" t="s">
        <v>225</v>
      </c>
      <c r="D42" s="49">
        <v>0</v>
      </c>
      <c r="E42" s="49">
        <v>-600</v>
      </c>
    </row>
    <row r="43" spans="2:5" x14ac:dyDescent="0.3">
      <c r="B43" s="45" t="s">
        <v>4</v>
      </c>
      <c r="C43" s="46" t="s">
        <v>226</v>
      </c>
      <c r="D43" s="49">
        <v>169.99</v>
      </c>
      <c r="E43" s="49">
        <v>2299.9899999999998</v>
      </c>
    </row>
    <row r="44" spans="2:5" x14ac:dyDescent="0.3">
      <c r="B44" s="45" t="s">
        <v>4</v>
      </c>
      <c r="C44" s="46" t="s">
        <v>227</v>
      </c>
      <c r="D44" s="49">
        <v>0</v>
      </c>
      <c r="E44" s="49">
        <v>0</v>
      </c>
    </row>
    <row r="45" spans="2:5" x14ac:dyDescent="0.3">
      <c r="B45" s="45" t="s">
        <v>4</v>
      </c>
      <c r="C45" s="46" t="s">
        <v>228</v>
      </c>
      <c r="D45" s="49">
        <v>112.06</v>
      </c>
      <c r="E45" s="49">
        <v>726.82</v>
      </c>
    </row>
    <row r="46" spans="2:5" x14ac:dyDescent="0.3">
      <c r="B46" s="45" t="s">
        <v>4</v>
      </c>
      <c r="C46" s="46" t="s">
        <v>229</v>
      </c>
      <c r="D46" s="49">
        <v>54.78</v>
      </c>
      <c r="E46" s="49">
        <v>421.03</v>
      </c>
    </row>
    <row r="47" spans="2:5" x14ac:dyDescent="0.3">
      <c r="B47" s="45" t="s">
        <v>4</v>
      </c>
      <c r="C47" s="46" t="s">
        <v>230</v>
      </c>
      <c r="D47" s="49">
        <v>504.77</v>
      </c>
      <c r="E47" s="49">
        <v>3797.42</v>
      </c>
    </row>
    <row r="48" spans="2:5" x14ac:dyDescent="0.3">
      <c r="B48" s="47" t="s">
        <v>4</v>
      </c>
      <c r="C48" s="50" t="s">
        <v>231</v>
      </c>
      <c r="D48" s="51">
        <v>7675.46</v>
      </c>
      <c r="E48" s="51">
        <v>50197.51</v>
      </c>
    </row>
    <row r="49" spans="2:5" x14ac:dyDescent="0.3">
      <c r="B49" s="45" t="s">
        <v>4</v>
      </c>
      <c r="C49" s="46" t="s">
        <v>232</v>
      </c>
      <c r="D49" s="49">
        <v>13021.34</v>
      </c>
      <c r="E49" s="49">
        <v>66935.520000000004</v>
      </c>
    </row>
    <row r="50" spans="2:5" x14ac:dyDescent="0.3">
      <c r="B50" s="45" t="s">
        <v>4</v>
      </c>
      <c r="C50" s="46" t="s">
        <v>233</v>
      </c>
      <c r="D50" s="49">
        <v>0</v>
      </c>
      <c r="E50" s="49">
        <v>0</v>
      </c>
    </row>
    <row r="51" spans="2:5" x14ac:dyDescent="0.3">
      <c r="B51" s="45" t="s">
        <v>4</v>
      </c>
      <c r="C51" s="46" t="s">
        <v>234</v>
      </c>
      <c r="D51" s="49">
        <v>0</v>
      </c>
      <c r="E51" s="49">
        <v>0</v>
      </c>
    </row>
    <row r="52" spans="2:5" x14ac:dyDescent="0.3">
      <c r="B52" s="45" t="s">
        <v>4</v>
      </c>
      <c r="C52" s="46" t="s">
        <v>235</v>
      </c>
      <c r="D52" s="49">
        <v>0</v>
      </c>
      <c r="E52" s="49">
        <v>0</v>
      </c>
    </row>
    <row r="53" spans="2:5" x14ac:dyDescent="0.3">
      <c r="B53" s="45" t="s">
        <v>4</v>
      </c>
      <c r="C53" s="46" t="s">
        <v>236</v>
      </c>
      <c r="D53" s="49">
        <v>0</v>
      </c>
      <c r="E53" s="49">
        <v>0</v>
      </c>
    </row>
    <row r="54" spans="2:5" x14ac:dyDescent="0.3">
      <c r="B54" s="47" t="s">
        <v>4</v>
      </c>
      <c r="C54" s="50" t="s">
        <v>237</v>
      </c>
      <c r="D54" s="51">
        <v>13021.34</v>
      </c>
      <c r="E54" s="51">
        <v>66935.520000000004</v>
      </c>
    </row>
    <row r="55" spans="2:5" x14ac:dyDescent="0.3">
      <c r="B55" s="45" t="s">
        <v>4</v>
      </c>
      <c r="C55" s="46" t="s">
        <v>238</v>
      </c>
      <c r="D55" s="49">
        <v>0</v>
      </c>
      <c r="E55" s="49">
        <v>0</v>
      </c>
    </row>
    <row r="56" spans="2:5" x14ac:dyDescent="0.3">
      <c r="B56" s="45" t="s">
        <v>4</v>
      </c>
      <c r="C56" s="46" t="s">
        <v>239</v>
      </c>
      <c r="D56" s="49">
        <v>613.37</v>
      </c>
      <c r="E56" s="49">
        <v>1958.91</v>
      </c>
    </row>
    <row r="57" spans="2:5" x14ac:dyDescent="0.3">
      <c r="B57" s="45" t="s">
        <v>4</v>
      </c>
      <c r="C57" s="46" t="s">
        <v>240</v>
      </c>
      <c r="D57" s="49">
        <v>2483.69</v>
      </c>
      <c r="E57" s="49">
        <v>15082.86</v>
      </c>
    </row>
    <row r="58" spans="2:5" x14ac:dyDescent="0.3">
      <c r="B58" s="47" t="s">
        <v>4</v>
      </c>
      <c r="C58" s="50" t="s">
        <v>241</v>
      </c>
      <c r="D58" s="51">
        <v>3097.06</v>
      </c>
      <c r="E58" s="51">
        <v>17041.77</v>
      </c>
    </row>
    <row r="59" spans="2:5" x14ac:dyDescent="0.3">
      <c r="B59" s="45" t="s">
        <v>4</v>
      </c>
      <c r="C59" s="46" t="s">
        <v>242</v>
      </c>
      <c r="D59" s="49">
        <v>8.8000000000000007</v>
      </c>
      <c r="E59" s="49">
        <v>21128.15</v>
      </c>
    </row>
    <row r="60" spans="2:5" x14ac:dyDescent="0.3">
      <c r="B60" s="45" t="s">
        <v>4</v>
      </c>
      <c r="C60" s="46" t="s">
        <v>243</v>
      </c>
      <c r="D60" s="49">
        <v>0</v>
      </c>
      <c r="E60" s="49">
        <v>0</v>
      </c>
    </row>
    <row r="61" spans="2:5" x14ac:dyDescent="0.3">
      <c r="B61" s="45" t="s">
        <v>4</v>
      </c>
      <c r="C61" s="46" t="s">
        <v>244</v>
      </c>
      <c r="D61" s="49">
        <v>0</v>
      </c>
      <c r="E61" s="49">
        <v>0</v>
      </c>
    </row>
    <row r="62" spans="2:5" x14ac:dyDescent="0.3">
      <c r="B62" s="45" t="s">
        <v>4</v>
      </c>
      <c r="C62" s="46" t="s">
        <v>245</v>
      </c>
      <c r="D62" s="49">
        <v>640.08000000000004</v>
      </c>
      <c r="E62" s="49">
        <v>5687.21</v>
      </c>
    </row>
    <row r="63" spans="2:5" x14ac:dyDescent="0.3">
      <c r="B63" s="45" t="s">
        <v>4</v>
      </c>
      <c r="C63" s="46" t="s">
        <v>246</v>
      </c>
      <c r="D63" s="49">
        <v>731.62</v>
      </c>
      <c r="E63" s="49">
        <v>5049.75</v>
      </c>
    </row>
    <row r="64" spans="2:5" x14ac:dyDescent="0.3">
      <c r="B64" s="45" t="s">
        <v>4</v>
      </c>
      <c r="C64" s="46" t="s">
        <v>247</v>
      </c>
      <c r="D64" s="49">
        <v>136.38</v>
      </c>
      <c r="E64" s="49">
        <v>998.66</v>
      </c>
    </row>
    <row r="65" spans="2:5" x14ac:dyDescent="0.3">
      <c r="B65" s="47" t="s">
        <v>4</v>
      </c>
      <c r="C65" s="50" t="s">
        <v>248</v>
      </c>
      <c r="D65" s="51">
        <v>1516.88</v>
      </c>
      <c r="E65" s="51">
        <v>32863.769999999997</v>
      </c>
    </row>
    <row r="66" spans="2:5" x14ac:dyDescent="0.3">
      <c r="B66" s="45" t="s">
        <v>4</v>
      </c>
      <c r="C66" s="46" t="s">
        <v>249</v>
      </c>
      <c r="D66" s="49">
        <v>221.88</v>
      </c>
      <c r="E66" s="49">
        <v>863.18</v>
      </c>
    </row>
    <row r="67" spans="2:5" x14ac:dyDescent="0.3">
      <c r="B67" s="45" t="s">
        <v>4</v>
      </c>
      <c r="C67" s="46" t="s">
        <v>250</v>
      </c>
      <c r="D67" s="49">
        <v>86.78</v>
      </c>
      <c r="E67" s="49">
        <v>445.98</v>
      </c>
    </row>
    <row r="68" spans="2:5" x14ac:dyDescent="0.3">
      <c r="B68" s="45" t="s">
        <v>4</v>
      </c>
      <c r="C68" s="46" t="s">
        <v>251</v>
      </c>
      <c r="D68" s="49">
        <v>12.91</v>
      </c>
      <c r="E68" s="49">
        <v>73.03</v>
      </c>
    </row>
    <row r="69" spans="2:5" x14ac:dyDescent="0.3">
      <c r="B69" s="45" t="s">
        <v>4</v>
      </c>
      <c r="C69" s="46" t="s">
        <v>252</v>
      </c>
      <c r="D69" s="49">
        <v>191.84</v>
      </c>
      <c r="E69" s="49">
        <v>634.91999999999996</v>
      </c>
    </row>
    <row r="70" spans="2:5" x14ac:dyDescent="0.3">
      <c r="B70" s="45" t="s">
        <v>4</v>
      </c>
      <c r="C70" s="46" t="s">
        <v>253</v>
      </c>
      <c r="D70" s="49">
        <v>12.27</v>
      </c>
      <c r="E70" s="49">
        <v>224.04</v>
      </c>
    </row>
    <row r="71" spans="2:5" x14ac:dyDescent="0.3">
      <c r="B71" s="45" t="s">
        <v>4</v>
      </c>
      <c r="C71" s="46" t="s">
        <v>254</v>
      </c>
      <c r="D71" s="49">
        <v>35</v>
      </c>
      <c r="E71" s="49">
        <v>1064.98</v>
      </c>
    </row>
    <row r="72" spans="2:5" x14ac:dyDescent="0.3">
      <c r="B72" s="45" t="s">
        <v>4</v>
      </c>
      <c r="C72" s="46" t="s">
        <v>255</v>
      </c>
      <c r="D72" s="49">
        <v>515</v>
      </c>
      <c r="E72" s="49">
        <v>3630.78</v>
      </c>
    </row>
    <row r="73" spans="2:5" x14ac:dyDescent="0.3">
      <c r="B73" s="47" t="s">
        <v>4</v>
      </c>
      <c r="C73" s="50" t="s">
        <v>256</v>
      </c>
      <c r="D73" s="51">
        <v>1075.68</v>
      </c>
      <c r="E73" s="51">
        <v>6936.91</v>
      </c>
    </row>
    <row r="74" spans="2:5" x14ac:dyDescent="0.3">
      <c r="B74" s="45" t="s">
        <v>4</v>
      </c>
      <c r="C74" s="46" t="s">
        <v>257</v>
      </c>
      <c r="D74" s="49">
        <v>0</v>
      </c>
      <c r="E74" s="49">
        <v>0</v>
      </c>
    </row>
    <row r="75" spans="2:5" x14ac:dyDescent="0.3">
      <c r="B75" s="45" t="s">
        <v>4</v>
      </c>
      <c r="C75" s="46" t="s">
        <v>258</v>
      </c>
      <c r="D75" s="49">
        <v>0</v>
      </c>
      <c r="E75" s="49">
        <v>22.61</v>
      </c>
    </row>
    <row r="76" spans="2:5" x14ac:dyDescent="0.3">
      <c r="B76" s="45" t="s">
        <v>4</v>
      </c>
      <c r="C76" s="46" t="s">
        <v>259</v>
      </c>
      <c r="D76" s="49">
        <v>68</v>
      </c>
      <c r="E76" s="49">
        <v>3295.61</v>
      </c>
    </row>
    <row r="77" spans="2:5" x14ac:dyDescent="0.3">
      <c r="B77" s="45" t="s">
        <v>4</v>
      </c>
      <c r="C77" s="46" t="s">
        <v>260</v>
      </c>
      <c r="D77" s="49">
        <v>1981.39</v>
      </c>
      <c r="E77" s="49">
        <v>14342</v>
      </c>
    </row>
    <row r="78" spans="2:5" x14ac:dyDescent="0.3">
      <c r="B78" s="47" t="s">
        <v>4</v>
      </c>
      <c r="C78" s="50" t="s">
        <v>261</v>
      </c>
      <c r="D78" s="51">
        <v>2049.39</v>
      </c>
      <c r="E78" s="51">
        <v>17660.22</v>
      </c>
    </row>
    <row r="79" spans="2:5" x14ac:dyDescent="0.3">
      <c r="B79" s="45" t="s">
        <v>4</v>
      </c>
      <c r="C79" s="46" t="s">
        <v>262</v>
      </c>
      <c r="D79" s="49">
        <v>941.12</v>
      </c>
      <c r="E79" s="49">
        <v>-2713.13</v>
      </c>
    </row>
    <row r="80" spans="2:5" x14ac:dyDescent="0.3">
      <c r="B80" s="45" t="s">
        <v>4</v>
      </c>
      <c r="C80" s="46" t="s">
        <v>263</v>
      </c>
      <c r="D80" s="49">
        <v>0</v>
      </c>
      <c r="E80" s="49">
        <v>0</v>
      </c>
    </row>
    <row r="81" spans="2:5" x14ac:dyDescent="0.3">
      <c r="B81" s="45" t="s">
        <v>4</v>
      </c>
      <c r="C81" s="46" t="s">
        <v>264</v>
      </c>
      <c r="D81" s="49">
        <v>279</v>
      </c>
      <c r="E81" s="49">
        <v>525.94000000000005</v>
      </c>
    </row>
    <row r="82" spans="2:5" x14ac:dyDescent="0.3">
      <c r="B82" s="45" t="s">
        <v>4</v>
      </c>
      <c r="C82" s="46" t="s">
        <v>265</v>
      </c>
      <c r="D82" s="49">
        <v>1921.6</v>
      </c>
      <c r="E82" s="49">
        <v>10920.6</v>
      </c>
    </row>
    <row r="83" spans="2:5" x14ac:dyDescent="0.3">
      <c r="B83" s="45" t="s">
        <v>4</v>
      </c>
      <c r="C83" s="46" t="s">
        <v>266</v>
      </c>
      <c r="D83" s="49">
        <v>0</v>
      </c>
      <c r="E83" s="49">
        <v>4245</v>
      </c>
    </row>
    <row r="84" spans="2:5" x14ac:dyDescent="0.3">
      <c r="B84" s="45" t="s">
        <v>4</v>
      </c>
      <c r="C84" s="46" t="s">
        <v>267</v>
      </c>
      <c r="D84" s="49">
        <v>0</v>
      </c>
      <c r="E84" s="49">
        <v>0</v>
      </c>
    </row>
    <row r="85" spans="2:5" x14ac:dyDescent="0.3">
      <c r="B85" s="45" t="s">
        <v>4</v>
      </c>
      <c r="C85" s="46" t="s">
        <v>268</v>
      </c>
      <c r="D85" s="49">
        <v>106.45</v>
      </c>
      <c r="E85" s="49">
        <v>759.72</v>
      </c>
    </row>
    <row r="86" spans="2:5" x14ac:dyDescent="0.3">
      <c r="B86" s="45" t="s">
        <v>4</v>
      </c>
      <c r="C86" s="46" t="s">
        <v>269</v>
      </c>
      <c r="D86" s="49">
        <v>1223.42</v>
      </c>
      <c r="E86" s="49">
        <v>4006.26</v>
      </c>
    </row>
    <row r="87" spans="2:5" x14ac:dyDescent="0.3">
      <c r="B87" s="45" t="s">
        <v>4</v>
      </c>
      <c r="C87" s="46" t="s">
        <v>270</v>
      </c>
      <c r="D87" s="49">
        <v>560.88</v>
      </c>
      <c r="E87" s="49">
        <v>4222.28</v>
      </c>
    </row>
    <row r="88" spans="2:5" x14ac:dyDescent="0.3">
      <c r="B88" s="45" t="s">
        <v>4</v>
      </c>
      <c r="C88" s="46" t="s">
        <v>271</v>
      </c>
      <c r="D88" s="49">
        <v>1012.95</v>
      </c>
      <c r="E88" s="49">
        <v>12295.6</v>
      </c>
    </row>
    <row r="89" spans="2:5" x14ac:dyDescent="0.3">
      <c r="B89" s="45" t="s">
        <v>4</v>
      </c>
      <c r="C89" s="46" t="s">
        <v>272</v>
      </c>
      <c r="D89" s="49">
        <v>0</v>
      </c>
      <c r="E89" s="49">
        <v>645.92999999999995</v>
      </c>
    </row>
    <row r="90" spans="2:5" x14ac:dyDescent="0.3">
      <c r="B90" s="45" t="s">
        <v>4</v>
      </c>
      <c r="C90" s="46" t="s">
        <v>273</v>
      </c>
      <c r="D90" s="49">
        <v>1379.99</v>
      </c>
      <c r="E90" s="49">
        <v>2717.59</v>
      </c>
    </row>
    <row r="91" spans="2:5" x14ac:dyDescent="0.3">
      <c r="B91" s="45" t="s">
        <v>4</v>
      </c>
      <c r="C91" s="46" t="s">
        <v>274</v>
      </c>
      <c r="D91" s="49">
        <v>0</v>
      </c>
      <c r="E91" s="49">
        <v>0</v>
      </c>
    </row>
    <row r="92" spans="2:5" x14ac:dyDescent="0.3">
      <c r="B92" s="47" t="s">
        <v>4</v>
      </c>
      <c r="C92" s="50" t="s">
        <v>275</v>
      </c>
      <c r="D92" s="51">
        <v>7425.41</v>
      </c>
      <c r="E92" s="51">
        <v>37625.79</v>
      </c>
    </row>
    <row r="93" spans="2:5" x14ac:dyDescent="0.3">
      <c r="B93" s="45" t="s">
        <v>4</v>
      </c>
      <c r="C93" s="46" t="s">
        <v>276</v>
      </c>
      <c r="D93" s="49">
        <v>0</v>
      </c>
      <c r="E93" s="49">
        <v>0</v>
      </c>
    </row>
    <row r="94" spans="2:5" x14ac:dyDescent="0.3">
      <c r="B94" s="45" t="s">
        <v>4</v>
      </c>
      <c r="C94" s="46" t="s">
        <v>277</v>
      </c>
      <c r="D94" s="49">
        <v>0</v>
      </c>
      <c r="E94" s="49">
        <v>0</v>
      </c>
    </row>
    <row r="95" spans="2:5" x14ac:dyDescent="0.3">
      <c r="B95" s="45" t="s">
        <v>4</v>
      </c>
      <c r="C95" s="46" t="s">
        <v>278</v>
      </c>
      <c r="D95" s="49">
        <v>0</v>
      </c>
      <c r="E95" s="49">
        <v>0</v>
      </c>
    </row>
    <row r="96" spans="2:5" x14ac:dyDescent="0.3">
      <c r="B96" s="47" t="s">
        <v>4</v>
      </c>
      <c r="C96" s="50" t="s">
        <v>279</v>
      </c>
      <c r="D96" s="51">
        <v>0</v>
      </c>
      <c r="E96" s="51">
        <v>0</v>
      </c>
    </row>
    <row r="97" spans="2:5" x14ac:dyDescent="0.3">
      <c r="B97" s="45" t="s">
        <v>4</v>
      </c>
      <c r="C97" s="46" t="s">
        <v>280</v>
      </c>
      <c r="D97" s="49">
        <v>44.58</v>
      </c>
      <c r="E97" s="49">
        <v>304.33999999999997</v>
      </c>
    </row>
    <row r="98" spans="2:5" x14ac:dyDescent="0.3">
      <c r="B98" s="45" t="s">
        <v>4</v>
      </c>
      <c r="C98" s="46" t="s">
        <v>281</v>
      </c>
      <c r="D98" s="49">
        <v>0</v>
      </c>
      <c r="E98" s="49">
        <v>0</v>
      </c>
    </row>
    <row r="99" spans="2:5" x14ac:dyDescent="0.3">
      <c r="B99" s="45" t="s">
        <v>4</v>
      </c>
      <c r="C99" s="46" t="s">
        <v>282</v>
      </c>
      <c r="D99" s="49">
        <v>45.67</v>
      </c>
      <c r="E99" s="49">
        <v>313.79000000000002</v>
      </c>
    </row>
    <row r="100" spans="2:5" x14ac:dyDescent="0.3">
      <c r="B100" s="45" t="s">
        <v>4</v>
      </c>
      <c r="C100" s="46" t="s">
        <v>283</v>
      </c>
      <c r="D100" s="49">
        <v>1007.31</v>
      </c>
      <c r="E100" s="49">
        <v>3076.71</v>
      </c>
    </row>
    <row r="101" spans="2:5" x14ac:dyDescent="0.3">
      <c r="B101" s="45" t="s">
        <v>4</v>
      </c>
      <c r="C101" s="46" t="s">
        <v>284</v>
      </c>
      <c r="D101" s="49">
        <v>0</v>
      </c>
      <c r="E101" s="49">
        <v>0</v>
      </c>
    </row>
    <row r="102" spans="2:5" x14ac:dyDescent="0.3">
      <c r="B102" s="47" t="s">
        <v>4</v>
      </c>
      <c r="C102" s="50" t="s">
        <v>285</v>
      </c>
      <c r="D102" s="51">
        <v>1097.56</v>
      </c>
      <c r="E102" s="51">
        <v>3694.84</v>
      </c>
    </row>
    <row r="103" spans="2:5" x14ac:dyDescent="0.3">
      <c r="B103" s="45" t="s">
        <v>4</v>
      </c>
      <c r="C103" s="46" t="s">
        <v>286</v>
      </c>
      <c r="D103" s="49">
        <v>17465</v>
      </c>
      <c r="E103" s="49">
        <v>122255</v>
      </c>
    </row>
    <row r="104" spans="2:5" x14ac:dyDescent="0.3">
      <c r="B104" s="45" t="s">
        <v>4</v>
      </c>
      <c r="C104" s="46" t="s">
        <v>287</v>
      </c>
      <c r="D104" s="49">
        <v>0</v>
      </c>
      <c r="E104" s="49">
        <v>1309.3399999999999</v>
      </c>
    </row>
    <row r="105" spans="2:5" x14ac:dyDescent="0.3">
      <c r="B105" s="45" t="s">
        <v>4</v>
      </c>
      <c r="C105" s="46" t="s">
        <v>288</v>
      </c>
      <c r="D105" s="49">
        <v>0</v>
      </c>
      <c r="E105" s="49">
        <v>250</v>
      </c>
    </row>
    <row r="106" spans="2:5" x14ac:dyDescent="0.3">
      <c r="B106" s="45" t="s">
        <v>4</v>
      </c>
      <c r="C106" s="46" t="s">
        <v>289</v>
      </c>
      <c r="D106" s="49">
        <v>0</v>
      </c>
      <c r="E106" s="49">
        <v>0</v>
      </c>
    </row>
    <row r="107" spans="2:5" x14ac:dyDescent="0.3">
      <c r="B107" s="47" t="s">
        <v>4</v>
      </c>
      <c r="C107" s="50" t="s">
        <v>290</v>
      </c>
      <c r="D107" s="51">
        <v>17465</v>
      </c>
      <c r="E107" s="51">
        <v>123814.34</v>
      </c>
    </row>
    <row r="108" spans="2:5" x14ac:dyDescent="0.3">
      <c r="B108" s="45" t="s">
        <v>4</v>
      </c>
      <c r="C108" s="46" t="s">
        <v>291</v>
      </c>
      <c r="D108" s="49">
        <v>14847.56</v>
      </c>
      <c r="E108" s="49">
        <v>84242.07</v>
      </c>
    </row>
    <row r="109" spans="2:5" x14ac:dyDescent="0.3">
      <c r="B109" s="47" t="s">
        <v>4</v>
      </c>
      <c r="C109" s="50" t="s">
        <v>292</v>
      </c>
      <c r="D109" s="51">
        <v>14847.56</v>
      </c>
      <c r="E109" s="51">
        <v>84242.07</v>
      </c>
    </row>
    <row r="110" spans="2:5" x14ac:dyDescent="0.3">
      <c r="B110" s="45" t="s">
        <v>4</v>
      </c>
      <c r="C110" s="46" t="s">
        <v>293</v>
      </c>
      <c r="D110" s="49">
        <v>-1115.97</v>
      </c>
      <c r="E110" s="49">
        <v>300.47000000000003</v>
      </c>
    </row>
    <row r="111" spans="2:5" x14ac:dyDescent="0.3">
      <c r="B111" s="45" t="s">
        <v>4</v>
      </c>
      <c r="C111" s="46" t="s">
        <v>294</v>
      </c>
      <c r="D111" s="49">
        <v>0</v>
      </c>
      <c r="E111" s="49">
        <v>0</v>
      </c>
    </row>
    <row r="112" spans="2:5" x14ac:dyDescent="0.3">
      <c r="B112" s="47" t="s">
        <v>4</v>
      </c>
      <c r="C112" s="50" t="s">
        <v>295</v>
      </c>
      <c r="D112" s="51">
        <v>-1115.97</v>
      </c>
      <c r="E112" s="51">
        <v>300.47000000000003</v>
      </c>
    </row>
    <row r="113" spans="2:5" x14ac:dyDescent="0.3">
      <c r="B113" s="47" t="s">
        <v>4</v>
      </c>
      <c r="C113" s="48" t="s">
        <v>296</v>
      </c>
      <c r="D113" s="52">
        <v>68155.37</v>
      </c>
      <c r="E113" s="52">
        <v>441313.21</v>
      </c>
    </row>
    <row r="114" spans="2:5" x14ac:dyDescent="0.3">
      <c r="B114" s="47" t="s">
        <v>4</v>
      </c>
      <c r="C114" s="48" t="s">
        <v>297</v>
      </c>
      <c r="D114" s="52">
        <v>118157.34</v>
      </c>
      <c r="E114" s="52">
        <v>805524.15</v>
      </c>
    </row>
  </sheetData>
  <mergeCells count="2">
    <mergeCell ref="B2:F2"/>
    <mergeCell ref="C3:E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87"/>
  <sheetViews>
    <sheetView showGridLines="0" workbookViewId="0"/>
  </sheetViews>
  <sheetFormatPr defaultRowHeight="14.4" x14ac:dyDescent="0.3"/>
  <cols>
    <col min="1" max="1" width="2.44140625" customWidth="1"/>
    <col min="2" max="2" width="0.109375" customWidth="1"/>
    <col min="3" max="3" width="18.6640625" customWidth="1"/>
    <col min="4" max="4" width="6.88671875" customWidth="1"/>
    <col min="5" max="5" width="13.6640625" customWidth="1"/>
    <col min="6" max="6" width="7.88671875" customWidth="1"/>
    <col min="7" max="9" width="7.33203125" customWidth="1"/>
    <col min="10" max="10" width="6.33203125" customWidth="1"/>
    <col min="11" max="11" width="1" customWidth="1"/>
    <col min="12" max="20" width="7.33203125" customWidth="1"/>
    <col min="21" max="21" width="0.109375" customWidth="1"/>
    <col min="22" max="22" width="1.109375" customWidth="1"/>
    <col min="23" max="23" width="154.5546875" customWidth="1"/>
  </cols>
  <sheetData>
    <row r="1" spans="3:20" ht="13.65" customHeight="1" x14ac:dyDescent="0.3"/>
    <row r="2" spans="3:20" ht="18.45" customHeight="1" x14ac:dyDescent="0.3">
      <c r="D2" s="117" t="s">
        <v>81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</row>
    <row r="3" spans="3:20" x14ac:dyDescent="0.3">
      <c r="C3" s="15" t="s">
        <v>4</v>
      </c>
      <c r="D3" s="127" t="s">
        <v>82</v>
      </c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</row>
    <row r="4" spans="3:20" x14ac:dyDescent="0.3">
      <c r="C4" s="5" t="s">
        <v>83</v>
      </c>
      <c r="D4" s="118" t="s">
        <v>84</v>
      </c>
      <c r="E4" s="119"/>
      <c r="F4" s="120"/>
      <c r="G4" s="23" t="s">
        <v>4</v>
      </c>
      <c r="H4" s="23" t="s">
        <v>4</v>
      </c>
      <c r="I4" s="23" t="s">
        <v>4</v>
      </c>
      <c r="J4" s="128" t="s">
        <v>4</v>
      </c>
      <c r="K4" s="119"/>
      <c r="L4" s="23" t="s">
        <v>4</v>
      </c>
      <c r="M4" s="23" t="s">
        <v>4</v>
      </c>
      <c r="N4" s="23" t="s">
        <v>4</v>
      </c>
      <c r="O4" s="23" t="s">
        <v>4</v>
      </c>
      <c r="P4" s="23" t="s">
        <v>4</v>
      </c>
      <c r="Q4" s="23" t="s">
        <v>4</v>
      </c>
      <c r="R4" s="23" t="s">
        <v>4</v>
      </c>
      <c r="S4" s="23" t="s">
        <v>4</v>
      </c>
      <c r="T4" s="23" t="s">
        <v>4</v>
      </c>
    </row>
    <row r="5" spans="3:20" ht="27" x14ac:dyDescent="0.3">
      <c r="C5" s="24" t="s">
        <v>85</v>
      </c>
      <c r="D5" s="24" t="s">
        <v>86</v>
      </c>
      <c r="E5" s="24" t="s">
        <v>87</v>
      </c>
      <c r="F5" s="24" t="s">
        <v>88</v>
      </c>
      <c r="G5" s="24" t="s">
        <v>9</v>
      </c>
      <c r="H5" s="24" t="s">
        <v>10</v>
      </c>
      <c r="I5" s="24" t="s">
        <v>11</v>
      </c>
      <c r="J5" s="129" t="s">
        <v>12</v>
      </c>
      <c r="K5" s="120"/>
      <c r="L5" s="24" t="s">
        <v>13</v>
      </c>
      <c r="M5" s="24" t="s">
        <v>14</v>
      </c>
      <c r="N5" s="24" t="s">
        <v>15</v>
      </c>
      <c r="O5" s="24" t="s">
        <v>16</v>
      </c>
      <c r="P5" s="24" t="s">
        <v>17</v>
      </c>
      <c r="Q5" s="24" t="s">
        <v>18</v>
      </c>
      <c r="R5" s="24" t="s">
        <v>19</v>
      </c>
      <c r="S5" s="24" t="s">
        <v>20</v>
      </c>
      <c r="T5" s="24" t="s">
        <v>21</v>
      </c>
    </row>
    <row r="6" spans="3:20" x14ac:dyDescent="0.3">
      <c r="C6" s="25" t="s">
        <v>89</v>
      </c>
      <c r="D6" s="26">
        <v>41912</v>
      </c>
      <c r="E6" s="27">
        <v>1</v>
      </c>
      <c r="F6" s="28">
        <v>1</v>
      </c>
      <c r="G6" s="29"/>
      <c r="H6" s="29"/>
      <c r="I6" s="29"/>
      <c r="J6" s="125"/>
      <c r="K6" s="116"/>
      <c r="L6" s="29"/>
      <c r="M6" s="29"/>
      <c r="N6" s="29"/>
      <c r="O6" s="29"/>
      <c r="P6" s="29">
        <v>0</v>
      </c>
      <c r="Q6" s="29">
        <v>0</v>
      </c>
      <c r="R6" s="29">
        <v>0</v>
      </c>
      <c r="S6" s="29">
        <v>0</v>
      </c>
      <c r="T6" s="29">
        <v>0</v>
      </c>
    </row>
    <row r="7" spans="3:20" x14ac:dyDescent="0.3">
      <c r="C7" s="30" t="s">
        <v>90</v>
      </c>
      <c r="D7" s="31">
        <v>100</v>
      </c>
      <c r="E7" s="32">
        <v>0.95081967213114704</v>
      </c>
      <c r="F7" s="33">
        <v>61</v>
      </c>
      <c r="G7" s="34">
        <v>0</v>
      </c>
      <c r="H7" s="34">
        <v>4</v>
      </c>
      <c r="I7" s="34">
        <v>3</v>
      </c>
      <c r="J7" s="124">
        <v>9</v>
      </c>
      <c r="K7" s="116"/>
      <c r="L7" s="34">
        <v>9</v>
      </c>
      <c r="M7" s="34">
        <v>8</v>
      </c>
      <c r="N7" s="34">
        <v>8</v>
      </c>
      <c r="O7" s="34">
        <v>10</v>
      </c>
      <c r="P7" s="34">
        <v>9</v>
      </c>
      <c r="Q7" s="34">
        <v>5</v>
      </c>
      <c r="R7" s="34">
        <v>0</v>
      </c>
      <c r="S7" s="34">
        <v>1</v>
      </c>
      <c r="T7" s="34">
        <v>3</v>
      </c>
    </row>
    <row r="8" spans="3:20" x14ac:dyDescent="0.3">
      <c r="C8" s="25" t="s">
        <v>91</v>
      </c>
      <c r="D8" s="26">
        <v>100</v>
      </c>
      <c r="E8" s="27">
        <v>0.94029850746268695</v>
      </c>
      <c r="F8" s="28">
        <v>67</v>
      </c>
      <c r="G8" s="29">
        <v>0</v>
      </c>
      <c r="H8" s="29">
        <v>10</v>
      </c>
      <c r="I8" s="29">
        <v>15</v>
      </c>
      <c r="J8" s="125">
        <v>13</v>
      </c>
      <c r="K8" s="116"/>
      <c r="L8" s="29">
        <v>13</v>
      </c>
      <c r="M8" s="29">
        <v>13</v>
      </c>
      <c r="N8" s="29">
        <v>12</v>
      </c>
      <c r="O8" s="29">
        <v>6</v>
      </c>
      <c r="P8" s="29">
        <v>8</v>
      </c>
      <c r="Q8" s="29">
        <v>4</v>
      </c>
      <c r="R8" s="29">
        <v>2</v>
      </c>
      <c r="S8" s="29">
        <v>1</v>
      </c>
      <c r="T8" s="29">
        <v>4</v>
      </c>
    </row>
    <row r="9" spans="3:20" x14ac:dyDescent="0.3">
      <c r="C9" s="30" t="s">
        <v>92</v>
      </c>
      <c r="D9" s="31">
        <v>110</v>
      </c>
      <c r="E9" s="32">
        <v>1</v>
      </c>
      <c r="F9" s="33">
        <v>3</v>
      </c>
      <c r="G9" s="34">
        <v>0</v>
      </c>
      <c r="H9" s="34">
        <v>0</v>
      </c>
      <c r="I9" s="34">
        <v>0</v>
      </c>
      <c r="J9" s="124">
        <v>0</v>
      </c>
      <c r="K9" s="116"/>
      <c r="L9" s="34">
        <v>0</v>
      </c>
      <c r="M9" s="34">
        <v>0</v>
      </c>
      <c r="N9" s="34">
        <v>0</v>
      </c>
      <c r="O9" s="34">
        <v>0</v>
      </c>
      <c r="P9" s="34">
        <v>1</v>
      </c>
      <c r="Q9" s="34">
        <v>0</v>
      </c>
      <c r="R9" s="34">
        <v>0</v>
      </c>
      <c r="S9" s="34">
        <v>0</v>
      </c>
      <c r="T9" s="34">
        <v>0</v>
      </c>
    </row>
    <row r="10" spans="3:20" x14ac:dyDescent="0.3">
      <c r="C10" s="25" t="s">
        <v>93</v>
      </c>
      <c r="D10" s="26">
        <v>110</v>
      </c>
      <c r="E10" s="27">
        <v>1</v>
      </c>
      <c r="F10" s="28">
        <v>1</v>
      </c>
      <c r="G10" s="29">
        <v>0</v>
      </c>
      <c r="H10" s="29">
        <v>0</v>
      </c>
      <c r="I10" s="29">
        <v>0</v>
      </c>
      <c r="J10" s="125">
        <v>0</v>
      </c>
      <c r="K10" s="116"/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</row>
    <row r="11" spans="3:20" x14ac:dyDescent="0.3">
      <c r="C11" s="30" t="s">
        <v>94</v>
      </c>
      <c r="D11" s="31">
        <v>140</v>
      </c>
      <c r="E11" s="32">
        <v>1</v>
      </c>
      <c r="F11" s="33">
        <v>2</v>
      </c>
      <c r="G11" s="34">
        <v>0</v>
      </c>
      <c r="H11" s="34">
        <v>0</v>
      </c>
      <c r="I11" s="34">
        <v>0</v>
      </c>
      <c r="J11" s="124">
        <v>1</v>
      </c>
      <c r="K11" s="116"/>
      <c r="L11" s="34">
        <v>1</v>
      </c>
      <c r="M11" s="34">
        <v>1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</row>
    <row r="12" spans="3:20" x14ac:dyDescent="0.3">
      <c r="C12" s="25" t="s">
        <v>95</v>
      </c>
      <c r="D12" s="26">
        <v>150</v>
      </c>
      <c r="E12" s="27">
        <v>1</v>
      </c>
      <c r="F12" s="28">
        <v>20</v>
      </c>
      <c r="G12" s="29">
        <v>0</v>
      </c>
      <c r="H12" s="29">
        <v>1</v>
      </c>
      <c r="I12" s="29">
        <v>0</v>
      </c>
      <c r="J12" s="125">
        <v>1</v>
      </c>
      <c r="K12" s="116"/>
      <c r="L12" s="29">
        <v>1</v>
      </c>
      <c r="M12" s="29">
        <v>2</v>
      </c>
      <c r="N12" s="29">
        <v>1</v>
      </c>
      <c r="O12" s="29">
        <v>1</v>
      </c>
      <c r="P12" s="29">
        <v>0</v>
      </c>
      <c r="Q12" s="29">
        <v>0</v>
      </c>
      <c r="R12" s="29">
        <v>0</v>
      </c>
      <c r="S12" s="29">
        <v>1</v>
      </c>
      <c r="T12" s="29">
        <v>0</v>
      </c>
    </row>
    <row r="13" spans="3:20" x14ac:dyDescent="0.3">
      <c r="C13" s="30" t="s">
        <v>96</v>
      </c>
      <c r="D13" s="31">
        <v>150</v>
      </c>
      <c r="E13" s="32">
        <v>0</v>
      </c>
      <c r="F13" s="33">
        <v>0</v>
      </c>
      <c r="G13" s="34">
        <v>0</v>
      </c>
      <c r="H13" s="34">
        <v>0</v>
      </c>
      <c r="I13" s="34">
        <v>0</v>
      </c>
      <c r="J13" s="124">
        <v>0</v>
      </c>
      <c r="K13" s="116"/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</row>
    <row r="14" spans="3:20" x14ac:dyDescent="0.3">
      <c r="C14" s="25" t="s">
        <v>97</v>
      </c>
      <c r="D14" s="26">
        <v>150</v>
      </c>
      <c r="E14" s="27">
        <v>1</v>
      </c>
      <c r="F14" s="28">
        <v>22</v>
      </c>
      <c r="G14" s="29">
        <v>0</v>
      </c>
      <c r="H14" s="29">
        <v>1</v>
      </c>
      <c r="I14" s="29">
        <v>1</v>
      </c>
      <c r="J14" s="125">
        <v>2</v>
      </c>
      <c r="K14" s="116"/>
      <c r="L14" s="29">
        <v>2</v>
      </c>
      <c r="M14" s="29">
        <v>3</v>
      </c>
      <c r="N14" s="29">
        <v>4</v>
      </c>
      <c r="O14" s="29">
        <v>2</v>
      </c>
      <c r="P14" s="29">
        <v>0</v>
      </c>
      <c r="Q14" s="29">
        <v>0</v>
      </c>
      <c r="R14" s="29">
        <v>1</v>
      </c>
      <c r="S14" s="29">
        <v>1</v>
      </c>
      <c r="T14" s="29">
        <v>0</v>
      </c>
    </row>
    <row r="15" spans="3:20" x14ac:dyDescent="0.3">
      <c r="C15" s="30" t="s">
        <v>98</v>
      </c>
      <c r="D15" s="31">
        <v>150</v>
      </c>
      <c r="E15" s="32">
        <v>0</v>
      </c>
      <c r="F15" s="33">
        <v>0</v>
      </c>
      <c r="G15" s="34">
        <v>0</v>
      </c>
      <c r="H15" s="34">
        <v>0</v>
      </c>
      <c r="I15" s="34">
        <v>0</v>
      </c>
      <c r="J15" s="124">
        <v>0</v>
      </c>
      <c r="K15" s="116"/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</row>
    <row r="16" spans="3:20" x14ac:dyDescent="0.3">
      <c r="C16" s="25" t="s">
        <v>99</v>
      </c>
      <c r="D16" s="26">
        <v>160</v>
      </c>
      <c r="E16" s="27">
        <v>1</v>
      </c>
      <c r="F16" s="28">
        <v>2</v>
      </c>
      <c r="G16" s="29">
        <v>0</v>
      </c>
      <c r="H16" s="29">
        <v>0</v>
      </c>
      <c r="I16" s="29">
        <v>0</v>
      </c>
      <c r="J16" s="125">
        <v>0</v>
      </c>
      <c r="K16" s="116"/>
      <c r="L16" s="29">
        <v>0</v>
      </c>
      <c r="M16" s="29">
        <v>0</v>
      </c>
      <c r="N16" s="29">
        <v>0</v>
      </c>
      <c r="O16" s="29">
        <v>1</v>
      </c>
      <c r="P16" s="29">
        <v>1</v>
      </c>
      <c r="Q16" s="29">
        <v>0</v>
      </c>
      <c r="R16" s="29">
        <v>0</v>
      </c>
      <c r="S16" s="29">
        <v>0</v>
      </c>
      <c r="T16" s="29">
        <v>0</v>
      </c>
    </row>
    <row r="17" spans="3:20" x14ac:dyDescent="0.3">
      <c r="C17" s="30" t="s">
        <v>100</v>
      </c>
      <c r="D17" s="31">
        <v>200</v>
      </c>
      <c r="E17" s="32">
        <v>1</v>
      </c>
      <c r="F17" s="33">
        <v>17</v>
      </c>
      <c r="G17" s="34">
        <v>0</v>
      </c>
      <c r="H17" s="34">
        <v>0</v>
      </c>
      <c r="I17" s="34">
        <v>0</v>
      </c>
      <c r="J17" s="124">
        <v>0</v>
      </c>
      <c r="K17" s="116"/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</row>
    <row r="18" spans="3:20" x14ac:dyDescent="0.3">
      <c r="C18" s="25" t="s">
        <v>101</v>
      </c>
      <c r="D18" s="26">
        <v>200</v>
      </c>
      <c r="E18" s="27">
        <v>1</v>
      </c>
      <c r="F18" s="28">
        <v>2</v>
      </c>
      <c r="G18" s="29">
        <v>0</v>
      </c>
      <c r="H18" s="29">
        <v>0</v>
      </c>
      <c r="I18" s="29">
        <v>0</v>
      </c>
      <c r="J18" s="125">
        <v>0</v>
      </c>
      <c r="K18" s="116"/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</row>
    <row r="19" spans="3:20" x14ac:dyDescent="0.3">
      <c r="C19" s="30" t="s">
        <v>102</v>
      </c>
      <c r="D19" s="31">
        <v>200</v>
      </c>
      <c r="E19" s="32">
        <v>0.931034482758621</v>
      </c>
      <c r="F19" s="33">
        <v>29</v>
      </c>
      <c r="G19" s="34">
        <v>0</v>
      </c>
      <c r="H19" s="34">
        <v>1</v>
      </c>
      <c r="I19" s="34">
        <v>2</v>
      </c>
      <c r="J19" s="124">
        <v>1</v>
      </c>
      <c r="K19" s="116"/>
      <c r="L19" s="34">
        <v>2</v>
      </c>
      <c r="M19" s="34">
        <v>3</v>
      </c>
      <c r="N19" s="34">
        <v>2</v>
      </c>
      <c r="O19" s="34">
        <v>1</v>
      </c>
      <c r="P19" s="34">
        <v>0</v>
      </c>
      <c r="Q19" s="34">
        <v>0</v>
      </c>
      <c r="R19" s="34">
        <v>0</v>
      </c>
      <c r="S19" s="34">
        <v>2</v>
      </c>
      <c r="T19" s="34">
        <v>2</v>
      </c>
    </row>
    <row r="20" spans="3:20" x14ac:dyDescent="0.3">
      <c r="C20" s="25" t="s">
        <v>103</v>
      </c>
      <c r="D20" s="26">
        <v>210</v>
      </c>
      <c r="E20" s="27">
        <v>1</v>
      </c>
      <c r="F20" s="28">
        <v>1</v>
      </c>
      <c r="G20" s="29">
        <v>0</v>
      </c>
      <c r="H20" s="29">
        <v>0</v>
      </c>
      <c r="I20" s="29">
        <v>0</v>
      </c>
      <c r="J20" s="125">
        <v>0</v>
      </c>
      <c r="K20" s="116"/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</row>
    <row r="21" spans="3:20" x14ac:dyDescent="0.3">
      <c r="C21" s="30" t="s">
        <v>104</v>
      </c>
      <c r="D21" s="34"/>
      <c r="E21" s="34" t="s">
        <v>4</v>
      </c>
      <c r="F21" s="35" t="s">
        <v>4</v>
      </c>
      <c r="G21" s="34">
        <v>0</v>
      </c>
      <c r="H21" s="34">
        <v>0</v>
      </c>
      <c r="I21" s="34">
        <v>0</v>
      </c>
      <c r="J21" s="124">
        <v>0</v>
      </c>
      <c r="K21" s="116"/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/>
      <c r="S21" s="34"/>
      <c r="T21" s="34"/>
    </row>
    <row r="22" spans="3:20" x14ac:dyDescent="0.3">
      <c r="C22" s="25" t="s">
        <v>105</v>
      </c>
      <c r="D22" s="26">
        <v>300</v>
      </c>
      <c r="E22" s="27">
        <v>0.66666666666666696</v>
      </c>
      <c r="F22" s="28">
        <v>3</v>
      </c>
      <c r="G22" s="29">
        <v>0</v>
      </c>
      <c r="H22" s="29">
        <v>1</v>
      </c>
      <c r="I22" s="29">
        <v>0</v>
      </c>
      <c r="J22" s="125">
        <v>1</v>
      </c>
      <c r="K22" s="116"/>
      <c r="L22" s="29">
        <v>2</v>
      </c>
      <c r="M22" s="29">
        <v>2</v>
      </c>
      <c r="N22" s="29">
        <v>2</v>
      </c>
      <c r="O22" s="29">
        <v>2</v>
      </c>
      <c r="P22" s="29">
        <v>0</v>
      </c>
      <c r="Q22" s="29">
        <v>0</v>
      </c>
      <c r="R22" s="29">
        <v>0</v>
      </c>
      <c r="S22" s="29">
        <v>0</v>
      </c>
      <c r="T22" s="29">
        <v>1</v>
      </c>
    </row>
    <row r="23" spans="3:20" x14ac:dyDescent="0.3">
      <c r="C23" s="30" t="s">
        <v>106</v>
      </c>
      <c r="D23" s="31">
        <v>300</v>
      </c>
      <c r="E23" s="32">
        <v>0</v>
      </c>
      <c r="F23" s="33">
        <v>0</v>
      </c>
      <c r="G23" s="34">
        <v>0</v>
      </c>
      <c r="H23" s="34">
        <v>0</v>
      </c>
      <c r="I23" s="34">
        <v>0</v>
      </c>
      <c r="J23" s="124">
        <v>0</v>
      </c>
      <c r="K23" s="116"/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</row>
    <row r="24" spans="3:20" x14ac:dyDescent="0.3">
      <c r="C24" s="25" t="s">
        <v>107</v>
      </c>
      <c r="D24" s="26">
        <v>300</v>
      </c>
      <c r="E24" s="27">
        <v>1</v>
      </c>
      <c r="F24" s="28">
        <v>1</v>
      </c>
      <c r="G24" s="29">
        <v>0</v>
      </c>
      <c r="H24" s="29">
        <v>0</v>
      </c>
      <c r="I24" s="29">
        <v>0</v>
      </c>
      <c r="J24" s="125">
        <v>0</v>
      </c>
      <c r="K24" s="116"/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</row>
    <row r="25" spans="3:20" x14ac:dyDescent="0.3">
      <c r="C25" s="30" t="s">
        <v>108</v>
      </c>
      <c r="D25" s="31">
        <v>40</v>
      </c>
      <c r="E25" s="32">
        <v>1</v>
      </c>
      <c r="F25" s="33">
        <v>1</v>
      </c>
      <c r="G25" s="34">
        <v>0</v>
      </c>
      <c r="H25" s="34">
        <v>0</v>
      </c>
      <c r="I25" s="34">
        <v>0</v>
      </c>
      <c r="J25" s="124">
        <v>0</v>
      </c>
      <c r="K25" s="116"/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</row>
    <row r="26" spans="3:20" x14ac:dyDescent="0.3">
      <c r="C26" s="25" t="s">
        <v>109</v>
      </c>
      <c r="D26" s="26">
        <v>50</v>
      </c>
      <c r="E26" s="27">
        <v>0.9375</v>
      </c>
      <c r="F26" s="28">
        <v>48</v>
      </c>
      <c r="G26" s="29">
        <v>0</v>
      </c>
      <c r="H26" s="29">
        <v>9</v>
      </c>
      <c r="I26" s="29">
        <v>10</v>
      </c>
      <c r="J26" s="125">
        <v>12</v>
      </c>
      <c r="K26" s="116"/>
      <c r="L26" s="29">
        <v>10</v>
      </c>
      <c r="M26" s="29">
        <v>12</v>
      </c>
      <c r="N26" s="29">
        <v>8</v>
      </c>
      <c r="O26" s="29">
        <v>6</v>
      </c>
      <c r="P26" s="29">
        <v>11</v>
      </c>
      <c r="Q26" s="29">
        <v>5</v>
      </c>
      <c r="R26" s="29">
        <v>1</v>
      </c>
      <c r="S26" s="29">
        <v>3</v>
      </c>
      <c r="T26" s="29">
        <v>3</v>
      </c>
    </row>
    <row r="27" spans="3:20" x14ac:dyDescent="0.3">
      <c r="C27" s="30" t="s">
        <v>110</v>
      </c>
      <c r="D27" s="31">
        <v>50</v>
      </c>
      <c r="E27" s="32">
        <v>0.79591836734693899</v>
      </c>
      <c r="F27" s="33">
        <v>49</v>
      </c>
      <c r="G27" s="34">
        <v>0</v>
      </c>
      <c r="H27" s="34">
        <v>7</v>
      </c>
      <c r="I27" s="34">
        <v>6</v>
      </c>
      <c r="J27" s="124">
        <v>6</v>
      </c>
      <c r="K27" s="116"/>
      <c r="L27" s="34">
        <v>4</v>
      </c>
      <c r="M27" s="34">
        <v>5</v>
      </c>
      <c r="N27" s="34">
        <v>6</v>
      </c>
      <c r="O27" s="34">
        <v>8</v>
      </c>
      <c r="P27" s="34">
        <v>7</v>
      </c>
      <c r="Q27" s="34">
        <v>0</v>
      </c>
      <c r="R27" s="34">
        <v>0</v>
      </c>
      <c r="S27" s="34">
        <v>1</v>
      </c>
      <c r="T27" s="34">
        <v>10</v>
      </c>
    </row>
    <row r="28" spans="3:20" x14ac:dyDescent="0.3">
      <c r="C28" s="25" t="s">
        <v>111</v>
      </c>
      <c r="D28" s="26">
        <v>60</v>
      </c>
      <c r="E28" s="27">
        <v>0</v>
      </c>
      <c r="F28" s="28">
        <v>0</v>
      </c>
      <c r="G28" s="29">
        <v>0</v>
      </c>
      <c r="H28" s="29">
        <v>0</v>
      </c>
      <c r="I28" s="29">
        <v>0</v>
      </c>
      <c r="J28" s="125">
        <v>0</v>
      </c>
      <c r="K28" s="116"/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</row>
    <row r="29" spans="3:20" x14ac:dyDescent="0.3">
      <c r="C29" s="30" t="s">
        <v>112</v>
      </c>
      <c r="D29" s="31">
        <v>110</v>
      </c>
      <c r="E29" s="32">
        <v>1</v>
      </c>
      <c r="F29" s="33">
        <v>1</v>
      </c>
      <c r="G29" s="34">
        <v>0</v>
      </c>
      <c r="H29" s="34">
        <v>0</v>
      </c>
      <c r="I29" s="34">
        <v>0</v>
      </c>
      <c r="J29" s="124">
        <v>0</v>
      </c>
      <c r="K29" s="116"/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</row>
    <row r="30" spans="3:20" x14ac:dyDescent="0.3">
      <c r="C30" s="25" t="s">
        <v>113</v>
      </c>
      <c r="D30" s="26">
        <v>110</v>
      </c>
      <c r="E30" s="27">
        <v>0</v>
      </c>
      <c r="F30" s="28">
        <v>0</v>
      </c>
      <c r="G30" s="29">
        <v>0</v>
      </c>
      <c r="H30" s="29">
        <v>0</v>
      </c>
      <c r="I30" s="29">
        <v>0</v>
      </c>
      <c r="J30" s="125">
        <v>0</v>
      </c>
      <c r="K30" s="116"/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</row>
    <row r="31" spans="3:20" x14ac:dyDescent="0.3">
      <c r="C31" s="30" t="s">
        <v>114</v>
      </c>
      <c r="D31" s="31">
        <v>121</v>
      </c>
      <c r="E31" s="32">
        <v>1</v>
      </c>
      <c r="F31" s="33">
        <v>1</v>
      </c>
      <c r="G31" s="34">
        <v>0</v>
      </c>
      <c r="H31" s="34">
        <v>1</v>
      </c>
      <c r="I31" s="34">
        <v>1</v>
      </c>
      <c r="J31" s="124">
        <v>1</v>
      </c>
      <c r="K31" s="116"/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0</v>
      </c>
      <c r="R31" s="34">
        <v>0</v>
      </c>
      <c r="S31" s="34">
        <v>0</v>
      </c>
      <c r="T31" s="34">
        <v>0</v>
      </c>
    </row>
    <row r="32" spans="3:20" x14ac:dyDescent="0.3">
      <c r="C32" s="25" t="s">
        <v>115</v>
      </c>
      <c r="D32" s="26">
        <v>44</v>
      </c>
      <c r="E32" s="27">
        <v>1</v>
      </c>
      <c r="F32" s="28">
        <v>1</v>
      </c>
      <c r="G32" s="29">
        <v>0</v>
      </c>
      <c r="H32" s="29">
        <v>0</v>
      </c>
      <c r="I32" s="29">
        <v>0</v>
      </c>
      <c r="J32" s="125">
        <v>0</v>
      </c>
      <c r="K32" s="116"/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</row>
    <row r="33" spans="3:20" x14ac:dyDescent="0.3">
      <c r="C33" s="30" t="s">
        <v>116</v>
      </c>
      <c r="D33" s="31">
        <v>55</v>
      </c>
      <c r="E33" s="32">
        <v>1</v>
      </c>
      <c r="F33" s="33">
        <v>1</v>
      </c>
      <c r="G33" s="34">
        <v>0</v>
      </c>
      <c r="H33" s="34">
        <v>0</v>
      </c>
      <c r="I33" s="34">
        <v>0</v>
      </c>
      <c r="J33" s="124">
        <v>0</v>
      </c>
      <c r="K33" s="116"/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</row>
    <row r="34" spans="3:20" x14ac:dyDescent="0.3">
      <c r="C34" s="25" t="s">
        <v>117</v>
      </c>
      <c r="D34" s="26">
        <v>55</v>
      </c>
      <c r="E34" s="27">
        <v>1</v>
      </c>
      <c r="F34" s="28">
        <v>2</v>
      </c>
      <c r="G34" s="29">
        <v>0</v>
      </c>
      <c r="H34" s="29">
        <v>0</v>
      </c>
      <c r="I34" s="29">
        <v>1</v>
      </c>
      <c r="J34" s="125">
        <v>1</v>
      </c>
      <c r="K34" s="116"/>
      <c r="L34" s="29">
        <v>1</v>
      </c>
      <c r="M34" s="29">
        <v>1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</row>
    <row r="35" spans="3:20" x14ac:dyDescent="0.3">
      <c r="C35" s="30" t="s">
        <v>118</v>
      </c>
      <c r="D35" s="31">
        <v>150</v>
      </c>
      <c r="E35" s="32">
        <v>1</v>
      </c>
      <c r="F35" s="33">
        <v>1</v>
      </c>
      <c r="G35" s="34">
        <v>0</v>
      </c>
      <c r="H35" s="34">
        <v>0</v>
      </c>
      <c r="I35" s="34">
        <v>0</v>
      </c>
      <c r="J35" s="124">
        <v>0</v>
      </c>
      <c r="K35" s="116"/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1</v>
      </c>
      <c r="T35" s="34">
        <v>0</v>
      </c>
    </row>
    <row r="36" spans="3:20" x14ac:dyDescent="0.3">
      <c r="C36" s="25" t="s">
        <v>119</v>
      </c>
      <c r="D36" s="26">
        <v>225</v>
      </c>
      <c r="E36" s="27">
        <v>1</v>
      </c>
      <c r="F36" s="28">
        <v>1</v>
      </c>
      <c r="G36" s="29"/>
      <c r="H36" s="29"/>
      <c r="I36" s="29"/>
      <c r="J36" s="125"/>
      <c r="K36" s="116"/>
      <c r="L36" s="29"/>
      <c r="M36" s="29"/>
      <c r="N36" s="29"/>
      <c r="O36" s="29"/>
      <c r="P36" s="29"/>
      <c r="Q36" s="29">
        <v>1</v>
      </c>
      <c r="R36" s="29">
        <v>0</v>
      </c>
      <c r="S36" s="29">
        <v>1</v>
      </c>
      <c r="T36" s="29">
        <v>0</v>
      </c>
    </row>
    <row r="37" spans="3:20" x14ac:dyDescent="0.3">
      <c r="C37" s="30" t="s">
        <v>120</v>
      </c>
      <c r="D37" s="31">
        <v>300</v>
      </c>
      <c r="E37" s="32">
        <v>0</v>
      </c>
      <c r="F37" s="33">
        <v>0</v>
      </c>
      <c r="G37" s="34">
        <v>0</v>
      </c>
      <c r="H37" s="34">
        <v>0</v>
      </c>
      <c r="I37" s="34">
        <v>0</v>
      </c>
      <c r="J37" s="124">
        <v>0</v>
      </c>
      <c r="K37" s="116"/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</row>
    <row r="38" spans="3:20" x14ac:dyDescent="0.3">
      <c r="C38" s="25" t="s">
        <v>121</v>
      </c>
      <c r="D38" s="26">
        <v>60</v>
      </c>
      <c r="E38" s="27">
        <v>1</v>
      </c>
      <c r="F38" s="28">
        <v>1</v>
      </c>
      <c r="G38" s="29">
        <v>0</v>
      </c>
      <c r="H38" s="29">
        <v>0</v>
      </c>
      <c r="I38" s="29">
        <v>0</v>
      </c>
      <c r="J38" s="125">
        <v>0</v>
      </c>
      <c r="K38" s="116"/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</row>
    <row r="39" spans="3:20" x14ac:dyDescent="0.3">
      <c r="C39" s="30" t="s">
        <v>122</v>
      </c>
      <c r="D39" s="31">
        <v>75</v>
      </c>
      <c r="E39" s="32">
        <v>0.85714285714285698</v>
      </c>
      <c r="F39" s="33">
        <v>7</v>
      </c>
      <c r="G39" s="34">
        <v>0</v>
      </c>
      <c r="H39" s="34">
        <v>0</v>
      </c>
      <c r="I39" s="34">
        <v>0</v>
      </c>
      <c r="J39" s="124">
        <v>1</v>
      </c>
      <c r="K39" s="116"/>
      <c r="L39" s="34">
        <v>1</v>
      </c>
      <c r="M39" s="34">
        <v>1</v>
      </c>
      <c r="N39" s="34">
        <v>1</v>
      </c>
      <c r="O39" s="34">
        <v>0</v>
      </c>
      <c r="P39" s="34">
        <v>1</v>
      </c>
      <c r="Q39" s="34">
        <v>1</v>
      </c>
      <c r="R39" s="34">
        <v>0</v>
      </c>
      <c r="S39" s="34">
        <v>0</v>
      </c>
      <c r="T39" s="34">
        <v>1</v>
      </c>
    </row>
    <row r="40" spans="3:20" x14ac:dyDescent="0.3">
      <c r="C40" s="25" t="s">
        <v>123</v>
      </c>
      <c r="D40" s="26">
        <v>75</v>
      </c>
      <c r="E40" s="27">
        <v>0.84615384615384603</v>
      </c>
      <c r="F40" s="28">
        <v>13</v>
      </c>
      <c r="G40" s="29">
        <v>0</v>
      </c>
      <c r="H40" s="29">
        <v>1</v>
      </c>
      <c r="I40" s="29">
        <v>1</v>
      </c>
      <c r="J40" s="125">
        <v>4</v>
      </c>
      <c r="K40" s="116"/>
      <c r="L40" s="29">
        <v>5</v>
      </c>
      <c r="M40" s="29">
        <v>5</v>
      </c>
      <c r="N40" s="29">
        <v>5</v>
      </c>
      <c r="O40" s="29">
        <v>5</v>
      </c>
      <c r="P40" s="29">
        <v>4</v>
      </c>
      <c r="Q40" s="29">
        <v>4</v>
      </c>
      <c r="R40" s="29">
        <v>2</v>
      </c>
      <c r="S40" s="29">
        <v>3</v>
      </c>
      <c r="T40" s="29">
        <v>2</v>
      </c>
    </row>
    <row r="41" spans="3:20" x14ac:dyDescent="0.3">
      <c r="C41" s="30" t="s">
        <v>124</v>
      </c>
      <c r="D41" s="31">
        <v>64</v>
      </c>
      <c r="E41" s="32">
        <v>0</v>
      </c>
      <c r="F41" s="33">
        <v>0</v>
      </c>
      <c r="G41" s="34">
        <v>0</v>
      </c>
      <c r="H41" s="34">
        <v>0</v>
      </c>
      <c r="I41" s="34">
        <v>0</v>
      </c>
      <c r="J41" s="124">
        <v>0</v>
      </c>
      <c r="K41" s="116"/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</row>
    <row r="42" spans="3:20" x14ac:dyDescent="0.3">
      <c r="C42" s="25" t="s">
        <v>125</v>
      </c>
      <c r="D42" s="26">
        <v>200</v>
      </c>
      <c r="E42" s="27">
        <v>1</v>
      </c>
      <c r="F42" s="28">
        <v>7</v>
      </c>
      <c r="G42" s="29">
        <v>0</v>
      </c>
      <c r="H42" s="29">
        <v>1</v>
      </c>
      <c r="I42" s="29">
        <v>2</v>
      </c>
      <c r="J42" s="125">
        <v>5</v>
      </c>
      <c r="K42" s="116"/>
      <c r="L42" s="29">
        <v>5</v>
      </c>
      <c r="M42" s="29">
        <v>5</v>
      </c>
      <c r="N42" s="29">
        <v>5</v>
      </c>
      <c r="O42" s="29">
        <v>5</v>
      </c>
      <c r="P42" s="29">
        <v>4</v>
      </c>
      <c r="Q42" s="29">
        <v>0</v>
      </c>
      <c r="R42" s="29">
        <v>0</v>
      </c>
      <c r="S42" s="29">
        <v>0</v>
      </c>
      <c r="T42" s="29">
        <v>0</v>
      </c>
    </row>
    <row r="43" spans="3:20" x14ac:dyDescent="0.3">
      <c r="C43" s="30" t="s">
        <v>126</v>
      </c>
      <c r="D43" s="31">
        <v>200</v>
      </c>
      <c r="E43" s="32">
        <v>1</v>
      </c>
      <c r="F43" s="33">
        <v>1</v>
      </c>
      <c r="G43" s="34">
        <v>0</v>
      </c>
      <c r="H43" s="34">
        <v>0</v>
      </c>
      <c r="I43" s="34">
        <v>0</v>
      </c>
      <c r="J43" s="124">
        <v>0</v>
      </c>
      <c r="K43" s="116"/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</row>
    <row r="44" spans="3:20" x14ac:dyDescent="0.3">
      <c r="C44" s="25" t="s">
        <v>127</v>
      </c>
      <c r="D44" s="26">
        <v>200</v>
      </c>
      <c r="E44" s="27">
        <v>0</v>
      </c>
      <c r="F44" s="28">
        <v>0</v>
      </c>
      <c r="G44" s="29">
        <v>0</v>
      </c>
      <c r="H44" s="29">
        <v>0</v>
      </c>
      <c r="I44" s="29">
        <v>0</v>
      </c>
      <c r="J44" s="125">
        <v>0</v>
      </c>
      <c r="K44" s="116"/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</row>
    <row r="45" spans="3:20" x14ac:dyDescent="0.3">
      <c r="C45" s="30" t="s">
        <v>128</v>
      </c>
      <c r="D45" s="31">
        <v>300</v>
      </c>
      <c r="E45" s="32">
        <v>1</v>
      </c>
      <c r="F45" s="33">
        <v>1</v>
      </c>
      <c r="G45" s="34">
        <v>0</v>
      </c>
      <c r="H45" s="34">
        <v>0</v>
      </c>
      <c r="I45" s="34">
        <v>0</v>
      </c>
      <c r="J45" s="124">
        <v>1</v>
      </c>
      <c r="K45" s="116"/>
      <c r="L45" s="34">
        <v>1</v>
      </c>
      <c r="M45" s="34">
        <v>0</v>
      </c>
      <c r="N45" s="34">
        <v>0</v>
      </c>
      <c r="O45" s="34">
        <v>0</v>
      </c>
      <c r="P45" s="34">
        <v>1</v>
      </c>
      <c r="Q45" s="34">
        <v>0</v>
      </c>
      <c r="R45" s="34">
        <v>0</v>
      </c>
      <c r="S45" s="34">
        <v>0</v>
      </c>
      <c r="T45" s="34">
        <v>0</v>
      </c>
    </row>
    <row r="46" spans="3:20" x14ac:dyDescent="0.3">
      <c r="C46" s="25" t="s">
        <v>129</v>
      </c>
      <c r="D46" s="26">
        <v>300</v>
      </c>
      <c r="E46" s="27">
        <v>1</v>
      </c>
      <c r="F46" s="28">
        <v>1</v>
      </c>
      <c r="G46" s="29">
        <v>0</v>
      </c>
      <c r="H46" s="29">
        <v>0</v>
      </c>
      <c r="I46" s="29">
        <v>0</v>
      </c>
      <c r="J46" s="125">
        <v>0</v>
      </c>
      <c r="K46" s="116"/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</row>
    <row r="47" spans="3:20" x14ac:dyDescent="0.3">
      <c r="C47" s="30" t="s">
        <v>130</v>
      </c>
      <c r="D47" s="31">
        <v>400</v>
      </c>
      <c r="E47" s="32">
        <v>1</v>
      </c>
      <c r="F47" s="33">
        <v>3</v>
      </c>
      <c r="G47" s="34">
        <v>0</v>
      </c>
      <c r="H47" s="34">
        <v>0</v>
      </c>
      <c r="I47" s="34">
        <v>0</v>
      </c>
      <c r="J47" s="124">
        <v>1</v>
      </c>
      <c r="K47" s="116"/>
      <c r="L47" s="34">
        <v>1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</row>
    <row r="48" spans="3:20" x14ac:dyDescent="0.3">
      <c r="C48" s="25" t="s">
        <v>131</v>
      </c>
      <c r="D48" s="26">
        <v>400</v>
      </c>
      <c r="E48" s="27">
        <v>1</v>
      </c>
      <c r="F48" s="28">
        <v>1</v>
      </c>
      <c r="G48" s="29">
        <v>0</v>
      </c>
      <c r="H48" s="29">
        <v>0</v>
      </c>
      <c r="I48" s="29">
        <v>0</v>
      </c>
      <c r="J48" s="125">
        <v>0</v>
      </c>
      <c r="K48" s="116"/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</row>
    <row r="49" spans="3:20" x14ac:dyDescent="0.3">
      <c r="C49" s="30" t="s">
        <v>132</v>
      </c>
      <c r="D49" s="31">
        <v>420</v>
      </c>
      <c r="E49" s="32">
        <v>1</v>
      </c>
      <c r="F49" s="33">
        <v>2</v>
      </c>
      <c r="G49" s="34">
        <v>0</v>
      </c>
      <c r="H49" s="34">
        <v>0</v>
      </c>
      <c r="I49" s="34">
        <v>0</v>
      </c>
      <c r="J49" s="124">
        <v>0</v>
      </c>
      <c r="K49" s="116"/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</row>
    <row r="50" spans="3:20" x14ac:dyDescent="0.3">
      <c r="C50" s="25" t="s">
        <v>133</v>
      </c>
      <c r="D50" s="29"/>
      <c r="E50" s="29" t="s">
        <v>4</v>
      </c>
      <c r="F50" s="36" t="s">
        <v>4</v>
      </c>
      <c r="G50" s="29">
        <v>0</v>
      </c>
      <c r="H50" s="29">
        <v>1</v>
      </c>
      <c r="I50" s="29">
        <v>0</v>
      </c>
      <c r="J50" s="125">
        <v>0</v>
      </c>
      <c r="K50" s="116"/>
      <c r="L50" s="29">
        <v>0</v>
      </c>
      <c r="M50" s="29">
        <v>0</v>
      </c>
      <c r="N50" s="29">
        <v>0</v>
      </c>
      <c r="O50" s="29">
        <v>1</v>
      </c>
      <c r="P50" s="29">
        <v>1</v>
      </c>
      <c r="Q50" s="29">
        <v>1</v>
      </c>
      <c r="R50" s="29"/>
      <c r="S50" s="29"/>
      <c r="T50" s="29"/>
    </row>
    <row r="51" spans="3:20" x14ac:dyDescent="0.3">
      <c r="C51" s="30" t="s">
        <v>134</v>
      </c>
      <c r="D51" s="34"/>
      <c r="E51" s="34" t="s">
        <v>4</v>
      </c>
      <c r="F51" s="35" t="s">
        <v>4</v>
      </c>
      <c r="G51" s="34">
        <v>0</v>
      </c>
      <c r="H51" s="34">
        <v>0</v>
      </c>
      <c r="I51" s="34"/>
      <c r="J51" s="124"/>
      <c r="K51" s="116"/>
      <c r="L51" s="34"/>
      <c r="M51" s="34"/>
      <c r="N51" s="34"/>
      <c r="O51" s="34"/>
      <c r="P51" s="34"/>
      <c r="Q51" s="34"/>
      <c r="R51" s="34"/>
      <c r="S51" s="34"/>
      <c r="T51" s="34"/>
    </row>
    <row r="52" spans="3:20" x14ac:dyDescent="0.3">
      <c r="C52" s="25" t="s">
        <v>135</v>
      </c>
      <c r="D52" s="26">
        <v>260</v>
      </c>
      <c r="E52" s="27">
        <v>1</v>
      </c>
      <c r="F52" s="28">
        <v>1</v>
      </c>
      <c r="G52" s="29">
        <v>0</v>
      </c>
      <c r="H52" s="29">
        <v>0</v>
      </c>
      <c r="I52" s="29">
        <v>0</v>
      </c>
      <c r="J52" s="125">
        <v>0</v>
      </c>
      <c r="K52" s="116"/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</row>
    <row r="53" spans="3:20" x14ac:dyDescent="0.3">
      <c r="C53" s="30" t="s">
        <v>136</v>
      </c>
      <c r="D53" s="31">
        <v>300</v>
      </c>
      <c r="E53" s="32">
        <v>1</v>
      </c>
      <c r="F53" s="33">
        <v>1</v>
      </c>
      <c r="G53" s="34">
        <v>0</v>
      </c>
      <c r="H53" s="34">
        <v>0</v>
      </c>
      <c r="I53" s="34">
        <v>0</v>
      </c>
      <c r="J53" s="124">
        <v>0</v>
      </c>
      <c r="K53" s="116"/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</row>
    <row r="54" spans="3:20" x14ac:dyDescent="0.3">
      <c r="C54" s="25" t="s">
        <v>137</v>
      </c>
      <c r="D54" s="26">
        <v>5120</v>
      </c>
      <c r="E54" s="27">
        <v>0</v>
      </c>
      <c r="F54" s="28">
        <v>0</v>
      </c>
      <c r="G54" s="29">
        <v>0</v>
      </c>
      <c r="H54" s="29">
        <v>0</v>
      </c>
      <c r="I54" s="29">
        <v>0</v>
      </c>
      <c r="J54" s="125">
        <v>0</v>
      </c>
      <c r="K54" s="116"/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</row>
    <row r="55" spans="3:20" x14ac:dyDescent="0.3">
      <c r="C55" s="30" t="s">
        <v>138</v>
      </c>
      <c r="D55" s="34"/>
      <c r="E55" s="34" t="s">
        <v>4</v>
      </c>
      <c r="F55" s="35" t="s">
        <v>4</v>
      </c>
      <c r="G55" s="34"/>
      <c r="H55" s="34"/>
      <c r="I55" s="34"/>
      <c r="J55" s="124"/>
      <c r="K55" s="116"/>
      <c r="L55" s="34"/>
      <c r="M55" s="34">
        <v>0</v>
      </c>
      <c r="N55" s="34">
        <v>0</v>
      </c>
      <c r="O55" s="34">
        <v>0</v>
      </c>
      <c r="P55" s="34"/>
      <c r="Q55" s="34"/>
      <c r="R55" s="34"/>
      <c r="S55" s="34"/>
      <c r="T55" s="34"/>
    </row>
    <row r="56" spans="3:20" x14ac:dyDescent="0.3">
      <c r="C56" s="25" t="s">
        <v>139</v>
      </c>
      <c r="D56" s="26">
        <v>2400</v>
      </c>
      <c r="E56" s="27">
        <v>0</v>
      </c>
      <c r="F56" s="28">
        <v>0</v>
      </c>
      <c r="G56" s="29">
        <v>0</v>
      </c>
      <c r="H56" s="29">
        <v>0</v>
      </c>
      <c r="I56" s="29">
        <v>0</v>
      </c>
      <c r="J56" s="125">
        <v>0</v>
      </c>
      <c r="K56" s="116"/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</row>
    <row r="57" spans="3:20" x14ac:dyDescent="0.3">
      <c r="C57" s="30" t="s">
        <v>140</v>
      </c>
      <c r="D57" s="31">
        <v>50</v>
      </c>
      <c r="E57" s="32">
        <v>1</v>
      </c>
      <c r="F57" s="33">
        <v>9</v>
      </c>
      <c r="G57" s="34">
        <v>0</v>
      </c>
      <c r="H57" s="34">
        <v>1</v>
      </c>
      <c r="I57" s="34">
        <v>1</v>
      </c>
      <c r="J57" s="124">
        <v>2</v>
      </c>
      <c r="K57" s="116"/>
      <c r="L57" s="34">
        <v>2</v>
      </c>
      <c r="M57" s="34">
        <v>2</v>
      </c>
      <c r="N57" s="34">
        <v>2</v>
      </c>
      <c r="O57" s="34">
        <v>3</v>
      </c>
      <c r="P57" s="34">
        <v>0</v>
      </c>
      <c r="Q57" s="34">
        <v>1</v>
      </c>
      <c r="R57" s="34">
        <v>1</v>
      </c>
      <c r="S57" s="34">
        <v>0</v>
      </c>
      <c r="T57" s="34">
        <v>0</v>
      </c>
    </row>
    <row r="58" spans="3:20" x14ac:dyDescent="0.3">
      <c r="C58" s="25" t="s">
        <v>141</v>
      </c>
      <c r="D58" s="26">
        <v>50</v>
      </c>
      <c r="E58" s="27">
        <v>0.8125</v>
      </c>
      <c r="F58" s="28">
        <v>16</v>
      </c>
      <c r="G58" s="29">
        <v>0</v>
      </c>
      <c r="H58" s="29">
        <v>4</v>
      </c>
      <c r="I58" s="29">
        <v>4</v>
      </c>
      <c r="J58" s="125">
        <v>6</v>
      </c>
      <c r="K58" s="116"/>
      <c r="L58" s="29">
        <v>6</v>
      </c>
      <c r="M58" s="29">
        <v>6</v>
      </c>
      <c r="N58" s="29">
        <v>6</v>
      </c>
      <c r="O58" s="29">
        <v>6</v>
      </c>
      <c r="P58" s="29">
        <v>3</v>
      </c>
      <c r="Q58" s="29">
        <v>0</v>
      </c>
      <c r="R58" s="29">
        <v>0</v>
      </c>
      <c r="S58" s="29">
        <v>1</v>
      </c>
      <c r="T58" s="29">
        <v>3</v>
      </c>
    </row>
    <row r="59" spans="3:20" x14ac:dyDescent="0.3">
      <c r="C59" s="30" t="s">
        <v>142</v>
      </c>
      <c r="D59" s="31">
        <v>55</v>
      </c>
      <c r="E59" s="32">
        <v>1</v>
      </c>
      <c r="F59" s="33">
        <v>2</v>
      </c>
      <c r="G59" s="34">
        <v>0</v>
      </c>
      <c r="H59" s="34">
        <v>1</v>
      </c>
      <c r="I59" s="34">
        <v>1</v>
      </c>
      <c r="J59" s="124">
        <v>1</v>
      </c>
      <c r="K59" s="116"/>
      <c r="L59" s="34">
        <v>1</v>
      </c>
      <c r="M59" s="34">
        <v>1</v>
      </c>
      <c r="N59" s="34">
        <v>1</v>
      </c>
      <c r="O59" s="34">
        <v>1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</row>
    <row r="60" spans="3:20" x14ac:dyDescent="0.3">
      <c r="C60" s="25" t="s">
        <v>143</v>
      </c>
      <c r="D60" s="26">
        <v>75</v>
      </c>
      <c r="E60" s="27">
        <v>0.77777777777777801</v>
      </c>
      <c r="F60" s="28">
        <v>18</v>
      </c>
      <c r="G60" s="29">
        <v>0</v>
      </c>
      <c r="H60" s="29">
        <v>4</v>
      </c>
      <c r="I60" s="29">
        <v>6</v>
      </c>
      <c r="J60" s="125">
        <v>4</v>
      </c>
      <c r="K60" s="116"/>
      <c r="L60" s="29">
        <v>4</v>
      </c>
      <c r="M60" s="29">
        <v>4</v>
      </c>
      <c r="N60" s="29">
        <v>4</v>
      </c>
      <c r="O60" s="29">
        <v>5</v>
      </c>
      <c r="P60" s="29">
        <v>5</v>
      </c>
      <c r="Q60" s="29">
        <v>3</v>
      </c>
      <c r="R60" s="29">
        <v>2</v>
      </c>
      <c r="S60" s="29">
        <v>5</v>
      </c>
      <c r="T60" s="29">
        <v>4</v>
      </c>
    </row>
    <row r="61" spans="3:20" x14ac:dyDescent="0.3">
      <c r="C61" s="30" t="s">
        <v>144</v>
      </c>
      <c r="D61" s="31">
        <v>75</v>
      </c>
      <c r="E61" s="32">
        <v>0.96969696969696995</v>
      </c>
      <c r="F61" s="33">
        <v>33</v>
      </c>
      <c r="G61" s="34">
        <v>0</v>
      </c>
      <c r="H61" s="34">
        <v>2</v>
      </c>
      <c r="I61" s="34">
        <v>3</v>
      </c>
      <c r="J61" s="124">
        <v>5</v>
      </c>
      <c r="K61" s="116"/>
      <c r="L61" s="34">
        <v>6</v>
      </c>
      <c r="M61" s="34">
        <v>6</v>
      </c>
      <c r="N61" s="34">
        <v>7</v>
      </c>
      <c r="O61" s="34">
        <v>7</v>
      </c>
      <c r="P61" s="34">
        <v>8</v>
      </c>
      <c r="Q61" s="34">
        <v>5</v>
      </c>
      <c r="R61" s="34">
        <v>0</v>
      </c>
      <c r="S61" s="34">
        <v>0</v>
      </c>
      <c r="T61" s="34">
        <v>1</v>
      </c>
    </row>
    <row r="62" spans="3:20" x14ac:dyDescent="0.3">
      <c r="C62" s="25" t="s">
        <v>145</v>
      </c>
      <c r="D62" s="26">
        <v>100</v>
      </c>
      <c r="E62" s="27">
        <v>0</v>
      </c>
      <c r="F62" s="28">
        <v>0</v>
      </c>
      <c r="G62" s="29">
        <v>0</v>
      </c>
      <c r="H62" s="29">
        <v>0</v>
      </c>
      <c r="I62" s="29">
        <v>0</v>
      </c>
      <c r="J62" s="125">
        <v>0</v>
      </c>
      <c r="K62" s="116"/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</row>
    <row r="63" spans="3:20" x14ac:dyDescent="0.3">
      <c r="C63" s="30" t="s">
        <v>146</v>
      </c>
      <c r="D63" s="31">
        <v>20</v>
      </c>
      <c r="E63" s="32">
        <v>1</v>
      </c>
      <c r="F63" s="33">
        <v>8</v>
      </c>
      <c r="G63" s="34">
        <v>0</v>
      </c>
      <c r="H63" s="34">
        <v>0</v>
      </c>
      <c r="I63" s="34">
        <v>1</v>
      </c>
      <c r="J63" s="124">
        <v>0</v>
      </c>
      <c r="K63" s="116"/>
      <c r="L63" s="34">
        <v>1</v>
      </c>
      <c r="M63" s="34">
        <v>1</v>
      </c>
      <c r="N63" s="34">
        <v>1</v>
      </c>
      <c r="O63" s="34">
        <v>2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</row>
    <row r="64" spans="3:20" x14ac:dyDescent="0.3">
      <c r="C64" s="25" t="s">
        <v>147</v>
      </c>
      <c r="D64" s="26">
        <v>20</v>
      </c>
      <c r="E64" s="27">
        <v>0</v>
      </c>
      <c r="F64" s="28">
        <v>0</v>
      </c>
      <c r="G64" s="29">
        <v>0</v>
      </c>
      <c r="H64" s="29">
        <v>0</v>
      </c>
      <c r="I64" s="29">
        <v>0</v>
      </c>
      <c r="J64" s="125">
        <v>0</v>
      </c>
      <c r="K64" s="116"/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</row>
    <row r="65" spans="3:20" x14ac:dyDescent="0.3">
      <c r="C65" s="30" t="s">
        <v>148</v>
      </c>
      <c r="D65" s="31">
        <v>20</v>
      </c>
      <c r="E65" s="32">
        <v>1</v>
      </c>
      <c r="F65" s="33">
        <v>9</v>
      </c>
      <c r="G65" s="34">
        <v>0</v>
      </c>
      <c r="H65" s="34">
        <v>0</v>
      </c>
      <c r="I65" s="34">
        <v>0</v>
      </c>
      <c r="J65" s="124">
        <v>0</v>
      </c>
      <c r="K65" s="116"/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3:20" x14ac:dyDescent="0.3">
      <c r="C66" s="25" t="s">
        <v>149</v>
      </c>
      <c r="D66" s="26">
        <v>25</v>
      </c>
      <c r="E66" s="27">
        <v>0.88888888888888895</v>
      </c>
      <c r="F66" s="28">
        <v>27</v>
      </c>
      <c r="G66" s="29">
        <v>0</v>
      </c>
      <c r="H66" s="29">
        <v>2</v>
      </c>
      <c r="I66" s="29">
        <v>3</v>
      </c>
      <c r="J66" s="125">
        <v>3</v>
      </c>
      <c r="K66" s="116"/>
      <c r="L66" s="29">
        <v>3</v>
      </c>
      <c r="M66" s="29">
        <v>4</v>
      </c>
      <c r="N66" s="29">
        <v>3</v>
      </c>
      <c r="O66" s="29">
        <v>3</v>
      </c>
      <c r="P66" s="29">
        <v>0</v>
      </c>
      <c r="Q66" s="29">
        <v>0</v>
      </c>
      <c r="R66" s="29">
        <v>0</v>
      </c>
      <c r="S66" s="29">
        <v>1</v>
      </c>
      <c r="T66" s="29">
        <v>3</v>
      </c>
    </row>
    <row r="67" spans="3:20" x14ac:dyDescent="0.3">
      <c r="C67" s="30" t="s">
        <v>150</v>
      </c>
      <c r="D67" s="31">
        <v>25</v>
      </c>
      <c r="E67" s="32">
        <v>0.56338028169014098</v>
      </c>
      <c r="F67" s="33">
        <v>71</v>
      </c>
      <c r="G67" s="34">
        <v>0</v>
      </c>
      <c r="H67" s="34">
        <v>1</v>
      </c>
      <c r="I67" s="34">
        <v>3</v>
      </c>
      <c r="J67" s="124">
        <v>6</v>
      </c>
      <c r="K67" s="116"/>
      <c r="L67" s="34">
        <v>9</v>
      </c>
      <c r="M67" s="34">
        <v>7</v>
      </c>
      <c r="N67" s="34">
        <v>5</v>
      </c>
      <c r="O67" s="34">
        <v>4</v>
      </c>
      <c r="P67" s="34">
        <v>0</v>
      </c>
      <c r="Q67" s="34">
        <v>0</v>
      </c>
      <c r="R67" s="34">
        <v>0</v>
      </c>
      <c r="S67" s="34">
        <v>0</v>
      </c>
      <c r="T67" s="34">
        <v>28</v>
      </c>
    </row>
    <row r="68" spans="3:20" x14ac:dyDescent="0.3">
      <c r="C68" s="25" t="s">
        <v>151</v>
      </c>
      <c r="D68" s="26">
        <v>25</v>
      </c>
      <c r="E68" s="27">
        <v>0</v>
      </c>
      <c r="F68" s="28">
        <v>0</v>
      </c>
      <c r="G68" s="29">
        <v>0</v>
      </c>
      <c r="H68" s="29">
        <v>0</v>
      </c>
      <c r="I68" s="29">
        <v>0</v>
      </c>
      <c r="J68" s="125">
        <v>0</v>
      </c>
      <c r="K68" s="116"/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</row>
    <row r="69" spans="3:20" x14ac:dyDescent="0.3">
      <c r="C69" s="30" t="s">
        <v>152</v>
      </c>
      <c r="D69" s="31">
        <v>30</v>
      </c>
      <c r="E69" s="32">
        <v>1</v>
      </c>
      <c r="F69" s="33">
        <v>2</v>
      </c>
      <c r="G69" s="34">
        <v>0</v>
      </c>
      <c r="H69" s="34">
        <v>0</v>
      </c>
      <c r="I69" s="34">
        <v>0</v>
      </c>
      <c r="J69" s="124">
        <v>0</v>
      </c>
      <c r="K69" s="116"/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3:20" x14ac:dyDescent="0.3">
      <c r="C70" s="25" t="s">
        <v>153</v>
      </c>
      <c r="D70" s="26">
        <v>30</v>
      </c>
      <c r="E70" s="27">
        <v>1</v>
      </c>
      <c r="F70" s="28">
        <v>1</v>
      </c>
      <c r="G70" s="29">
        <v>0</v>
      </c>
      <c r="H70" s="29">
        <v>0</v>
      </c>
      <c r="I70" s="29">
        <v>0</v>
      </c>
      <c r="J70" s="125">
        <v>0</v>
      </c>
      <c r="K70" s="116"/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</row>
    <row r="71" spans="3:20" x14ac:dyDescent="0.3">
      <c r="C71" s="30" t="s">
        <v>154</v>
      </c>
      <c r="D71" s="31">
        <v>30</v>
      </c>
      <c r="E71" s="32">
        <v>0</v>
      </c>
      <c r="F71" s="33">
        <v>0</v>
      </c>
      <c r="G71" s="34">
        <v>0</v>
      </c>
      <c r="H71" s="34">
        <v>0</v>
      </c>
      <c r="I71" s="34">
        <v>0</v>
      </c>
      <c r="J71" s="124">
        <v>0</v>
      </c>
      <c r="K71" s="116"/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</row>
    <row r="72" spans="3:20" x14ac:dyDescent="0.3">
      <c r="C72" s="25" t="s">
        <v>155</v>
      </c>
      <c r="D72" s="26">
        <v>4275</v>
      </c>
      <c r="E72" s="27">
        <v>0</v>
      </c>
      <c r="F72" s="28">
        <v>0</v>
      </c>
      <c r="G72" s="29">
        <v>0</v>
      </c>
      <c r="H72" s="29">
        <v>0</v>
      </c>
      <c r="I72" s="29">
        <v>0</v>
      </c>
      <c r="J72" s="125">
        <v>0</v>
      </c>
      <c r="K72" s="116"/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</row>
    <row r="73" spans="3:20" x14ac:dyDescent="0.3">
      <c r="C73" s="30" t="s">
        <v>156</v>
      </c>
      <c r="D73" s="31">
        <v>144</v>
      </c>
      <c r="E73" s="32">
        <v>0.33333333333333298</v>
      </c>
      <c r="F73" s="33">
        <v>9</v>
      </c>
      <c r="G73" s="34">
        <v>4</v>
      </c>
      <c r="H73" s="34">
        <v>4</v>
      </c>
      <c r="I73" s="34">
        <v>5</v>
      </c>
      <c r="J73" s="124">
        <v>5</v>
      </c>
      <c r="K73" s="116"/>
      <c r="L73" s="34">
        <v>6</v>
      </c>
      <c r="M73" s="34">
        <v>5</v>
      </c>
      <c r="N73" s="34">
        <v>3</v>
      </c>
      <c r="O73" s="34">
        <v>6</v>
      </c>
      <c r="P73" s="34">
        <v>7</v>
      </c>
      <c r="Q73" s="34">
        <v>6</v>
      </c>
      <c r="R73" s="34">
        <v>6</v>
      </c>
      <c r="S73" s="34">
        <v>2</v>
      </c>
      <c r="T73" s="34">
        <v>6</v>
      </c>
    </row>
    <row r="74" spans="3:20" x14ac:dyDescent="0.3">
      <c r="C74" s="25" t="s">
        <v>157</v>
      </c>
      <c r="D74" s="26">
        <v>152</v>
      </c>
      <c r="E74" s="27">
        <v>0.42857142857142899</v>
      </c>
      <c r="F74" s="28">
        <v>7</v>
      </c>
      <c r="G74" s="29">
        <v>4</v>
      </c>
      <c r="H74" s="29">
        <v>5</v>
      </c>
      <c r="I74" s="29">
        <v>5</v>
      </c>
      <c r="J74" s="125">
        <v>6</v>
      </c>
      <c r="K74" s="116"/>
      <c r="L74" s="29">
        <v>6</v>
      </c>
      <c r="M74" s="29">
        <v>6</v>
      </c>
      <c r="N74" s="29">
        <v>5</v>
      </c>
      <c r="O74" s="29">
        <v>7</v>
      </c>
      <c r="P74" s="29">
        <v>7</v>
      </c>
      <c r="Q74" s="29">
        <v>7</v>
      </c>
      <c r="R74" s="29">
        <v>7</v>
      </c>
      <c r="S74" s="29">
        <v>7</v>
      </c>
      <c r="T74" s="29">
        <v>4</v>
      </c>
    </row>
    <row r="75" spans="3:20" x14ac:dyDescent="0.3">
      <c r="C75" s="30" t="s">
        <v>158</v>
      </c>
      <c r="D75" s="34"/>
      <c r="E75" s="34" t="s">
        <v>4</v>
      </c>
      <c r="F75" s="35" t="s">
        <v>4</v>
      </c>
      <c r="G75" s="34"/>
      <c r="H75" s="34"/>
      <c r="I75" s="34">
        <v>0</v>
      </c>
      <c r="J75" s="124"/>
      <c r="K75" s="116"/>
      <c r="L75" s="34"/>
      <c r="M75" s="34"/>
      <c r="N75" s="34"/>
      <c r="O75" s="34"/>
      <c r="P75" s="34"/>
      <c r="Q75" s="34"/>
      <c r="R75" s="34"/>
      <c r="S75" s="34"/>
      <c r="T75" s="34"/>
    </row>
    <row r="76" spans="3:20" x14ac:dyDescent="0.3">
      <c r="C76" s="25" t="s">
        <v>159</v>
      </c>
      <c r="D76" s="29"/>
      <c r="E76" s="29" t="s">
        <v>4</v>
      </c>
      <c r="F76" s="36" t="s">
        <v>4</v>
      </c>
      <c r="G76" s="29"/>
      <c r="H76" s="29"/>
      <c r="I76" s="29"/>
      <c r="J76" s="125">
        <v>0</v>
      </c>
      <c r="K76" s="116"/>
      <c r="L76" s="29">
        <v>0</v>
      </c>
      <c r="M76" s="29"/>
      <c r="N76" s="29"/>
      <c r="O76" s="29"/>
      <c r="P76" s="29"/>
      <c r="Q76" s="29"/>
      <c r="R76" s="29"/>
      <c r="S76" s="29"/>
      <c r="T76" s="29"/>
    </row>
    <row r="77" spans="3:20" x14ac:dyDescent="0.3">
      <c r="C77" s="30" t="s">
        <v>160</v>
      </c>
      <c r="D77" s="31">
        <v>90</v>
      </c>
      <c r="E77" s="32">
        <v>1</v>
      </c>
      <c r="F77" s="33">
        <v>1</v>
      </c>
      <c r="G77" s="34">
        <v>0</v>
      </c>
      <c r="H77" s="34">
        <v>0</v>
      </c>
      <c r="I77" s="34">
        <v>0</v>
      </c>
      <c r="J77" s="124">
        <v>1</v>
      </c>
      <c r="K77" s="116"/>
      <c r="L77" s="34">
        <v>1</v>
      </c>
      <c r="M77" s="34">
        <v>1</v>
      </c>
      <c r="N77" s="34">
        <v>1</v>
      </c>
      <c r="O77" s="34">
        <v>1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</row>
    <row r="78" spans="3:20" x14ac:dyDescent="0.3">
      <c r="C78" s="25" t="s">
        <v>161</v>
      </c>
      <c r="D78" s="26">
        <v>90</v>
      </c>
      <c r="E78" s="27">
        <v>0</v>
      </c>
      <c r="F78" s="28">
        <v>0</v>
      </c>
      <c r="G78" s="29">
        <v>0</v>
      </c>
      <c r="H78" s="29">
        <v>0</v>
      </c>
      <c r="I78" s="29">
        <v>0</v>
      </c>
      <c r="J78" s="125">
        <v>0</v>
      </c>
      <c r="K78" s="116"/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</row>
    <row r="79" spans="3:20" x14ac:dyDescent="0.3">
      <c r="C79" s="30" t="s">
        <v>162</v>
      </c>
      <c r="D79" s="31">
        <v>135</v>
      </c>
      <c r="E79" s="32">
        <v>1</v>
      </c>
      <c r="F79" s="33">
        <v>1</v>
      </c>
      <c r="G79" s="34">
        <v>0</v>
      </c>
      <c r="H79" s="34">
        <v>0</v>
      </c>
      <c r="I79" s="34">
        <v>0</v>
      </c>
      <c r="J79" s="124">
        <v>0</v>
      </c>
      <c r="K79" s="116"/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</row>
    <row r="80" spans="3:20" x14ac:dyDescent="0.3">
      <c r="C80" s="25" t="s">
        <v>163</v>
      </c>
      <c r="D80" s="26">
        <v>171</v>
      </c>
      <c r="E80" s="27">
        <v>0.16666666666666699</v>
      </c>
      <c r="F80" s="28">
        <v>6</v>
      </c>
      <c r="G80" s="29">
        <v>6</v>
      </c>
      <c r="H80" s="29">
        <v>6</v>
      </c>
      <c r="I80" s="29">
        <v>6</v>
      </c>
      <c r="J80" s="125">
        <v>6</v>
      </c>
      <c r="K80" s="116"/>
      <c r="L80" s="29">
        <v>6</v>
      </c>
      <c r="M80" s="29">
        <v>6</v>
      </c>
      <c r="N80" s="29">
        <v>6</v>
      </c>
      <c r="O80" s="29">
        <v>5</v>
      </c>
      <c r="P80" s="29">
        <v>6</v>
      </c>
      <c r="Q80" s="29">
        <v>6</v>
      </c>
      <c r="R80" s="29">
        <v>6</v>
      </c>
      <c r="S80" s="29">
        <v>6</v>
      </c>
      <c r="T80" s="29">
        <v>5</v>
      </c>
    </row>
    <row r="81" spans="2:20" x14ac:dyDescent="0.3">
      <c r="C81" s="30" t="s">
        <v>164</v>
      </c>
      <c r="D81" s="31">
        <v>180</v>
      </c>
      <c r="E81" s="32">
        <v>0</v>
      </c>
      <c r="F81" s="33">
        <v>0</v>
      </c>
      <c r="G81" s="34">
        <v>0</v>
      </c>
      <c r="H81" s="34">
        <v>0</v>
      </c>
      <c r="I81" s="34">
        <v>0</v>
      </c>
      <c r="J81" s="124">
        <v>0</v>
      </c>
      <c r="K81" s="116"/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</row>
    <row r="82" spans="2:20" x14ac:dyDescent="0.3">
      <c r="C82" s="25" t="s">
        <v>165</v>
      </c>
      <c r="D82" s="26">
        <v>45</v>
      </c>
      <c r="E82" s="27">
        <v>1</v>
      </c>
      <c r="F82" s="28">
        <v>1</v>
      </c>
      <c r="G82" s="29">
        <v>0</v>
      </c>
      <c r="H82" s="29">
        <v>0</v>
      </c>
      <c r="I82" s="29">
        <v>0</v>
      </c>
      <c r="J82" s="125">
        <v>0</v>
      </c>
      <c r="K82" s="116"/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</row>
    <row r="83" spans="2:20" ht="0" hidden="1" customHeight="1" x14ac:dyDescent="0.3"/>
    <row r="84" spans="2:20" ht="10.199999999999999" customHeight="1" x14ac:dyDescent="0.3"/>
    <row r="85" spans="2:20" ht="80.25" customHeight="1" x14ac:dyDescent="0.3">
      <c r="B85" s="126" t="s">
        <v>166</v>
      </c>
      <c r="C85" s="116"/>
      <c r="D85" s="116"/>
      <c r="E85" s="116"/>
      <c r="F85" s="116"/>
      <c r="G85" s="116"/>
      <c r="H85" s="116"/>
      <c r="I85" s="116"/>
      <c r="J85" s="116"/>
    </row>
    <row r="86" spans="2:20" ht="2.1" customHeight="1" x14ac:dyDescent="0.3"/>
    <row r="87" spans="2:20" ht="0" hidden="1" customHeight="1" x14ac:dyDescent="0.3"/>
  </sheetData>
  <mergeCells count="83">
    <mergeCell ref="D2:T2"/>
    <mergeCell ref="D3:T3"/>
    <mergeCell ref="D4:F4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81:K81"/>
    <mergeCell ref="J82:K82"/>
    <mergeCell ref="B85:J85"/>
    <mergeCell ref="J76:K76"/>
    <mergeCell ref="J77:K77"/>
    <mergeCell ref="J78:K78"/>
    <mergeCell ref="J79:K79"/>
    <mergeCell ref="J80:K80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C95"/>
  <sheetViews>
    <sheetView showGridLines="0" workbookViewId="0"/>
  </sheetViews>
  <sheetFormatPr defaultRowHeight="14.4" x14ac:dyDescent="0.3"/>
  <cols>
    <col min="1" max="1" width="2.33203125" customWidth="1"/>
    <col min="2" max="3" width="0.109375" customWidth="1"/>
    <col min="4" max="4" width="18.5546875" customWidth="1"/>
    <col min="5" max="5" width="0.109375" customWidth="1"/>
    <col min="6" max="6" width="10.6640625" customWidth="1"/>
    <col min="7" max="7" width="0.109375" customWidth="1"/>
    <col min="8" max="8" width="10" customWidth="1"/>
    <col min="9" max="9" width="0.109375" customWidth="1"/>
    <col min="10" max="10" width="10.109375" customWidth="1"/>
    <col min="11" max="11" width="1.109375" customWidth="1"/>
    <col min="12" max="12" width="9" customWidth="1"/>
    <col min="13" max="13" width="2.33203125" customWidth="1"/>
    <col min="14" max="14" width="7.88671875" customWidth="1"/>
    <col min="15" max="15" width="3.44140625" customWidth="1"/>
    <col min="16" max="16" width="3.109375" customWidth="1"/>
    <col min="17" max="17" width="3.5546875" customWidth="1"/>
    <col min="18" max="18" width="4.5546875" customWidth="1"/>
    <col min="19" max="19" width="5.44140625" customWidth="1"/>
    <col min="20" max="20" width="0" hidden="1" customWidth="1"/>
    <col min="21" max="21" width="5.6640625" customWidth="1"/>
    <col min="22" max="29" width="11.33203125" customWidth="1"/>
    <col min="30" max="30" width="20.109375" customWidth="1"/>
    <col min="31" max="31" width="154.5546875" customWidth="1"/>
  </cols>
  <sheetData>
    <row r="1" spans="3:29" ht="0.9" customHeight="1" x14ac:dyDescent="0.3"/>
    <row r="2" spans="3:29" ht="0.6" customHeight="1" x14ac:dyDescent="0.3"/>
    <row r="3" spans="3:29" ht="18" customHeight="1" x14ac:dyDescent="0.3">
      <c r="D3" s="116"/>
      <c r="E3" s="116"/>
      <c r="F3" s="117" t="s">
        <v>167</v>
      </c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</row>
    <row r="4" spans="3:29" ht="41.7" customHeight="1" x14ac:dyDescent="0.3">
      <c r="D4" s="149" t="s">
        <v>4</v>
      </c>
      <c r="E4" s="116"/>
      <c r="F4" s="127" t="s">
        <v>168</v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5" spans="3:29" ht="15" x14ac:dyDescent="0.3">
      <c r="D5" s="149" t="s">
        <v>4</v>
      </c>
      <c r="E5" s="116"/>
      <c r="F5" s="153" t="s">
        <v>169</v>
      </c>
      <c r="G5" s="120"/>
      <c r="H5" s="153" t="s">
        <v>170</v>
      </c>
      <c r="I5" s="120"/>
      <c r="J5" s="37" t="s">
        <v>171</v>
      </c>
      <c r="K5" s="153" t="s">
        <v>172</v>
      </c>
      <c r="L5" s="120"/>
      <c r="M5" s="153" t="s">
        <v>173</v>
      </c>
      <c r="N5" s="120"/>
      <c r="O5" s="153" t="s">
        <v>174</v>
      </c>
      <c r="P5" s="119"/>
      <c r="Q5" s="120"/>
      <c r="R5" s="153" t="s">
        <v>175</v>
      </c>
      <c r="S5" s="120"/>
    </row>
    <row r="6" spans="3:29" x14ac:dyDescent="0.3">
      <c r="D6" s="142" t="s">
        <v>176</v>
      </c>
      <c r="E6" s="116"/>
      <c r="F6" s="143">
        <v>598</v>
      </c>
      <c r="G6" s="144"/>
      <c r="H6" s="140">
        <v>575</v>
      </c>
      <c r="I6" s="116"/>
      <c r="J6" s="38">
        <v>246</v>
      </c>
      <c r="K6" s="140">
        <v>329</v>
      </c>
      <c r="L6" s="116"/>
      <c r="M6" s="140">
        <v>598</v>
      </c>
      <c r="N6" s="116"/>
      <c r="O6" s="140">
        <v>22</v>
      </c>
      <c r="P6" s="116"/>
      <c r="Q6" s="116"/>
      <c r="R6" s="140">
        <v>0</v>
      </c>
      <c r="S6" s="116"/>
    </row>
    <row r="7" spans="3:29" x14ac:dyDescent="0.3">
      <c r="D7" s="146" t="s">
        <v>177</v>
      </c>
      <c r="E7" s="116"/>
      <c r="F7" s="151">
        <v>515</v>
      </c>
      <c r="G7" s="144"/>
      <c r="H7" s="152">
        <v>507</v>
      </c>
      <c r="I7" s="116"/>
      <c r="J7" s="39">
        <v>231</v>
      </c>
      <c r="K7" s="152">
        <v>276</v>
      </c>
      <c r="L7" s="116"/>
      <c r="M7" s="152">
        <v>515</v>
      </c>
      <c r="N7" s="116"/>
      <c r="O7" s="152">
        <v>7</v>
      </c>
      <c r="P7" s="116"/>
      <c r="Q7" s="116"/>
      <c r="R7" s="152">
        <v>0</v>
      </c>
      <c r="S7" s="116"/>
    </row>
    <row r="8" spans="3:29" x14ac:dyDescent="0.3">
      <c r="D8" s="142" t="s">
        <v>178</v>
      </c>
      <c r="E8" s="116"/>
      <c r="F8" s="143">
        <v>97248</v>
      </c>
      <c r="G8" s="144"/>
      <c r="H8" s="140">
        <v>51950</v>
      </c>
      <c r="I8" s="116"/>
      <c r="J8" s="38">
        <v>24344</v>
      </c>
      <c r="K8" s="140">
        <v>27606</v>
      </c>
      <c r="L8" s="116"/>
      <c r="M8" s="140">
        <v>97248</v>
      </c>
      <c r="N8" s="116"/>
      <c r="O8" s="140">
        <v>3386</v>
      </c>
      <c r="P8" s="116"/>
      <c r="Q8" s="116"/>
      <c r="R8" s="140">
        <v>0</v>
      </c>
      <c r="S8" s="116"/>
    </row>
    <row r="9" spans="3:29" x14ac:dyDescent="0.3">
      <c r="D9" s="146" t="s">
        <v>179</v>
      </c>
      <c r="E9" s="116"/>
      <c r="F9" s="151">
        <v>91271</v>
      </c>
      <c r="G9" s="144"/>
      <c r="H9" s="152">
        <v>48300</v>
      </c>
      <c r="I9" s="116"/>
      <c r="J9" s="39">
        <v>23144</v>
      </c>
      <c r="K9" s="152">
        <v>25156</v>
      </c>
      <c r="L9" s="116"/>
      <c r="M9" s="152">
        <v>91271</v>
      </c>
      <c r="N9" s="116"/>
      <c r="O9" s="152">
        <v>1059</v>
      </c>
      <c r="P9" s="116"/>
      <c r="Q9" s="116"/>
      <c r="R9" s="152">
        <v>0</v>
      </c>
      <c r="S9" s="116"/>
    </row>
    <row r="10" spans="3:29" x14ac:dyDescent="0.3">
      <c r="D10" s="142" t="s">
        <v>180</v>
      </c>
      <c r="E10" s="116"/>
      <c r="F10" s="150">
        <v>24.123172507403801</v>
      </c>
      <c r="G10" s="144"/>
      <c r="H10" s="145">
        <v>27.92</v>
      </c>
      <c r="I10" s="116"/>
      <c r="J10" s="40">
        <v>30.54</v>
      </c>
      <c r="K10" s="145">
        <v>25.6</v>
      </c>
      <c r="L10" s="116"/>
      <c r="M10" s="145">
        <v>24.12</v>
      </c>
      <c r="N10" s="116"/>
      <c r="O10" s="145">
        <v>8.5</v>
      </c>
      <c r="P10" s="116"/>
      <c r="Q10" s="116"/>
      <c r="R10" s="136"/>
      <c r="S10" s="116"/>
    </row>
    <row r="11" spans="3:29" x14ac:dyDescent="0.3">
      <c r="D11" s="146" t="s">
        <v>181</v>
      </c>
      <c r="E11" s="116"/>
      <c r="F11" s="147">
        <v>24.292310591535099</v>
      </c>
      <c r="G11" s="144"/>
      <c r="H11" s="148">
        <v>27.77</v>
      </c>
      <c r="I11" s="116"/>
      <c r="J11" s="41">
        <v>29.61</v>
      </c>
      <c r="K11" s="148">
        <v>26.08</v>
      </c>
      <c r="L11" s="116"/>
      <c r="M11" s="148">
        <v>24.29</v>
      </c>
      <c r="N11" s="116"/>
      <c r="O11" s="148">
        <v>8.5</v>
      </c>
      <c r="P11" s="116"/>
      <c r="Q11" s="116"/>
      <c r="R11" s="149"/>
      <c r="S11" s="116"/>
    </row>
    <row r="12" spans="3:29" x14ac:dyDescent="0.3">
      <c r="D12" s="142" t="s">
        <v>182</v>
      </c>
      <c r="E12" s="116"/>
      <c r="F12" s="143">
        <v>162.62207357859501</v>
      </c>
      <c r="G12" s="144"/>
      <c r="H12" s="140">
        <v>90.347826086956502</v>
      </c>
      <c r="I12" s="116"/>
      <c r="J12" s="38">
        <v>98.959349593495901</v>
      </c>
      <c r="K12" s="140">
        <v>83.908814589665695</v>
      </c>
      <c r="L12" s="116"/>
      <c r="M12" s="140">
        <v>162.62207357859501</v>
      </c>
      <c r="N12" s="116"/>
      <c r="O12" s="140">
        <v>153.90909090909099</v>
      </c>
      <c r="P12" s="116"/>
      <c r="Q12" s="116"/>
      <c r="R12" s="140">
        <v>0</v>
      </c>
      <c r="S12" s="116"/>
    </row>
    <row r="13" spans="3:29" ht="19.2" customHeight="1" x14ac:dyDescent="0.3"/>
    <row r="14" spans="3:29" ht="18" customHeight="1" x14ac:dyDescent="0.3">
      <c r="C14" s="118" t="s">
        <v>83</v>
      </c>
      <c r="D14" s="120"/>
      <c r="E14" s="118" t="s">
        <v>84</v>
      </c>
      <c r="F14" s="119"/>
      <c r="G14" s="119"/>
      <c r="H14" s="120"/>
      <c r="I14" s="141" t="s">
        <v>183</v>
      </c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20"/>
    </row>
    <row r="15" spans="3:29" x14ac:dyDescent="0.3">
      <c r="C15" s="139" t="s">
        <v>85</v>
      </c>
      <c r="D15" s="120"/>
      <c r="E15" s="139" t="s">
        <v>184</v>
      </c>
      <c r="F15" s="120"/>
      <c r="G15" s="139" t="s">
        <v>185</v>
      </c>
      <c r="H15" s="120"/>
      <c r="I15" s="138" t="s">
        <v>9</v>
      </c>
      <c r="J15" s="116"/>
      <c r="K15" s="116"/>
      <c r="L15" s="138" t="s">
        <v>10</v>
      </c>
      <c r="M15" s="116"/>
      <c r="N15" s="138" t="s">
        <v>11</v>
      </c>
      <c r="O15" s="116"/>
      <c r="P15" s="138" t="s">
        <v>12</v>
      </c>
      <c r="Q15" s="116"/>
      <c r="R15" s="116"/>
      <c r="S15" s="138" t="s">
        <v>13</v>
      </c>
      <c r="T15" s="116"/>
      <c r="U15" s="116"/>
      <c r="V15" s="42" t="s">
        <v>14</v>
      </c>
      <c r="W15" s="42" t="s">
        <v>15</v>
      </c>
      <c r="X15" s="42" t="s">
        <v>16</v>
      </c>
      <c r="Y15" s="42" t="s">
        <v>17</v>
      </c>
      <c r="Z15" s="42" t="s">
        <v>18</v>
      </c>
      <c r="AA15" s="42" t="s">
        <v>19</v>
      </c>
      <c r="AB15" s="42" t="s">
        <v>20</v>
      </c>
      <c r="AC15" s="42" t="s">
        <v>21</v>
      </c>
    </row>
    <row r="16" spans="3:29" x14ac:dyDescent="0.3">
      <c r="C16" s="131" t="s">
        <v>89</v>
      </c>
      <c r="D16" s="120"/>
      <c r="E16" s="132">
        <v>20.68</v>
      </c>
      <c r="F16" s="120"/>
      <c r="G16" s="132">
        <v>20.68</v>
      </c>
      <c r="H16" s="120"/>
      <c r="I16" s="137"/>
      <c r="J16" s="116"/>
      <c r="K16" s="116"/>
      <c r="L16" s="137"/>
      <c r="M16" s="116"/>
      <c r="N16" s="137"/>
      <c r="O16" s="116"/>
      <c r="P16" s="137"/>
      <c r="Q16" s="116"/>
      <c r="R16" s="116"/>
      <c r="S16" s="137"/>
      <c r="T16" s="116"/>
      <c r="U16" s="116"/>
      <c r="V16" s="25"/>
      <c r="W16" s="25"/>
      <c r="X16" s="25"/>
      <c r="Y16" s="43">
        <v>72242.19</v>
      </c>
      <c r="Z16" s="43">
        <v>72242.19</v>
      </c>
      <c r="AA16" s="43">
        <v>72242.19</v>
      </c>
      <c r="AB16" s="43">
        <v>72242.19</v>
      </c>
      <c r="AC16" s="43">
        <v>72242.19</v>
      </c>
    </row>
    <row r="17" spans="3:29" x14ac:dyDescent="0.3">
      <c r="C17" s="134" t="s">
        <v>90</v>
      </c>
      <c r="D17" s="120"/>
      <c r="E17" s="135">
        <v>33.36</v>
      </c>
      <c r="F17" s="120"/>
      <c r="G17" s="135">
        <v>32.479999999999997</v>
      </c>
      <c r="H17" s="120"/>
      <c r="I17" s="130">
        <v>448</v>
      </c>
      <c r="J17" s="116"/>
      <c r="K17" s="116"/>
      <c r="L17" s="130">
        <v>415</v>
      </c>
      <c r="M17" s="116"/>
      <c r="N17" s="130">
        <v>476</v>
      </c>
      <c r="O17" s="116"/>
      <c r="P17" s="130">
        <v>346</v>
      </c>
      <c r="Q17" s="116"/>
      <c r="R17" s="116"/>
      <c r="S17" s="130">
        <v>346</v>
      </c>
      <c r="T17" s="116"/>
      <c r="U17" s="116"/>
      <c r="V17" s="44">
        <v>375</v>
      </c>
      <c r="W17" s="44">
        <v>299</v>
      </c>
      <c r="X17" s="44">
        <v>234</v>
      </c>
      <c r="Y17" s="44">
        <v>230</v>
      </c>
      <c r="Z17" s="44">
        <v>230</v>
      </c>
      <c r="AA17" s="44">
        <v>389</v>
      </c>
      <c r="AB17" s="44">
        <v>242</v>
      </c>
      <c r="AC17" s="44">
        <v>278</v>
      </c>
    </row>
    <row r="18" spans="3:29" x14ac:dyDescent="0.3">
      <c r="C18" s="131" t="s">
        <v>91</v>
      </c>
      <c r="D18" s="120"/>
      <c r="E18" s="132">
        <v>26.16</v>
      </c>
      <c r="F18" s="120"/>
      <c r="G18" s="132">
        <v>27.66</v>
      </c>
      <c r="H18" s="120"/>
      <c r="I18" s="133">
        <v>343</v>
      </c>
      <c r="J18" s="116"/>
      <c r="K18" s="116"/>
      <c r="L18" s="133">
        <v>358</v>
      </c>
      <c r="M18" s="116"/>
      <c r="N18" s="133">
        <v>254</v>
      </c>
      <c r="O18" s="116"/>
      <c r="P18" s="133">
        <v>254</v>
      </c>
      <c r="Q18" s="116"/>
      <c r="R18" s="116"/>
      <c r="S18" s="133">
        <v>336</v>
      </c>
      <c r="T18" s="116"/>
      <c r="U18" s="116"/>
      <c r="V18" s="43">
        <v>329</v>
      </c>
      <c r="W18" s="43">
        <v>201</v>
      </c>
      <c r="X18" s="43">
        <v>201</v>
      </c>
      <c r="Y18" s="43">
        <v>207</v>
      </c>
      <c r="Z18" s="43">
        <v>207</v>
      </c>
      <c r="AA18" s="43">
        <v>350</v>
      </c>
      <c r="AB18" s="43">
        <v>218</v>
      </c>
      <c r="AC18" s="43">
        <v>218</v>
      </c>
    </row>
    <row r="19" spans="3:29" x14ac:dyDescent="0.3">
      <c r="C19" s="134" t="s">
        <v>92</v>
      </c>
      <c r="D19" s="120"/>
      <c r="E19" s="135">
        <v>32.51</v>
      </c>
      <c r="F19" s="120"/>
      <c r="G19" s="135">
        <v>27.85</v>
      </c>
      <c r="H19" s="120"/>
      <c r="I19" s="130">
        <v>479</v>
      </c>
      <c r="J19" s="116"/>
      <c r="K19" s="116"/>
      <c r="L19" s="130">
        <v>443</v>
      </c>
      <c r="M19" s="116"/>
      <c r="N19" s="130">
        <v>511</v>
      </c>
      <c r="O19" s="116"/>
      <c r="P19" s="130">
        <v>398</v>
      </c>
      <c r="Q19" s="116"/>
      <c r="R19" s="116"/>
      <c r="S19" s="130">
        <v>410</v>
      </c>
      <c r="T19" s="116"/>
      <c r="U19" s="116"/>
      <c r="V19" s="44">
        <v>402</v>
      </c>
      <c r="W19" s="44">
        <v>308</v>
      </c>
      <c r="X19" s="44">
        <v>302</v>
      </c>
      <c r="Y19" s="44">
        <v>247</v>
      </c>
      <c r="Z19" s="44">
        <v>247</v>
      </c>
      <c r="AA19" s="44">
        <v>417</v>
      </c>
      <c r="AB19" s="44">
        <v>259</v>
      </c>
      <c r="AC19" s="44">
        <v>298</v>
      </c>
    </row>
    <row r="20" spans="3:29" x14ac:dyDescent="0.3">
      <c r="C20" s="131" t="s">
        <v>93</v>
      </c>
      <c r="D20" s="120"/>
      <c r="E20" s="132">
        <v>25.42</v>
      </c>
      <c r="F20" s="120"/>
      <c r="G20" s="132">
        <v>30.11</v>
      </c>
      <c r="H20" s="120"/>
      <c r="I20" s="133">
        <v>356</v>
      </c>
      <c r="J20" s="116"/>
      <c r="K20" s="116"/>
      <c r="L20" s="133">
        <v>368</v>
      </c>
      <c r="M20" s="116"/>
      <c r="N20" s="133">
        <v>326</v>
      </c>
      <c r="O20" s="116"/>
      <c r="P20" s="133">
        <v>349</v>
      </c>
      <c r="Q20" s="116"/>
      <c r="R20" s="116"/>
      <c r="S20" s="133">
        <v>359</v>
      </c>
      <c r="T20" s="116"/>
      <c r="U20" s="116"/>
      <c r="V20" s="43">
        <v>352</v>
      </c>
      <c r="W20" s="43">
        <v>270</v>
      </c>
      <c r="X20" s="43">
        <v>265</v>
      </c>
      <c r="Y20" s="43">
        <v>222</v>
      </c>
      <c r="Z20" s="43">
        <v>222</v>
      </c>
      <c r="AA20" s="43">
        <v>375</v>
      </c>
      <c r="AB20" s="43">
        <v>233</v>
      </c>
      <c r="AC20" s="43">
        <v>233</v>
      </c>
    </row>
    <row r="21" spans="3:29" x14ac:dyDescent="0.3">
      <c r="C21" s="134" t="s">
        <v>94</v>
      </c>
      <c r="D21" s="120"/>
      <c r="E21" s="135">
        <v>23.83</v>
      </c>
      <c r="F21" s="120"/>
      <c r="G21" s="135">
        <v>23.01</v>
      </c>
      <c r="H21" s="120"/>
      <c r="I21" s="130">
        <v>421</v>
      </c>
      <c r="J21" s="116"/>
      <c r="K21" s="116"/>
      <c r="L21" s="130">
        <v>436</v>
      </c>
      <c r="M21" s="116"/>
      <c r="N21" s="130">
        <v>385</v>
      </c>
      <c r="O21" s="116"/>
      <c r="P21" s="130">
        <v>412</v>
      </c>
      <c r="Q21" s="116"/>
      <c r="R21" s="116"/>
      <c r="S21" s="130">
        <v>424</v>
      </c>
      <c r="T21" s="116"/>
      <c r="U21" s="116"/>
      <c r="V21" s="44">
        <v>416</v>
      </c>
      <c r="W21" s="44">
        <v>319</v>
      </c>
      <c r="X21" s="44">
        <v>313</v>
      </c>
      <c r="Y21" s="44">
        <v>265</v>
      </c>
      <c r="Z21" s="44">
        <v>265</v>
      </c>
      <c r="AA21" s="44">
        <v>447</v>
      </c>
      <c r="AB21" s="44">
        <v>278</v>
      </c>
      <c r="AC21" s="44">
        <v>278</v>
      </c>
    </row>
    <row r="22" spans="3:29" x14ac:dyDescent="0.3">
      <c r="C22" s="131" t="s">
        <v>95</v>
      </c>
      <c r="D22" s="120"/>
      <c r="E22" s="132">
        <v>29.84</v>
      </c>
      <c r="F22" s="120"/>
      <c r="G22" s="132">
        <v>28.65</v>
      </c>
      <c r="H22" s="120"/>
      <c r="I22" s="133">
        <v>595</v>
      </c>
      <c r="J22" s="116"/>
      <c r="K22" s="116"/>
      <c r="L22" s="133">
        <v>578</v>
      </c>
      <c r="M22" s="116"/>
      <c r="N22" s="133">
        <v>609</v>
      </c>
      <c r="O22" s="116"/>
      <c r="P22" s="133">
        <v>520</v>
      </c>
      <c r="Q22" s="116"/>
      <c r="R22" s="116"/>
      <c r="S22" s="133">
        <v>535</v>
      </c>
      <c r="T22" s="116"/>
      <c r="U22" s="116"/>
      <c r="V22" s="43">
        <v>498</v>
      </c>
      <c r="W22" s="43">
        <v>401</v>
      </c>
      <c r="X22" s="43">
        <v>394</v>
      </c>
      <c r="Y22" s="43">
        <v>310</v>
      </c>
      <c r="Z22" s="43">
        <v>310</v>
      </c>
      <c r="AA22" s="43">
        <v>522</v>
      </c>
      <c r="AB22" s="43">
        <v>325</v>
      </c>
      <c r="AC22" s="43">
        <v>373</v>
      </c>
    </row>
    <row r="23" spans="3:29" x14ac:dyDescent="0.3">
      <c r="C23" s="134" t="s">
        <v>96</v>
      </c>
      <c r="D23" s="120"/>
      <c r="E23" s="134"/>
      <c r="F23" s="120"/>
      <c r="G23" s="134"/>
      <c r="H23" s="120"/>
      <c r="I23" s="130">
        <v>340</v>
      </c>
      <c r="J23" s="116"/>
      <c r="K23" s="116"/>
      <c r="L23" s="130">
        <v>340</v>
      </c>
      <c r="M23" s="116"/>
      <c r="N23" s="130">
        <v>340</v>
      </c>
      <c r="O23" s="116"/>
      <c r="P23" s="130">
        <v>340</v>
      </c>
      <c r="Q23" s="116"/>
      <c r="R23" s="116"/>
      <c r="S23" s="130">
        <v>340</v>
      </c>
      <c r="T23" s="116"/>
      <c r="U23" s="116"/>
      <c r="V23" s="44">
        <v>340</v>
      </c>
      <c r="W23" s="44">
        <v>340</v>
      </c>
      <c r="X23" s="44">
        <v>340</v>
      </c>
      <c r="Y23" s="44">
        <v>340</v>
      </c>
      <c r="Z23" s="44">
        <v>340</v>
      </c>
      <c r="AA23" s="44">
        <v>340</v>
      </c>
      <c r="AB23" s="44">
        <v>340</v>
      </c>
      <c r="AC23" s="44">
        <v>340</v>
      </c>
    </row>
    <row r="24" spans="3:29" x14ac:dyDescent="0.3">
      <c r="C24" s="131" t="s">
        <v>97</v>
      </c>
      <c r="D24" s="120"/>
      <c r="E24" s="132">
        <v>23.36</v>
      </c>
      <c r="F24" s="120"/>
      <c r="G24" s="132">
        <v>21.25</v>
      </c>
      <c r="H24" s="120"/>
      <c r="I24" s="133">
        <v>457</v>
      </c>
      <c r="J24" s="116"/>
      <c r="K24" s="116"/>
      <c r="L24" s="133">
        <v>457</v>
      </c>
      <c r="M24" s="116"/>
      <c r="N24" s="133">
        <v>425</v>
      </c>
      <c r="O24" s="116"/>
      <c r="P24" s="133">
        <v>432</v>
      </c>
      <c r="Q24" s="116"/>
      <c r="R24" s="116"/>
      <c r="S24" s="133">
        <v>445</v>
      </c>
      <c r="T24" s="116"/>
      <c r="U24" s="116"/>
      <c r="V24" s="43">
        <v>436</v>
      </c>
      <c r="W24" s="43">
        <v>334</v>
      </c>
      <c r="X24" s="43">
        <v>328</v>
      </c>
      <c r="Y24" s="43">
        <v>278</v>
      </c>
      <c r="Z24" s="43">
        <v>278</v>
      </c>
      <c r="AA24" s="43">
        <v>470</v>
      </c>
      <c r="AB24" s="43">
        <v>292</v>
      </c>
      <c r="AC24" s="43">
        <v>292</v>
      </c>
    </row>
    <row r="25" spans="3:29" x14ac:dyDescent="0.3">
      <c r="C25" s="134" t="s">
        <v>98</v>
      </c>
      <c r="D25" s="120"/>
      <c r="E25" s="134"/>
      <c r="F25" s="120"/>
      <c r="G25" s="134"/>
      <c r="H25" s="120"/>
      <c r="I25" s="130">
        <v>398</v>
      </c>
      <c r="J25" s="116"/>
      <c r="K25" s="116"/>
      <c r="L25" s="130">
        <v>398</v>
      </c>
      <c r="M25" s="116"/>
      <c r="N25" s="130">
        <v>398</v>
      </c>
      <c r="O25" s="116"/>
      <c r="P25" s="130">
        <v>398</v>
      </c>
      <c r="Q25" s="116"/>
      <c r="R25" s="116"/>
      <c r="S25" s="130">
        <v>398</v>
      </c>
      <c r="T25" s="116"/>
      <c r="U25" s="116"/>
      <c r="V25" s="44">
        <v>398</v>
      </c>
      <c r="W25" s="44">
        <v>398</v>
      </c>
      <c r="X25" s="44">
        <v>398</v>
      </c>
      <c r="Y25" s="44">
        <v>398</v>
      </c>
      <c r="Z25" s="44">
        <v>398</v>
      </c>
      <c r="AA25" s="44">
        <v>398</v>
      </c>
      <c r="AB25" s="44">
        <v>398</v>
      </c>
      <c r="AC25" s="44">
        <v>398</v>
      </c>
    </row>
    <row r="26" spans="3:29" x14ac:dyDescent="0.3">
      <c r="C26" s="131" t="s">
        <v>99</v>
      </c>
      <c r="D26" s="120"/>
      <c r="E26" s="132">
        <v>22.95</v>
      </c>
      <c r="F26" s="120"/>
      <c r="G26" s="132">
        <v>20.66</v>
      </c>
      <c r="H26" s="120"/>
      <c r="I26" s="133">
        <v>478</v>
      </c>
      <c r="J26" s="116"/>
      <c r="K26" s="116"/>
      <c r="L26" s="133">
        <v>502</v>
      </c>
      <c r="M26" s="116"/>
      <c r="N26" s="133">
        <v>446</v>
      </c>
      <c r="O26" s="116"/>
      <c r="P26" s="133">
        <v>453</v>
      </c>
      <c r="Q26" s="116"/>
      <c r="R26" s="116"/>
      <c r="S26" s="133">
        <v>466</v>
      </c>
      <c r="T26" s="116"/>
      <c r="U26" s="116"/>
      <c r="V26" s="43">
        <v>457</v>
      </c>
      <c r="W26" s="43">
        <v>350</v>
      </c>
      <c r="X26" s="43">
        <v>344</v>
      </c>
      <c r="Y26" s="43">
        <v>292</v>
      </c>
      <c r="Z26" s="43">
        <v>292</v>
      </c>
      <c r="AA26" s="43">
        <v>493</v>
      </c>
      <c r="AB26" s="43">
        <v>306</v>
      </c>
      <c r="AC26" s="43">
        <v>306</v>
      </c>
    </row>
    <row r="27" spans="3:29" x14ac:dyDescent="0.3">
      <c r="C27" s="134" t="s">
        <v>100</v>
      </c>
      <c r="D27" s="120"/>
      <c r="E27" s="135">
        <v>28.56</v>
      </c>
      <c r="F27" s="120"/>
      <c r="G27" s="135">
        <v>29.9</v>
      </c>
      <c r="H27" s="120"/>
      <c r="I27" s="130">
        <v>996</v>
      </c>
      <c r="J27" s="116"/>
      <c r="K27" s="116"/>
      <c r="L27" s="130">
        <v>706</v>
      </c>
      <c r="M27" s="116"/>
      <c r="N27" s="130">
        <v>746</v>
      </c>
      <c r="O27" s="116"/>
      <c r="P27" s="130">
        <v>671</v>
      </c>
      <c r="Q27" s="116"/>
      <c r="R27" s="116"/>
      <c r="S27" s="130">
        <v>655</v>
      </c>
      <c r="T27" s="116"/>
      <c r="U27" s="116"/>
      <c r="V27" s="44">
        <v>677</v>
      </c>
      <c r="W27" s="44">
        <v>491</v>
      </c>
      <c r="X27" s="44">
        <v>499</v>
      </c>
      <c r="Y27" s="44">
        <v>383</v>
      </c>
      <c r="Z27" s="44">
        <v>383</v>
      </c>
      <c r="AA27" s="44">
        <v>646</v>
      </c>
      <c r="AB27" s="44">
        <v>402</v>
      </c>
      <c r="AC27" s="44">
        <v>476</v>
      </c>
    </row>
    <row r="28" spans="3:29" x14ac:dyDescent="0.3">
      <c r="C28" s="131" t="s">
        <v>101</v>
      </c>
      <c r="D28" s="120"/>
      <c r="E28" s="132">
        <v>28.56</v>
      </c>
      <c r="F28" s="120"/>
      <c r="G28" s="132">
        <v>27.33</v>
      </c>
      <c r="H28" s="120"/>
      <c r="I28" s="133">
        <v>996</v>
      </c>
      <c r="J28" s="116"/>
      <c r="K28" s="116"/>
      <c r="L28" s="133">
        <v>706</v>
      </c>
      <c r="M28" s="116"/>
      <c r="N28" s="133">
        <v>746</v>
      </c>
      <c r="O28" s="116"/>
      <c r="P28" s="133">
        <v>671</v>
      </c>
      <c r="Q28" s="116"/>
      <c r="R28" s="116"/>
      <c r="S28" s="133">
        <v>655</v>
      </c>
      <c r="T28" s="116"/>
      <c r="U28" s="116"/>
      <c r="V28" s="43">
        <v>677</v>
      </c>
      <c r="W28" s="43">
        <v>491</v>
      </c>
      <c r="X28" s="43">
        <v>499</v>
      </c>
      <c r="Y28" s="43">
        <v>383</v>
      </c>
      <c r="Z28" s="43">
        <v>383</v>
      </c>
      <c r="AA28" s="43">
        <v>646</v>
      </c>
      <c r="AB28" s="43">
        <v>402</v>
      </c>
      <c r="AC28" s="43">
        <v>476</v>
      </c>
    </row>
    <row r="29" spans="3:29" x14ac:dyDescent="0.3">
      <c r="C29" s="134" t="s">
        <v>102</v>
      </c>
      <c r="D29" s="120"/>
      <c r="E29" s="135">
        <v>21.66</v>
      </c>
      <c r="F29" s="120"/>
      <c r="G29" s="135">
        <v>24.04</v>
      </c>
      <c r="H29" s="120"/>
      <c r="I29" s="130">
        <v>625</v>
      </c>
      <c r="J29" s="116"/>
      <c r="K29" s="116"/>
      <c r="L29" s="130">
        <v>585</v>
      </c>
      <c r="M29" s="116"/>
      <c r="N29" s="130">
        <v>651</v>
      </c>
      <c r="O29" s="116"/>
      <c r="P29" s="130">
        <v>671</v>
      </c>
      <c r="Q29" s="116"/>
      <c r="R29" s="116"/>
      <c r="S29" s="130">
        <v>572</v>
      </c>
      <c r="T29" s="116"/>
      <c r="U29" s="116"/>
      <c r="V29" s="44">
        <v>677</v>
      </c>
      <c r="W29" s="44">
        <v>428</v>
      </c>
      <c r="X29" s="44">
        <v>499</v>
      </c>
      <c r="Y29" s="44">
        <v>344</v>
      </c>
      <c r="Z29" s="44">
        <v>382</v>
      </c>
      <c r="AA29" s="44">
        <v>581</v>
      </c>
      <c r="AB29" s="44">
        <v>361</v>
      </c>
      <c r="AC29" s="44">
        <v>361</v>
      </c>
    </row>
    <row r="30" spans="3:29" x14ac:dyDescent="0.3">
      <c r="C30" s="131" t="s">
        <v>103</v>
      </c>
      <c r="D30" s="120"/>
      <c r="E30" s="132">
        <v>28.17</v>
      </c>
      <c r="F30" s="120"/>
      <c r="G30" s="132">
        <v>29.54</v>
      </c>
      <c r="H30" s="120"/>
      <c r="I30" s="133">
        <v>1031</v>
      </c>
      <c r="J30" s="116"/>
      <c r="K30" s="116"/>
      <c r="L30" s="133">
        <v>730</v>
      </c>
      <c r="M30" s="116"/>
      <c r="N30" s="133">
        <v>771</v>
      </c>
      <c r="O30" s="116"/>
      <c r="P30" s="133">
        <v>671</v>
      </c>
      <c r="Q30" s="116"/>
      <c r="R30" s="116"/>
      <c r="S30" s="133">
        <v>677</v>
      </c>
      <c r="T30" s="116"/>
      <c r="U30" s="116"/>
      <c r="V30" s="43">
        <v>677</v>
      </c>
      <c r="W30" s="43">
        <v>507</v>
      </c>
      <c r="X30" s="43">
        <v>499</v>
      </c>
      <c r="Y30" s="43">
        <v>396</v>
      </c>
      <c r="Z30" s="43">
        <v>396</v>
      </c>
      <c r="AA30" s="43">
        <v>668</v>
      </c>
      <c r="AB30" s="43">
        <v>416</v>
      </c>
      <c r="AC30" s="43">
        <v>493</v>
      </c>
    </row>
    <row r="31" spans="3:29" x14ac:dyDescent="0.3">
      <c r="C31" s="134" t="s">
        <v>104</v>
      </c>
      <c r="D31" s="120"/>
      <c r="E31" s="134"/>
      <c r="F31" s="120"/>
      <c r="G31" s="134"/>
      <c r="H31" s="120"/>
      <c r="I31" s="130">
        <v>493</v>
      </c>
      <c r="J31" s="116"/>
      <c r="K31" s="116"/>
      <c r="L31" s="130">
        <v>493</v>
      </c>
      <c r="M31" s="116"/>
      <c r="N31" s="130">
        <v>493</v>
      </c>
      <c r="O31" s="116"/>
      <c r="P31" s="130">
        <v>493</v>
      </c>
      <c r="Q31" s="116"/>
      <c r="R31" s="116"/>
      <c r="S31" s="130">
        <v>493</v>
      </c>
      <c r="T31" s="116"/>
      <c r="U31" s="116"/>
      <c r="V31" s="44">
        <v>493</v>
      </c>
      <c r="W31" s="44">
        <v>493</v>
      </c>
      <c r="X31" s="44">
        <v>493</v>
      </c>
      <c r="Y31" s="44">
        <v>493</v>
      </c>
      <c r="Z31" s="44">
        <v>493</v>
      </c>
      <c r="AA31" s="30"/>
      <c r="AB31" s="30"/>
      <c r="AC31" s="30"/>
    </row>
    <row r="32" spans="3:29" x14ac:dyDescent="0.3">
      <c r="C32" s="131" t="s">
        <v>105</v>
      </c>
      <c r="D32" s="120"/>
      <c r="E32" s="132">
        <v>25.64</v>
      </c>
      <c r="F32" s="120"/>
      <c r="G32" s="132">
        <v>17.559999999999999</v>
      </c>
      <c r="H32" s="120"/>
      <c r="I32" s="133">
        <v>1319</v>
      </c>
      <c r="J32" s="116"/>
      <c r="K32" s="116"/>
      <c r="L32" s="133">
        <v>935</v>
      </c>
      <c r="M32" s="116"/>
      <c r="N32" s="133">
        <v>989</v>
      </c>
      <c r="O32" s="116"/>
      <c r="P32" s="133">
        <v>873</v>
      </c>
      <c r="Q32" s="116"/>
      <c r="R32" s="116"/>
      <c r="S32" s="133">
        <v>869</v>
      </c>
      <c r="T32" s="116"/>
      <c r="U32" s="116"/>
      <c r="V32" s="43">
        <v>869</v>
      </c>
      <c r="W32" s="43">
        <v>651</v>
      </c>
      <c r="X32" s="43">
        <v>654</v>
      </c>
      <c r="Y32" s="43">
        <v>515</v>
      </c>
      <c r="Z32" s="43">
        <v>515</v>
      </c>
      <c r="AA32" s="43">
        <v>869</v>
      </c>
      <c r="AB32" s="43">
        <v>541</v>
      </c>
      <c r="AC32" s="43">
        <v>641</v>
      </c>
    </row>
    <row r="33" spans="3:29" x14ac:dyDescent="0.3">
      <c r="C33" s="134" t="s">
        <v>106</v>
      </c>
      <c r="D33" s="120"/>
      <c r="E33" s="134"/>
      <c r="F33" s="120"/>
      <c r="G33" s="134"/>
      <c r="H33" s="120"/>
      <c r="I33" s="130">
        <v>513</v>
      </c>
      <c r="J33" s="116"/>
      <c r="K33" s="116"/>
      <c r="L33" s="130">
        <v>513</v>
      </c>
      <c r="M33" s="116"/>
      <c r="N33" s="130">
        <v>513</v>
      </c>
      <c r="O33" s="116"/>
      <c r="P33" s="130">
        <v>513</v>
      </c>
      <c r="Q33" s="116"/>
      <c r="R33" s="116"/>
      <c r="S33" s="130">
        <v>513</v>
      </c>
      <c r="T33" s="116"/>
      <c r="U33" s="116"/>
      <c r="V33" s="44">
        <v>513</v>
      </c>
      <c r="W33" s="44">
        <v>513</v>
      </c>
      <c r="X33" s="44">
        <v>513</v>
      </c>
      <c r="Y33" s="44">
        <v>513</v>
      </c>
      <c r="Z33" s="44">
        <v>513</v>
      </c>
      <c r="AA33" s="44">
        <v>513</v>
      </c>
      <c r="AB33" s="44">
        <v>513</v>
      </c>
      <c r="AC33" s="44">
        <v>513</v>
      </c>
    </row>
    <row r="34" spans="3:29" x14ac:dyDescent="0.3">
      <c r="C34" s="131" t="s">
        <v>107</v>
      </c>
      <c r="D34" s="120"/>
      <c r="E34" s="132">
        <v>19.440000000000001</v>
      </c>
      <c r="F34" s="120"/>
      <c r="G34" s="132">
        <v>19.68</v>
      </c>
      <c r="H34" s="120"/>
      <c r="I34" s="133">
        <v>830</v>
      </c>
      <c r="J34" s="116"/>
      <c r="K34" s="116"/>
      <c r="L34" s="133">
        <v>777</v>
      </c>
      <c r="M34" s="116"/>
      <c r="N34" s="133">
        <v>863</v>
      </c>
      <c r="O34" s="116"/>
      <c r="P34" s="133">
        <v>873</v>
      </c>
      <c r="Q34" s="116"/>
      <c r="R34" s="116"/>
      <c r="S34" s="133">
        <v>758</v>
      </c>
      <c r="T34" s="116"/>
      <c r="U34" s="116"/>
      <c r="V34" s="43">
        <v>869</v>
      </c>
      <c r="W34" s="43">
        <v>568</v>
      </c>
      <c r="X34" s="43">
        <v>654</v>
      </c>
      <c r="Y34" s="43">
        <v>463</v>
      </c>
      <c r="Z34" s="43">
        <v>514</v>
      </c>
      <c r="AA34" s="43">
        <v>781</v>
      </c>
      <c r="AB34" s="43">
        <v>486</v>
      </c>
      <c r="AC34" s="43">
        <v>486</v>
      </c>
    </row>
    <row r="35" spans="3:29" x14ac:dyDescent="0.3">
      <c r="C35" s="134" t="s">
        <v>108</v>
      </c>
      <c r="D35" s="120"/>
      <c r="E35" s="135">
        <v>35.4</v>
      </c>
      <c r="F35" s="120"/>
      <c r="G35" s="135">
        <v>53.1</v>
      </c>
      <c r="H35" s="120"/>
      <c r="I35" s="130">
        <v>201</v>
      </c>
      <c r="J35" s="116"/>
      <c r="K35" s="116"/>
      <c r="L35" s="130">
        <v>220</v>
      </c>
      <c r="M35" s="116"/>
      <c r="N35" s="130">
        <v>184</v>
      </c>
      <c r="O35" s="116"/>
      <c r="P35" s="130">
        <v>197</v>
      </c>
      <c r="Q35" s="116"/>
      <c r="R35" s="116"/>
      <c r="S35" s="130">
        <v>203</v>
      </c>
      <c r="T35" s="116"/>
      <c r="U35" s="116"/>
      <c r="V35" s="44">
        <v>199</v>
      </c>
      <c r="W35" s="44">
        <v>152</v>
      </c>
      <c r="X35" s="44">
        <v>150</v>
      </c>
      <c r="Y35" s="44">
        <v>112</v>
      </c>
      <c r="Z35" s="44">
        <v>112</v>
      </c>
      <c r="AA35" s="44">
        <v>205</v>
      </c>
      <c r="AB35" s="44">
        <v>118</v>
      </c>
      <c r="AC35" s="44">
        <v>118</v>
      </c>
    </row>
    <row r="36" spans="3:29" x14ac:dyDescent="0.3">
      <c r="C36" s="131" t="s">
        <v>109</v>
      </c>
      <c r="D36" s="120"/>
      <c r="E36" s="132">
        <v>33.36</v>
      </c>
      <c r="F36" s="120"/>
      <c r="G36" s="132">
        <v>32.58</v>
      </c>
      <c r="H36" s="120"/>
      <c r="I36" s="133">
        <v>233</v>
      </c>
      <c r="J36" s="116"/>
      <c r="K36" s="116"/>
      <c r="L36" s="133">
        <v>255</v>
      </c>
      <c r="M36" s="116"/>
      <c r="N36" s="133">
        <v>170</v>
      </c>
      <c r="O36" s="116"/>
      <c r="P36" s="133">
        <v>170</v>
      </c>
      <c r="Q36" s="116"/>
      <c r="R36" s="116"/>
      <c r="S36" s="133">
        <v>235</v>
      </c>
      <c r="T36" s="116"/>
      <c r="U36" s="116"/>
      <c r="V36" s="43">
        <v>231</v>
      </c>
      <c r="W36" s="43">
        <v>141</v>
      </c>
      <c r="X36" s="43">
        <v>141</v>
      </c>
      <c r="Y36" s="43">
        <v>132</v>
      </c>
      <c r="Z36" s="43">
        <v>132</v>
      </c>
      <c r="AA36" s="43">
        <v>241</v>
      </c>
      <c r="AB36" s="43">
        <v>139</v>
      </c>
      <c r="AC36" s="43">
        <v>139</v>
      </c>
    </row>
    <row r="37" spans="3:29" x14ac:dyDescent="0.3">
      <c r="C37" s="134" t="s">
        <v>110</v>
      </c>
      <c r="D37" s="120"/>
      <c r="E37" s="135">
        <v>29.76</v>
      </c>
      <c r="F37" s="120"/>
      <c r="G37" s="135">
        <v>33.200000000000003</v>
      </c>
      <c r="H37" s="120"/>
      <c r="I37" s="130">
        <v>195</v>
      </c>
      <c r="J37" s="116"/>
      <c r="K37" s="116"/>
      <c r="L37" s="130">
        <v>213</v>
      </c>
      <c r="M37" s="116"/>
      <c r="N37" s="130">
        <v>188</v>
      </c>
      <c r="O37" s="116"/>
      <c r="P37" s="130">
        <v>201</v>
      </c>
      <c r="Q37" s="116"/>
      <c r="R37" s="116"/>
      <c r="S37" s="130">
        <v>207</v>
      </c>
      <c r="T37" s="116"/>
      <c r="U37" s="116"/>
      <c r="V37" s="44">
        <v>203</v>
      </c>
      <c r="W37" s="44">
        <v>156</v>
      </c>
      <c r="X37" s="44">
        <v>153</v>
      </c>
      <c r="Y37" s="44">
        <v>118</v>
      </c>
      <c r="Z37" s="44">
        <v>118</v>
      </c>
      <c r="AA37" s="44">
        <v>177</v>
      </c>
      <c r="AB37" s="44">
        <v>124</v>
      </c>
      <c r="AC37" s="44">
        <v>124</v>
      </c>
    </row>
    <row r="38" spans="3:29" x14ac:dyDescent="0.3">
      <c r="C38" s="131" t="s">
        <v>111</v>
      </c>
      <c r="D38" s="120"/>
      <c r="E38" s="131"/>
      <c r="F38" s="120"/>
      <c r="G38" s="131"/>
      <c r="H38" s="120"/>
      <c r="I38" s="133">
        <v>159</v>
      </c>
      <c r="J38" s="116"/>
      <c r="K38" s="116"/>
      <c r="L38" s="133">
        <v>159</v>
      </c>
      <c r="M38" s="116"/>
      <c r="N38" s="133">
        <v>159</v>
      </c>
      <c r="O38" s="116"/>
      <c r="P38" s="133">
        <v>159</v>
      </c>
      <c r="Q38" s="116"/>
      <c r="R38" s="116"/>
      <c r="S38" s="133">
        <v>159</v>
      </c>
      <c r="T38" s="116"/>
      <c r="U38" s="116"/>
      <c r="V38" s="43">
        <v>159</v>
      </c>
      <c r="W38" s="43">
        <v>159</v>
      </c>
      <c r="X38" s="43">
        <v>159</v>
      </c>
      <c r="Y38" s="43">
        <v>159</v>
      </c>
      <c r="Z38" s="43">
        <v>159</v>
      </c>
      <c r="AA38" s="43">
        <v>159</v>
      </c>
      <c r="AB38" s="43">
        <v>159</v>
      </c>
      <c r="AC38" s="43">
        <v>159</v>
      </c>
    </row>
    <row r="39" spans="3:29" x14ac:dyDescent="0.3">
      <c r="C39" s="134" t="s">
        <v>112</v>
      </c>
      <c r="D39" s="120"/>
      <c r="E39" s="135">
        <v>32.51</v>
      </c>
      <c r="F39" s="120"/>
      <c r="G39" s="135">
        <v>39.159999999999997</v>
      </c>
      <c r="H39" s="120"/>
      <c r="I39" s="130">
        <v>479</v>
      </c>
      <c r="J39" s="116"/>
      <c r="K39" s="116"/>
      <c r="L39" s="130">
        <v>443</v>
      </c>
      <c r="M39" s="116"/>
      <c r="N39" s="130">
        <v>511</v>
      </c>
      <c r="O39" s="116"/>
      <c r="P39" s="130">
        <v>398</v>
      </c>
      <c r="Q39" s="116"/>
      <c r="R39" s="116"/>
      <c r="S39" s="130">
        <v>410</v>
      </c>
      <c r="T39" s="116"/>
      <c r="U39" s="116"/>
      <c r="V39" s="44">
        <v>402</v>
      </c>
      <c r="W39" s="44">
        <v>308</v>
      </c>
      <c r="X39" s="44">
        <v>302</v>
      </c>
      <c r="Y39" s="44">
        <v>247</v>
      </c>
      <c r="Z39" s="44">
        <v>247</v>
      </c>
      <c r="AA39" s="44">
        <v>417</v>
      </c>
      <c r="AB39" s="44">
        <v>259</v>
      </c>
      <c r="AC39" s="44">
        <v>298</v>
      </c>
    </row>
    <row r="40" spans="3:29" x14ac:dyDescent="0.3">
      <c r="C40" s="131" t="s">
        <v>113</v>
      </c>
      <c r="D40" s="120"/>
      <c r="E40" s="131"/>
      <c r="F40" s="120"/>
      <c r="G40" s="131"/>
      <c r="H40" s="120"/>
      <c r="I40" s="133">
        <v>215</v>
      </c>
      <c r="J40" s="116"/>
      <c r="K40" s="116"/>
      <c r="L40" s="133">
        <v>215</v>
      </c>
      <c r="M40" s="116"/>
      <c r="N40" s="133">
        <v>215</v>
      </c>
      <c r="O40" s="116"/>
      <c r="P40" s="133">
        <v>215</v>
      </c>
      <c r="Q40" s="116"/>
      <c r="R40" s="116"/>
      <c r="S40" s="133">
        <v>215</v>
      </c>
      <c r="T40" s="116"/>
      <c r="U40" s="116"/>
      <c r="V40" s="43">
        <v>215</v>
      </c>
      <c r="W40" s="43">
        <v>215</v>
      </c>
      <c r="X40" s="43">
        <v>215</v>
      </c>
      <c r="Y40" s="43">
        <v>215</v>
      </c>
      <c r="Z40" s="43">
        <v>215</v>
      </c>
      <c r="AA40" s="43">
        <v>215</v>
      </c>
      <c r="AB40" s="43">
        <v>215</v>
      </c>
      <c r="AC40" s="43">
        <v>215</v>
      </c>
    </row>
    <row r="41" spans="3:29" x14ac:dyDescent="0.3">
      <c r="C41" s="134" t="s">
        <v>114</v>
      </c>
      <c r="D41" s="120"/>
      <c r="E41" s="135">
        <v>24.79</v>
      </c>
      <c r="F41" s="120"/>
      <c r="G41" s="135">
        <v>14.48</v>
      </c>
      <c r="H41" s="120"/>
      <c r="I41" s="130">
        <v>276</v>
      </c>
      <c r="J41" s="116"/>
      <c r="K41" s="116"/>
      <c r="L41" s="130">
        <v>276</v>
      </c>
      <c r="M41" s="116"/>
      <c r="N41" s="130">
        <v>347</v>
      </c>
      <c r="O41" s="116"/>
      <c r="P41" s="130">
        <v>371</v>
      </c>
      <c r="Q41" s="116"/>
      <c r="R41" s="116"/>
      <c r="S41" s="130">
        <v>382</v>
      </c>
      <c r="T41" s="116"/>
      <c r="U41" s="116"/>
      <c r="V41" s="44">
        <v>375</v>
      </c>
      <c r="W41" s="44">
        <v>287</v>
      </c>
      <c r="X41" s="44">
        <v>282</v>
      </c>
      <c r="Y41" s="44">
        <v>238</v>
      </c>
      <c r="Z41" s="44">
        <v>238</v>
      </c>
      <c r="AA41" s="44">
        <v>401</v>
      </c>
      <c r="AB41" s="44">
        <v>250</v>
      </c>
      <c r="AC41" s="44">
        <v>250</v>
      </c>
    </row>
    <row r="42" spans="3:29" x14ac:dyDescent="0.3">
      <c r="C42" s="131" t="s">
        <v>115</v>
      </c>
      <c r="D42" s="120"/>
      <c r="E42" s="132">
        <v>34.36</v>
      </c>
      <c r="F42" s="120"/>
      <c r="G42" s="132">
        <v>51.55</v>
      </c>
      <c r="H42" s="120"/>
      <c r="I42" s="133">
        <v>214</v>
      </c>
      <c r="J42" s="116"/>
      <c r="K42" s="116"/>
      <c r="L42" s="133">
        <v>234</v>
      </c>
      <c r="M42" s="116"/>
      <c r="N42" s="133">
        <v>197</v>
      </c>
      <c r="O42" s="116"/>
      <c r="P42" s="133">
        <v>210</v>
      </c>
      <c r="Q42" s="116"/>
      <c r="R42" s="116"/>
      <c r="S42" s="133">
        <v>217</v>
      </c>
      <c r="T42" s="116"/>
      <c r="U42" s="116"/>
      <c r="V42" s="43">
        <v>212</v>
      </c>
      <c r="W42" s="43">
        <v>163</v>
      </c>
      <c r="X42" s="43">
        <v>160</v>
      </c>
      <c r="Y42" s="43">
        <v>120</v>
      </c>
      <c r="Z42" s="43">
        <v>120</v>
      </c>
      <c r="AA42" s="43">
        <v>220</v>
      </c>
      <c r="AB42" s="43">
        <v>126</v>
      </c>
      <c r="AC42" s="43">
        <v>126</v>
      </c>
    </row>
    <row r="43" spans="3:29" x14ac:dyDescent="0.3">
      <c r="C43" s="134" t="s">
        <v>116</v>
      </c>
      <c r="D43" s="120"/>
      <c r="E43" s="135">
        <v>32.51</v>
      </c>
      <c r="F43" s="120"/>
      <c r="G43" s="135">
        <v>39.93</v>
      </c>
      <c r="H43" s="120"/>
      <c r="I43" s="130">
        <v>250</v>
      </c>
      <c r="J43" s="116"/>
      <c r="K43" s="116"/>
      <c r="L43" s="130">
        <v>274</v>
      </c>
      <c r="M43" s="116"/>
      <c r="N43" s="130">
        <v>229</v>
      </c>
      <c r="O43" s="116"/>
      <c r="P43" s="130">
        <v>244</v>
      </c>
      <c r="Q43" s="116"/>
      <c r="R43" s="116"/>
      <c r="S43" s="130">
        <v>252</v>
      </c>
      <c r="T43" s="116"/>
      <c r="U43" s="116"/>
      <c r="V43" s="44">
        <v>247</v>
      </c>
      <c r="W43" s="44">
        <v>189</v>
      </c>
      <c r="X43" s="44">
        <v>186</v>
      </c>
      <c r="Y43" s="44">
        <v>142</v>
      </c>
      <c r="Z43" s="44">
        <v>142</v>
      </c>
      <c r="AA43" s="44">
        <v>260</v>
      </c>
      <c r="AB43" s="44">
        <v>149</v>
      </c>
      <c r="AC43" s="44">
        <v>149</v>
      </c>
    </row>
    <row r="44" spans="3:29" x14ac:dyDescent="0.3">
      <c r="C44" s="131" t="s">
        <v>117</v>
      </c>
      <c r="D44" s="120"/>
      <c r="E44" s="132">
        <v>29.02</v>
      </c>
      <c r="F44" s="120"/>
      <c r="G44" s="132">
        <v>28.95</v>
      </c>
      <c r="H44" s="120"/>
      <c r="I44" s="133">
        <v>207</v>
      </c>
      <c r="J44" s="116"/>
      <c r="K44" s="116"/>
      <c r="L44" s="133">
        <v>227</v>
      </c>
      <c r="M44" s="116"/>
      <c r="N44" s="133">
        <v>201</v>
      </c>
      <c r="O44" s="116"/>
      <c r="P44" s="133">
        <v>215</v>
      </c>
      <c r="Q44" s="116"/>
      <c r="R44" s="116"/>
      <c r="S44" s="133">
        <v>221</v>
      </c>
      <c r="T44" s="116"/>
      <c r="U44" s="116"/>
      <c r="V44" s="43">
        <v>217</v>
      </c>
      <c r="W44" s="43">
        <v>166</v>
      </c>
      <c r="X44" s="43">
        <v>163</v>
      </c>
      <c r="Y44" s="43">
        <v>127</v>
      </c>
      <c r="Z44" s="43">
        <v>127</v>
      </c>
      <c r="AA44" s="43">
        <v>191</v>
      </c>
      <c r="AB44" s="43">
        <v>133</v>
      </c>
      <c r="AC44" s="43">
        <v>133</v>
      </c>
    </row>
    <row r="45" spans="3:29" x14ac:dyDescent="0.3">
      <c r="C45" s="134" t="s">
        <v>118</v>
      </c>
      <c r="D45" s="120"/>
      <c r="E45" s="135">
        <v>23.36</v>
      </c>
      <c r="F45" s="120"/>
      <c r="G45" s="135">
        <v>15.84</v>
      </c>
      <c r="H45" s="120"/>
      <c r="I45" s="130">
        <v>457</v>
      </c>
      <c r="J45" s="116"/>
      <c r="K45" s="116"/>
      <c r="L45" s="130">
        <v>457</v>
      </c>
      <c r="M45" s="116"/>
      <c r="N45" s="130">
        <v>425</v>
      </c>
      <c r="O45" s="116"/>
      <c r="P45" s="130">
        <v>432</v>
      </c>
      <c r="Q45" s="116"/>
      <c r="R45" s="116"/>
      <c r="S45" s="130">
        <v>445</v>
      </c>
      <c r="T45" s="116"/>
      <c r="U45" s="116"/>
      <c r="V45" s="44">
        <v>436</v>
      </c>
      <c r="W45" s="44">
        <v>334</v>
      </c>
      <c r="X45" s="44">
        <v>328</v>
      </c>
      <c r="Y45" s="44">
        <v>278</v>
      </c>
      <c r="Z45" s="44">
        <v>278</v>
      </c>
      <c r="AA45" s="44">
        <v>470</v>
      </c>
      <c r="AB45" s="44">
        <v>292</v>
      </c>
      <c r="AC45" s="44">
        <v>292</v>
      </c>
    </row>
    <row r="46" spans="3:29" x14ac:dyDescent="0.3">
      <c r="C46" s="131" t="s">
        <v>119</v>
      </c>
      <c r="D46" s="120"/>
      <c r="E46" s="132">
        <v>26.72</v>
      </c>
      <c r="F46" s="120"/>
      <c r="G46" s="132">
        <v>17.12</v>
      </c>
      <c r="H46" s="120"/>
      <c r="I46" s="137"/>
      <c r="J46" s="116"/>
      <c r="K46" s="116"/>
      <c r="L46" s="137"/>
      <c r="M46" s="116"/>
      <c r="N46" s="137"/>
      <c r="O46" s="116"/>
      <c r="P46" s="137"/>
      <c r="Q46" s="116"/>
      <c r="R46" s="116"/>
      <c r="S46" s="137"/>
      <c r="T46" s="116"/>
      <c r="U46" s="116"/>
      <c r="V46" s="25"/>
      <c r="W46" s="25"/>
      <c r="X46" s="25"/>
      <c r="Y46" s="25"/>
      <c r="Z46" s="43">
        <v>402</v>
      </c>
      <c r="AA46" s="43">
        <v>679</v>
      </c>
      <c r="AB46" s="43">
        <v>422</v>
      </c>
      <c r="AC46" s="43">
        <v>501</v>
      </c>
    </row>
    <row r="47" spans="3:29" x14ac:dyDescent="0.3">
      <c r="C47" s="134" t="s">
        <v>120</v>
      </c>
      <c r="D47" s="120"/>
      <c r="E47" s="134"/>
      <c r="F47" s="120"/>
      <c r="G47" s="134"/>
      <c r="H47" s="120"/>
      <c r="I47" s="130">
        <v>1319</v>
      </c>
      <c r="J47" s="116"/>
      <c r="K47" s="116"/>
      <c r="L47" s="130">
        <v>935</v>
      </c>
      <c r="M47" s="116"/>
      <c r="N47" s="130">
        <v>989</v>
      </c>
      <c r="O47" s="116"/>
      <c r="P47" s="130">
        <v>873</v>
      </c>
      <c r="Q47" s="116"/>
      <c r="R47" s="116"/>
      <c r="S47" s="130">
        <v>869</v>
      </c>
      <c r="T47" s="116"/>
      <c r="U47" s="116"/>
      <c r="V47" s="44">
        <v>869</v>
      </c>
      <c r="W47" s="44">
        <v>651</v>
      </c>
      <c r="X47" s="44">
        <v>654</v>
      </c>
      <c r="Y47" s="44">
        <v>515</v>
      </c>
      <c r="Z47" s="44">
        <v>515</v>
      </c>
      <c r="AA47" s="44">
        <v>515</v>
      </c>
      <c r="AB47" s="44">
        <v>515</v>
      </c>
      <c r="AC47" s="44">
        <v>515</v>
      </c>
    </row>
    <row r="48" spans="3:29" x14ac:dyDescent="0.3">
      <c r="C48" s="131" t="s">
        <v>121</v>
      </c>
      <c r="D48" s="120"/>
      <c r="E48" s="132">
        <v>28.4</v>
      </c>
      <c r="F48" s="120"/>
      <c r="G48" s="132">
        <v>35.479999999999997</v>
      </c>
      <c r="H48" s="120"/>
      <c r="I48" s="133">
        <v>220</v>
      </c>
      <c r="J48" s="116"/>
      <c r="K48" s="116"/>
      <c r="L48" s="133">
        <v>241</v>
      </c>
      <c r="M48" s="116"/>
      <c r="N48" s="133">
        <v>214</v>
      </c>
      <c r="O48" s="116"/>
      <c r="P48" s="133">
        <v>229</v>
      </c>
      <c r="Q48" s="116"/>
      <c r="R48" s="116"/>
      <c r="S48" s="133">
        <v>235</v>
      </c>
      <c r="T48" s="116"/>
      <c r="U48" s="116"/>
      <c r="V48" s="43">
        <v>231</v>
      </c>
      <c r="W48" s="43">
        <v>177</v>
      </c>
      <c r="X48" s="43">
        <v>174</v>
      </c>
      <c r="Y48" s="43">
        <v>135</v>
      </c>
      <c r="Z48" s="43">
        <v>135</v>
      </c>
      <c r="AA48" s="43">
        <v>247</v>
      </c>
      <c r="AB48" s="43">
        <v>142</v>
      </c>
      <c r="AC48" s="43">
        <v>142</v>
      </c>
    </row>
    <row r="49" spans="3:29" x14ac:dyDescent="0.3">
      <c r="C49" s="134" t="s">
        <v>122</v>
      </c>
      <c r="D49" s="120"/>
      <c r="E49" s="135">
        <v>29.92</v>
      </c>
      <c r="F49" s="120"/>
      <c r="G49" s="135">
        <v>35.630000000000003</v>
      </c>
      <c r="H49" s="120"/>
      <c r="I49" s="130">
        <v>310</v>
      </c>
      <c r="J49" s="116"/>
      <c r="K49" s="116"/>
      <c r="L49" s="130">
        <v>340</v>
      </c>
      <c r="M49" s="116"/>
      <c r="N49" s="130">
        <v>286</v>
      </c>
      <c r="O49" s="116"/>
      <c r="P49" s="130">
        <v>306</v>
      </c>
      <c r="Q49" s="116"/>
      <c r="R49" s="116"/>
      <c r="S49" s="130">
        <v>315</v>
      </c>
      <c r="T49" s="116"/>
      <c r="U49" s="116"/>
      <c r="V49" s="44">
        <v>308</v>
      </c>
      <c r="W49" s="44">
        <v>236</v>
      </c>
      <c r="X49" s="44">
        <v>232</v>
      </c>
      <c r="Y49" s="44">
        <v>178</v>
      </c>
      <c r="Z49" s="44">
        <v>178</v>
      </c>
      <c r="AA49" s="44">
        <v>315</v>
      </c>
      <c r="AB49" s="44">
        <v>187</v>
      </c>
      <c r="AC49" s="44">
        <v>187</v>
      </c>
    </row>
    <row r="50" spans="3:29" x14ac:dyDescent="0.3">
      <c r="C50" s="131" t="s">
        <v>123</v>
      </c>
      <c r="D50" s="120"/>
      <c r="E50" s="132">
        <v>26.88</v>
      </c>
      <c r="F50" s="120"/>
      <c r="G50" s="132">
        <v>25.34</v>
      </c>
      <c r="H50" s="120"/>
      <c r="I50" s="133">
        <v>259</v>
      </c>
      <c r="J50" s="116"/>
      <c r="K50" s="116"/>
      <c r="L50" s="133">
        <v>284</v>
      </c>
      <c r="M50" s="116"/>
      <c r="N50" s="133">
        <v>250</v>
      </c>
      <c r="O50" s="116"/>
      <c r="P50" s="133">
        <v>267</v>
      </c>
      <c r="Q50" s="116"/>
      <c r="R50" s="116"/>
      <c r="S50" s="133">
        <v>275</v>
      </c>
      <c r="T50" s="116"/>
      <c r="U50" s="116"/>
      <c r="V50" s="43">
        <v>270</v>
      </c>
      <c r="W50" s="43">
        <v>207</v>
      </c>
      <c r="X50" s="43">
        <v>203</v>
      </c>
      <c r="Y50" s="43">
        <v>160</v>
      </c>
      <c r="Z50" s="43">
        <v>160</v>
      </c>
      <c r="AA50" s="43">
        <v>292</v>
      </c>
      <c r="AB50" s="43">
        <v>168</v>
      </c>
      <c r="AC50" s="43">
        <v>168</v>
      </c>
    </row>
    <row r="51" spans="3:29" x14ac:dyDescent="0.3">
      <c r="C51" s="134" t="s">
        <v>124</v>
      </c>
      <c r="D51" s="120"/>
      <c r="E51" s="134"/>
      <c r="F51" s="120"/>
      <c r="G51" s="134"/>
      <c r="H51" s="120"/>
      <c r="I51" s="130">
        <v>167</v>
      </c>
      <c r="J51" s="116"/>
      <c r="K51" s="116"/>
      <c r="L51" s="130">
        <v>167</v>
      </c>
      <c r="M51" s="116"/>
      <c r="N51" s="130">
        <v>167</v>
      </c>
      <c r="O51" s="116"/>
      <c r="P51" s="130">
        <v>167</v>
      </c>
      <c r="Q51" s="116"/>
      <c r="R51" s="116"/>
      <c r="S51" s="130">
        <v>167</v>
      </c>
      <c r="T51" s="116"/>
      <c r="U51" s="116"/>
      <c r="V51" s="44">
        <v>167</v>
      </c>
      <c r="W51" s="44">
        <v>167</v>
      </c>
      <c r="X51" s="44">
        <v>167</v>
      </c>
      <c r="Y51" s="44">
        <v>167</v>
      </c>
      <c r="Z51" s="44">
        <v>167</v>
      </c>
      <c r="AA51" s="44">
        <v>167</v>
      </c>
      <c r="AB51" s="44">
        <v>167</v>
      </c>
      <c r="AC51" s="44">
        <v>167</v>
      </c>
    </row>
    <row r="52" spans="3:29" x14ac:dyDescent="0.3">
      <c r="C52" s="131" t="s">
        <v>125</v>
      </c>
      <c r="D52" s="120"/>
      <c r="E52" s="132">
        <v>28.56</v>
      </c>
      <c r="F52" s="120"/>
      <c r="G52" s="132">
        <v>19.77</v>
      </c>
      <c r="H52" s="120"/>
      <c r="I52" s="133">
        <v>996</v>
      </c>
      <c r="J52" s="116"/>
      <c r="K52" s="116"/>
      <c r="L52" s="133">
        <v>706</v>
      </c>
      <c r="M52" s="116"/>
      <c r="N52" s="133">
        <v>746</v>
      </c>
      <c r="O52" s="116"/>
      <c r="P52" s="133">
        <v>671</v>
      </c>
      <c r="Q52" s="116"/>
      <c r="R52" s="116"/>
      <c r="S52" s="133">
        <v>655</v>
      </c>
      <c r="T52" s="116"/>
      <c r="U52" s="116"/>
      <c r="V52" s="43">
        <v>677</v>
      </c>
      <c r="W52" s="43">
        <v>491</v>
      </c>
      <c r="X52" s="43">
        <v>499</v>
      </c>
      <c r="Y52" s="43">
        <v>383</v>
      </c>
      <c r="Z52" s="43">
        <v>383</v>
      </c>
      <c r="AA52" s="43">
        <v>646</v>
      </c>
      <c r="AB52" s="43">
        <v>402</v>
      </c>
      <c r="AC52" s="43">
        <v>476</v>
      </c>
    </row>
    <row r="53" spans="3:29" x14ac:dyDescent="0.3">
      <c r="C53" s="134" t="s">
        <v>126</v>
      </c>
      <c r="D53" s="120"/>
      <c r="E53" s="135">
        <v>21.66</v>
      </c>
      <c r="F53" s="120"/>
      <c r="G53" s="135">
        <v>30.48</v>
      </c>
      <c r="H53" s="120"/>
      <c r="I53" s="130">
        <v>625</v>
      </c>
      <c r="J53" s="116"/>
      <c r="K53" s="116"/>
      <c r="L53" s="130">
        <v>585</v>
      </c>
      <c r="M53" s="116"/>
      <c r="N53" s="130">
        <v>651</v>
      </c>
      <c r="O53" s="116"/>
      <c r="P53" s="130">
        <v>671</v>
      </c>
      <c r="Q53" s="116"/>
      <c r="R53" s="116"/>
      <c r="S53" s="130">
        <v>572</v>
      </c>
      <c r="T53" s="116"/>
      <c r="U53" s="116"/>
      <c r="V53" s="44">
        <v>677</v>
      </c>
      <c r="W53" s="44">
        <v>428</v>
      </c>
      <c r="X53" s="44">
        <v>499</v>
      </c>
      <c r="Y53" s="44">
        <v>344</v>
      </c>
      <c r="Z53" s="44">
        <v>382</v>
      </c>
      <c r="AA53" s="44">
        <v>581</v>
      </c>
      <c r="AB53" s="44">
        <v>361</v>
      </c>
      <c r="AC53" s="44">
        <v>361</v>
      </c>
    </row>
    <row r="54" spans="3:29" x14ac:dyDescent="0.3">
      <c r="C54" s="131" t="s">
        <v>127</v>
      </c>
      <c r="D54" s="120"/>
      <c r="E54" s="131"/>
      <c r="F54" s="120"/>
      <c r="G54" s="131"/>
      <c r="H54" s="120"/>
      <c r="I54" s="133">
        <v>387</v>
      </c>
      <c r="J54" s="116"/>
      <c r="K54" s="116"/>
      <c r="L54" s="133">
        <v>387</v>
      </c>
      <c r="M54" s="116"/>
      <c r="N54" s="133">
        <v>387</v>
      </c>
      <c r="O54" s="116"/>
      <c r="P54" s="133">
        <v>387</v>
      </c>
      <c r="Q54" s="116"/>
      <c r="R54" s="116"/>
      <c r="S54" s="133">
        <v>387</v>
      </c>
      <c r="T54" s="116"/>
      <c r="U54" s="116"/>
      <c r="V54" s="43">
        <v>387</v>
      </c>
      <c r="W54" s="43">
        <v>387</v>
      </c>
      <c r="X54" s="43">
        <v>387</v>
      </c>
      <c r="Y54" s="43">
        <v>387</v>
      </c>
      <c r="Z54" s="43">
        <v>387</v>
      </c>
      <c r="AA54" s="43">
        <v>387</v>
      </c>
      <c r="AB54" s="43">
        <v>387</v>
      </c>
      <c r="AC54" s="43">
        <v>387</v>
      </c>
    </row>
    <row r="55" spans="3:29" x14ac:dyDescent="0.3">
      <c r="C55" s="134" t="s">
        <v>128</v>
      </c>
      <c r="D55" s="120"/>
      <c r="E55" s="135">
        <v>25.64</v>
      </c>
      <c r="F55" s="120"/>
      <c r="G55" s="135">
        <v>16.36</v>
      </c>
      <c r="H55" s="120"/>
      <c r="I55" s="130">
        <v>1319</v>
      </c>
      <c r="J55" s="116"/>
      <c r="K55" s="116"/>
      <c r="L55" s="130">
        <v>935</v>
      </c>
      <c r="M55" s="116"/>
      <c r="N55" s="130">
        <v>989</v>
      </c>
      <c r="O55" s="116"/>
      <c r="P55" s="130">
        <v>873</v>
      </c>
      <c r="Q55" s="116"/>
      <c r="R55" s="116"/>
      <c r="S55" s="130">
        <v>869</v>
      </c>
      <c r="T55" s="116"/>
      <c r="U55" s="116"/>
      <c r="V55" s="44">
        <v>869</v>
      </c>
      <c r="W55" s="44">
        <v>651</v>
      </c>
      <c r="X55" s="44">
        <v>654</v>
      </c>
      <c r="Y55" s="44">
        <v>515</v>
      </c>
      <c r="Z55" s="44">
        <v>515</v>
      </c>
      <c r="AA55" s="44">
        <v>869</v>
      </c>
      <c r="AB55" s="44">
        <v>541</v>
      </c>
      <c r="AC55" s="44">
        <v>641</v>
      </c>
    </row>
    <row r="56" spans="3:29" x14ac:dyDescent="0.3">
      <c r="C56" s="131" t="s">
        <v>129</v>
      </c>
      <c r="D56" s="120"/>
      <c r="E56" s="132">
        <v>19.440000000000001</v>
      </c>
      <c r="F56" s="120"/>
      <c r="G56" s="132">
        <v>21.28</v>
      </c>
      <c r="H56" s="120"/>
      <c r="I56" s="133">
        <v>830</v>
      </c>
      <c r="J56" s="116"/>
      <c r="K56" s="116"/>
      <c r="L56" s="133">
        <v>777</v>
      </c>
      <c r="M56" s="116"/>
      <c r="N56" s="133">
        <v>863</v>
      </c>
      <c r="O56" s="116"/>
      <c r="P56" s="133">
        <v>873</v>
      </c>
      <c r="Q56" s="116"/>
      <c r="R56" s="116"/>
      <c r="S56" s="133">
        <v>758</v>
      </c>
      <c r="T56" s="116"/>
      <c r="U56" s="116"/>
      <c r="V56" s="43">
        <v>869</v>
      </c>
      <c r="W56" s="43">
        <v>568</v>
      </c>
      <c r="X56" s="43">
        <v>654</v>
      </c>
      <c r="Y56" s="43">
        <v>463</v>
      </c>
      <c r="Z56" s="43">
        <v>514</v>
      </c>
      <c r="AA56" s="43">
        <v>781</v>
      </c>
      <c r="AB56" s="43">
        <v>486</v>
      </c>
      <c r="AC56" s="43">
        <v>486</v>
      </c>
    </row>
    <row r="57" spans="3:29" x14ac:dyDescent="0.3">
      <c r="C57" s="134" t="s">
        <v>130</v>
      </c>
      <c r="D57" s="120"/>
      <c r="E57" s="135">
        <v>23.73</v>
      </c>
      <c r="F57" s="120"/>
      <c r="G57" s="135">
        <v>21.62</v>
      </c>
      <c r="H57" s="120"/>
      <c r="I57" s="130">
        <v>1610</v>
      </c>
      <c r="J57" s="116"/>
      <c r="K57" s="116"/>
      <c r="L57" s="130">
        <v>1141</v>
      </c>
      <c r="M57" s="116"/>
      <c r="N57" s="130">
        <v>1207</v>
      </c>
      <c r="O57" s="116"/>
      <c r="P57" s="130">
        <v>1057</v>
      </c>
      <c r="Q57" s="116"/>
      <c r="R57" s="116"/>
      <c r="S57" s="130">
        <v>1060</v>
      </c>
      <c r="T57" s="116"/>
      <c r="U57" s="116"/>
      <c r="V57" s="44">
        <v>1055</v>
      </c>
      <c r="W57" s="44">
        <v>794</v>
      </c>
      <c r="X57" s="44">
        <v>794</v>
      </c>
      <c r="Y57" s="44">
        <v>633</v>
      </c>
      <c r="Z57" s="44">
        <v>634</v>
      </c>
      <c r="AA57" s="44">
        <v>1039</v>
      </c>
      <c r="AB57" s="44">
        <v>661</v>
      </c>
      <c r="AC57" s="44">
        <v>791</v>
      </c>
    </row>
    <row r="58" spans="3:29" x14ac:dyDescent="0.3">
      <c r="C58" s="131" t="s">
        <v>131</v>
      </c>
      <c r="D58" s="120"/>
      <c r="E58" s="132">
        <v>18</v>
      </c>
      <c r="F58" s="120"/>
      <c r="G58" s="132">
        <v>20.46</v>
      </c>
      <c r="H58" s="120"/>
      <c r="I58" s="133">
        <v>1014</v>
      </c>
      <c r="J58" s="116"/>
      <c r="K58" s="116"/>
      <c r="L58" s="133">
        <v>949</v>
      </c>
      <c r="M58" s="116"/>
      <c r="N58" s="133">
        <v>1056</v>
      </c>
      <c r="O58" s="116"/>
      <c r="P58" s="133">
        <v>1057</v>
      </c>
      <c r="Q58" s="116"/>
      <c r="R58" s="116"/>
      <c r="S58" s="133">
        <v>927</v>
      </c>
      <c r="T58" s="116"/>
      <c r="U58" s="116"/>
      <c r="V58" s="43">
        <v>1055</v>
      </c>
      <c r="W58" s="43">
        <v>695</v>
      </c>
      <c r="X58" s="43">
        <v>794</v>
      </c>
      <c r="Y58" s="43">
        <v>571</v>
      </c>
      <c r="Z58" s="43">
        <v>634</v>
      </c>
      <c r="AA58" s="43">
        <v>964</v>
      </c>
      <c r="AB58" s="43">
        <v>600</v>
      </c>
      <c r="AC58" s="43">
        <v>600</v>
      </c>
    </row>
    <row r="59" spans="3:29" x14ac:dyDescent="0.3">
      <c r="C59" s="134" t="s">
        <v>132</v>
      </c>
      <c r="D59" s="120"/>
      <c r="E59" s="135">
        <v>22.8</v>
      </c>
      <c r="F59" s="120"/>
      <c r="G59" s="135">
        <v>25.11</v>
      </c>
      <c r="H59" s="120"/>
      <c r="I59" s="130">
        <v>1666</v>
      </c>
      <c r="J59" s="116"/>
      <c r="K59" s="116"/>
      <c r="L59" s="130">
        <v>1181</v>
      </c>
      <c r="M59" s="116"/>
      <c r="N59" s="130">
        <v>1249</v>
      </c>
      <c r="O59" s="116"/>
      <c r="P59" s="130">
        <v>1104</v>
      </c>
      <c r="Q59" s="116"/>
      <c r="R59" s="116"/>
      <c r="S59" s="130">
        <v>1097</v>
      </c>
      <c r="T59" s="116"/>
      <c r="U59" s="116"/>
      <c r="V59" s="44">
        <v>1098</v>
      </c>
      <c r="W59" s="44">
        <v>822</v>
      </c>
      <c r="X59" s="44">
        <v>807</v>
      </c>
      <c r="Y59" s="44">
        <v>653</v>
      </c>
      <c r="Z59" s="44">
        <v>655</v>
      </c>
      <c r="AA59" s="44">
        <v>1076</v>
      </c>
      <c r="AB59" s="44">
        <v>715</v>
      </c>
      <c r="AC59" s="44">
        <v>798</v>
      </c>
    </row>
    <row r="60" spans="3:29" x14ac:dyDescent="0.3">
      <c r="C60" s="131" t="s">
        <v>133</v>
      </c>
      <c r="D60" s="120"/>
      <c r="E60" s="131"/>
      <c r="F60" s="120"/>
      <c r="G60" s="131"/>
      <c r="H60" s="120"/>
      <c r="I60" s="133">
        <v>648</v>
      </c>
      <c r="J60" s="116"/>
      <c r="K60" s="116"/>
      <c r="L60" s="133">
        <v>981</v>
      </c>
      <c r="M60" s="116"/>
      <c r="N60" s="133">
        <v>1092</v>
      </c>
      <c r="O60" s="116"/>
      <c r="P60" s="133">
        <v>1104</v>
      </c>
      <c r="Q60" s="116"/>
      <c r="R60" s="116"/>
      <c r="S60" s="133">
        <v>959</v>
      </c>
      <c r="T60" s="116"/>
      <c r="U60" s="116"/>
      <c r="V60" s="43">
        <v>1098</v>
      </c>
      <c r="W60" s="43">
        <v>719</v>
      </c>
      <c r="X60" s="43">
        <v>743</v>
      </c>
      <c r="Y60" s="43">
        <v>592</v>
      </c>
      <c r="Z60" s="43">
        <v>655</v>
      </c>
      <c r="AA60" s="25"/>
      <c r="AB60" s="25"/>
      <c r="AC60" s="25"/>
    </row>
    <row r="61" spans="3:29" x14ac:dyDescent="0.3">
      <c r="C61" s="134" t="s">
        <v>134</v>
      </c>
      <c r="D61" s="120"/>
      <c r="E61" s="134"/>
      <c r="F61" s="120"/>
      <c r="G61" s="134"/>
      <c r="H61" s="120"/>
      <c r="I61" s="130">
        <v>29354</v>
      </c>
      <c r="J61" s="116"/>
      <c r="K61" s="116"/>
      <c r="L61" s="130">
        <v>29354</v>
      </c>
      <c r="M61" s="116"/>
      <c r="N61" s="136"/>
      <c r="O61" s="116"/>
      <c r="P61" s="136"/>
      <c r="Q61" s="116"/>
      <c r="R61" s="116"/>
      <c r="S61" s="136"/>
      <c r="T61" s="116"/>
      <c r="U61" s="116"/>
      <c r="V61" s="30"/>
      <c r="W61" s="30"/>
      <c r="X61" s="30"/>
      <c r="Y61" s="30"/>
      <c r="Z61" s="30"/>
      <c r="AA61" s="30"/>
      <c r="AB61" s="30"/>
      <c r="AC61" s="30"/>
    </row>
    <row r="62" spans="3:29" x14ac:dyDescent="0.3">
      <c r="C62" s="131" t="s">
        <v>135</v>
      </c>
      <c r="D62" s="120"/>
      <c r="E62" s="132">
        <v>20.22</v>
      </c>
      <c r="F62" s="120"/>
      <c r="G62" s="132">
        <v>7.85</v>
      </c>
      <c r="H62" s="120"/>
      <c r="I62" s="133">
        <v>751</v>
      </c>
      <c r="J62" s="116"/>
      <c r="K62" s="116"/>
      <c r="L62" s="133">
        <v>703</v>
      </c>
      <c r="M62" s="116"/>
      <c r="N62" s="133">
        <v>782</v>
      </c>
      <c r="O62" s="116"/>
      <c r="P62" s="133">
        <v>845</v>
      </c>
      <c r="Q62" s="116"/>
      <c r="R62" s="116"/>
      <c r="S62" s="133">
        <v>687</v>
      </c>
      <c r="T62" s="116"/>
      <c r="U62" s="116"/>
      <c r="V62" s="43">
        <v>822</v>
      </c>
      <c r="W62" s="43">
        <v>515</v>
      </c>
      <c r="X62" s="43">
        <v>618</v>
      </c>
      <c r="Y62" s="43">
        <v>417</v>
      </c>
      <c r="Z62" s="43">
        <v>464</v>
      </c>
      <c r="AA62" s="43">
        <v>704</v>
      </c>
      <c r="AB62" s="43">
        <v>438</v>
      </c>
      <c r="AC62" s="43">
        <v>438</v>
      </c>
    </row>
    <row r="63" spans="3:29" x14ac:dyDescent="0.3">
      <c r="C63" s="134" t="s">
        <v>136</v>
      </c>
      <c r="D63" s="120"/>
      <c r="E63" s="135">
        <v>19.440000000000001</v>
      </c>
      <c r="F63" s="120"/>
      <c r="G63" s="135">
        <v>15.28</v>
      </c>
      <c r="H63" s="120"/>
      <c r="I63" s="130">
        <v>830</v>
      </c>
      <c r="J63" s="116"/>
      <c r="K63" s="116"/>
      <c r="L63" s="130">
        <v>777</v>
      </c>
      <c r="M63" s="116"/>
      <c r="N63" s="130">
        <v>863</v>
      </c>
      <c r="O63" s="116"/>
      <c r="P63" s="130">
        <v>873</v>
      </c>
      <c r="Q63" s="116"/>
      <c r="R63" s="116"/>
      <c r="S63" s="130">
        <v>758</v>
      </c>
      <c r="T63" s="116"/>
      <c r="U63" s="116"/>
      <c r="V63" s="44">
        <v>869</v>
      </c>
      <c r="W63" s="44">
        <v>568</v>
      </c>
      <c r="X63" s="44">
        <v>654</v>
      </c>
      <c r="Y63" s="44">
        <v>463</v>
      </c>
      <c r="Z63" s="44">
        <v>514</v>
      </c>
      <c r="AA63" s="44">
        <v>781</v>
      </c>
      <c r="AB63" s="44">
        <v>486</v>
      </c>
      <c r="AC63" s="44">
        <v>486</v>
      </c>
    </row>
    <row r="64" spans="3:29" x14ac:dyDescent="0.3">
      <c r="C64" s="131" t="s">
        <v>137</v>
      </c>
      <c r="D64" s="120"/>
      <c r="E64" s="131"/>
      <c r="F64" s="120"/>
      <c r="G64" s="131"/>
      <c r="H64" s="120"/>
      <c r="I64" s="133">
        <v>6250</v>
      </c>
      <c r="J64" s="116"/>
      <c r="K64" s="116"/>
      <c r="L64" s="133">
        <v>6250</v>
      </c>
      <c r="M64" s="116"/>
      <c r="N64" s="133">
        <v>6250</v>
      </c>
      <c r="O64" s="116"/>
      <c r="P64" s="133">
        <v>6250</v>
      </c>
      <c r="Q64" s="116"/>
      <c r="R64" s="116"/>
      <c r="S64" s="133">
        <v>6250</v>
      </c>
      <c r="T64" s="116"/>
      <c r="U64" s="116"/>
      <c r="V64" s="43">
        <v>6250</v>
      </c>
      <c r="W64" s="43">
        <v>6250</v>
      </c>
      <c r="X64" s="43">
        <v>6250</v>
      </c>
      <c r="Y64" s="43">
        <v>6250</v>
      </c>
      <c r="Z64" s="43">
        <v>6250</v>
      </c>
      <c r="AA64" s="43">
        <v>6250</v>
      </c>
      <c r="AB64" s="43">
        <v>6250</v>
      </c>
      <c r="AC64" s="43">
        <v>6250</v>
      </c>
    </row>
    <row r="65" spans="3:29" x14ac:dyDescent="0.3">
      <c r="C65" s="134" t="s">
        <v>138</v>
      </c>
      <c r="D65" s="120"/>
      <c r="E65" s="134"/>
      <c r="F65" s="120"/>
      <c r="G65" s="134"/>
      <c r="H65" s="120"/>
      <c r="I65" s="136"/>
      <c r="J65" s="116"/>
      <c r="K65" s="116"/>
      <c r="L65" s="136"/>
      <c r="M65" s="116"/>
      <c r="N65" s="136"/>
      <c r="O65" s="116"/>
      <c r="P65" s="136"/>
      <c r="Q65" s="116"/>
      <c r="R65" s="116"/>
      <c r="S65" s="136"/>
      <c r="T65" s="116"/>
      <c r="U65" s="116"/>
      <c r="V65" s="44">
        <v>97201.55</v>
      </c>
      <c r="W65" s="44">
        <v>97201.55</v>
      </c>
      <c r="X65" s="44">
        <v>97201.55</v>
      </c>
      <c r="Y65" s="30"/>
      <c r="Z65" s="30"/>
      <c r="AA65" s="30"/>
      <c r="AB65" s="30"/>
      <c r="AC65" s="30"/>
    </row>
    <row r="66" spans="3:29" x14ac:dyDescent="0.3">
      <c r="C66" s="131" t="s">
        <v>139</v>
      </c>
      <c r="D66" s="120"/>
      <c r="E66" s="131"/>
      <c r="F66" s="120"/>
      <c r="G66" s="131"/>
      <c r="H66" s="120"/>
      <c r="I66" s="133">
        <v>2988</v>
      </c>
      <c r="J66" s="116"/>
      <c r="K66" s="116"/>
      <c r="L66" s="133">
        <v>2988</v>
      </c>
      <c r="M66" s="116"/>
      <c r="N66" s="133">
        <v>2988</v>
      </c>
      <c r="O66" s="116"/>
      <c r="P66" s="133">
        <v>2988</v>
      </c>
      <c r="Q66" s="116"/>
      <c r="R66" s="116"/>
      <c r="S66" s="133">
        <v>2988</v>
      </c>
      <c r="T66" s="116"/>
      <c r="U66" s="116"/>
      <c r="V66" s="43">
        <v>2988</v>
      </c>
      <c r="W66" s="43">
        <v>2988</v>
      </c>
      <c r="X66" s="43">
        <v>2988</v>
      </c>
      <c r="Y66" s="43">
        <v>2988</v>
      </c>
      <c r="Z66" s="43">
        <v>2988</v>
      </c>
      <c r="AA66" s="43">
        <v>2988</v>
      </c>
      <c r="AB66" s="43">
        <v>2988</v>
      </c>
      <c r="AC66" s="43">
        <v>2988</v>
      </c>
    </row>
    <row r="67" spans="3:29" x14ac:dyDescent="0.3">
      <c r="C67" s="134" t="s">
        <v>140</v>
      </c>
      <c r="D67" s="120"/>
      <c r="E67" s="135">
        <v>33.36</v>
      </c>
      <c r="F67" s="120"/>
      <c r="G67" s="135">
        <v>30.88</v>
      </c>
      <c r="H67" s="120"/>
      <c r="I67" s="130">
        <v>233</v>
      </c>
      <c r="J67" s="116"/>
      <c r="K67" s="116"/>
      <c r="L67" s="130">
        <v>255</v>
      </c>
      <c r="M67" s="116"/>
      <c r="N67" s="130">
        <v>214</v>
      </c>
      <c r="O67" s="116"/>
      <c r="P67" s="130">
        <v>229</v>
      </c>
      <c r="Q67" s="116"/>
      <c r="R67" s="116"/>
      <c r="S67" s="130">
        <v>235</v>
      </c>
      <c r="T67" s="116"/>
      <c r="U67" s="116"/>
      <c r="V67" s="44">
        <v>231</v>
      </c>
      <c r="W67" s="44">
        <v>177</v>
      </c>
      <c r="X67" s="44">
        <v>174</v>
      </c>
      <c r="Y67" s="44">
        <v>132</v>
      </c>
      <c r="Z67" s="44">
        <v>132</v>
      </c>
      <c r="AA67" s="44">
        <v>241</v>
      </c>
      <c r="AB67" s="44">
        <v>139</v>
      </c>
      <c r="AC67" s="44">
        <v>139</v>
      </c>
    </row>
    <row r="68" spans="3:29" x14ac:dyDescent="0.3">
      <c r="C68" s="131" t="s">
        <v>141</v>
      </c>
      <c r="D68" s="120"/>
      <c r="E68" s="132">
        <v>29.76</v>
      </c>
      <c r="F68" s="120"/>
      <c r="G68" s="132">
        <v>25.12</v>
      </c>
      <c r="H68" s="120"/>
      <c r="I68" s="133">
        <v>195</v>
      </c>
      <c r="J68" s="116"/>
      <c r="K68" s="116"/>
      <c r="L68" s="133">
        <v>213</v>
      </c>
      <c r="M68" s="116"/>
      <c r="N68" s="133">
        <v>188</v>
      </c>
      <c r="O68" s="116"/>
      <c r="P68" s="133">
        <v>201</v>
      </c>
      <c r="Q68" s="116"/>
      <c r="R68" s="116"/>
      <c r="S68" s="133">
        <v>207</v>
      </c>
      <c r="T68" s="116"/>
      <c r="U68" s="116"/>
      <c r="V68" s="43">
        <v>203</v>
      </c>
      <c r="W68" s="43">
        <v>156</v>
      </c>
      <c r="X68" s="43">
        <v>153</v>
      </c>
      <c r="Y68" s="43">
        <v>118</v>
      </c>
      <c r="Z68" s="43">
        <v>118</v>
      </c>
      <c r="AA68" s="43">
        <v>177</v>
      </c>
      <c r="AB68" s="43">
        <v>124</v>
      </c>
      <c r="AC68" s="43">
        <v>124</v>
      </c>
    </row>
    <row r="69" spans="3:29" x14ac:dyDescent="0.3">
      <c r="C69" s="134" t="s">
        <v>142</v>
      </c>
      <c r="D69" s="120"/>
      <c r="E69" s="135">
        <v>32.51</v>
      </c>
      <c r="F69" s="120"/>
      <c r="G69" s="135">
        <v>37.64</v>
      </c>
      <c r="H69" s="120"/>
      <c r="I69" s="130">
        <v>250</v>
      </c>
      <c r="J69" s="116"/>
      <c r="K69" s="116"/>
      <c r="L69" s="130">
        <v>274</v>
      </c>
      <c r="M69" s="116"/>
      <c r="N69" s="130">
        <v>229</v>
      </c>
      <c r="O69" s="116"/>
      <c r="P69" s="130">
        <v>244</v>
      </c>
      <c r="Q69" s="116"/>
      <c r="R69" s="116"/>
      <c r="S69" s="130">
        <v>252</v>
      </c>
      <c r="T69" s="116"/>
      <c r="U69" s="116"/>
      <c r="V69" s="44">
        <v>247</v>
      </c>
      <c r="W69" s="44">
        <v>189</v>
      </c>
      <c r="X69" s="44">
        <v>186</v>
      </c>
      <c r="Y69" s="44">
        <v>142</v>
      </c>
      <c r="Z69" s="44">
        <v>142</v>
      </c>
      <c r="AA69" s="44">
        <v>260</v>
      </c>
      <c r="AB69" s="44">
        <v>149</v>
      </c>
      <c r="AC69" s="44">
        <v>149</v>
      </c>
    </row>
    <row r="70" spans="3:29" x14ac:dyDescent="0.3">
      <c r="C70" s="131" t="s">
        <v>143</v>
      </c>
      <c r="D70" s="120"/>
      <c r="E70" s="132">
        <v>29.92</v>
      </c>
      <c r="F70" s="120"/>
      <c r="G70" s="132">
        <v>29.68</v>
      </c>
      <c r="H70" s="120"/>
      <c r="I70" s="133">
        <v>310</v>
      </c>
      <c r="J70" s="116"/>
      <c r="K70" s="116"/>
      <c r="L70" s="133">
        <v>340</v>
      </c>
      <c r="M70" s="116"/>
      <c r="N70" s="133">
        <v>286</v>
      </c>
      <c r="O70" s="116"/>
      <c r="P70" s="133">
        <v>306</v>
      </c>
      <c r="Q70" s="116"/>
      <c r="R70" s="116"/>
      <c r="S70" s="133">
        <v>315</v>
      </c>
      <c r="T70" s="116"/>
      <c r="U70" s="116"/>
      <c r="V70" s="43">
        <v>308</v>
      </c>
      <c r="W70" s="43">
        <v>236</v>
      </c>
      <c r="X70" s="43">
        <v>232</v>
      </c>
      <c r="Y70" s="43">
        <v>178</v>
      </c>
      <c r="Z70" s="43">
        <v>178</v>
      </c>
      <c r="AA70" s="43">
        <v>315</v>
      </c>
      <c r="AB70" s="43">
        <v>187</v>
      </c>
      <c r="AC70" s="43">
        <v>187</v>
      </c>
    </row>
    <row r="71" spans="3:29" x14ac:dyDescent="0.3">
      <c r="C71" s="134" t="s">
        <v>144</v>
      </c>
      <c r="D71" s="120"/>
      <c r="E71" s="135">
        <v>26.88</v>
      </c>
      <c r="F71" s="120"/>
      <c r="G71" s="135">
        <v>25.71</v>
      </c>
      <c r="H71" s="120"/>
      <c r="I71" s="130">
        <v>259</v>
      </c>
      <c r="J71" s="116"/>
      <c r="K71" s="116"/>
      <c r="L71" s="130">
        <v>284</v>
      </c>
      <c r="M71" s="116"/>
      <c r="N71" s="130">
        <v>250</v>
      </c>
      <c r="O71" s="116"/>
      <c r="P71" s="130">
        <v>267</v>
      </c>
      <c r="Q71" s="116"/>
      <c r="R71" s="116"/>
      <c r="S71" s="130">
        <v>275</v>
      </c>
      <c r="T71" s="116"/>
      <c r="U71" s="116"/>
      <c r="V71" s="44">
        <v>270</v>
      </c>
      <c r="W71" s="44">
        <v>207</v>
      </c>
      <c r="X71" s="44">
        <v>203</v>
      </c>
      <c r="Y71" s="44">
        <v>160</v>
      </c>
      <c r="Z71" s="44">
        <v>128</v>
      </c>
      <c r="AA71" s="44">
        <v>292</v>
      </c>
      <c r="AB71" s="44">
        <v>168</v>
      </c>
      <c r="AC71" s="44">
        <v>168</v>
      </c>
    </row>
    <row r="72" spans="3:29" x14ac:dyDescent="0.3">
      <c r="C72" s="131" t="s">
        <v>145</v>
      </c>
      <c r="D72" s="120"/>
      <c r="E72" s="131"/>
      <c r="F72" s="120"/>
      <c r="G72" s="131"/>
      <c r="H72" s="120"/>
      <c r="I72" s="133">
        <v>198</v>
      </c>
      <c r="J72" s="116"/>
      <c r="K72" s="116"/>
      <c r="L72" s="133">
        <v>198</v>
      </c>
      <c r="M72" s="116"/>
      <c r="N72" s="133">
        <v>198</v>
      </c>
      <c r="O72" s="116"/>
      <c r="P72" s="133">
        <v>198</v>
      </c>
      <c r="Q72" s="116"/>
      <c r="R72" s="116"/>
      <c r="S72" s="133">
        <v>198</v>
      </c>
      <c r="T72" s="116"/>
      <c r="U72" s="116"/>
      <c r="V72" s="43">
        <v>198</v>
      </c>
      <c r="W72" s="43">
        <v>198</v>
      </c>
      <c r="X72" s="43">
        <v>198</v>
      </c>
      <c r="Y72" s="43">
        <v>198</v>
      </c>
      <c r="Z72" s="43">
        <v>198</v>
      </c>
      <c r="AA72" s="43">
        <v>198</v>
      </c>
      <c r="AB72" s="43">
        <v>198</v>
      </c>
      <c r="AC72" s="43">
        <v>198</v>
      </c>
    </row>
    <row r="73" spans="3:29" x14ac:dyDescent="0.3">
      <c r="C73" s="134" t="s">
        <v>146</v>
      </c>
      <c r="D73" s="120"/>
      <c r="E73" s="135">
        <v>42.6</v>
      </c>
      <c r="F73" s="120"/>
      <c r="G73" s="135">
        <v>49.93</v>
      </c>
      <c r="H73" s="120"/>
      <c r="I73" s="130">
        <v>111</v>
      </c>
      <c r="J73" s="116"/>
      <c r="K73" s="116"/>
      <c r="L73" s="130">
        <v>122</v>
      </c>
      <c r="M73" s="116"/>
      <c r="N73" s="130">
        <v>101</v>
      </c>
      <c r="O73" s="116"/>
      <c r="P73" s="130">
        <v>119</v>
      </c>
      <c r="Q73" s="116"/>
      <c r="R73" s="116"/>
      <c r="S73" s="130">
        <v>123</v>
      </c>
      <c r="T73" s="116"/>
      <c r="U73" s="116"/>
      <c r="V73" s="44">
        <v>120</v>
      </c>
      <c r="W73" s="44">
        <v>90</v>
      </c>
      <c r="X73" s="44">
        <v>90</v>
      </c>
      <c r="Y73" s="44">
        <v>67</v>
      </c>
      <c r="Z73" s="44">
        <v>67</v>
      </c>
      <c r="AA73" s="44">
        <v>123</v>
      </c>
      <c r="AB73" s="44">
        <v>71</v>
      </c>
      <c r="AC73" s="44">
        <v>71</v>
      </c>
    </row>
    <row r="74" spans="3:29" x14ac:dyDescent="0.3">
      <c r="C74" s="131" t="s">
        <v>147</v>
      </c>
      <c r="D74" s="120"/>
      <c r="E74" s="131"/>
      <c r="F74" s="120"/>
      <c r="G74" s="131"/>
      <c r="H74" s="120"/>
      <c r="I74" s="133">
        <v>38</v>
      </c>
      <c r="J74" s="116"/>
      <c r="K74" s="116"/>
      <c r="L74" s="133">
        <v>38</v>
      </c>
      <c r="M74" s="116"/>
      <c r="N74" s="133">
        <v>38</v>
      </c>
      <c r="O74" s="116"/>
      <c r="P74" s="133">
        <v>38</v>
      </c>
      <c r="Q74" s="116"/>
      <c r="R74" s="116"/>
      <c r="S74" s="133">
        <v>38</v>
      </c>
      <c r="T74" s="116"/>
      <c r="U74" s="116"/>
      <c r="V74" s="43">
        <v>38</v>
      </c>
      <c r="W74" s="43">
        <v>38</v>
      </c>
      <c r="X74" s="43">
        <v>38</v>
      </c>
      <c r="Y74" s="43">
        <v>38</v>
      </c>
      <c r="Z74" s="43">
        <v>38</v>
      </c>
      <c r="AA74" s="43">
        <v>38</v>
      </c>
      <c r="AB74" s="43">
        <v>38</v>
      </c>
      <c r="AC74" s="43">
        <v>38</v>
      </c>
    </row>
    <row r="75" spans="3:29" x14ac:dyDescent="0.3">
      <c r="C75" s="134" t="s">
        <v>148</v>
      </c>
      <c r="D75" s="120"/>
      <c r="E75" s="135">
        <v>34.200000000000003</v>
      </c>
      <c r="F75" s="120"/>
      <c r="G75" s="135">
        <v>42.13</v>
      </c>
      <c r="H75" s="120"/>
      <c r="I75" s="130">
        <v>102</v>
      </c>
      <c r="J75" s="116"/>
      <c r="K75" s="116"/>
      <c r="L75" s="130">
        <v>111</v>
      </c>
      <c r="M75" s="116"/>
      <c r="N75" s="130">
        <v>98</v>
      </c>
      <c r="O75" s="116"/>
      <c r="P75" s="130">
        <v>106</v>
      </c>
      <c r="Q75" s="116"/>
      <c r="R75" s="116"/>
      <c r="S75" s="130">
        <v>109</v>
      </c>
      <c r="T75" s="116"/>
      <c r="U75" s="116"/>
      <c r="V75" s="44">
        <v>106</v>
      </c>
      <c r="W75" s="44">
        <v>81</v>
      </c>
      <c r="X75" s="44">
        <v>80</v>
      </c>
      <c r="Y75" s="44">
        <v>54</v>
      </c>
      <c r="Z75" s="44">
        <v>54</v>
      </c>
      <c r="AA75" s="44">
        <v>91</v>
      </c>
      <c r="AB75" s="44">
        <v>57</v>
      </c>
      <c r="AC75" s="44">
        <v>57</v>
      </c>
    </row>
    <row r="76" spans="3:29" x14ac:dyDescent="0.3">
      <c r="C76" s="131" t="s">
        <v>149</v>
      </c>
      <c r="D76" s="120"/>
      <c r="E76" s="132">
        <v>39.840000000000003</v>
      </c>
      <c r="F76" s="120"/>
      <c r="G76" s="132">
        <v>45.66</v>
      </c>
      <c r="H76" s="120"/>
      <c r="I76" s="133">
        <v>143</v>
      </c>
      <c r="J76" s="116"/>
      <c r="K76" s="116"/>
      <c r="L76" s="133">
        <v>157</v>
      </c>
      <c r="M76" s="116"/>
      <c r="N76" s="133">
        <v>117</v>
      </c>
      <c r="O76" s="116"/>
      <c r="P76" s="133">
        <v>125</v>
      </c>
      <c r="Q76" s="116"/>
      <c r="R76" s="116"/>
      <c r="S76" s="133">
        <v>129</v>
      </c>
      <c r="T76" s="116"/>
      <c r="U76" s="116"/>
      <c r="V76" s="43">
        <v>127</v>
      </c>
      <c r="W76" s="43">
        <v>98</v>
      </c>
      <c r="X76" s="43">
        <v>96</v>
      </c>
      <c r="Y76" s="43">
        <v>79</v>
      </c>
      <c r="Z76" s="43">
        <v>79</v>
      </c>
      <c r="AA76" s="43">
        <v>145</v>
      </c>
      <c r="AB76" s="43">
        <v>83</v>
      </c>
      <c r="AC76" s="43">
        <v>83</v>
      </c>
    </row>
    <row r="77" spans="3:29" x14ac:dyDescent="0.3">
      <c r="C77" s="134" t="s">
        <v>150</v>
      </c>
      <c r="D77" s="120"/>
      <c r="E77" s="135">
        <v>36</v>
      </c>
      <c r="F77" s="120"/>
      <c r="G77" s="135">
        <v>42.67</v>
      </c>
      <c r="H77" s="120"/>
      <c r="I77" s="130">
        <v>107</v>
      </c>
      <c r="J77" s="116"/>
      <c r="K77" s="116"/>
      <c r="L77" s="130">
        <v>118</v>
      </c>
      <c r="M77" s="116"/>
      <c r="N77" s="130">
        <v>102</v>
      </c>
      <c r="O77" s="116"/>
      <c r="P77" s="130">
        <v>121</v>
      </c>
      <c r="Q77" s="116"/>
      <c r="R77" s="116"/>
      <c r="S77" s="130">
        <v>97</v>
      </c>
      <c r="T77" s="116"/>
      <c r="U77" s="116"/>
      <c r="V77" s="44">
        <v>97</v>
      </c>
      <c r="W77" s="44">
        <v>93</v>
      </c>
      <c r="X77" s="44">
        <v>92</v>
      </c>
      <c r="Y77" s="44">
        <v>71</v>
      </c>
      <c r="Z77" s="44">
        <v>71</v>
      </c>
      <c r="AA77" s="44">
        <v>107</v>
      </c>
      <c r="AB77" s="44">
        <v>75</v>
      </c>
      <c r="AC77" s="44">
        <v>75</v>
      </c>
    </row>
    <row r="78" spans="3:29" x14ac:dyDescent="0.3">
      <c r="C78" s="131" t="s">
        <v>151</v>
      </c>
      <c r="D78" s="120"/>
      <c r="E78" s="131"/>
      <c r="F78" s="120"/>
      <c r="G78" s="131"/>
      <c r="H78" s="120"/>
      <c r="I78" s="133">
        <v>103</v>
      </c>
      <c r="J78" s="116"/>
      <c r="K78" s="116"/>
      <c r="L78" s="133">
        <v>103</v>
      </c>
      <c r="M78" s="116"/>
      <c r="N78" s="133">
        <v>103</v>
      </c>
      <c r="O78" s="116"/>
      <c r="P78" s="133">
        <v>103</v>
      </c>
      <c r="Q78" s="116"/>
      <c r="R78" s="116"/>
      <c r="S78" s="133">
        <v>103</v>
      </c>
      <c r="T78" s="116"/>
      <c r="U78" s="116"/>
      <c r="V78" s="43">
        <v>103</v>
      </c>
      <c r="W78" s="43">
        <v>103</v>
      </c>
      <c r="X78" s="43">
        <v>103</v>
      </c>
      <c r="Y78" s="43">
        <v>103</v>
      </c>
      <c r="Z78" s="43">
        <v>103</v>
      </c>
      <c r="AA78" s="43">
        <v>103</v>
      </c>
      <c r="AB78" s="43">
        <v>103</v>
      </c>
      <c r="AC78" s="43">
        <v>103</v>
      </c>
    </row>
    <row r="79" spans="3:29" x14ac:dyDescent="0.3">
      <c r="C79" s="134" t="s">
        <v>152</v>
      </c>
      <c r="D79" s="120"/>
      <c r="E79" s="135">
        <v>34</v>
      </c>
      <c r="F79" s="120"/>
      <c r="G79" s="135">
        <v>43</v>
      </c>
      <c r="H79" s="120"/>
      <c r="I79" s="130">
        <v>137</v>
      </c>
      <c r="J79" s="116"/>
      <c r="K79" s="116"/>
      <c r="L79" s="130">
        <v>135</v>
      </c>
      <c r="M79" s="116"/>
      <c r="N79" s="130">
        <v>117</v>
      </c>
      <c r="O79" s="116"/>
      <c r="P79" s="130">
        <v>125</v>
      </c>
      <c r="Q79" s="116"/>
      <c r="R79" s="116"/>
      <c r="S79" s="130">
        <v>129</v>
      </c>
      <c r="T79" s="116"/>
      <c r="U79" s="116"/>
      <c r="V79" s="44">
        <v>127</v>
      </c>
      <c r="W79" s="44">
        <v>98</v>
      </c>
      <c r="X79" s="44">
        <v>96</v>
      </c>
      <c r="Y79" s="44">
        <v>81</v>
      </c>
      <c r="Z79" s="44">
        <v>81</v>
      </c>
      <c r="AA79" s="44">
        <v>122</v>
      </c>
      <c r="AB79" s="44">
        <v>85</v>
      </c>
      <c r="AC79" s="44">
        <v>85</v>
      </c>
    </row>
    <row r="80" spans="3:29" x14ac:dyDescent="0.3">
      <c r="C80" s="131" t="s">
        <v>153</v>
      </c>
      <c r="D80" s="120"/>
      <c r="E80" s="132">
        <v>38</v>
      </c>
      <c r="F80" s="120"/>
      <c r="G80" s="132">
        <v>55.6</v>
      </c>
      <c r="H80" s="120"/>
      <c r="I80" s="133">
        <v>165</v>
      </c>
      <c r="J80" s="116"/>
      <c r="K80" s="116"/>
      <c r="L80" s="133">
        <v>180</v>
      </c>
      <c r="M80" s="116"/>
      <c r="N80" s="133">
        <v>150</v>
      </c>
      <c r="O80" s="116"/>
      <c r="P80" s="133">
        <v>161</v>
      </c>
      <c r="Q80" s="116"/>
      <c r="R80" s="116"/>
      <c r="S80" s="133">
        <v>165</v>
      </c>
      <c r="T80" s="116"/>
      <c r="U80" s="116"/>
      <c r="V80" s="43">
        <v>146</v>
      </c>
      <c r="W80" s="43">
        <v>112</v>
      </c>
      <c r="X80" s="43">
        <v>110</v>
      </c>
      <c r="Y80" s="43">
        <v>90</v>
      </c>
      <c r="Z80" s="43">
        <v>90</v>
      </c>
      <c r="AA80" s="43">
        <v>165</v>
      </c>
      <c r="AB80" s="43">
        <v>95</v>
      </c>
      <c r="AC80" s="43">
        <v>95</v>
      </c>
    </row>
    <row r="81" spans="3:29" x14ac:dyDescent="0.3">
      <c r="C81" s="134" t="s">
        <v>154</v>
      </c>
      <c r="D81" s="120"/>
      <c r="E81" s="134"/>
      <c r="F81" s="120"/>
      <c r="G81" s="134"/>
      <c r="H81" s="120"/>
      <c r="I81" s="130">
        <v>99</v>
      </c>
      <c r="J81" s="116"/>
      <c r="K81" s="116"/>
      <c r="L81" s="130">
        <v>99</v>
      </c>
      <c r="M81" s="116"/>
      <c r="N81" s="130">
        <v>99</v>
      </c>
      <c r="O81" s="116"/>
      <c r="P81" s="130">
        <v>99</v>
      </c>
      <c r="Q81" s="116"/>
      <c r="R81" s="116"/>
      <c r="S81" s="130">
        <v>99</v>
      </c>
      <c r="T81" s="116"/>
      <c r="U81" s="116"/>
      <c r="V81" s="44">
        <v>99</v>
      </c>
      <c r="W81" s="44">
        <v>99</v>
      </c>
      <c r="X81" s="44">
        <v>99</v>
      </c>
      <c r="Y81" s="44">
        <v>99</v>
      </c>
      <c r="Z81" s="44">
        <v>99</v>
      </c>
      <c r="AA81" s="44">
        <v>99</v>
      </c>
      <c r="AB81" s="44">
        <v>99</v>
      </c>
      <c r="AC81" s="44">
        <v>99</v>
      </c>
    </row>
    <row r="82" spans="3:29" x14ac:dyDescent="0.3">
      <c r="C82" s="131" t="s">
        <v>155</v>
      </c>
      <c r="D82" s="120"/>
      <c r="E82" s="131"/>
      <c r="F82" s="120"/>
      <c r="G82" s="131"/>
      <c r="H82" s="120"/>
      <c r="I82" s="133">
        <v>6250</v>
      </c>
      <c r="J82" s="116"/>
      <c r="K82" s="116"/>
      <c r="L82" s="133">
        <v>6250</v>
      </c>
      <c r="M82" s="116"/>
      <c r="N82" s="133">
        <v>6250</v>
      </c>
      <c r="O82" s="116"/>
      <c r="P82" s="133">
        <v>6250</v>
      </c>
      <c r="Q82" s="116"/>
      <c r="R82" s="116"/>
      <c r="S82" s="133">
        <v>6250</v>
      </c>
      <c r="T82" s="116"/>
      <c r="U82" s="116"/>
      <c r="V82" s="43">
        <v>6250</v>
      </c>
      <c r="W82" s="43">
        <v>6250</v>
      </c>
      <c r="X82" s="43">
        <v>6250</v>
      </c>
      <c r="Y82" s="43">
        <v>6250</v>
      </c>
      <c r="Z82" s="43">
        <v>6250</v>
      </c>
      <c r="AA82" s="43">
        <v>6250</v>
      </c>
      <c r="AB82" s="43">
        <v>6250</v>
      </c>
      <c r="AC82" s="43">
        <v>6250</v>
      </c>
    </row>
    <row r="83" spans="3:29" x14ac:dyDescent="0.3">
      <c r="C83" s="134" t="s">
        <v>156</v>
      </c>
      <c r="D83" s="120"/>
      <c r="E83" s="135">
        <v>9.25</v>
      </c>
      <c r="F83" s="120"/>
      <c r="G83" s="135">
        <v>14.72</v>
      </c>
      <c r="H83" s="120"/>
      <c r="I83" s="130">
        <v>459</v>
      </c>
      <c r="J83" s="116"/>
      <c r="K83" s="116"/>
      <c r="L83" s="130">
        <v>502</v>
      </c>
      <c r="M83" s="116"/>
      <c r="N83" s="130">
        <v>389</v>
      </c>
      <c r="O83" s="116"/>
      <c r="P83" s="130">
        <v>416</v>
      </c>
      <c r="Q83" s="116"/>
      <c r="R83" s="116"/>
      <c r="S83" s="130">
        <v>429</v>
      </c>
      <c r="T83" s="116"/>
      <c r="U83" s="116"/>
      <c r="V83" s="44">
        <v>343</v>
      </c>
      <c r="W83" s="44">
        <v>322</v>
      </c>
      <c r="X83" s="44">
        <v>316</v>
      </c>
      <c r="Y83" s="44">
        <v>301</v>
      </c>
      <c r="Z83" s="44">
        <v>301</v>
      </c>
      <c r="AA83" s="44">
        <v>271</v>
      </c>
      <c r="AB83" s="44">
        <v>154</v>
      </c>
      <c r="AC83" s="44">
        <v>111</v>
      </c>
    </row>
    <row r="84" spans="3:29" x14ac:dyDescent="0.3">
      <c r="C84" s="131" t="s">
        <v>157</v>
      </c>
      <c r="D84" s="120"/>
      <c r="E84" s="132">
        <v>7.26</v>
      </c>
      <c r="F84" s="120"/>
      <c r="G84" s="132">
        <v>4.08</v>
      </c>
      <c r="H84" s="120"/>
      <c r="I84" s="133">
        <v>475</v>
      </c>
      <c r="J84" s="116"/>
      <c r="K84" s="116"/>
      <c r="L84" s="133">
        <v>519</v>
      </c>
      <c r="M84" s="116"/>
      <c r="N84" s="133">
        <v>425</v>
      </c>
      <c r="O84" s="116"/>
      <c r="P84" s="133">
        <v>346</v>
      </c>
      <c r="Q84" s="116"/>
      <c r="R84" s="116"/>
      <c r="S84" s="133">
        <v>346</v>
      </c>
      <c r="T84" s="116"/>
      <c r="U84" s="116"/>
      <c r="V84" s="43">
        <v>437</v>
      </c>
      <c r="W84" s="43">
        <v>334</v>
      </c>
      <c r="X84" s="43">
        <v>328</v>
      </c>
      <c r="Y84" s="43">
        <v>281</v>
      </c>
      <c r="Z84" s="43">
        <v>281</v>
      </c>
      <c r="AA84" s="43">
        <v>302</v>
      </c>
      <c r="AB84" s="43">
        <v>161</v>
      </c>
      <c r="AC84" s="43">
        <v>92</v>
      </c>
    </row>
    <row r="85" spans="3:29" x14ac:dyDescent="0.3">
      <c r="C85" s="134" t="s">
        <v>158</v>
      </c>
      <c r="D85" s="120"/>
      <c r="E85" s="134"/>
      <c r="F85" s="120"/>
      <c r="G85" s="134"/>
      <c r="H85" s="120"/>
      <c r="I85" s="136"/>
      <c r="J85" s="116"/>
      <c r="K85" s="116"/>
      <c r="L85" s="136"/>
      <c r="M85" s="116"/>
      <c r="N85" s="130">
        <v>92572.91</v>
      </c>
      <c r="O85" s="116"/>
      <c r="P85" s="136"/>
      <c r="Q85" s="116"/>
      <c r="R85" s="116"/>
      <c r="S85" s="136"/>
      <c r="T85" s="116"/>
      <c r="U85" s="116"/>
      <c r="V85" s="30"/>
      <c r="W85" s="30"/>
      <c r="X85" s="30"/>
      <c r="Y85" s="30"/>
      <c r="Z85" s="30"/>
      <c r="AA85" s="30"/>
      <c r="AB85" s="30"/>
      <c r="AC85" s="30"/>
    </row>
    <row r="86" spans="3:29" x14ac:dyDescent="0.3">
      <c r="C86" s="131" t="s">
        <v>159</v>
      </c>
      <c r="D86" s="120"/>
      <c r="E86" s="131"/>
      <c r="F86" s="120"/>
      <c r="G86" s="131"/>
      <c r="H86" s="120"/>
      <c r="I86" s="137"/>
      <c r="J86" s="116"/>
      <c r="K86" s="116"/>
      <c r="L86" s="137"/>
      <c r="M86" s="116"/>
      <c r="N86" s="137"/>
      <c r="O86" s="116"/>
      <c r="P86" s="133">
        <v>92572.91</v>
      </c>
      <c r="Q86" s="116"/>
      <c r="R86" s="116"/>
      <c r="S86" s="133">
        <v>92572.91</v>
      </c>
      <c r="T86" s="116"/>
      <c r="U86" s="116"/>
      <c r="V86" s="25"/>
      <c r="W86" s="25"/>
      <c r="X86" s="25"/>
      <c r="Y86" s="25"/>
      <c r="Z86" s="25"/>
      <c r="AA86" s="25"/>
      <c r="AB86" s="25"/>
      <c r="AC86" s="25"/>
    </row>
    <row r="87" spans="3:29" x14ac:dyDescent="0.3">
      <c r="C87" s="134" t="s">
        <v>160</v>
      </c>
      <c r="D87" s="120"/>
      <c r="E87" s="135">
        <v>34.4</v>
      </c>
      <c r="F87" s="120"/>
      <c r="G87" s="135">
        <v>27.07</v>
      </c>
      <c r="H87" s="120"/>
      <c r="I87" s="130">
        <v>418</v>
      </c>
      <c r="J87" s="116"/>
      <c r="K87" s="116"/>
      <c r="L87" s="130">
        <v>402</v>
      </c>
      <c r="M87" s="116"/>
      <c r="N87" s="130">
        <v>402</v>
      </c>
      <c r="O87" s="116"/>
      <c r="P87" s="130">
        <v>388</v>
      </c>
      <c r="Q87" s="116"/>
      <c r="R87" s="116"/>
      <c r="S87" s="130">
        <v>400</v>
      </c>
      <c r="T87" s="116"/>
      <c r="U87" s="116"/>
      <c r="V87" s="44">
        <v>374</v>
      </c>
      <c r="W87" s="44">
        <v>299</v>
      </c>
      <c r="X87" s="44">
        <v>293</v>
      </c>
      <c r="Y87" s="44">
        <v>214</v>
      </c>
      <c r="Z87" s="44">
        <v>214</v>
      </c>
      <c r="AA87" s="44">
        <v>361</v>
      </c>
      <c r="AB87" s="44">
        <v>224</v>
      </c>
      <c r="AC87" s="44">
        <v>258</v>
      </c>
    </row>
    <row r="88" spans="3:29" x14ac:dyDescent="0.3">
      <c r="C88" s="131" t="s">
        <v>161</v>
      </c>
      <c r="D88" s="120"/>
      <c r="E88" s="131"/>
      <c r="F88" s="120"/>
      <c r="G88" s="131"/>
      <c r="H88" s="120"/>
      <c r="I88" s="133">
        <v>231</v>
      </c>
      <c r="J88" s="116"/>
      <c r="K88" s="116"/>
      <c r="L88" s="133">
        <v>231</v>
      </c>
      <c r="M88" s="116"/>
      <c r="N88" s="133">
        <v>231</v>
      </c>
      <c r="O88" s="116"/>
      <c r="P88" s="133">
        <v>231</v>
      </c>
      <c r="Q88" s="116"/>
      <c r="R88" s="116"/>
      <c r="S88" s="133">
        <v>231</v>
      </c>
      <c r="T88" s="116"/>
      <c r="U88" s="116"/>
      <c r="V88" s="43">
        <v>231</v>
      </c>
      <c r="W88" s="43">
        <v>231</v>
      </c>
      <c r="X88" s="43">
        <v>231</v>
      </c>
      <c r="Y88" s="43">
        <v>231</v>
      </c>
      <c r="Z88" s="43">
        <v>231</v>
      </c>
      <c r="AA88" s="43">
        <v>231</v>
      </c>
      <c r="AB88" s="43">
        <v>231</v>
      </c>
      <c r="AC88" s="43">
        <v>231</v>
      </c>
    </row>
    <row r="89" spans="3:29" x14ac:dyDescent="0.3">
      <c r="C89" s="134" t="s">
        <v>162</v>
      </c>
      <c r="D89" s="120"/>
      <c r="E89" s="135">
        <v>24</v>
      </c>
      <c r="F89" s="120"/>
      <c r="G89" s="135">
        <v>32.090000000000003</v>
      </c>
      <c r="H89" s="120"/>
      <c r="I89" s="130">
        <v>410</v>
      </c>
      <c r="J89" s="116"/>
      <c r="K89" s="116"/>
      <c r="L89" s="130">
        <v>424</v>
      </c>
      <c r="M89" s="116"/>
      <c r="N89" s="130">
        <v>375</v>
      </c>
      <c r="O89" s="116"/>
      <c r="P89" s="130">
        <v>401</v>
      </c>
      <c r="Q89" s="116"/>
      <c r="R89" s="116"/>
      <c r="S89" s="130">
        <v>412</v>
      </c>
      <c r="T89" s="116"/>
      <c r="U89" s="116"/>
      <c r="V89" s="44">
        <v>404</v>
      </c>
      <c r="W89" s="44">
        <v>310</v>
      </c>
      <c r="X89" s="44">
        <v>304</v>
      </c>
      <c r="Y89" s="44">
        <v>257</v>
      </c>
      <c r="Z89" s="44">
        <v>257</v>
      </c>
      <c r="AA89" s="44">
        <v>435</v>
      </c>
      <c r="AB89" s="44">
        <v>270</v>
      </c>
      <c r="AC89" s="44">
        <v>270</v>
      </c>
    </row>
    <row r="90" spans="3:29" x14ac:dyDescent="0.3">
      <c r="C90" s="131" t="s">
        <v>163</v>
      </c>
      <c r="D90" s="120"/>
      <c r="E90" s="132">
        <v>8.84</v>
      </c>
      <c r="F90" s="120"/>
      <c r="G90" s="132">
        <v>4.5599999999999996</v>
      </c>
      <c r="H90" s="120"/>
      <c r="I90" s="133">
        <v>515</v>
      </c>
      <c r="J90" s="116"/>
      <c r="K90" s="116"/>
      <c r="L90" s="133">
        <v>563</v>
      </c>
      <c r="M90" s="116"/>
      <c r="N90" s="133">
        <v>415</v>
      </c>
      <c r="O90" s="116"/>
      <c r="P90" s="133">
        <v>415</v>
      </c>
      <c r="Q90" s="116"/>
      <c r="R90" s="116"/>
      <c r="S90" s="133">
        <v>482</v>
      </c>
      <c r="T90" s="116"/>
      <c r="U90" s="116"/>
      <c r="V90" s="43">
        <v>473</v>
      </c>
      <c r="W90" s="43">
        <v>290</v>
      </c>
      <c r="X90" s="43">
        <v>290</v>
      </c>
      <c r="Y90" s="43">
        <v>427</v>
      </c>
      <c r="Z90" s="43">
        <v>427</v>
      </c>
      <c r="AA90" s="43">
        <v>308</v>
      </c>
      <c r="AB90" s="43">
        <v>176</v>
      </c>
      <c r="AC90" s="43">
        <v>126</v>
      </c>
    </row>
    <row r="91" spans="3:29" x14ac:dyDescent="0.3">
      <c r="C91" s="134" t="s">
        <v>164</v>
      </c>
      <c r="D91" s="120"/>
      <c r="E91" s="134"/>
      <c r="F91" s="120"/>
      <c r="G91" s="134"/>
      <c r="H91" s="120"/>
      <c r="I91" s="130">
        <v>381</v>
      </c>
      <c r="J91" s="116"/>
      <c r="K91" s="116"/>
      <c r="L91" s="130">
        <v>381</v>
      </c>
      <c r="M91" s="116"/>
      <c r="N91" s="130">
        <v>381</v>
      </c>
      <c r="O91" s="116"/>
      <c r="P91" s="130">
        <v>381</v>
      </c>
      <c r="Q91" s="116"/>
      <c r="R91" s="116"/>
      <c r="S91" s="130">
        <v>381</v>
      </c>
      <c r="T91" s="116"/>
      <c r="U91" s="116"/>
      <c r="V91" s="44">
        <v>381</v>
      </c>
      <c r="W91" s="44">
        <v>381</v>
      </c>
      <c r="X91" s="44">
        <v>381</v>
      </c>
      <c r="Y91" s="44">
        <v>381</v>
      </c>
      <c r="Z91" s="44">
        <v>381</v>
      </c>
      <c r="AA91" s="44">
        <v>381</v>
      </c>
      <c r="AB91" s="44">
        <v>381</v>
      </c>
      <c r="AC91" s="44">
        <v>381</v>
      </c>
    </row>
    <row r="92" spans="3:29" x14ac:dyDescent="0.3">
      <c r="C92" s="131" t="s">
        <v>165</v>
      </c>
      <c r="D92" s="120"/>
      <c r="E92" s="132">
        <v>30.93</v>
      </c>
      <c r="F92" s="120"/>
      <c r="G92" s="132">
        <v>44.53</v>
      </c>
      <c r="H92" s="120"/>
      <c r="I92" s="133">
        <v>180</v>
      </c>
      <c r="J92" s="116"/>
      <c r="K92" s="116"/>
      <c r="L92" s="133">
        <v>197</v>
      </c>
      <c r="M92" s="116"/>
      <c r="N92" s="133">
        <v>173</v>
      </c>
      <c r="O92" s="116"/>
      <c r="P92" s="133">
        <v>186</v>
      </c>
      <c r="Q92" s="116"/>
      <c r="R92" s="116"/>
      <c r="S92" s="133">
        <v>191</v>
      </c>
      <c r="T92" s="116"/>
      <c r="U92" s="116"/>
      <c r="V92" s="43">
        <v>187</v>
      </c>
      <c r="W92" s="43">
        <v>144</v>
      </c>
      <c r="X92" s="43">
        <v>141</v>
      </c>
      <c r="Y92" s="43">
        <v>110</v>
      </c>
      <c r="Z92" s="43">
        <v>110</v>
      </c>
      <c r="AA92" s="43">
        <v>165</v>
      </c>
      <c r="AB92" s="43">
        <v>116</v>
      </c>
      <c r="AC92" s="43">
        <v>116</v>
      </c>
    </row>
    <row r="93" spans="3:29" ht="3.15" customHeight="1" x14ac:dyDescent="0.3"/>
    <row r="94" spans="3:29" ht="7.35" customHeight="1" x14ac:dyDescent="0.3"/>
    <row r="95" spans="3:29" ht="0" hidden="1" customHeight="1" x14ac:dyDescent="0.3"/>
  </sheetData>
  <mergeCells count="687">
    <mergeCell ref="D3:E3"/>
    <mergeCell ref="F3:S3"/>
    <mergeCell ref="D4:E4"/>
    <mergeCell ref="F4:S4"/>
    <mergeCell ref="D5:E5"/>
    <mergeCell ref="F5:G5"/>
    <mergeCell ref="H5:I5"/>
    <mergeCell ref="K5:L5"/>
    <mergeCell ref="M5:N5"/>
    <mergeCell ref="O5:Q5"/>
    <mergeCell ref="R5:S5"/>
    <mergeCell ref="O6:Q6"/>
    <mergeCell ref="R6:S6"/>
    <mergeCell ref="D7:E7"/>
    <mergeCell ref="F7:G7"/>
    <mergeCell ref="H7:I7"/>
    <mergeCell ref="K7:L7"/>
    <mergeCell ref="M7:N7"/>
    <mergeCell ref="O7:Q7"/>
    <mergeCell ref="R7:S7"/>
    <mergeCell ref="D6:E6"/>
    <mergeCell ref="F6:G6"/>
    <mergeCell ref="H6:I6"/>
    <mergeCell ref="K6:L6"/>
    <mergeCell ref="M6:N6"/>
    <mergeCell ref="O8:Q8"/>
    <mergeCell ref="R8:S8"/>
    <mergeCell ref="D9:E9"/>
    <mergeCell ref="F9:G9"/>
    <mergeCell ref="H9:I9"/>
    <mergeCell ref="K9:L9"/>
    <mergeCell ref="M9:N9"/>
    <mergeCell ref="O9:Q9"/>
    <mergeCell ref="R9:S9"/>
    <mergeCell ref="D8:E8"/>
    <mergeCell ref="F8:G8"/>
    <mergeCell ref="H8:I8"/>
    <mergeCell ref="K8:L8"/>
    <mergeCell ref="M8:N8"/>
    <mergeCell ref="O10:Q10"/>
    <mergeCell ref="R10:S10"/>
    <mergeCell ref="D11:E11"/>
    <mergeCell ref="F11:G11"/>
    <mergeCell ref="H11:I11"/>
    <mergeCell ref="K11:L11"/>
    <mergeCell ref="M11:N11"/>
    <mergeCell ref="O11:Q11"/>
    <mergeCell ref="R11:S11"/>
    <mergeCell ref="D10:E10"/>
    <mergeCell ref="F10:G10"/>
    <mergeCell ref="H10:I10"/>
    <mergeCell ref="K10:L10"/>
    <mergeCell ref="M10:N10"/>
    <mergeCell ref="O12:Q12"/>
    <mergeCell ref="R12:S12"/>
    <mergeCell ref="C14:D14"/>
    <mergeCell ref="E14:H14"/>
    <mergeCell ref="I14:AC14"/>
    <mergeCell ref="D12:E12"/>
    <mergeCell ref="F12:G12"/>
    <mergeCell ref="H12:I12"/>
    <mergeCell ref="K12:L12"/>
    <mergeCell ref="M12:N12"/>
    <mergeCell ref="N15:O15"/>
    <mergeCell ref="P15:R15"/>
    <mergeCell ref="S15:U15"/>
    <mergeCell ref="C16:D16"/>
    <mergeCell ref="E16:F16"/>
    <mergeCell ref="G16:H16"/>
    <mergeCell ref="I16:K16"/>
    <mergeCell ref="L16:M16"/>
    <mergeCell ref="N16:O16"/>
    <mergeCell ref="P16:R16"/>
    <mergeCell ref="S16:U16"/>
    <mergeCell ref="C15:D15"/>
    <mergeCell ref="E15:F15"/>
    <mergeCell ref="G15:H15"/>
    <mergeCell ref="I15:K15"/>
    <mergeCell ref="L15:M15"/>
    <mergeCell ref="N17:O17"/>
    <mergeCell ref="P17:R17"/>
    <mergeCell ref="S17:U17"/>
    <mergeCell ref="C18:D18"/>
    <mergeCell ref="E18:F18"/>
    <mergeCell ref="G18:H18"/>
    <mergeCell ref="I18:K18"/>
    <mergeCell ref="L18:M18"/>
    <mergeCell ref="N18:O18"/>
    <mergeCell ref="P18:R18"/>
    <mergeCell ref="S18:U18"/>
    <mergeCell ref="C17:D17"/>
    <mergeCell ref="E17:F17"/>
    <mergeCell ref="G17:H17"/>
    <mergeCell ref="I17:K17"/>
    <mergeCell ref="L17:M17"/>
    <mergeCell ref="N19:O19"/>
    <mergeCell ref="P19:R19"/>
    <mergeCell ref="S19:U19"/>
    <mergeCell ref="C20:D20"/>
    <mergeCell ref="E20:F20"/>
    <mergeCell ref="G20:H20"/>
    <mergeCell ref="I20:K20"/>
    <mergeCell ref="L20:M20"/>
    <mergeCell ref="N20:O20"/>
    <mergeCell ref="P20:R20"/>
    <mergeCell ref="S20:U20"/>
    <mergeCell ref="C19:D19"/>
    <mergeCell ref="E19:F19"/>
    <mergeCell ref="G19:H19"/>
    <mergeCell ref="I19:K19"/>
    <mergeCell ref="L19:M19"/>
    <mergeCell ref="N21:O21"/>
    <mergeCell ref="P21:R21"/>
    <mergeCell ref="S21:U21"/>
    <mergeCell ref="C22:D22"/>
    <mergeCell ref="E22:F22"/>
    <mergeCell ref="G22:H22"/>
    <mergeCell ref="I22:K22"/>
    <mergeCell ref="L22:M22"/>
    <mergeCell ref="N22:O22"/>
    <mergeCell ref="P22:R22"/>
    <mergeCell ref="S22:U22"/>
    <mergeCell ref="C21:D21"/>
    <mergeCell ref="E21:F21"/>
    <mergeCell ref="G21:H21"/>
    <mergeCell ref="I21:K21"/>
    <mergeCell ref="L21:M21"/>
    <mergeCell ref="N23:O23"/>
    <mergeCell ref="P23:R23"/>
    <mergeCell ref="S23:U23"/>
    <mergeCell ref="C24:D24"/>
    <mergeCell ref="E24:F24"/>
    <mergeCell ref="G24:H24"/>
    <mergeCell ref="I24:K24"/>
    <mergeCell ref="L24:M24"/>
    <mergeCell ref="N24:O24"/>
    <mergeCell ref="P24:R24"/>
    <mergeCell ref="S24:U24"/>
    <mergeCell ref="C23:D23"/>
    <mergeCell ref="E23:F23"/>
    <mergeCell ref="G23:H23"/>
    <mergeCell ref="I23:K23"/>
    <mergeCell ref="L23:M23"/>
    <mergeCell ref="N25:O25"/>
    <mergeCell ref="P25:R25"/>
    <mergeCell ref="S25:U25"/>
    <mergeCell ref="C26:D26"/>
    <mergeCell ref="E26:F26"/>
    <mergeCell ref="G26:H26"/>
    <mergeCell ref="I26:K26"/>
    <mergeCell ref="L26:M26"/>
    <mergeCell ref="N26:O26"/>
    <mergeCell ref="P26:R26"/>
    <mergeCell ref="S26:U26"/>
    <mergeCell ref="C25:D25"/>
    <mergeCell ref="E25:F25"/>
    <mergeCell ref="G25:H25"/>
    <mergeCell ref="I25:K25"/>
    <mergeCell ref="L25:M25"/>
    <mergeCell ref="N27:O27"/>
    <mergeCell ref="P27:R27"/>
    <mergeCell ref="S27:U27"/>
    <mergeCell ref="C28:D28"/>
    <mergeCell ref="E28:F28"/>
    <mergeCell ref="G28:H28"/>
    <mergeCell ref="I28:K28"/>
    <mergeCell ref="L28:M28"/>
    <mergeCell ref="N28:O28"/>
    <mergeCell ref="P28:R28"/>
    <mergeCell ref="S28:U28"/>
    <mergeCell ref="C27:D27"/>
    <mergeCell ref="E27:F27"/>
    <mergeCell ref="G27:H27"/>
    <mergeCell ref="I27:K27"/>
    <mergeCell ref="L27:M27"/>
    <mergeCell ref="N29:O29"/>
    <mergeCell ref="P29:R29"/>
    <mergeCell ref="S29:U29"/>
    <mergeCell ref="C30:D30"/>
    <mergeCell ref="E30:F30"/>
    <mergeCell ref="G30:H30"/>
    <mergeCell ref="I30:K30"/>
    <mergeCell ref="L30:M30"/>
    <mergeCell ref="N30:O30"/>
    <mergeCell ref="P30:R30"/>
    <mergeCell ref="S30:U30"/>
    <mergeCell ref="C29:D29"/>
    <mergeCell ref="E29:F29"/>
    <mergeCell ref="G29:H29"/>
    <mergeCell ref="I29:K29"/>
    <mergeCell ref="L29:M29"/>
    <mergeCell ref="N31:O31"/>
    <mergeCell ref="P31:R31"/>
    <mergeCell ref="S31:U31"/>
    <mergeCell ref="C32:D32"/>
    <mergeCell ref="E32:F32"/>
    <mergeCell ref="G32:H32"/>
    <mergeCell ref="I32:K32"/>
    <mergeCell ref="L32:M32"/>
    <mergeCell ref="N32:O32"/>
    <mergeCell ref="P32:R32"/>
    <mergeCell ref="S32:U32"/>
    <mergeCell ref="C31:D31"/>
    <mergeCell ref="E31:F31"/>
    <mergeCell ref="G31:H31"/>
    <mergeCell ref="I31:K31"/>
    <mergeCell ref="L31:M31"/>
    <mergeCell ref="N33:O33"/>
    <mergeCell ref="P33:R33"/>
    <mergeCell ref="S33:U33"/>
    <mergeCell ref="C34:D34"/>
    <mergeCell ref="E34:F34"/>
    <mergeCell ref="G34:H34"/>
    <mergeCell ref="I34:K34"/>
    <mergeCell ref="L34:M34"/>
    <mergeCell ref="N34:O34"/>
    <mergeCell ref="P34:R34"/>
    <mergeCell ref="S34:U34"/>
    <mergeCell ref="C33:D33"/>
    <mergeCell ref="E33:F33"/>
    <mergeCell ref="G33:H33"/>
    <mergeCell ref="I33:K33"/>
    <mergeCell ref="L33:M33"/>
    <mergeCell ref="N35:O35"/>
    <mergeCell ref="P35:R35"/>
    <mergeCell ref="S35:U35"/>
    <mergeCell ref="C36:D36"/>
    <mergeCell ref="E36:F36"/>
    <mergeCell ref="G36:H36"/>
    <mergeCell ref="I36:K36"/>
    <mergeCell ref="L36:M36"/>
    <mergeCell ref="N36:O36"/>
    <mergeCell ref="P36:R36"/>
    <mergeCell ref="S36:U36"/>
    <mergeCell ref="C35:D35"/>
    <mergeCell ref="E35:F35"/>
    <mergeCell ref="G35:H35"/>
    <mergeCell ref="I35:K35"/>
    <mergeCell ref="L35:M35"/>
    <mergeCell ref="N37:O37"/>
    <mergeCell ref="P37:R37"/>
    <mergeCell ref="S37:U37"/>
    <mergeCell ref="C38:D38"/>
    <mergeCell ref="E38:F38"/>
    <mergeCell ref="G38:H38"/>
    <mergeCell ref="I38:K38"/>
    <mergeCell ref="L38:M38"/>
    <mergeCell ref="N38:O38"/>
    <mergeCell ref="P38:R38"/>
    <mergeCell ref="S38:U38"/>
    <mergeCell ref="C37:D37"/>
    <mergeCell ref="E37:F37"/>
    <mergeCell ref="G37:H37"/>
    <mergeCell ref="I37:K37"/>
    <mergeCell ref="L37:M37"/>
    <mergeCell ref="N39:O39"/>
    <mergeCell ref="P39:R39"/>
    <mergeCell ref="S39:U39"/>
    <mergeCell ref="C40:D40"/>
    <mergeCell ref="E40:F40"/>
    <mergeCell ref="G40:H40"/>
    <mergeCell ref="I40:K40"/>
    <mergeCell ref="L40:M40"/>
    <mergeCell ref="N40:O40"/>
    <mergeCell ref="P40:R40"/>
    <mergeCell ref="S40:U40"/>
    <mergeCell ref="C39:D39"/>
    <mergeCell ref="E39:F39"/>
    <mergeCell ref="G39:H39"/>
    <mergeCell ref="I39:K39"/>
    <mergeCell ref="L39:M39"/>
    <mergeCell ref="N41:O41"/>
    <mergeCell ref="P41:R41"/>
    <mergeCell ref="S41:U41"/>
    <mergeCell ref="C42:D42"/>
    <mergeCell ref="E42:F42"/>
    <mergeCell ref="G42:H42"/>
    <mergeCell ref="I42:K42"/>
    <mergeCell ref="L42:M42"/>
    <mergeCell ref="N42:O42"/>
    <mergeCell ref="P42:R42"/>
    <mergeCell ref="S42:U42"/>
    <mergeCell ref="C41:D41"/>
    <mergeCell ref="E41:F41"/>
    <mergeCell ref="G41:H41"/>
    <mergeCell ref="I41:K41"/>
    <mergeCell ref="L41:M41"/>
    <mergeCell ref="N43:O43"/>
    <mergeCell ref="P43:R43"/>
    <mergeCell ref="S43:U43"/>
    <mergeCell ref="C44:D44"/>
    <mergeCell ref="E44:F44"/>
    <mergeCell ref="G44:H44"/>
    <mergeCell ref="I44:K44"/>
    <mergeCell ref="L44:M44"/>
    <mergeCell ref="N44:O44"/>
    <mergeCell ref="P44:R44"/>
    <mergeCell ref="S44:U44"/>
    <mergeCell ref="C43:D43"/>
    <mergeCell ref="E43:F43"/>
    <mergeCell ref="G43:H43"/>
    <mergeCell ref="I43:K43"/>
    <mergeCell ref="L43:M43"/>
    <mergeCell ref="N45:O45"/>
    <mergeCell ref="P45:R45"/>
    <mergeCell ref="S45:U45"/>
    <mergeCell ref="C46:D46"/>
    <mergeCell ref="E46:F46"/>
    <mergeCell ref="G46:H46"/>
    <mergeCell ref="I46:K46"/>
    <mergeCell ref="L46:M46"/>
    <mergeCell ref="N46:O46"/>
    <mergeCell ref="P46:R46"/>
    <mergeCell ref="S46:U46"/>
    <mergeCell ref="C45:D45"/>
    <mergeCell ref="E45:F45"/>
    <mergeCell ref="G45:H45"/>
    <mergeCell ref="I45:K45"/>
    <mergeCell ref="L45:M45"/>
    <mergeCell ref="N47:O47"/>
    <mergeCell ref="P47:R47"/>
    <mergeCell ref="S47:U47"/>
    <mergeCell ref="C48:D48"/>
    <mergeCell ref="E48:F48"/>
    <mergeCell ref="G48:H48"/>
    <mergeCell ref="I48:K48"/>
    <mergeCell ref="L48:M48"/>
    <mergeCell ref="N48:O48"/>
    <mergeCell ref="P48:R48"/>
    <mergeCell ref="S48:U48"/>
    <mergeCell ref="C47:D47"/>
    <mergeCell ref="E47:F47"/>
    <mergeCell ref="G47:H47"/>
    <mergeCell ref="I47:K47"/>
    <mergeCell ref="L47:M47"/>
    <mergeCell ref="N49:O49"/>
    <mergeCell ref="P49:R49"/>
    <mergeCell ref="S49:U49"/>
    <mergeCell ref="C50:D50"/>
    <mergeCell ref="E50:F50"/>
    <mergeCell ref="G50:H50"/>
    <mergeCell ref="I50:K50"/>
    <mergeCell ref="L50:M50"/>
    <mergeCell ref="N50:O50"/>
    <mergeCell ref="P50:R50"/>
    <mergeCell ref="S50:U50"/>
    <mergeCell ref="C49:D49"/>
    <mergeCell ref="E49:F49"/>
    <mergeCell ref="G49:H49"/>
    <mergeCell ref="I49:K49"/>
    <mergeCell ref="L49:M49"/>
    <mergeCell ref="N51:O51"/>
    <mergeCell ref="P51:R51"/>
    <mergeCell ref="S51:U51"/>
    <mergeCell ref="C52:D52"/>
    <mergeCell ref="E52:F52"/>
    <mergeCell ref="G52:H52"/>
    <mergeCell ref="I52:K52"/>
    <mergeCell ref="L52:M52"/>
    <mergeCell ref="N52:O52"/>
    <mergeCell ref="P52:R52"/>
    <mergeCell ref="S52:U52"/>
    <mergeCell ref="C51:D51"/>
    <mergeCell ref="E51:F51"/>
    <mergeCell ref="G51:H51"/>
    <mergeCell ref="I51:K51"/>
    <mergeCell ref="L51:M51"/>
    <mergeCell ref="N53:O53"/>
    <mergeCell ref="P53:R53"/>
    <mergeCell ref="S53:U53"/>
    <mergeCell ref="C54:D54"/>
    <mergeCell ref="E54:F54"/>
    <mergeCell ref="G54:H54"/>
    <mergeCell ref="I54:K54"/>
    <mergeCell ref="L54:M54"/>
    <mergeCell ref="N54:O54"/>
    <mergeCell ref="P54:R54"/>
    <mergeCell ref="S54:U54"/>
    <mergeCell ref="C53:D53"/>
    <mergeCell ref="E53:F53"/>
    <mergeCell ref="G53:H53"/>
    <mergeCell ref="I53:K53"/>
    <mergeCell ref="L53:M53"/>
    <mergeCell ref="N55:O55"/>
    <mergeCell ref="P55:R55"/>
    <mergeCell ref="S55:U55"/>
    <mergeCell ref="C56:D56"/>
    <mergeCell ref="E56:F56"/>
    <mergeCell ref="G56:H56"/>
    <mergeCell ref="I56:K56"/>
    <mergeCell ref="L56:M56"/>
    <mergeCell ref="N56:O56"/>
    <mergeCell ref="P56:R56"/>
    <mergeCell ref="S56:U56"/>
    <mergeCell ref="C55:D55"/>
    <mergeCell ref="E55:F55"/>
    <mergeCell ref="G55:H55"/>
    <mergeCell ref="I55:K55"/>
    <mergeCell ref="L55:M55"/>
    <mergeCell ref="N57:O57"/>
    <mergeCell ref="P57:R57"/>
    <mergeCell ref="S57:U57"/>
    <mergeCell ref="C58:D58"/>
    <mergeCell ref="E58:F58"/>
    <mergeCell ref="G58:H58"/>
    <mergeCell ref="I58:K58"/>
    <mergeCell ref="L58:M58"/>
    <mergeCell ref="N58:O58"/>
    <mergeCell ref="P58:R58"/>
    <mergeCell ref="S58:U58"/>
    <mergeCell ref="C57:D57"/>
    <mergeCell ref="E57:F57"/>
    <mergeCell ref="G57:H57"/>
    <mergeCell ref="I57:K57"/>
    <mergeCell ref="L57:M57"/>
    <mergeCell ref="N59:O59"/>
    <mergeCell ref="P59:R59"/>
    <mergeCell ref="S59:U59"/>
    <mergeCell ref="C60:D60"/>
    <mergeCell ref="E60:F60"/>
    <mergeCell ref="G60:H60"/>
    <mergeCell ref="I60:K60"/>
    <mergeCell ref="L60:M60"/>
    <mergeCell ref="N60:O60"/>
    <mergeCell ref="P60:R60"/>
    <mergeCell ref="S60:U60"/>
    <mergeCell ref="C59:D59"/>
    <mergeCell ref="E59:F59"/>
    <mergeCell ref="G59:H59"/>
    <mergeCell ref="I59:K59"/>
    <mergeCell ref="L59:M59"/>
    <mergeCell ref="N61:O61"/>
    <mergeCell ref="P61:R61"/>
    <mergeCell ref="S61:U61"/>
    <mergeCell ref="C62:D62"/>
    <mergeCell ref="E62:F62"/>
    <mergeCell ref="G62:H62"/>
    <mergeCell ref="I62:K62"/>
    <mergeCell ref="L62:M62"/>
    <mergeCell ref="N62:O62"/>
    <mergeCell ref="P62:R62"/>
    <mergeCell ref="S62:U62"/>
    <mergeCell ref="C61:D61"/>
    <mergeCell ref="E61:F61"/>
    <mergeCell ref="G61:H61"/>
    <mergeCell ref="I61:K61"/>
    <mergeCell ref="L61:M61"/>
    <mergeCell ref="N63:O63"/>
    <mergeCell ref="P63:R63"/>
    <mergeCell ref="S63:U63"/>
    <mergeCell ref="C64:D64"/>
    <mergeCell ref="E64:F64"/>
    <mergeCell ref="G64:H64"/>
    <mergeCell ref="I64:K64"/>
    <mergeCell ref="L64:M64"/>
    <mergeCell ref="N64:O64"/>
    <mergeCell ref="P64:R64"/>
    <mergeCell ref="S64:U64"/>
    <mergeCell ref="C63:D63"/>
    <mergeCell ref="E63:F63"/>
    <mergeCell ref="G63:H63"/>
    <mergeCell ref="I63:K63"/>
    <mergeCell ref="L63:M63"/>
    <mergeCell ref="N65:O65"/>
    <mergeCell ref="P65:R65"/>
    <mergeCell ref="S65:U65"/>
    <mergeCell ref="C66:D66"/>
    <mergeCell ref="E66:F66"/>
    <mergeCell ref="G66:H66"/>
    <mergeCell ref="I66:K66"/>
    <mergeCell ref="L66:M66"/>
    <mergeCell ref="N66:O66"/>
    <mergeCell ref="P66:R66"/>
    <mergeCell ref="S66:U66"/>
    <mergeCell ref="C65:D65"/>
    <mergeCell ref="E65:F65"/>
    <mergeCell ref="G65:H65"/>
    <mergeCell ref="I65:K65"/>
    <mergeCell ref="L65:M65"/>
    <mergeCell ref="N67:O67"/>
    <mergeCell ref="P67:R67"/>
    <mergeCell ref="S67:U67"/>
    <mergeCell ref="C68:D68"/>
    <mergeCell ref="E68:F68"/>
    <mergeCell ref="G68:H68"/>
    <mergeCell ref="I68:K68"/>
    <mergeCell ref="L68:M68"/>
    <mergeCell ref="N68:O68"/>
    <mergeCell ref="P68:R68"/>
    <mergeCell ref="S68:U68"/>
    <mergeCell ref="C67:D67"/>
    <mergeCell ref="E67:F67"/>
    <mergeCell ref="G67:H67"/>
    <mergeCell ref="I67:K67"/>
    <mergeCell ref="L67:M67"/>
    <mergeCell ref="N69:O69"/>
    <mergeCell ref="P69:R69"/>
    <mergeCell ref="S69:U69"/>
    <mergeCell ref="C70:D70"/>
    <mergeCell ref="E70:F70"/>
    <mergeCell ref="G70:H70"/>
    <mergeCell ref="I70:K70"/>
    <mergeCell ref="L70:M70"/>
    <mergeCell ref="N70:O70"/>
    <mergeCell ref="P70:R70"/>
    <mergeCell ref="S70:U70"/>
    <mergeCell ref="C69:D69"/>
    <mergeCell ref="E69:F69"/>
    <mergeCell ref="G69:H69"/>
    <mergeCell ref="I69:K69"/>
    <mergeCell ref="L69:M69"/>
    <mergeCell ref="N71:O71"/>
    <mergeCell ref="P71:R71"/>
    <mergeCell ref="S71:U71"/>
    <mergeCell ref="C72:D72"/>
    <mergeCell ref="E72:F72"/>
    <mergeCell ref="G72:H72"/>
    <mergeCell ref="I72:K72"/>
    <mergeCell ref="L72:M72"/>
    <mergeCell ref="N72:O72"/>
    <mergeCell ref="P72:R72"/>
    <mergeCell ref="S72:U72"/>
    <mergeCell ref="C71:D71"/>
    <mergeCell ref="E71:F71"/>
    <mergeCell ref="G71:H71"/>
    <mergeCell ref="I71:K71"/>
    <mergeCell ref="L71:M71"/>
    <mergeCell ref="N73:O73"/>
    <mergeCell ref="P73:R73"/>
    <mergeCell ref="S73:U73"/>
    <mergeCell ref="C74:D74"/>
    <mergeCell ref="E74:F74"/>
    <mergeCell ref="G74:H74"/>
    <mergeCell ref="I74:K74"/>
    <mergeCell ref="L74:M74"/>
    <mergeCell ref="N74:O74"/>
    <mergeCell ref="P74:R74"/>
    <mergeCell ref="S74:U74"/>
    <mergeCell ref="C73:D73"/>
    <mergeCell ref="E73:F73"/>
    <mergeCell ref="G73:H73"/>
    <mergeCell ref="I73:K73"/>
    <mergeCell ref="L73:M73"/>
    <mergeCell ref="N75:O75"/>
    <mergeCell ref="P75:R75"/>
    <mergeCell ref="S75:U75"/>
    <mergeCell ref="C76:D76"/>
    <mergeCell ref="E76:F76"/>
    <mergeCell ref="G76:H76"/>
    <mergeCell ref="I76:K76"/>
    <mergeCell ref="L76:M76"/>
    <mergeCell ref="N76:O76"/>
    <mergeCell ref="P76:R76"/>
    <mergeCell ref="S76:U76"/>
    <mergeCell ref="C75:D75"/>
    <mergeCell ref="E75:F75"/>
    <mergeCell ref="G75:H75"/>
    <mergeCell ref="I75:K75"/>
    <mergeCell ref="L75:M75"/>
    <mergeCell ref="N77:O77"/>
    <mergeCell ref="P77:R77"/>
    <mergeCell ref="S77:U77"/>
    <mergeCell ref="C78:D78"/>
    <mergeCell ref="E78:F78"/>
    <mergeCell ref="G78:H78"/>
    <mergeCell ref="I78:K78"/>
    <mergeCell ref="L78:M78"/>
    <mergeCell ref="N78:O78"/>
    <mergeCell ref="P78:R78"/>
    <mergeCell ref="S78:U78"/>
    <mergeCell ref="C77:D77"/>
    <mergeCell ref="E77:F77"/>
    <mergeCell ref="G77:H77"/>
    <mergeCell ref="I77:K77"/>
    <mergeCell ref="L77:M77"/>
    <mergeCell ref="N79:O79"/>
    <mergeCell ref="P79:R79"/>
    <mergeCell ref="S79:U79"/>
    <mergeCell ref="C80:D80"/>
    <mergeCell ref="E80:F80"/>
    <mergeCell ref="G80:H80"/>
    <mergeCell ref="I80:K80"/>
    <mergeCell ref="L80:M80"/>
    <mergeCell ref="N80:O80"/>
    <mergeCell ref="P80:R80"/>
    <mergeCell ref="S80:U80"/>
    <mergeCell ref="C79:D79"/>
    <mergeCell ref="E79:F79"/>
    <mergeCell ref="G79:H79"/>
    <mergeCell ref="I79:K79"/>
    <mergeCell ref="L79:M79"/>
    <mergeCell ref="N81:O81"/>
    <mergeCell ref="P81:R81"/>
    <mergeCell ref="S81:U81"/>
    <mergeCell ref="C82:D82"/>
    <mergeCell ref="E82:F82"/>
    <mergeCell ref="G82:H82"/>
    <mergeCell ref="I82:K82"/>
    <mergeCell ref="L82:M82"/>
    <mergeCell ref="N82:O82"/>
    <mergeCell ref="P82:R82"/>
    <mergeCell ref="S82:U82"/>
    <mergeCell ref="C81:D81"/>
    <mergeCell ref="E81:F81"/>
    <mergeCell ref="G81:H81"/>
    <mergeCell ref="I81:K81"/>
    <mergeCell ref="L81:M81"/>
    <mergeCell ref="N83:O83"/>
    <mergeCell ref="P83:R83"/>
    <mergeCell ref="S83:U83"/>
    <mergeCell ref="C84:D84"/>
    <mergeCell ref="E84:F84"/>
    <mergeCell ref="G84:H84"/>
    <mergeCell ref="I84:K84"/>
    <mergeCell ref="L84:M84"/>
    <mergeCell ref="N84:O84"/>
    <mergeCell ref="P84:R84"/>
    <mergeCell ref="S84:U84"/>
    <mergeCell ref="C83:D83"/>
    <mergeCell ref="E83:F83"/>
    <mergeCell ref="G83:H83"/>
    <mergeCell ref="I83:K83"/>
    <mergeCell ref="L83:M83"/>
    <mergeCell ref="N85:O85"/>
    <mergeCell ref="P85:R85"/>
    <mergeCell ref="S85:U85"/>
    <mergeCell ref="C86:D86"/>
    <mergeCell ref="E86:F86"/>
    <mergeCell ref="G86:H86"/>
    <mergeCell ref="I86:K86"/>
    <mergeCell ref="L86:M86"/>
    <mergeCell ref="N86:O86"/>
    <mergeCell ref="P86:R86"/>
    <mergeCell ref="S86:U86"/>
    <mergeCell ref="C85:D85"/>
    <mergeCell ref="E85:F85"/>
    <mergeCell ref="G85:H85"/>
    <mergeCell ref="I85:K85"/>
    <mergeCell ref="L85:M85"/>
    <mergeCell ref="N87:O87"/>
    <mergeCell ref="P87:R87"/>
    <mergeCell ref="S87:U87"/>
    <mergeCell ref="C88:D88"/>
    <mergeCell ref="E88:F88"/>
    <mergeCell ref="G88:H88"/>
    <mergeCell ref="I88:K88"/>
    <mergeCell ref="L88:M88"/>
    <mergeCell ref="N88:O88"/>
    <mergeCell ref="P88:R88"/>
    <mergeCell ref="S88:U88"/>
    <mergeCell ref="C87:D87"/>
    <mergeCell ref="E87:F87"/>
    <mergeCell ref="G87:H87"/>
    <mergeCell ref="I87:K87"/>
    <mergeCell ref="L87:M87"/>
    <mergeCell ref="N89:O89"/>
    <mergeCell ref="P89:R89"/>
    <mergeCell ref="S89:U89"/>
    <mergeCell ref="C90:D90"/>
    <mergeCell ref="E90:F90"/>
    <mergeCell ref="G90:H90"/>
    <mergeCell ref="I90:K90"/>
    <mergeCell ref="L90:M90"/>
    <mergeCell ref="N90:O90"/>
    <mergeCell ref="P90:R90"/>
    <mergeCell ref="S90:U90"/>
    <mergeCell ref="C89:D89"/>
    <mergeCell ref="E89:F89"/>
    <mergeCell ref="G89:H89"/>
    <mergeCell ref="I89:K89"/>
    <mergeCell ref="L89:M89"/>
    <mergeCell ref="N91:O91"/>
    <mergeCell ref="P91:R91"/>
    <mergeCell ref="S91:U91"/>
    <mergeCell ref="C92:D92"/>
    <mergeCell ref="E92:F92"/>
    <mergeCell ref="G92:H92"/>
    <mergeCell ref="I92:K92"/>
    <mergeCell ref="L92:M92"/>
    <mergeCell ref="N92:O92"/>
    <mergeCell ref="P92:R92"/>
    <mergeCell ref="S92:U92"/>
    <mergeCell ref="C91:D91"/>
    <mergeCell ref="E91:F91"/>
    <mergeCell ref="G91:H91"/>
    <mergeCell ref="I91:K91"/>
    <mergeCell ref="L91:M9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21"/>
  <sheetViews>
    <sheetView showGridLines="0" topLeftCell="B4" zoomScale="70" zoomScaleNormal="70" workbookViewId="0">
      <pane ySplit="1" topLeftCell="A50" activePane="bottomLeft" state="frozen"/>
      <selection activeCell="A4" sqref="A4"/>
      <selection pane="bottomLeft" activeCell="F68" sqref="F68"/>
    </sheetView>
  </sheetViews>
  <sheetFormatPr defaultRowHeight="14.4" x14ac:dyDescent="0.3"/>
  <cols>
    <col min="1" max="1" width="2.109375" customWidth="1"/>
    <col min="2" max="2" width="8.109375" customWidth="1"/>
    <col min="3" max="3" width="54.88671875" customWidth="1"/>
    <col min="4" max="16" width="13.6640625" customWidth="1"/>
    <col min="17" max="17" width="0" hidden="1" customWidth="1"/>
    <col min="18" max="18" width="154.88671875" customWidth="1"/>
  </cols>
  <sheetData>
    <row r="1" spans="2:17" ht="5.85" customHeight="1" x14ac:dyDescent="0.3"/>
    <row r="2" spans="2:17" ht="17.100000000000001" customHeight="1" x14ac:dyDescent="0.3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</row>
    <row r="3" spans="2:17" x14ac:dyDescent="0.3">
      <c r="B3" s="42" t="s">
        <v>4</v>
      </c>
      <c r="C3" s="117" t="s">
        <v>298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2:17" x14ac:dyDescent="0.3">
      <c r="B4" s="42" t="s">
        <v>4</v>
      </c>
      <c r="C4" s="22" t="s">
        <v>2</v>
      </c>
      <c r="D4" s="53" t="s">
        <v>9</v>
      </c>
      <c r="E4" s="53" t="s">
        <v>10</v>
      </c>
      <c r="F4" s="53" t="s">
        <v>11</v>
      </c>
      <c r="G4" s="53" t="s">
        <v>12</v>
      </c>
      <c r="H4" s="53" t="s">
        <v>13</v>
      </c>
      <c r="I4" s="53" t="s">
        <v>14</v>
      </c>
      <c r="J4" s="53" t="s">
        <v>15</v>
      </c>
      <c r="K4" s="53" t="s">
        <v>16</v>
      </c>
      <c r="L4" s="53" t="s">
        <v>17</v>
      </c>
      <c r="M4" s="53" t="s">
        <v>18</v>
      </c>
      <c r="N4" s="53" t="s">
        <v>19</v>
      </c>
      <c r="O4" s="53" t="s">
        <v>20</v>
      </c>
      <c r="P4" s="53" t="s">
        <v>21</v>
      </c>
    </row>
    <row r="5" spans="2:17" x14ac:dyDescent="0.3">
      <c r="B5" s="54" t="s">
        <v>4</v>
      </c>
      <c r="C5" s="55" t="s">
        <v>299</v>
      </c>
      <c r="D5" s="56">
        <v>70713</v>
      </c>
      <c r="E5" s="56">
        <v>74544</v>
      </c>
      <c r="F5" s="56">
        <v>66865</v>
      </c>
      <c r="G5" s="56">
        <v>103105</v>
      </c>
      <c r="H5" s="56">
        <v>103105</v>
      </c>
      <c r="I5" s="56">
        <v>103121</v>
      </c>
      <c r="J5" s="56">
        <v>103121</v>
      </c>
      <c r="K5" s="56">
        <v>103071</v>
      </c>
      <c r="L5" s="56">
        <v>95808</v>
      </c>
      <c r="M5" s="56">
        <v>95733</v>
      </c>
      <c r="N5" s="56">
        <v>95588</v>
      </c>
      <c r="O5" s="56">
        <v>95788</v>
      </c>
      <c r="P5" s="56">
        <v>97248</v>
      </c>
    </row>
    <row r="6" spans="2:17" x14ac:dyDescent="0.3">
      <c r="B6" s="54" t="s">
        <v>4</v>
      </c>
      <c r="C6" s="55" t="s">
        <v>300</v>
      </c>
      <c r="D6" s="56">
        <v>139059.20000000001</v>
      </c>
      <c r="E6" s="56">
        <v>139230.6</v>
      </c>
      <c r="F6" s="56">
        <v>238498.56</v>
      </c>
      <c r="G6" s="56">
        <v>190370.01</v>
      </c>
      <c r="H6" s="56">
        <v>190131.41</v>
      </c>
      <c r="I6" s="56">
        <v>192201.91</v>
      </c>
      <c r="J6" s="56">
        <v>199371.55</v>
      </c>
      <c r="K6" s="56">
        <v>198894.7</v>
      </c>
      <c r="L6" s="56">
        <v>176107.94</v>
      </c>
      <c r="M6" s="56">
        <v>180113.74</v>
      </c>
      <c r="N6" s="56">
        <v>185419.59</v>
      </c>
      <c r="O6" s="56">
        <v>184435.99</v>
      </c>
      <c r="P6" s="56">
        <v>184765.29</v>
      </c>
    </row>
    <row r="7" spans="2:17" x14ac:dyDescent="0.3">
      <c r="B7" s="54" t="s">
        <v>4</v>
      </c>
      <c r="C7" s="55" t="s">
        <v>301</v>
      </c>
      <c r="D7" s="56">
        <v>227570</v>
      </c>
      <c r="E7" s="56">
        <v>233896</v>
      </c>
      <c r="F7" s="56">
        <v>282553.90999999997</v>
      </c>
      <c r="G7" s="56">
        <v>270430.90999999997</v>
      </c>
      <c r="H7" s="56">
        <v>276496.90999999997</v>
      </c>
      <c r="I7" s="56">
        <v>284407.55</v>
      </c>
      <c r="J7" s="56">
        <v>233420.55</v>
      </c>
      <c r="K7" s="56">
        <v>230927.55</v>
      </c>
      <c r="L7" s="56">
        <v>184369.19</v>
      </c>
      <c r="M7" s="56">
        <v>184629.19</v>
      </c>
      <c r="N7" s="56">
        <v>256514.19</v>
      </c>
      <c r="O7" s="56">
        <v>186253.19</v>
      </c>
      <c r="P7" s="56">
        <v>195494.19</v>
      </c>
    </row>
    <row r="8" spans="2:17" x14ac:dyDescent="0.3">
      <c r="B8" s="54" t="s">
        <v>4</v>
      </c>
      <c r="C8" s="55" t="s">
        <v>302</v>
      </c>
      <c r="D8" s="56">
        <v>68453</v>
      </c>
      <c r="E8" s="56">
        <v>67511</v>
      </c>
      <c r="F8" s="56">
        <v>56304</v>
      </c>
      <c r="G8" s="56">
        <v>92361</v>
      </c>
      <c r="H8" s="56">
        <v>91822</v>
      </c>
      <c r="I8" s="56">
        <v>92207</v>
      </c>
      <c r="J8" s="56">
        <v>93092</v>
      </c>
      <c r="K8" s="56">
        <v>92852</v>
      </c>
      <c r="L8" s="56">
        <v>86599</v>
      </c>
      <c r="M8" s="56">
        <v>89684</v>
      </c>
      <c r="N8" s="56">
        <v>91609</v>
      </c>
      <c r="O8" s="56">
        <v>91066</v>
      </c>
      <c r="P8" s="56">
        <v>91271</v>
      </c>
    </row>
    <row r="9" spans="2:17" x14ac:dyDescent="0.3">
      <c r="B9" s="54" t="s">
        <v>4</v>
      </c>
      <c r="C9" s="55" t="s">
        <v>303</v>
      </c>
      <c r="D9" s="57">
        <v>0.96799999999999997</v>
      </c>
      <c r="E9" s="57">
        <v>0.90600000000000003</v>
      </c>
      <c r="F9" s="57">
        <v>0.84199999999999997</v>
      </c>
      <c r="G9" s="57">
        <v>0.89600000000000002</v>
      </c>
      <c r="H9" s="57">
        <v>0.89100000000000001</v>
      </c>
      <c r="I9" s="57">
        <v>0.89400000000000002</v>
      </c>
      <c r="J9" s="57">
        <v>0.90300000000000002</v>
      </c>
      <c r="K9" s="57">
        <v>0.90100000000000002</v>
      </c>
      <c r="L9" s="57">
        <v>0.90400000000000003</v>
      </c>
      <c r="M9" s="57">
        <v>0.93700000000000006</v>
      </c>
      <c r="N9" s="57">
        <v>0.95799999999999996</v>
      </c>
      <c r="O9" s="57">
        <v>0.95099999999999996</v>
      </c>
      <c r="P9" s="57">
        <v>0.93899999999999995</v>
      </c>
    </row>
    <row r="10" spans="2:17" x14ac:dyDescent="0.3">
      <c r="B10" s="54" t="s">
        <v>4</v>
      </c>
      <c r="C10" s="55" t="s">
        <v>304</v>
      </c>
      <c r="D10" s="57">
        <v>0.96399999999999997</v>
      </c>
      <c r="E10" s="57">
        <v>0.95799999999999996</v>
      </c>
      <c r="F10" s="57">
        <v>0.85699999999999998</v>
      </c>
      <c r="G10" s="57">
        <v>0.86399999999999999</v>
      </c>
      <c r="H10" s="57">
        <v>0.89400000000000002</v>
      </c>
      <c r="I10" s="57">
        <v>0.89700000000000002</v>
      </c>
      <c r="J10" s="57">
        <v>0.89600000000000002</v>
      </c>
      <c r="K10" s="57">
        <v>0.90200000000000002</v>
      </c>
      <c r="L10" s="57">
        <v>0.90300000000000002</v>
      </c>
      <c r="M10" s="57">
        <v>0.92</v>
      </c>
      <c r="N10" s="57">
        <v>0.95</v>
      </c>
      <c r="O10" s="57">
        <v>0.95399999999999996</v>
      </c>
      <c r="P10" s="57">
        <v>0.94599999999999995</v>
      </c>
    </row>
    <row r="11" spans="2:17" x14ac:dyDescent="0.3">
      <c r="B11" s="58" t="s">
        <v>4</v>
      </c>
      <c r="C11" s="59" t="s">
        <v>305</v>
      </c>
      <c r="D11" s="60">
        <v>99765.66</v>
      </c>
      <c r="E11" s="60">
        <v>99140.83</v>
      </c>
      <c r="F11" s="60">
        <v>101305.79</v>
      </c>
      <c r="G11" s="60">
        <v>98425.87</v>
      </c>
      <c r="H11" s="60">
        <v>98103.79</v>
      </c>
      <c r="I11" s="60">
        <v>100492.06</v>
      </c>
      <c r="J11" s="60">
        <v>99492.01</v>
      </c>
      <c r="K11" s="60">
        <v>100460.16</v>
      </c>
      <c r="L11" s="60">
        <v>56746.91</v>
      </c>
      <c r="M11" s="60">
        <v>105828.26</v>
      </c>
      <c r="N11" s="60">
        <v>109901.34</v>
      </c>
      <c r="O11" s="60">
        <v>112128.55</v>
      </c>
      <c r="P11" s="60">
        <v>112586.13</v>
      </c>
    </row>
    <row r="12" spans="2:17" x14ac:dyDescent="0.3">
      <c r="B12" s="58" t="s">
        <v>4</v>
      </c>
      <c r="C12" s="59" t="s">
        <v>306</v>
      </c>
      <c r="D12" s="60">
        <v>38592</v>
      </c>
      <c r="E12" s="60">
        <v>38592</v>
      </c>
      <c r="F12" s="60">
        <v>162301.38</v>
      </c>
      <c r="G12" s="60">
        <v>92572.91</v>
      </c>
      <c r="H12" s="60">
        <v>92572.91</v>
      </c>
      <c r="I12" s="60">
        <v>92572.91</v>
      </c>
      <c r="J12" s="60">
        <v>97201.55</v>
      </c>
      <c r="K12" s="60">
        <v>97201.55</v>
      </c>
      <c r="L12" s="60">
        <v>85429.2</v>
      </c>
      <c r="M12" s="60">
        <v>-2645.89</v>
      </c>
      <c r="N12" s="60">
        <v>72242.19</v>
      </c>
      <c r="O12" s="60">
        <v>127642.09</v>
      </c>
      <c r="P12" s="60">
        <v>72242.19</v>
      </c>
    </row>
    <row r="13" spans="2:17" x14ac:dyDescent="0.3">
      <c r="B13" s="58" t="s">
        <v>4</v>
      </c>
      <c r="C13" s="59" t="s">
        <v>307</v>
      </c>
      <c r="D13" s="60">
        <v>0</v>
      </c>
      <c r="E13" s="60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</row>
    <row r="14" spans="2:17" x14ac:dyDescent="0.3">
      <c r="B14" s="58" t="s">
        <v>4</v>
      </c>
      <c r="C14" s="59" t="s">
        <v>308</v>
      </c>
      <c r="D14" s="60">
        <v>1825.56</v>
      </c>
      <c r="E14" s="60">
        <v>1985.47</v>
      </c>
      <c r="F14" s="60">
        <v>1496.32</v>
      </c>
      <c r="G14" s="60">
        <v>1563.5</v>
      </c>
      <c r="H14" s="60">
        <v>1315.6</v>
      </c>
      <c r="I14" s="60">
        <v>1217.52</v>
      </c>
      <c r="J14" s="60">
        <v>1155.6199999999999</v>
      </c>
      <c r="K14" s="60">
        <v>2659.4</v>
      </c>
      <c r="L14" s="60">
        <v>689.48</v>
      </c>
      <c r="M14" s="60">
        <v>568.02</v>
      </c>
      <c r="N14" s="60">
        <v>857.74</v>
      </c>
      <c r="O14" s="60">
        <v>1336.8</v>
      </c>
      <c r="P14" s="60">
        <v>1264.07</v>
      </c>
    </row>
    <row r="15" spans="2:17" x14ac:dyDescent="0.3">
      <c r="B15" s="58" t="s">
        <v>4</v>
      </c>
      <c r="C15" s="59" t="s">
        <v>309</v>
      </c>
      <c r="D15" s="60">
        <v>0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</row>
    <row r="16" spans="2:17" x14ac:dyDescent="0.3">
      <c r="B16" s="58" t="s">
        <v>4</v>
      </c>
      <c r="C16" s="59" t="s">
        <v>310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</row>
    <row r="17" spans="2:16" x14ac:dyDescent="0.3">
      <c r="B17" s="58" t="s">
        <v>4</v>
      </c>
      <c r="C17" s="59" t="s">
        <v>311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</row>
    <row r="18" spans="2:16" x14ac:dyDescent="0.3">
      <c r="B18" s="58" t="s">
        <v>4</v>
      </c>
      <c r="C18" s="59" t="s">
        <v>312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</row>
    <row r="19" spans="2:16" x14ac:dyDescent="0.3">
      <c r="B19" s="58" t="s">
        <v>4</v>
      </c>
      <c r="C19" s="59" t="s">
        <v>313</v>
      </c>
      <c r="D19" s="60">
        <v>0</v>
      </c>
      <c r="E19" s="60">
        <v>-69.400000000000006</v>
      </c>
      <c r="F19" s="60">
        <v>-780.8</v>
      </c>
      <c r="G19" s="60">
        <v>-590.58000000000004</v>
      </c>
      <c r="H19" s="60">
        <v>0</v>
      </c>
      <c r="I19" s="60">
        <v>0</v>
      </c>
      <c r="J19" s="60">
        <v>-434.65</v>
      </c>
      <c r="K19" s="60">
        <v>-317.97000000000003</v>
      </c>
      <c r="L19" s="60">
        <v>-828.22</v>
      </c>
      <c r="M19" s="60">
        <v>-140.97999999999999</v>
      </c>
      <c r="N19" s="60">
        <v>-21.99</v>
      </c>
      <c r="O19" s="60">
        <v>-41.99</v>
      </c>
      <c r="P19" s="60">
        <v>-517.89</v>
      </c>
    </row>
    <row r="20" spans="2:16" x14ac:dyDescent="0.3">
      <c r="B20" s="58" t="s">
        <v>4</v>
      </c>
      <c r="C20" s="59" t="s">
        <v>314</v>
      </c>
      <c r="D20" s="60">
        <v>-1427.29</v>
      </c>
      <c r="E20" s="60">
        <v>-966.96</v>
      </c>
      <c r="F20" s="60">
        <v>-1604.83</v>
      </c>
      <c r="G20" s="60">
        <v>-2189.37</v>
      </c>
      <c r="H20" s="60">
        <v>-1666.45</v>
      </c>
      <c r="I20" s="60">
        <v>-2589.04</v>
      </c>
      <c r="J20" s="60">
        <v>-1498.42</v>
      </c>
      <c r="K20" s="60">
        <v>-3506.87</v>
      </c>
      <c r="L20" s="60">
        <v>-2471.5500000000002</v>
      </c>
      <c r="M20" s="60">
        <v>-2582.0300000000002</v>
      </c>
      <c r="N20" s="60">
        <v>-2404.15</v>
      </c>
      <c r="O20" s="60">
        <v>-10823.34</v>
      </c>
      <c r="P20" s="60">
        <v>-3262.29</v>
      </c>
    </row>
    <row r="21" spans="2:16" x14ac:dyDescent="0.3">
      <c r="B21" s="58" t="s">
        <v>4</v>
      </c>
      <c r="C21" s="59" t="s">
        <v>315</v>
      </c>
      <c r="D21" s="60">
        <v>-556.88</v>
      </c>
      <c r="E21" s="60">
        <v>-781.58</v>
      </c>
      <c r="F21" s="60">
        <v>-4150.75</v>
      </c>
      <c r="G21" s="60">
        <v>-1252.95</v>
      </c>
      <c r="H21" s="60">
        <v>-1891.96</v>
      </c>
      <c r="I21" s="60">
        <v>-2264.23</v>
      </c>
      <c r="J21" s="60">
        <v>-751.52</v>
      </c>
      <c r="K21" s="60">
        <v>-582.80999999999995</v>
      </c>
      <c r="L21" s="60">
        <v>-2899.87</v>
      </c>
      <c r="M21" s="60">
        <v>-2431.16</v>
      </c>
      <c r="N21" s="60">
        <v>-957.5</v>
      </c>
      <c r="O21" s="60">
        <v>-1868.42</v>
      </c>
      <c r="P21" s="60">
        <v>-382.08</v>
      </c>
    </row>
    <row r="22" spans="2:16" x14ac:dyDescent="0.3">
      <c r="B22" s="47" t="s">
        <v>4</v>
      </c>
      <c r="C22" s="61" t="s">
        <v>199</v>
      </c>
      <c r="D22" s="62">
        <v>138199.04999999999</v>
      </c>
      <c r="E22" s="62">
        <v>137900.35999999999</v>
      </c>
      <c r="F22" s="62">
        <v>258567.11</v>
      </c>
      <c r="G22" s="62">
        <v>188529.38</v>
      </c>
      <c r="H22" s="62">
        <v>188433.89</v>
      </c>
      <c r="I22" s="62">
        <v>189429.22</v>
      </c>
      <c r="J22" s="62">
        <v>195164.59</v>
      </c>
      <c r="K22" s="62">
        <v>195913.46</v>
      </c>
      <c r="L22" s="62">
        <v>136665.95000000001</v>
      </c>
      <c r="M22" s="62">
        <v>98596.22</v>
      </c>
      <c r="N22" s="62">
        <v>179617.63</v>
      </c>
      <c r="O22" s="62">
        <v>228373.69</v>
      </c>
      <c r="P22" s="62">
        <v>181930.13</v>
      </c>
    </row>
    <row r="23" spans="2:16" x14ac:dyDescent="0.3">
      <c r="B23" s="58" t="s">
        <v>4</v>
      </c>
      <c r="C23" s="59" t="s">
        <v>316</v>
      </c>
      <c r="D23" s="60">
        <v>87</v>
      </c>
      <c r="E23" s="60">
        <v>58</v>
      </c>
      <c r="F23" s="60">
        <v>406</v>
      </c>
      <c r="G23" s="60">
        <v>377</v>
      </c>
      <c r="H23" s="60">
        <v>319</v>
      </c>
      <c r="I23" s="60">
        <v>522</v>
      </c>
      <c r="J23" s="60">
        <v>667</v>
      </c>
      <c r="K23" s="60">
        <v>667</v>
      </c>
      <c r="L23" s="60">
        <v>1102</v>
      </c>
      <c r="M23" s="60">
        <v>1595</v>
      </c>
      <c r="N23" s="60">
        <v>1595</v>
      </c>
      <c r="O23" s="60">
        <v>493</v>
      </c>
      <c r="P23" s="60">
        <v>1073</v>
      </c>
    </row>
    <row r="24" spans="2:16" x14ac:dyDescent="0.3">
      <c r="B24" s="58" t="s">
        <v>4</v>
      </c>
      <c r="C24" s="59" t="s">
        <v>317</v>
      </c>
      <c r="D24" s="60">
        <v>-29</v>
      </c>
      <c r="E24" s="60">
        <v>0</v>
      </c>
      <c r="F24" s="60">
        <v>-29</v>
      </c>
      <c r="G24" s="60">
        <v>0</v>
      </c>
      <c r="H24" s="60">
        <v>0</v>
      </c>
      <c r="I24" s="60">
        <v>-29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</row>
    <row r="25" spans="2:16" x14ac:dyDescent="0.3">
      <c r="B25" s="47" t="s">
        <v>4</v>
      </c>
      <c r="C25" s="61" t="s">
        <v>202</v>
      </c>
      <c r="D25" s="62">
        <v>58</v>
      </c>
      <c r="E25" s="62">
        <v>58</v>
      </c>
      <c r="F25" s="62">
        <v>377</v>
      </c>
      <c r="G25" s="62">
        <v>377</v>
      </c>
      <c r="H25" s="62">
        <v>319</v>
      </c>
      <c r="I25" s="62">
        <v>493</v>
      </c>
      <c r="J25" s="62">
        <v>667</v>
      </c>
      <c r="K25" s="62">
        <v>667</v>
      </c>
      <c r="L25" s="62">
        <v>1102</v>
      </c>
      <c r="M25" s="62">
        <v>1595</v>
      </c>
      <c r="N25" s="62">
        <v>1595</v>
      </c>
      <c r="O25" s="62">
        <v>493</v>
      </c>
      <c r="P25" s="62">
        <v>1073</v>
      </c>
    </row>
    <row r="26" spans="2:16" x14ac:dyDescent="0.3">
      <c r="B26" s="58" t="s">
        <v>4</v>
      </c>
      <c r="C26" s="59" t="s">
        <v>318</v>
      </c>
      <c r="D26" s="60">
        <v>2837.92</v>
      </c>
      <c r="E26" s="60">
        <v>4150.6000000000004</v>
      </c>
      <c r="F26" s="60">
        <v>2879.92</v>
      </c>
      <c r="G26" s="60">
        <v>2557.1999999999998</v>
      </c>
      <c r="H26" s="60">
        <v>2644.6</v>
      </c>
      <c r="I26" s="60">
        <v>2346.1999999999998</v>
      </c>
      <c r="J26" s="60">
        <v>3001.28</v>
      </c>
      <c r="K26" s="60">
        <v>2878.6</v>
      </c>
      <c r="L26" s="60">
        <v>3243.4</v>
      </c>
      <c r="M26" s="60">
        <v>2218.98</v>
      </c>
      <c r="N26" s="60">
        <v>2590.44</v>
      </c>
      <c r="O26" s="60">
        <v>2948.47</v>
      </c>
      <c r="P26" s="60">
        <v>2468.4</v>
      </c>
    </row>
    <row r="27" spans="2:16" x14ac:dyDescent="0.3">
      <c r="B27" s="58" t="s">
        <v>4</v>
      </c>
      <c r="C27" s="59" t="s">
        <v>319</v>
      </c>
      <c r="D27" s="60">
        <v>-337.4</v>
      </c>
      <c r="E27" s="60">
        <v>-275.60000000000002</v>
      </c>
      <c r="F27" s="60">
        <v>-64.8</v>
      </c>
      <c r="G27" s="60">
        <v>-405.2</v>
      </c>
      <c r="H27" s="60">
        <v>-139.19999999999999</v>
      </c>
      <c r="I27" s="60">
        <v>-77.2</v>
      </c>
      <c r="J27" s="60">
        <v>-336</v>
      </c>
      <c r="K27" s="60">
        <v>-75</v>
      </c>
      <c r="L27" s="60">
        <v>-258.39999999999998</v>
      </c>
      <c r="M27" s="60">
        <v>-487.8</v>
      </c>
      <c r="N27" s="60">
        <v>-208.88</v>
      </c>
      <c r="O27" s="60">
        <v>-118</v>
      </c>
      <c r="P27" s="60">
        <v>0</v>
      </c>
    </row>
    <row r="28" spans="2:16" x14ac:dyDescent="0.3">
      <c r="B28" s="47" t="s">
        <v>4</v>
      </c>
      <c r="C28" s="61" t="s">
        <v>205</v>
      </c>
      <c r="D28" s="62">
        <v>2500.52</v>
      </c>
      <c r="E28" s="62">
        <v>3875</v>
      </c>
      <c r="F28" s="62">
        <v>2815.12</v>
      </c>
      <c r="G28" s="62">
        <v>2152</v>
      </c>
      <c r="H28" s="62">
        <v>2505.4</v>
      </c>
      <c r="I28" s="62">
        <v>2269</v>
      </c>
      <c r="J28" s="62">
        <v>2665.28</v>
      </c>
      <c r="K28" s="62">
        <v>2803.6</v>
      </c>
      <c r="L28" s="62">
        <v>2985</v>
      </c>
      <c r="M28" s="62">
        <v>1731.18</v>
      </c>
      <c r="N28" s="62">
        <v>2381.56</v>
      </c>
      <c r="O28" s="62">
        <v>2830.47</v>
      </c>
      <c r="P28" s="62">
        <v>2468.4</v>
      </c>
    </row>
    <row r="29" spans="2:16" x14ac:dyDescent="0.3">
      <c r="B29" s="58" t="s">
        <v>4</v>
      </c>
      <c r="C29" s="59" t="s">
        <v>320</v>
      </c>
      <c r="D29" s="60">
        <v>14</v>
      </c>
      <c r="E29" s="60">
        <v>4</v>
      </c>
      <c r="F29" s="60">
        <v>26</v>
      </c>
      <c r="G29" s="60">
        <v>36</v>
      </c>
      <c r="H29" s="60">
        <v>5</v>
      </c>
      <c r="I29" s="60">
        <v>26</v>
      </c>
      <c r="J29" s="60">
        <v>56</v>
      </c>
      <c r="K29" s="60">
        <v>66</v>
      </c>
      <c r="L29" s="60">
        <v>91</v>
      </c>
      <c r="M29" s="60">
        <v>55</v>
      </c>
      <c r="N29" s="60">
        <v>26</v>
      </c>
      <c r="O29" s="60">
        <v>56</v>
      </c>
      <c r="P29" s="60">
        <v>46</v>
      </c>
    </row>
    <row r="30" spans="2:16" x14ac:dyDescent="0.3">
      <c r="B30" s="58" t="s">
        <v>4</v>
      </c>
      <c r="C30" s="59" t="s">
        <v>321</v>
      </c>
      <c r="D30" s="60">
        <v>-10</v>
      </c>
      <c r="E30" s="60">
        <v>0</v>
      </c>
      <c r="F30" s="60">
        <v>-10</v>
      </c>
      <c r="G30" s="60">
        <v>0</v>
      </c>
      <c r="H30" s="60">
        <v>0</v>
      </c>
      <c r="I30" s="60">
        <v>-20</v>
      </c>
      <c r="J30" s="60">
        <v>-10</v>
      </c>
      <c r="K30" s="60">
        <v>-10</v>
      </c>
      <c r="L30" s="60">
        <v>-55</v>
      </c>
      <c r="M30" s="60">
        <v>-21</v>
      </c>
      <c r="N30" s="60">
        <v>-10</v>
      </c>
      <c r="O30" s="60">
        <v>-10</v>
      </c>
      <c r="P30" s="60">
        <v>-10</v>
      </c>
    </row>
    <row r="31" spans="2:16" x14ac:dyDescent="0.3">
      <c r="B31" s="47" t="s">
        <v>4</v>
      </c>
      <c r="C31" s="61" t="s">
        <v>208</v>
      </c>
      <c r="D31" s="62">
        <v>4</v>
      </c>
      <c r="E31" s="62">
        <v>4</v>
      </c>
      <c r="F31" s="62">
        <v>16</v>
      </c>
      <c r="G31" s="62">
        <v>36</v>
      </c>
      <c r="H31" s="62">
        <v>5</v>
      </c>
      <c r="I31" s="62">
        <v>6</v>
      </c>
      <c r="J31" s="62">
        <v>46</v>
      </c>
      <c r="K31" s="62">
        <v>56</v>
      </c>
      <c r="L31" s="62">
        <v>36</v>
      </c>
      <c r="M31" s="62">
        <v>34</v>
      </c>
      <c r="N31" s="62">
        <v>16</v>
      </c>
      <c r="O31" s="62">
        <v>46</v>
      </c>
      <c r="P31" s="62">
        <v>36</v>
      </c>
    </row>
    <row r="32" spans="2:16" x14ac:dyDescent="0.3">
      <c r="B32" s="58" t="s">
        <v>4</v>
      </c>
      <c r="C32" s="59" t="s">
        <v>322</v>
      </c>
      <c r="D32" s="60">
        <v>63.96</v>
      </c>
      <c r="E32" s="60">
        <v>55.79</v>
      </c>
      <c r="F32" s="60">
        <v>173.5</v>
      </c>
      <c r="G32" s="60">
        <v>238.78</v>
      </c>
      <c r="H32" s="60">
        <v>290.07</v>
      </c>
      <c r="I32" s="60">
        <v>337.43</v>
      </c>
      <c r="J32" s="60">
        <v>392.01</v>
      </c>
      <c r="K32" s="60">
        <v>403.29</v>
      </c>
      <c r="L32" s="60">
        <v>877.63</v>
      </c>
      <c r="M32" s="60">
        <v>1147.24</v>
      </c>
      <c r="N32" s="60">
        <v>1129.6199999999999</v>
      </c>
      <c r="O32" s="60">
        <v>493.23</v>
      </c>
      <c r="P32" s="60">
        <v>805.18</v>
      </c>
    </row>
    <row r="33" spans="2:16" x14ac:dyDescent="0.3">
      <c r="B33" s="58" t="s">
        <v>4</v>
      </c>
      <c r="C33" s="59" t="s">
        <v>323</v>
      </c>
      <c r="D33" s="60">
        <v>0</v>
      </c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</row>
    <row r="34" spans="2:16" x14ac:dyDescent="0.3">
      <c r="B34" s="47" t="s">
        <v>4</v>
      </c>
      <c r="C34" s="61" t="s">
        <v>211</v>
      </c>
      <c r="D34" s="62">
        <v>63.96</v>
      </c>
      <c r="E34" s="62">
        <v>55.79</v>
      </c>
      <c r="F34" s="62">
        <v>173.5</v>
      </c>
      <c r="G34" s="62">
        <v>238.78</v>
      </c>
      <c r="H34" s="62">
        <v>290.07</v>
      </c>
      <c r="I34" s="62">
        <v>337.43</v>
      </c>
      <c r="J34" s="62">
        <v>392.01</v>
      </c>
      <c r="K34" s="62">
        <v>403.29</v>
      </c>
      <c r="L34" s="62">
        <v>877.63</v>
      </c>
      <c r="M34" s="62">
        <v>1147.24</v>
      </c>
      <c r="N34" s="62">
        <v>1129.6199999999999</v>
      </c>
      <c r="O34" s="62">
        <v>493.23</v>
      </c>
      <c r="P34" s="62">
        <v>805.18</v>
      </c>
    </row>
    <row r="35" spans="2:16" x14ac:dyDescent="0.3">
      <c r="B35" s="45" t="s">
        <v>4</v>
      </c>
      <c r="C35" s="61" t="s">
        <v>324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</row>
    <row r="36" spans="2:16" x14ac:dyDescent="0.3">
      <c r="B36" s="45" t="s">
        <v>4</v>
      </c>
      <c r="C36" s="61" t="s">
        <v>325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</row>
    <row r="37" spans="2:16" x14ac:dyDescent="0.3">
      <c r="B37" s="45" t="s">
        <v>4</v>
      </c>
      <c r="C37" s="61" t="s">
        <v>326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</row>
    <row r="38" spans="2:16" x14ac:dyDescent="0.3">
      <c r="B38" s="45" t="s">
        <v>4</v>
      </c>
      <c r="C38" s="61" t="s">
        <v>327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</row>
    <row r="39" spans="2:16" x14ac:dyDescent="0.3">
      <c r="B39" s="45" t="s">
        <v>4</v>
      </c>
      <c r="C39" s="61" t="s">
        <v>328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</row>
    <row r="40" spans="2:16" x14ac:dyDescent="0.3">
      <c r="B40" s="45" t="s">
        <v>4</v>
      </c>
      <c r="C40" s="61" t="s">
        <v>329</v>
      </c>
      <c r="D40" s="63">
        <v>0</v>
      </c>
      <c r="E40" s="63">
        <v>10.95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</row>
    <row r="41" spans="2:16" x14ac:dyDescent="0.3">
      <c r="B41" s="47" t="s">
        <v>4</v>
      </c>
      <c r="C41" s="64" t="s">
        <v>218</v>
      </c>
      <c r="D41" s="65">
        <v>140825.53</v>
      </c>
      <c r="E41" s="65">
        <v>141904.1</v>
      </c>
      <c r="F41" s="65">
        <v>261948.73</v>
      </c>
      <c r="G41" s="65">
        <v>191333.16</v>
      </c>
      <c r="H41" s="65">
        <v>191553.36</v>
      </c>
      <c r="I41" s="65">
        <v>192534.65</v>
      </c>
      <c r="J41" s="65">
        <v>198934.88</v>
      </c>
      <c r="K41" s="65">
        <v>199843.35</v>
      </c>
      <c r="L41" s="65">
        <v>141666.57999999999</v>
      </c>
      <c r="M41" s="65">
        <v>103103.64</v>
      </c>
      <c r="N41" s="65">
        <v>184739.81</v>
      </c>
      <c r="O41" s="65">
        <v>232236.39</v>
      </c>
      <c r="P41" s="65">
        <v>186312.71</v>
      </c>
    </row>
    <row r="42" spans="2:16" x14ac:dyDescent="0.3">
      <c r="B42" s="58" t="s">
        <v>4</v>
      </c>
      <c r="C42" s="59" t="s">
        <v>330</v>
      </c>
      <c r="D42" s="60">
        <v>4425.17</v>
      </c>
      <c r="E42" s="60">
        <v>4145.0200000000004</v>
      </c>
      <c r="F42" s="60">
        <v>4608.62</v>
      </c>
      <c r="G42" s="60">
        <v>6754.26</v>
      </c>
      <c r="H42" s="60">
        <v>4654.1099999999997</v>
      </c>
      <c r="I42" s="60">
        <v>5197.07</v>
      </c>
      <c r="J42" s="60">
        <v>5199.1000000000004</v>
      </c>
      <c r="K42" s="60">
        <v>5432.67</v>
      </c>
      <c r="L42" s="60">
        <v>5149.04</v>
      </c>
      <c r="M42" s="60">
        <v>6508.78</v>
      </c>
      <c r="N42" s="60">
        <v>6025.5</v>
      </c>
      <c r="O42" s="60">
        <v>6102.43</v>
      </c>
      <c r="P42" s="60">
        <v>6463.32</v>
      </c>
    </row>
    <row r="43" spans="2:16" x14ac:dyDescent="0.3">
      <c r="B43" s="58" t="s">
        <v>4</v>
      </c>
      <c r="C43" s="59" t="s">
        <v>331</v>
      </c>
      <c r="D43" s="60">
        <v>5.79</v>
      </c>
      <c r="E43" s="60">
        <v>59.46</v>
      </c>
      <c r="F43" s="60">
        <v>37.049999999999997</v>
      </c>
      <c r="G43" s="60">
        <v>191.35</v>
      </c>
      <c r="H43" s="60">
        <v>302.04000000000002</v>
      </c>
      <c r="I43" s="60">
        <v>66.7</v>
      </c>
      <c r="J43" s="60">
        <v>5.39</v>
      </c>
      <c r="K43" s="60">
        <v>159.88</v>
      </c>
      <c r="L43" s="60">
        <v>100.26</v>
      </c>
      <c r="M43" s="60">
        <v>106.29</v>
      </c>
      <c r="N43" s="60">
        <v>81.290000000000006</v>
      </c>
      <c r="O43" s="60">
        <v>23.63</v>
      </c>
      <c r="P43" s="60">
        <v>17.64</v>
      </c>
    </row>
    <row r="44" spans="2:16" x14ac:dyDescent="0.3">
      <c r="B44" s="58" t="s">
        <v>4</v>
      </c>
      <c r="C44" s="59" t="s">
        <v>332</v>
      </c>
      <c r="D44" s="60">
        <v>222.31</v>
      </c>
      <c r="E44" s="60">
        <v>215.51</v>
      </c>
      <c r="F44" s="60">
        <v>239.2</v>
      </c>
      <c r="G44" s="60">
        <v>287.58</v>
      </c>
      <c r="H44" s="60">
        <v>594.02</v>
      </c>
      <c r="I44" s="60">
        <v>840.85</v>
      </c>
      <c r="J44" s="60">
        <v>199.59</v>
      </c>
      <c r="K44" s="60">
        <v>283.85000000000002</v>
      </c>
      <c r="L44" s="60">
        <v>283.47000000000003</v>
      </c>
      <c r="M44" s="60">
        <v>312</v>
      </c>
      <c r="N44" s="60">
        <v>426.94</v>
      </c>
      <c r="O44" s="60">
        <v>317.64</v>
      </c>
      <c r="P44" s="60">
        <v>282.31</v>
      </c>
    </row>
    <row r="45" spans="2:16" x14ac:dyDescent="0.3">
      <c r="B45" s="58" t="s">
        <v>4</v>
      </c>
      <c r="C45" s="59" t="s">
        <v>333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</row>
    <row r="46" spans="2:16" x14ac:dyDescent="0.3">
      <c r="B46" s="58" t="s">
        <v>4</v>
      </c>
      <c r="C46" s="59" t="s">
        <v>334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300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</row>
    <row r="47" spans="2:16" x14ac:dyDescent="0.3">
      <c r="B47" s="58" t="s">
        <v>4</v>
      </c>
      <c r="C47" s="59" t="s">
        <v>335</v>
      </c>
      <c r="D47" s="60">
        <v>0</v>
      </c>
      <c r="E47" s="60">
        <v>0</v>
      </c>
      <c r="F47" s="60">
        <v>0</v>
      </c>
      <c r="G47" s="60">
        <v>10.57</v>
      </c>
      <c r="H47" s="60">
        <v>0.15</v>
      </c>
      <c r="I47" s="60">
        <v>5.57</v>
      </c>
      <c r="J47" s="60">
        <v>0.14000000000000001</v>
      </c>
      <c r="K47" s="60">
        <v>0.5</v>
      </c>
      <c r="L47" s="60">
        <v>0</v>
      </c>
      <c r="M47" s="60">
        <v>0</v>
      </c>
      <c r="N47" s="60">
        <v>0</v>
      </c>
      <c r="O47" s="60">
        <v>0</v>
      </c>
      <c r="P47" s="60">
        <v>70.59</v>
      </c>
    </row>
    <row r="48" spans="2:16" x14ac:dyDescent="0.3">
      <c r="B48" s="58" t="s">
        <v>4</v>
      </c>
      <c r="C48" s="59" t="s">
        <v>336</v>
      </c>
      <c r="D48" s="60">
        <v>0</v>
      </c>
      <c r="E48" s="60">
        <v>0</v>
      </c>
      <c r="F48" s="60">
        <v>0</v>
      </c>
      <c r="G48" s="60">
        <v>-400</v>
      </c>
      <c r="H48" s="60">
        <v>-600</v>
      </c>
      <c r="I48" s="60">
        <v>-400</v>
      </c>
      <c r="J48" s="60">
        <v>-200</v>
      </c>
      <c r="K48" s="60">
        <v>-600</v>
      </c>
      <c r="L48" s="60">
        <v>0</v>
      </c>
      <c r="M48" s="60">
        <v>0</v>
      </c>
      <c r="N48" s="60">
        <v>200</v>
      </c>
      <c r="O48" s="60">
        <v>0</v>
      </c>
      <c r="P48" s="60">
        <v>0</v>
      </c>
    </row>
    <row r="49" spans="2:16" x14ac:dyDescent="0.3">
      <c r="B49" s="58" t="s">
        <v>4</v>
      </c>
      <c r="C49" s="59" t="s">
        <v>337</v>
      </c>
      <c r="D49" s="60">
        <v>8.99</v>
      </c>
      <c r="E49" s="60">
        <v>24</v>
      </c>
      <c r="F49" s="60">
        <v>15.99</v>
      </c>
      <c r="G49" s="60">
        <v>112</v>
      </c>
      <c r="H49" s="60">
        <v>130</v>
      </c>
      <c r="I49" s="60">
        <v>110</v>
      </c>
      <c r="J49" s="60">
        <v>180</v>
      </c>
      <c r="K49" s="60">
        <v>230</v>
      </c>
      <c r="L49" s="60">
        <v>240.01</v>
      </c>
      <c r="M49" s="60">
        <v>380</v>
      </c>
      <c r="N49" s="60">
        <v>549.99</v>
      </c>
      <c r="O49" s="60">
        <v>550</v>
      </c>
      <c r="P49" s="60">
        <v>169.99</v>
      </c>
    </row>
    <row r="50" spans="2:16" x14ac:dyDescent="0.3">
      <c r="B50" s="58" t="s">
        <v>4</v>
      </c>
      <c r="C50" s="59" t="s">
        <v>338</v>
      </c>
      <c r="D50" s="60">
        <v>0</v>
      </c>
      <c r="E50" s="60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</row>
    <row r="51" spans="2:16" x14ac:dyDescent="0.3">
      <c r="B51" s="58" t="s">
        <v>4</v>
      </c>
      <c r="C51" s="59" t="s">
        <v>339</v>
      </c>
      <c r="D51" s="60">
        <v>95.64</v>
      </c>
      <c r="E51" s="60">
        <v>74.7</v>
      </c>
      <c r="F51" s="60">
        <v>71.2</v>
      </c>
      <c r="G51" s="60">
        <v>78.52</v>
      </c>
      <c r="H51" s="60">
        <v>117.69</v>
      </c>
      <c r="I51" s="60">
        <v>117.69</v>
      </c>
      <c r="J51" s="60">
        <v>104.38</v>
      </c>
      <c r="K51" s="60">
        <v>89.47</v>
      </c>
      <c r="L51" s="60">
        <v>97.84</v>
      </c>
      <c r="M51" s="60">
        <v>92.49</v>
      </c>
      <c r="N51" s="60">
        <v>117.08</v>
      </c>
      <c r="O51" s="60">
        <v>113.5</v>
      </c>
      <c r="P51" s="60">
        <v>112.06</v>
      </c>
    </row>
    <row r="52" spans="2:16" x14ac:dyDescent="0.3">
      <c r="B52" s="58" t="s">
        <v>4</v>
      </c>
      <c r="C52" s="59" t="s">
        <v>340</v>
      </c>
      <c r="D52" s="60">
        <v>54.23</v>
      </c>
      <c r="E52" s="60">
        <v>82.81</v>
      </c>
      <c r="F52" s="60">
        <v>35</v>
      </c>
      <c r="G52" s="60">
        <v>54.13</v>
      </c>
      <c r="H52" s="60">
        <v>50.15</v>
      </c>
      <c r="I52" s="60">
        <v>43.79</v>
      </c>
      <c r="J52" s="60">
        <v>40.24</v>
      </c>
      <c r="K52" s="60">
        <v>52.62</v>
      </c>
      <c r="L52" s="60">
        <v>54.14</v>
      </c>
      <c r="M52" s="60">
        <v>105.18</v>
      </c>
      <c r="N52" s="60">
        <v>56.4</v>
      </c>
      <c r="O52" s="60">
        <v>57.67</v>
      </c>
      <c r="P52" s="60">
        <v>54.78</v>
      </c>
    </row>
    <row r="53" spans="2:16" x14ac:dyDescent="0.3">
      <c r="B53" s="58" t="s">
        <v>4</v>
      </c>
      <c r="C53" s="59" t="s">
        <v>341</v>
      </c>
      <c r="D53" s="60">
        <v>296.33</v>
      </c>
      <c r="E53" s="60">
        <v>318.18</v>
      </c>
      <c r="F53" s="60">
        <v>376.36</v>
      </c>
      <c r="G53" s="60">
        <v>600.96</v>
      </c>
      <c r="H53" s="60">
        <v>502.71</v>
      </c>
      <c r="I53" s="60">
        <v>560.80999999999995</v>
      </c>
      <c r="J53" s="60">
        <v>586.42999999999995</v>
      </c>
      <c r="K53" s="60">
        <v>532.09</v>
      </c>
      <c r="L53" s="60">
        <v>548.37</v>
      </c>
      <c r="M53" s="60">
        <v>553.75</v>
      </c>
      <c r="N53" s="60">
        <v>517.29</v>
      </c>
      <c r="O53" s="60">
        <v>554.72</v>
      </c>
      <c r="P53" s="60">
        <v>504.77</v>
      </c>
    </row>
    <row r="54" spans="2:16" x14ac:dyDescent="0.3">
      <c r="B54" s="47" t="s">
        <v>4</v>
      </c>
      <c r="C54" s="61" t="s">
        <v>231</v>
      </c>
      <c r="D54" s="62">
        <v>5108.46</v>
      </c>
      <c r="E54" s="62">
        <v>4919.68</v>
      </c>
      <c r="F54" s="62">
        <v>5383.42</v>
      </c>
      <c r="G54" s="62">
        <v>7689.37</v>
      </c>
      <c r="H54" s="62">
        <v>5750.87</v>
      </c>
      <c r="I54" s="62">
        <v>6842.48</v>
      </c>
      <c r="J54" s="62">
        <v>6115.27</v>
      </c>
      <c r="K54" s="62">
        <v>6181.08</v>
      </c>
      <c r="L54" s="62">
        <v>6473.13</v>
      </c>
      <c r="M54" s="62">
        <v>8058.49</v>
      </c>
      <c r="N54" s="62">
        <v>7974.49</v>
      </c>
      <c r="O54" s="62">
        <v>7719.59</v>
      </c>
      <c r="P54" s="62">
        <v>7675.46</v>
      </c>
    </row>
    <row r="55" spans="2:16" x14ac:dyDescent="0.3">
      <c r="B55" s="58" t="s">
        <v>4</v>
      </c>
      <c r="C55" s="59" t="s">
        <v>342</v>
      </c>
      <c r="D55" s="60">
        <v>6859.78</v>
      </c>
      <c r="E55" s="60">
        <v>4961.92</v>
      </c>
      <c r="F55" s="60">
        <v>14109.95</v>
      </c>
      <c r="G55" s="60">
        <v>10140.209999999999</v>
      </c>
      <c r="H55" s="60">
        <v>9457.43</v>
      </c>
      <c r="I55" s="60">
        <v>9379.92</v>
      </c>
      <c r="J55" s="60">
        <v>5127.12</v>
      </c>
      <c r="K55" s="60">
        <v>12695.59</v>
      </c>
      <c r="L55" s="60">
        <v>9287.08</v>
      </c>
      <c r="M55" s="60">
        <v>8928.39</v>
      </c>
      <c r="N55" s="60">
        <v>5838.84</v>
      </c>
      <c r="O55" s="60">
        <v>12037.16</v>
      </c>
      <c r="P55" s="60">
        <v>13021.34</v>
      </c>
    </row>
    <row r="56" spans="2:16" x14ac:dyDescent="0.3">
      <c r="B56" s="58" t="s">
        <v>4</v>
      </c>
      <c r="C56" s="59" t="s">
        <v>343</v>
      </c>
      <c r="D56" s="157">
        <f>D55/D41</f>
        <v>4.8711196045205719E-2</v>
      </c>
      <c r="E56" s="157">
        <f t="shared" ref="E56:P56" si="0">E55/E41</f>
        <v>3.496671343534119E-2</v>
      </c>
      <c r="F56" s="157">
        <f t="shared" si="0"/>
        <v>5.3865311734857431E-2</v>
      </c>
      <c r="G56" s="157">
        <f t="shared" si="0"/>
        <v>5.2997661252236671E-2</v>
      </c>
      <c r="H56" s="157">
        <f t="shared" si="0"/>
        <v>4.9372300230076889E-2</v>
      </c>
      <c r="I56" s="157">
        <f t="shared" si="0"/>
        <v>4.8718087887037478E-2</v>
      </c>
      <c r="J56" s="157">
        <f t="shared" si="0"/>
        <v>2.5772855921495516E-2</v>
      </c>
      <c r="K56" s="157">
        <f t="shared" si="0"/>
        <v>6.3527708077351586E-2</v>
      </c>
      <c r="L56" s="157">
        <f t="shared" si="0"/>
        <v>6.5555898928314649E-2</v>
      </c>
      <c r="M56" s="157">
        <f t="shared" si="0"/>
        <v>8.6596263720660094E-2</v>
      </c>
      <c r="N56" s="157">
        <f t="shared" si="0"/>
        <v>3.1605748647246093E-2</v>
      </c>
      <c r="O56" s="157">
        <f t="shared" si="0"/>
        <v>5.1831498069703885E-2</v>
      </c>
      <c r="P56" s="157">
        <f t="shared" si="0"/>
        <v>6.9889703176986701E-2</v>
      </c>
    </row>
    <row r="57" spans="2:16" x14ac:dyDescent="0.3">
      <c r="B57" s="58" t="s">
        <v>4</v>
      </c>
      <c r="C57" s="59" t="s">
        <v>344</v>
      </c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</row>
    <row r="58" spans="2:16" x14ac:dyDescent="0.3">
      <c r="B58" s="58" t="s">
        <v>4</v>
      </c>
      <c r="C58" s="59" t="s">
        <v>345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</row>
    <row r="59" spans="2:16" x14ac:dyDescent="0.3">
      <c r="B59" s="58" t="s">
        <v>4</v>
      </c>
      <c r="C59" s="59" t="s">
        <v>346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</row>
    <row r="60" spans="2:16" x14ac:dyDescent="0.3">
      <c r="B60" s="47" t="s">
        <v>4</v>
      </c>
      <c r="C60" s="61" t="s">
        <v>237</v>
      </c>
      <c r="D60" s="62">
        <v>6859.78</v>
      </c>
      <c r="E60" s="62">
        <v>4961.92</v>
      </c>
      <c r="F60" s="62">
        <v>14109.95</v>
      </c>
      <c r="G60" s="62">
        <v>10140.209999999999</v>
      </c>
      <c r="H60" s="62">
        <v>9457.43</v>
      </c>
      <c r="I60" s="62">
        <v>9379.92</v>
      </c>
      <c r="J60" s="62">
        <v>5127.12</v>
      </c>
      <c r="K60" s="62">
        <v>12695.59</v>
      </c>
      <c r="L60" s="62">
        <v>9287.08</v>
      </c>
      <c r="M60" s="62">
        <v>8928.39</v>
      </c>
      <c r="N60" s="62">
        <v>5838.84</v>
      </c>
      <c r="O60" s="62">
        <v>12037.16</v>
      </c>
      <c r="P60" s="62">
        <v>13021.34</v>
      </c>
    </row>
    <row r="61" spans="2:16" x14ac:dyDescent="0.3">
      <c r="B61" s="58" t="s">
        <v>4</v>
      </c>
      <c r="C61" s="59" t="s">
        <v>347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</row>
    <row r="62" spans="2:16" x14ac:dyDescent="0.3">
      <c r="B62" s="58" t="s">
        <v>4</v>
      </c>
      <c r="C62" s="59" t="s">
        <v>348</v>
      </c>
      <c r="D62" s="60">
        <v>40.11</v>
      </c>
      <c r="E62" s="60">
        <v>0</v>
      </c>
      <c r="F62" s="60">
        <v>0</v>
      </c>
      <c r="G62" s="60">
        <v>0</v>
      </c>
      <c r="H62" s="60">
        <v>26.75</v>
      </c>
      <c r="I62" s="60">
        <v>6.91</v>
      </c>
      <c r="J62" s="60">
        <v>6.91</v>
      </c>
      <c r="K62" s="60">
        <v>29.37</v>
      </c>
      <c r="L62" s="60">
        <v>508.2</v>
      </c>
      <c r="M62" s="60">
        <v>458.03</v>
      </c>
      <c r="N62" s="60">
        <v>327.45</v>
      </c>
      <c r="O62" s="60">
        <v>15.58</v>
      </c>
      <c r="P62" s="60">
        <v>613.37</v>
      </c>
    </row>
    <row r="63" spans="2:16" x14ac:dyDescent="0.3">
      <c r="B63" s="58" t="s">
        <v>4</v>
      </c>
      <c r="C63" s="59" t="s">
        <v>349</v>
      </c>
      <c r="D63" s="60">
        <v>1538.79</v>
      </c>
      <c r="E63" s="60">
        <v>1993.52</v>
      </c>
      <c r="F63" s="60">
        <v>2036.42</v>
      </c>
      <c r="G63" s="60">
        <v>1897.62</v>
      </c>
      <c r="H63" s="60">
        <v>1885.38</v>
      </c>
      <c r="I63" s="60">
        <v>1931.17</v>
      </c>
      <c r="J63" s="60">
        <v>1676.3</v>
      </c>
      <c r="K63" s="60">
        <v>1728.38</v>
      </c>
      <c r="L63" s="60">
        <v>2163.9</v>
      </c>
      <c r="M63" s="60">
        <v>2491.17</v>
      </c>
      <c r="N63" s="60">
        <v>2784.79</v>
      </c>
      <c r="O63" s="60">
        <v>1754.63</v>
      </c>
      <c r="P63" s="60">
        <v>2483.69</v>
      </c>
    </row>
    <row r="64" spans="2:16" x14ac:dyDescent="0.3">
      <c r="B64" s="47" t="s">
        <v>4</v>
      </c>
      <c r="C64" s="61" t="s">
        <v>241</v>
      </c>
      <c r="D64" s="62">
        <v>1578.9</v>
      </c>
      <c r="E64" s="62">
        <v>1993.52</v>
      </c>
      <c r="F64" s="62">
        <v>2036.42</v>
      </c>
      <c r="G64" s="62">
        <v>1897.62</v>
      </c>
      <c r="H64" s="62">
        <v>1912.13</v>
      </c>
      <c r="I64" s="62">
        <v>1938.08</v>
      </c>
      <c r="J64" s="62">
        <v>1683.21</v>
      </c>
      <c r="K64" s="62">
        <v>1757.75</v>
      </c>
      <c r="L64" s="62">
        <v>2672.1</v>
      </c>
      <c r="M64" s="62">
        <v>2949.2</v>
      </c>
      <c r="N64" s="62">
        <v>3112.24</v>
      </c>
      <c r="O64" s="62">
        <v>1770.21</v>
      </c>
      <c r="P64" s="62">
        <v>3097.06</v>
      </c>
    </row>
    <row r="65" spans="2:16" x14ac:dyDescent="0.3">
      <c r="B65" s="58" t="s">
        <v>4</v>
      </c>
      <c r="C65" s="59" t="s">
        <v>350</v>
      </c>
      <c r="D65" s="60">
        <v>4379.93</v>
      </c>
      <c r="E65" s="60">
        <v>6848.77</v>
      </c>
      <c r="F65" s="60">
        <v>2927.14</v>
      </c>
      <c r="G65" s="60">
        <v>3557.8</v>
      </c>
      <c r="H65" s="60">
        <v>2854.64</v>
      </c>
      <c r="I65" s="60">
        <v>2475.27</v>
      </c>
      <c r="J65" s="60">
        <v>8.77</v>
      </c>
      <c r="K65" s="60">
        <v>5492.09</v>
      </c>
      <c r="L65" s="60">
        <v>3573.92</v>
      </c>
      <c r="M65" s="60">
        <v>3340.4</v>
      </c>
      <c r="N65" s="60">
        <v>3874.83</v>
      </c>
      <c r="O65" s="60">
        <v>4829.34</v>
      </c>
      <c r="P65" s="60">
        <v>8.8000000000000007</v>
      </c>
    </row>
    <row r="66" spans="2:16" x14ac:dyDescent="0.3">
      <c r="B66" s="58" t="s">
        <v>4</v>
      </c>
      <c r="C66" s="59" t="s">
        <v>351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</row>
    <row r="67" spans="2:16" x14ac:dyDescent="0.3">
      <c r="B67" s="58" t="s">
        <v>4</v>
      </c>
      <c r="C67" s="59" t="s">
        <v>352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</row>
    <row r="68" spans="2:16" x14ac:dyDescent="0.3">
      <c r="B68" s="58" t="s">
        <v>4</v>
      </c>
      <c r="C68" s="59" t="s">
        <v>353</v>
      </c>
      <c r="D68" s="60">
        <v>469.66</v>
      </c>
      <c r="E68" s="60">
        <v>469.71</v>
      </c>
      <c r="F68" s="60">
        <v>469.5</v>
      </c>
      <c r="G68" s="60">
        <v>470.42</v>
      </c>
      <c r="H68" s="60">
        <v>830.5</v>
      </c>
      <c r="I68" s="60">
        <v>591.99</v>
      </c>
      <c r="J68" s="60">
        <v>1445.19</v>
      </c>
      <c r="K68" s="60">
        <v>607.91999999999996</v>
      </c>
      <c r="L68" s="60">
        <v>806.1</v>
      </c>
      <c r="M68" s="60">
        <v>1029.47</v>
      </c>
      <c r="N68" s="60">
        <v>583.29999999999995</v>
      </c>
      <c r="O68" s="60">
        <v>575.15</v>
      </c>
      <c r="P68" s="60">
        <v>640.08000000000004</v>
      </c>
    </row>
    <row r="69" spans="2:16" x14ac:dyDescent="0.3">
      <c r="B69" s="58" t="s">
        <v>4</v>
      </c>
      <c r="C69" s="59" t="s">
        <v>354</v>
      </c>
      <c r="D69" s="60">
        <v>562.79999999999995</v>
      </c>
      <c r="E69" s="60">
        <v>840.27</v>
      </c>
      <c r="F69" s="60">
        <v>780.28</v>
      </c>
      <c r="G69" s="60">
        <v>337.86</v>
      </c>
      <c r="H69" s="60">
        <v>753.76</v>
      </c>
      <c r="I69" s="60">
        <v>743.81</v>
      </c>
      <c r="J69" s="60">
        <v>664.8</v>
      </c>
      <c r="K69" s="60">
        <v>864.53</v>
      </c>
      <c r="L69" s="60">
        <v>12.63</v>
      </c>
      <c r="M69" s="60">
        <v>1353.47</v>
      </c>
      <c r="N69" s="60">
        <v>670.92</v>
      </c>
      <c r="O69" s="60">
        <v>751.78</v>
      </c>
      <c r="P69" s="60">
        <v>731.62</v>
      </c>
    </row>
    <row r="70" spans="2:16" x14ac:dyDescent="0.3">
      <c r="B70" s="58" t="s">
        <v>4</v>
      </c>
      <c r="C70" s="59" t="s">
        <v>355</v>
      </c>
      <c r="D70" s="60">
        <v>280.49</v>
      </c>
      <c r="E70" s="60">
        <v>128.49</v>
      </c>
      <c r="F70" s="60">
        <v>305.49</v>
      </c>
      <c r="G70" s="60">
        <v>130.49</v>
      </c>
      <c r="H70" s="60">
        <v>36.380000000000003</v>
      </c>
      <c r="I70" s="60">
        <v>136.38</v>
      </c>
      <c r="J70" s="60">
        <v>136.38</v>
      </c>
      <c r="K70" s="60">
        <v>136.38</v>
      </c>
      <c r="L70" s="60">
        <v>136.38</v>
      </c>
      <c r="M70" s="60">
        <v>82.38</v>
      </c>
      <c r="N70" s="60">
        <v>234.38</v>
      </c>
      <c r="O70" s="60">
        <v>136.38</v>
      </c>
      <c r="P70" s="60">
        <v>136.38</v>
      </c>
    </row>
    <row r="71" spans="2:16" x14ac:dyDescent="0.3">
      <c r="B71" s="47" t="s">
        <v>4</v>
      </c>
      <c r="C71" s="61" t="s">
        <v>248</v>
      </c>
      <c r="D71" s="62">
        <v>5692.88</v>
      </c>
      <c r="E71" s="62">
        <v>8287.24</v>
      </c>
      <c r="F71" s="62">
        <v>4482.41</v>
      </c>
      <c r="G71" s="62">
        <v>4496.57</v>
      </c>
      <c r="H71" s="62">
        <v>4475.28</v>
      </c>
      <c r="I71" s="62">
        <v>3947.45</v>
      </c>
      <c r="J71" s="62">
        <v>2255.14</v>
      </c>
      <c r="K71" s="62">
        <v>7100.92</v>
      </c>
      <c r="L71" s="62">
        <v>4529.03</v>
      </c>
      <c r="M71" s="62">
        <v>5805.72</v>
      </c>
      <c r="N71" s="62">
        <v>5363.43</v>
      </c>
      <c r="O71" s="62">
        <v>6292.65</v>
      </c>
      <c r="P71" s="62">
        <v>1516.88</v>
      </c>
    </row>
    <row r="72" spans="2:16" x14ac:dyDescent="0.3">
      <c r="B72" s="58" t="s">
        <v>4</v>
      </c>
      <c r="C72" s="59" t="s">
        <v>356</v>
      </c>
      <c r="D72" s="60">
        <v>110.49</v>
      </c>
      <c r="E72" s="60">
        <v>65.540000000000006</v>
      </c>
      <c r="F72" s="60">
        <v>13.41</v>
      </c>
      <c r="G72" s="60">
        <v>186.7</v>
      </c>
      <c r="H72" s="60">
        <v>59.08</v>
      </c>
      <c r="I72" s="60">
        <v>70.400000000000006</v>
      </c>
      <c r="J72" s="60">
        <v>97.53</v>
      </c>
      <c r="K72" s="60">
        <v>122.56</v>
      </c>
      <c r="L72" s="60">
        <v>76.17</v>
      </c>
      <c r="M72" s="60">
        <v>124.46</v>
      </c>
      <c r="N72" s="60">
        <v>207.1</v>
      </c>
      <c r="O72" s="60">
        <v>13.48</v>
      </c>
      <c r="P72" s="60">
        <v>221.88</v>
      </c>
    </row>
    <row r="73" spans="2:16" x14ac:dyDescent="0.3">
      <c r="B73" s="58" t="s">
        <v>4</v>
      </c>
      <c r="C73" s="59" t="s">
        <v>357</v>
      </c>
      <c r="D73" s="60">
        <v>58.84</v>
      </c>
      <c r="E73" s="60">
        <v>67.72</v>
      </c>
      <c r="F73" s="60">
        <v>47.47</v>
      </c>
      <c r="G73" s="60">
        <v>65.78</v>
      </c>
      <c r="H73" s="60">
        <v>39.159999999999997</v>
      </c>
      <c r="I73" s="60">
        <v>45.49</v>
      </c>
      <c r="J73" s="60">
        <v>42.59</v>
      </c>
      <c r="K73" s="60">
        <v>67.17</v>
      </c>
      <c r="L73" s="60">
        <v>51.51</v>
      </c>
      <c r="M73" s="60">
        <v>80.98</v>
      </c>
      <c r="N73" s="60">
        <v>62.83</v>
      </c>
      <c r="O73" s="60">
        <v>54.12</v>
      </c>
      <c r="P73" s="60">
        <v>86.78</v>
      </c>
    </row>
    <row r="74" spans="2:16" x14ac:dyDescent="0.3">
      <c r="B74" s="58" t="s">
        <v>4</v>
      </c>
      <c r="C74" s="59" t="s">
        <v>358</v>
      </c>
      <c r="D74" s="60">
        <v>11.07</v>
      </c>
      <c r="E74" s="60">
        <v>16.82</v>
      </c>
      <c r="F74" s="60">
        <v>104.24</v>
      </c>
      <c r="G74" s="60">
        <v>11.31</v>
      </c>
      <c r="H74" s="60">
        <v>11.96</v>
      </c>
      <c r="I74" s="60">
        <v>3.06</v>
      </c>
      <c r="J74" s="60">
        <v>24.59</v>
      </c>
      <c r="K74" s="60">
        <v>6.03</v>
      </c>
      <c r="L74" s="60">
        <v>8.77</v>
      </c>
      <c r="M74" s="60">
        <v>7.04</v>
      </c>
      <c r="N74" s="60">
        <v>8.32</v>
      </c>
      <c r="O74" s="60">
        <v>5.37</v>
      </c>
      <c r="P74" s="60">
        <v>12.91</v>
      </c>
    </row>
    <row r="75" spans="2:16" x14ac:dyDescent="0.3">
      <c r="B75" s="58" t="s">
        <v>4</v>
      </c>
      <c r="C75" s="59" t="s">
        <v>359</v>
      </c>
      <c r="D75" s="60">
        <v>17.96</v>
      </c>
      <c r="E75" s="60">
        <v>185.88</v>
      </c>
      <c r="F75" s="60">
        <v>40.6</v>
      </c>
      <c r="G75" s="60">
        <v>256.27999999999997</v>
      </c>
      <c r="H75" s="60">
        <v>1.67</v>
      </c>
      <c r="I75" s="60">
        <v>32.1</v>
      </c>
      <c r="J75" s="60">
        <v>157.54</v>
      </c>
      <c r="K75" s="60">
        <v>20.420000000000002</v>
      </c>
      <c r="L75" s="60">
        <v>42.45</v>
      </c>
      <c r="M75" s="60">
        <v>71.67</v>
      </c>
      <c r="N75" s="60">
        <v>141</v>
      </c>
      <c r="O75" s="60">
        <v>10</v>
      </c>
      <c r="P75" s="60">
        <v>191.84</v>
      </c>
    </row>
    <row r="76" spans="2:16" x14ac:dyDescent="0.3">
      <c r="B76" s="58" t="s">
        <v>4</v>
      </c>
      <c r="C76" s="59" t="s">
        <v>360</v>
      </c>
      <c r="D76" s="60">
        <v>13.37</v>
      </c>
      <c r="E76" s="60">
        <v>78</v>
      </c>
      <c r="F76" s="60">
        <v>0</v>
      </c>
      <c r="G76" s="60">
        <v>86.49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102.62</v>
      </c>
      <c r="N76" s="60">
        <v>109.15</v>
      </c>
      <c r="O76" s="60">
        <v>0</v>
      </c>
      <c r="P76" s="60">
        <v>12.27</v>
      </c>
    </row>
    <row r="77" spans="2:16" x14ac:dyDescent="0.3">
      <c r="B77" s="58" t="s">
        <v>4</v>
      </c>
      <c r="C77" s="59" t="s">
        <v>361</v>
      </c>
      <c r="D77" s="60">
        <v>40.54</v>
      </c>
      <c r="E77" s="60">
        <v>85.16</v>
      </c>
      <c r="F77" s="60">
        <v>88.7</v>
      </c>
      <c r="G77" s="60">
        <v>70.08</v>
      </c>
      <c r="H77" s="60">
        <v>42.61</v>
      </c>
      <c r="I77" s="60">
        <v>19.43</v>
      </c>
      <c r="J77" s="60">
        <v>37.799999999999997</v>
      </c>
      <c r="K77" s="60">
        <v>115.5</v>
      </c>
      <c r="L77" s="60">
        <v>29.4</v>
      </c>
      <c r="M77" s="60">
        <v>671.58</v>
      </c>
      <c r="N77" s="60">
        <v>77</v>
      </c>
      <c r="O77" s="60">
        <v>98.7</v>
      </c>
      <c r="P77" s="60">
        <v>35</v>
      </c>
    </row>
    <row r="78" spans="2:16" x14ac:dyDescent="0.3">
      <c r="B78" s="58" t="s">
        <v>4</v>
      </c>
      <c r="C78" s="59" t="s">
        <v>362</v>
      </c>
      <c r="D78" s="60">
        <v>515</v>
      </c>
      <c r="E78" s="60">
        <v>561.33000000000004</v>
      </c>
      <c r="F78" s="60">
        <v>515</v>
      </c>
      <c r="G78" s="60">
        <v>515</v>
      </c>
      <c r="H78" s="60">
        <v>515</v>
      </c>
      <c r="I78" s="60">
        <v>515</v>
      </c>
      <c r="J78" s="60">
        <v>515</v>
      </c>
      <c r="K78" s="60">
        <v>515</v>
      </c>
      <c r="L78" s="60">
        <v>515</v>
      </c>
      <c r="M78" s="60">
        <v>515</v>
      </c>
      <c r="N78" s="60">
        <v>540.78</v>
      </c>
      <c r="O78" s="60">
        <v>515</v>
      </c>
      <c r="P78" s="60">
        <v>515</v>
      </c>
    </row>
    <row r="79" spans="2:16" x14ac:dyDescent="0.3">
      <c r="B79" s="47" t="s">
        <v>4</v>
      </c>
      <c r="C79" s="61" t="s">
        <v>256</v>
      </c>
      <c r="D79" s="62">
        <v>767.27</v>
      </c>
      <c r="E79" s="62">
        <v>1060.45</v>
      </c>
      <c r="F79" s="62">
        <v>809.42</v>
      </c>
      <c r="G79" s="62">
        <v>1191.6400000000001</v>
      </c>
      <c r="H79" s="62">
        <v>669.48</v>
      </c>
      <c r="I79" s="62">
        <v>685.48</v>
      </c>
      <c r="J79" s="62">
        <v>875.05</v>
      </c>
      <c r="K79" s="62">
        <v>846.68</v>
      </c>
      <c r="L79" s="62">
        <v>723.3</v>
      </c>
      <c r="M79" s="62">
        <v>1573.35</v>
      </c>
      <c r="N79" s="62">
        <v>1146.18</v>
      </c>
      <c r="O79" s="62">
        <v>696.67</v>
      </c>
      <c r="P79" s="62">
        <v>1075.68</v>
      </c>
    </row>
    <row r="80" spans="2:16" x14ac:dyDescent="0.3">
      <c r="B80" s="58" t="s">
        <v>4</v>
      </c>
      <c r="C80" s="59" t="s">
        <v>363</v>
      </c>
      <c r="D80" s="60">
        <v>0</v>
      </c>
      <c r="E80" s="60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</row>
    <row r="81" spans="2:16" x14ac:dyDescent="0.3">
      <c r="B81" s="58" t="s">
        <v>4</v>
      </c>
      <c r="C81" s="59" t="s">
        <v>364</v>
      </c>
      <c r="D81" s="60">
        <v>0</v>
      </c>
      <c r="E81" s="60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22.61</v>
      </c>
      <c r="O81" s="60">
        <v>0</v>
      </c>
      <c r="P81" s="60">
        <v>0</v>
      </c>
    </row>
    <row r="82" spans="2:16" x14ac:dyDescent="0.3">
      <c r="B82" s="58" t="s">
        <v>4</v>
      </c>
      <c r="C82" s="59" t="s">
        <v>365</v>
      </c>
      <c r="D82" s="60">
        <v>70</v>
      </c>
      <c r="E82" s="60">
        <v>70</v>
      </c>
      <c r="F82" s="60">
        <v>70</v>
      </c>
      <c r="G82" s="60">
        <v>70</v>
      </c>
      <c r="H82" s="60">
        <v>70</v>
      </c>
      <c r="I82" s="60">
        <v>51.07</v>
      </c>
      <c r="J82" s="60">
        <v>197.9</v>
      </c>
      <c r="K82" s="60">
        <v>2468</v>
      </c>
      <c r="L82" s="60">
        <v>68</v>
      </c>
      <c r="M82" s="60">
        <v>357.71</v>
      </c>
      <c r="N82" s="60">
        <v>68</v>
      </c>
      <c r="O82" s="60">
        <v>68</v>
      </c>
      <c r="P82" s="60">
        <v>68</v>
      </c>
    </row>
    <row r="83" spans="2:16" x14ac:dyDescent="0.3">
      <c r="B83" s="58" t="s">
        <v>4</v>
      </c>
      <c r="C83" s="59" t="s">
        <v>366</v>
      </c>
      <c r="D83" s="60">
        <v>1854.39</v>
      </c>
      <c r="E83" s="60">
        <v>1797.21</v>
      </c>
      <c r="F83" s="60">
        <v>1802.12</v>
      </c>
      <c r="G83" s="60">
        <v>1754.7</v>
      </c>
      <c r="H83" s="60">
        <v>2023.24</v>
      </c>
      <c r="I83" s="60">
        <v>1831.03</v>
      </c>
      <c r="J83" s="60">
        <v>1852.22</v>
      </c>
      <c r="K83" s="60">
        <v>1864.63</v>
      </c>
      <c r="L83" s="60">
        <v>1783.78</v>
      </c>
      <c r="M83" s="60">
        <v>2373.89</v>
      </c>
      <c r="N83" s="60">
        <v>2105.83</v>
      </c>
      <c r="O83" s="60">
        <v>2380.2600000000002</v>
      </c>
      <c r="P83" s="60">
        <v>1981.39</v>
      </c>
    </row>
    <row r="84" spans="2:16" x14ac:dyDescent="0.3">
      <c r="B84" s="47" t="s">
        <v>4</v>
      </c>
      <c r="C84" s="61" t="s">
        <v>261</v>
      </c>
      <c r="D84" s="62">
        <v>1924.39</v>
      </c>
      <c r="E84" s="62">
        <v>1867.21</v>
      </c>
      <c r="F84" s="62">
        <v>1872.12</v>
      </c>
      <c r="G84" s="62">
        <v>1824.7</v>
      </c>
      <c r="H84" s="62">
        <v>2093.2399999999998</v>
      </c>
      <c r="I84" s="62">
        <v>1882.1</v>
      </c>
      <c r="J84" s="62">
        <v>2050.12</v>
      </c>
      <c r="K84" s="62">
        <v>4332.63</v>
      </c>
      <c r="L84" s="62">
        <v>1851.78</v>
      </c>
      <c r="M84" s="62">
        <v>2731.6</v>
      </c>
      <c r="N84" s="62">
        <v>2196.44</v>
      </c>
      <c r="O84" s="62">
        <v>2448.2600000000002</v>
      </c>
      <c r="P84" s="62">
        <v>2049.39</v>
      </c>
    </row>
    <row r="85" spans="2:16" x14ac:dyDescent="0.3">
      <c r="B85" s="58" t="s">
        <v>4</v>
      </c>
      <c r="C85" s="59" t="s">
        <v>367</v>
      </c>
      <c r="D85" s="60">
        <v>224.25</v>
      </c>
      <c r="E85" s="60">
        <v>138.30000000000001</v>
      </c>
      <c r="F85" s="60">
        <v>107.66</v>
      </c>
      <c r="G85" s="60">
        <v>87</v>
      </c>
      <c r="H85" s="60">
        <v>107.08</v>
      </c>
      <c r="I85" s="60">
        <v>181.58</v>
      </c>
      <c r="J85" s="60">
        <v>283.38</v>
      </c>
      <c r="K85" s="60">
        <v>-4924.03</v>
      </c>
      <c r="L85" s="60">
        <v>398.59</v>
      </c>
      <c r="M85" s="60">
        <v>364.19</v>
      </c>
      <c r="N85" s="60">
        <v>64.62</v>
      </c>
      <c r="O85" s="60">
        <v>159</v>
      </c>
      <c r="P85" s="60">
        <v>941.12</v>
      </c>
    </row>
    <row r="86" spans="2:16" x14ac:dyDescent="0.3">
      <c r="B86" s="58" t="s">
        <v>4</v>
      </c>
      <c r="C86" s="59" t="s">
        <v>368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</row>
    <row r="87" spans="2:16" x14ac:dyDescent="0.3">
      <c r="B87" s="58" t="s">
        <v>4</v>
      </c>
      <c r="C87" s="59" t="s">
        <v>369</v>
      </c>
      <c r="D87" s="60">
        <v>0</v>
      </c>
      <c r="E87" s="60">
        <v>0</v>
      </c>
      <c r="F87" s="60">
        <v>0</v>
      </c>
      <c r="G87" s="60">
        <v>0</v>
      </c>
      <c r="H87" s="60">
        <v>972.4</v>
      </c>
      <c r="I87" s="60">
        <v>-972.4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246.94</v>
      </c>
      <c r="P87" s="60">
        <v>279</v>
      </c>
    </row>
    <row r="88" spans="2:16" x14ac:dyDescent="0.3">
      <c r="B88" s="58" t="s">
        <v>4</v>
      </c>
      <c r="C88" s="59" t="s">
        <v>370</v>
      </c>
      <c r="D88" s="60">
        <v>1285</v>
      </c>
      <c r="E88" s="60">
        <v>1284.8</v>
      </c>
      <c r="F88" s="60">
        <v>1285</v>
      </c>
      <c r="G88" s="60">
        <v>1284.8</v>
      </c>
      <c r="H88" s="60">
        <v>1285</v>
      </c>
      <c r="I88" s="60">
        <v>1284.5999999999999</v>
      </c>
      <c r="J88" s="60">
        <v>1284.8</v>
      </c>
      <c r="K88" s="60">
        <v>1285</v>
      </c>
      <c r="L88" s="60">
        <v>1284.8</v>
      </c>
      <c r="M88" s="60">
        <v>2145</v>
      </c>
      <c r="N88" s="60">
        <v>1499.6</v>
      </c>
      <c r="O88" s="60">
        <v>1499.8</v>
      </c>
      <c r="P88" s="60">
        <v>1921.6</v>
      </c>
    </row>
    <row r="89" spans="2:16" x14ac:dyDescent="0.3">
      <c r="B89" s="58" t="s">
        <v>4</v>
      </c>
      <c r="C89" s="59" t="s">
        <v>371</v>
      </c>
      <c r="D89" s="60">
        <v>0</v>
      </c>
      <c r="E89" s="60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4245</v>
      </c>
      <c r="M89" s="60">
        <v>0</v>
      </c>
      <c r="N89" s="60">
        <v>0</v>
      </c>
      <c r="O89" s="60">
        <v>0</v>
      </c>
      <c r="P89" s="60">
        <v>0</v>
      </c>
    </row>
    <row r="90" spans="2:16" x14ac:dyDescent="0.3">
      <c r="B90" s="58" t="s">
        <v>4</v>
      </c>
      <c r="C90" s="59" t="s">
        <v>372</v>
      </c>
      <c r="D90" s="60">
        <v>0</v>
      </c>
      <c r="E90" s="60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</row>
    <row r="91" spans="2:16" x14ac:dyDescent="0.3">
      <c r="B91" s="58" t="s">
        <v>4</v>
      </c>
      <c r="C91" s="59" t="s">
        <v>373</v>
      </c>
      <c r="D91" s="60">
        <v>104.13</v>
      </c>
      <c r="E91" s="60">
        <v>104.13</v>
      </c>
      <c r="F91" s="60">
        <v>604.13</v>
      </c>
      <c r="G91" s="60">
        <v>104.13</v>
      </c>
      <c r="H91" s="60">
        <v>104.13</v>
      </c>
      <c r="I91" s="60">
        <v>101.38</v>
      </c>
      <c r="J91" s="60">
        <v>101.38</v>
      </c>
      <c r="K91" s="60">
        <v>123.34</v>
      </c>
      <c r="L91" s="60">
        <v>109.2</v>
      </c>
      <c r="M91" s="60">
        <v>106.45</v>
      </c>
      <c r="N91" s="60">
        <v>106.45</v>
      </c>
      <c r="O91" s="60">
        <v>106.45</v>
      </c>
      <c r="P91" s="60">
        <v>106.45</v>
      </c>
    </row>
    <row r="92" spans="2:16" x14ac:dyDescent="0.3">
      <c r="B92" s="58" t="s">
        <v>4</v>
      </c>
      <c r="C92" s="59" t="s">
        <v>374</v>
      </c>
      <c r="D92" s="60">
        <v>1265.8800000000001</v>
      </c>
      <c r="E92" s="60">
        <v>0</v>
      </c>
      <c r="F92" s="60">
        <v>0</v>
      </c>
      <c r="G92" s="60">
        <v>1265.8800000000001</v>
      </c>
      <c r="H92" s="60">
        <v>997.23</v>
      </c>
      <c r="I92" s="60">
        <v>103.04</v>
      </c>
      <c r="J92" s="60">
        <v>1223.42</v>
      </c>
      <c r="K92" s="60">
        <v>84</v>
      </c>
      <c r="L92" s="60">
        <v>84</v>
      </c>
      <c r="M92" s="60">
        <v>1223.42</v>
      </c>
      <c r="N92" s="60">
        <v>84</v>
      </c>
      <c r="O92" s="60">
        <v>84</v>
      </c>
      <c r="P92" s="60">
        <v>1223.42</v>
      </c>
    </row>
    <row r="93" spans="2:16" x14ac:dyDescent="0.3">
      <c r="B93" s="58" t="s">
        <v>4</v>
      </c>
      <c r="C93" s="59" t="s">
        <v>375</v>
      </c>
      <c r="D93" s="60">
        <v>0</v>
      </c>
      <c r="E93" s="60">
        <v>1297</v>
      </c>
      <c r="F93" s="60">
        <v>164</v>
      </c>
      <c r="G93" s="60">
        <v>200</v>
      </c>
      <c r="H93" s="60">
        <v>0</v>
      </c>
      <c r="I93" s="60">
        <v>0</v>
      </c>
      <c r="J93" s="60">
        <v>0</v>
      </c>
      <c r="K93" s="60">
        <v>0</v>
      </c>
      <c r="L93" s="60">
        <v>202.5</v>
      </c>
      <c r="M93" s="60">
        <v>0</v>
      </c>
      <c r="N93" s="60">
        <v>0</v>
      </c>
      <c r="O93" s="60">
        <v>3458.9</v>
      </c>
      <c r="P93" s="60">
        <v>560.88</v>
      </c>
    </row>
    <row r="94" spans="2:16" x14ac:dyDescent="0.3">
      <c r="B94" s="58" t="s">
        <v>4</v>
      </c>
      <c r="C94" s="59" t="s">
        <v>376</v>
      </c>
      <c r="D94" s="60">
        <v>1153.6500000000001</v>
      </c>
      <c r="E94" s="60">
        <v>971</v>
      </c>
      <c r="F94" s="60">
        <v>1096</v>
      </c>
      <c r="G94" s="60">
        <v>971</v>
      </c>
      <c r="H94" s="60">
        <v>971</v>
      </c>
      <c r="I94" s="60">
        <v>1121</v>
      </c>
      <c r="J94" s="60">
        <v>971</v>
      </c>
      <c r="K94" s="60">
        <v>971</v>
      </c>
      <c r="L94" s="60">
        <v>1125.8</v>
      </c>
      <c r="M94" s="60">
        <v>1216</v>
      </c>
      <c r="N94" s="60">
        <v>1942.3</v>
      </c>
      <c r="O94" s="60">
        <v>5056.55</v>
      </c>
      <c r="P94" s="60">
        <v>1012.95</v>
      </c>
    </row>
    <row r="95" spans="2:16" x14ac:dyDescent="0.3">
      <c r="B95" s="58" t="s">
        <v>4</v>
      </c>
      <c r="C95" s="59" t="s">
        <v>377</v>
      </c>
      <c r="D95" s="60">
        <v>0</v>
      </c>
      <c r="E95" s="60">
        <v>371.98</v>
      </c>
      <c r="F95" s="60">
        <v>0</v>
      </c>
      <c r="G95" s="60">
        <v>-2058.36</v>
      </c>
      <c r="H95" s="60">
        <v>0</v>
      </c>
      <c r="I95" s="60">
        <v>0</v>
      </c>
      <c r="J95" s="60">
        <v>98</v>
      </c>
      <c r="K95" s="60">
        <v>0</v>
      </c>
      <c r="L95" s="60">
        <v>229.43</v>
      </c>
      <c r="M95" s="60">
        <v>0</v>
      </c>
      <c r="N95" s="60">
        <v>220.5</v>
      </c>
      <c r="O95" s="60">
        <v>98</v>
      </c>
      <c r="P95" s="60">
        <v>0</v>
      </c>
    </row>
    <row r="96" spans="2:16" x14ac:dyDescent="0.3">
      <c r="B96" s="58" t="s">
        <v>4</v>
      </c>
      <c r="C96" s="59" t="s">
        <v>378</v>
      </c>
      <c r="D96" s="60">
        <v>0</v>
      </c>
      <c r="E96" s="60">
        <v>586.20000000000005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175</v>
      </c>
      <c r="L96" s="60">
        <v>1162.5999999999999</v>
      </c>
      <c r="M96" s="60">
        <v>0</v>
      </c>
      <c r="N96" s="60">
        <v>0</v>
      </c>
      <c r="O96" s="60">
        <v>0</v>
      </c>
      <c r="P96" s="60">
        <v>1379.99</v>
      </c>
    </row>
    <row r="97" spans="2:16" x14ac:dyDescent="0.3">
      <c r="B97" s="58" t="s">
        <v>4</v>
      </c>
      <c r="C97" s="59" t="s">
        <v>379</v>
      </c>
      <c r="D97" s="60">
        <v>0</v>
      </c>
      <c r="E97" s="60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</row>
    <row r="98" spans="2:16" x14ac:dyDescent="0.3">
      <c r="B98" s="47" t="s">
        <v>4</v>
      </c>
      <c r="C98" s="61" t="s">
        <v>275</v>
      </c>
      <c r="D98" s="62">
        <v>4032.91</v>
      </c>
      <c r="E98" s="62">
        <v>4753.41</v>
      </c>
      <c r="F98" s="62">
        <v>3256.79</v>
      </c>
      <c r="G98" s="62">
        <v>1854.45</v>
      </c>
      <c r="H98" s="62">
        <v>4436.84</v>
      </c>
      <c r="I98" s="62">
        <v>1819.2</v>
      </c>
      <c r="J98" s="62">
        <v>3961.98</v>
      </c>
      <c r="K98" s="62">
        <v>-2285.69</v>
      </c>
      <c r="L98" s="62">
        <v>8841.92</v>
      </c>
      <c r="M98" s="62">
        <v>5055.0600000000004</v>
      </c>
      <c r="N98" s="62">
        <v>3917.47</v>
      </c>
      <c r="O98" s="62">
        <v>10709.64</v>
      </c>
      <c r="P98" s="62">
        <v>7425.41</v>
      </c>
    </row>
    <row r="99" spans="2:16" x14ac:dyDescent="0.3">
      <c r="B99" s="58" t="s">
        <v>4</v>
      </c>
      <c r="C99" s="59" t="s">
        <v>380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</row>
    <row r="100" spans="2:16" x14ac:dyDescent="0.3">
      <c r="B100" s="58" t="s">
        <v>4</v>
      </c>
      <c r="C100" s="59" t="s">
        <v>381</v>
      </c>
      <c r="D100" s="60">
        <v>0</v>
      </c>
      <c r="E100" s="60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</row>
    <row r="101" spans="2:16" x14ac:dyDescent="0.3">
      <c r="B101" s="58" t="s">
        <v>4</v>
      </c>
      <c r="C101" s="59" t="s">
        <v>382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</row>
    <row r="102" spans="2:16" x14ac:dyDescent="0.3">
      <c r="B102" s="47" t="s">
        <v>4</v>
      </c>
      <c r="C102" s="61" t="s">
        <v>279</v>
      </c>
      <c r="D102" s="62">
        <v>0</v>
      </c>
      <c r="E102" s="62">
        <v>0</v>
      </c>
      <c r="F102" s="62">
        <v>0</v>
      </c>
      <c r="G102" s="62">
        <v>0</v>
      </c>
      <c r="H102" s="62">
        <v>0</v>
      </c>
      <c r="I102" s="62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</row>
    <row r="103" spans="2:16" x14ac:dyDescent="0.3">
      <c r="B103" s="58" t="s">
        <v>4</v>
      </c>
      <c r="C103" s="59" t="s">
        <v>383</v>
      </c>
      <c r="D103" s="60">
        <v>39.380000000000003</v>
      </c>
      <c r="E103" s="60">
        <v>53</v>
      </c>
      <c r="F103" s="60">
        <v>45.58</v>
      </c>
      <c r="G103" s="60">
        <v>48.74</v>
      </c>
      <c r="H103" s="60">
        <v>39.5</v>
      </c>
      <c r="I103" s="60">
        <v>50.16</v>
      </c>
      <c r="J103" s="60">
        <v>38</v>
      </c>
      <c r="K103" s="60">
        <v>45.52</v>
      </c>
      <c r="L103" s="60">
        <v>47</v>
      </c>
      <c r="M103" s="60">
        <v>41.08</v>
      </c>
      <c r="N103" s="60">
        <v>39.58</v>
      </c>
      <c r="O103" s="60">
        <v>48.58</v>
      </c>
      <c r="P103" s="60">
        <v>44.58</v>
      </c>
    </row>
    <row r="104" spans="2:16" x14ac:dyDescent="0.3">
      <c r="B104" s="58" t="s">
        <v>4</v>
      </c>
      <c r="C104" s="59" t="s">
        <v>384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</row>
    <row r="105" spans="2:16" x14ac:dyDescent="0.3">
      <c r="B105" s="58" t="s">
        <v>4</v>
      </c>
      <c r="C105" s="59" t="s">
        <v>385</v>
      </c>
      <c r="D105" s="60">
        <v>40</v>
      </c>
      <c r="E105" s="60">
        <v>40</v>
      </c>
      <c r="F105" s="60">
        <v>42.9</v>
      </c>
      <c r="G105" s="60">
        <v>42.9</v>
      </c>
      <c r="H105" s="60">
        <v>42.9</v>
      </c>
      <c r="I105" s="60">
        <v>42.9</v>
      </c>
      <c r="J105" s="60">
        <v>42.9</v>
      </c>
      <c r="K105" s="60">
        <v>42.9</v>
      </c>
      <c r="L105" s="60">
        <v>45.58</v>
      </c>
      <c r="M105" s="60">
        <v>45.58</v>
      </c>
      <c r="N105" s="60">
        <v>45.58</v>
      </c>
      <c r="O105" s="60">
        <v>45.58</v>
      </c>
      <c r="P105" s="60">
        <v>45.67</v>
      </c>
    </row>
    <row r="106" spans="2:16" x14ac:dyDescent="0.3">
      <c r="B106" s="58" t="s">
        <v>4</v>
      </c>
      <c r="C106" s="59" t="s">
        <v>386</v>
      </c>
      <c r="D106" s="60">
        <v>0</v>
      </c>
      <c r="E106" s="60">
        <v>0</v>
      </c>
      <c r="F106" s="60">
        <v>397.56</v>
      </c>
      <c r="G106" s="60">
        <v>0</v>
      </c>
      <c r="H106" s="60">
        <v>432.78</v>
      </c>
      <c r="I106" s="60">
        <v>0</v>
      </c>
      <c r="J106" s="60">
        <v>498.1</v>
      </c>
      <c r="K106" s="60">
        <v>0</v>
      </c>
      <c r="L106" s="60">
        <v>0</v>
      </c>
      <c r="M106" s="60">
        <v>580.85</v>
      </c>
      <c r="N106" s="60">
        <v>0</v>
      </c>
      <c r="O106" s="60">
        <v>990.45</v>
      </c>
      <c r="P106" s="60">
        <v>1007.31</v>
      </c>
    </row>
    <row r="107" spans="2:16" x14ac:dyDescent="0.3">
      <c r="B107" s="58" t="s">
        <v>4</v>
      </c>
      <c r="C107" s="59" t="s">
        <v>387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</row>
    <row r="108" spans="2:16" x14ac:dyDescent="0.3">
      <c r="B108" s="47" t="s">
        <v>4</v>
      </c>
      <c r="C108" s="61" t="s">
        <v>285</v>
      </c>
      <c r="D108" s="62">
        <v>79.38</v>
      </c>
      <c r="E108" s="62">
        <v>93</v>
      </c>
      <c r="F108" s="62">
        <v>486.04</v>
      </c>
      <c r="G108" s="62">
        <v>91.64</v>
      </c>
      <c r="H108" s="62">
        <v>515.17999999999995</v>
      </c>
      <c r="I108" s="62">
        <v>93.06</v>
      </c>
      <c r="J108" s="62">
        <v>579</v>
      </c>
      <c r="K108" s="62">
        <v>88.42</v>
      </c>
      <c r="L108" s="62">
        <v>92.58</v>
      </c>
      <c r="M108" s="62">
        <v>667.51</v>
      </c>
      <c r="N108" s="62">
        <v>85.16</v>
      </c>
      <c r="O108" s="62">
        <v>1084.6099999999999</v>
      </c>
      <c r="P108" s="62">
        <v>1097.56</v>
      </c>
    </row>
    <row r="109" spans="2:16" x14ac:dyDescent="0.3">
      <c r="B109" s="58" t="s">
        <v>4</v>
      </c>
      <c r="C109" s="59" t="s">
        <v>388</v>
      </c>
      <c r="D109" s="60">
        <v>19709.490000000002</v>
      </c>
      <c r="E109" s="60">
        <v>19709.490000000002</v>
      </c>
      <c r="F109" s="60">
        <v>12977.04</v>
      </c>
      <c r="G109" s="60">
        <v>19709.490000000002</v>
      </c>
      <c r="H109" s="60">
        <v>19709.490000000002</v>
      </c>
      <c r="I109" s="60">
        <v>12976.09</v>
      </c>
      <c r="J109" s="60">
        <v>17465</v>
      </c>
      <c r="K109" s="60">
        <v>17465</v>
      </c>
      <c r="L109" s="60">
        <v>17465</v>
      </c>
      <c r="M109" s="60">
        <v>17465</v>
      </c>
      <c r="N109" s="60">
        <v>17465</v>
      </c>
      <c r="O109" s="60">
        <v>17465</v>
      </c>
      <c r="P109" s="60">
        <v>17465</v>
      </c>
    </row>
    <row r="110" spans="2:16" x14ac:dyDescent="0.3">
      <c r="B110" s="58" t="s">
        <v>4</v>
      </c>
      <c r="C110" s="59" t="s">
        <v>389</v>
      </c>
      <c r="D110" s="60">
        <v>0</v>
      </c>
      <c r="E110" s="60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1309.3399999999999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</row>
    <row r="111" spans="2:16" x14ac:dyDescent="0.3">
      <c r="B111" s="58" t="s">
        <v>4</v>
      </c>
      <c r="C111" s="59" t="s">
        <v>390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0">
        <v>9.4700000000000006</v>
      </c>
      <c r="J111" s="60">
        <v>250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</row>
    <row r="112" spans="2:16" x14ac:dyDescent="0.3">
      <c r="B112" s="58" t="s">
        <v>4</v>
      </c>
      <c r="C112" s="59" t="s">
        <v>391</v>
      </c>
      <c r="D112" s="60">
        <v>0</v>
      </c>
      <c r="E112" s="60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</row>
    <row r="113" spans="2:16" x14ac:dyDescent="0.3">
      <c r="B113" s="47" t="s">
        <v>4</v>
      </c>
      <c r="C113" s="61" t="s">
        <v>290</v>
      </c>
      <c r="D113" s="62">
        <v>19709.490000000002</v>
      </c>
      <c r="E113" s="62">
        <v>19709.490000000002</v>
      </c>
      <c r="F113" s="62">
        <v>12977.04</v>
      </c>
      <c r="G113" s="62">
        <v>19709.490000000002</v>
      </c>
      <c r="H113" s="62">
        <v>19709.490000000002</v>
      </c>
      <c r="I113" s="62">
        <v>12985.56</v>
      </c>
      <c r="J113" s="62">
        <v>17715</v>
      </c>
      <c r="K113" s="62">
        <v>18774.34</v>
      </c>
      <c r="L113" s="62">
        <v>17465</v>
      </c>
      <c r="M113" s="62">
        <v>17465</v>
      </c>
      <c r="N113" s="62">
        <v>17465</v>
      </c>
      <c r="O113" s="62">
        <v>17465</v>
      </c>
      <c r="P113" s="62">
        <v>17465</v>
      </c>
    </row>
    <row r="114" spans="2:16" x14ac:dyDescent="0.3">
      <c r="B114" s="58" t="s">
        <v>4</v>
      </c>
      <c r="C114" s="59" t="s">
        <v>392</v>
      </c>
      <c r="D114" s="60">
        <v>11331.71</v>
      </c>
      <c r="E114" s="60">
        <v>11355.77</v>
      </c>
      <c r="F114" s="60">
        <v>11355.77</v>
      </c>
      <c r="G114" s="60">
        <v>11355.77</v>
      </c>
      <c r="H114" s="60">
        <v>11355.81</v>
      </c>
      <c r="I114" s="60">
        <v>11355.77</v>
      </c>
      <c r="J114" s="60">
        <v>11355.77</v>
      </c>
      <c r="K114" s="60">
        <v>11355.77</v>
      </c>
      <c r="L114" s="60">
        <v>11355.77</v>
      </c>
      <c r="M114" s="60">
        <v>11355.77</v>
      </c>
      <c r="N114" s="60">
        <v>11355.77</v>
      </c>
      <c r="O114" s="60">
        <v>12615.66</v>
      </c>
      <c r="P114" s="60">
        <v>14847.56</v>
      </c>
    </row>
    <row r="115" spans="2:16" x14ac:dyDescent="0.3">
      <c r="B115" s="47" t="s">
        <v>4</v>
      </c>
      <c r="C115" s="61" t="s">
        <v>292</v>
      </c>
      <c r="D115" s="62">
        <v>11331.71</v>
      </c>
      <c r="E115" s="62">
        <v>11355.77</v>
      </c>
      <c r="F115" s="62">
        <v>11355.77</v>
      </c>
      <c r="G115" s="62">
        <v>11355.77</v>
      </c>
      <c r="H115" s="62">
        <v>11355.81</v>
      </c>
      <c r="I115" s="62">
        <v>11355.77</v>
      </c>
      <c r="J115" s="62">
        <v>11355.77</v>
      </c>
      <c r="K115" s="62">
        <v>11355.77</v>
      </c>
      <c r="L115" s="62">
        <v>11355.77</v>
      </c>
      <c r="M115" s="62">
        <v>11355.77</v>
      </c>
      <c r="N115" s="62">
        <v>11355.77</v>
      </c>
      <c r="O115" s="62">
        <v>12615.66</v>
      </c>
      <c r="P115" s="62">
        <v>14847.56</v>
      </c>
    </row>
    <row r="116" spans="2:16" x14ac:dyDescent="0.3">
      <c r="B116" s="58" t="s">
        <v>4</v>
      </c>
      <c r="C116" s="59" t="s">
        <v>393</v>
      </c>
      <c r="D116" s="60">
        <v>0</v>
      </c>
      <c r="E116" s="60">
        <v>0</v>
      </c>
      <c r="F116" s="60">
        <v>0</v>
      </c>
      <c r="G116" s="60">
        <v>0</v>
      </c>
      <c r="H116" s="60">
        <v>0</v>
      </c>
      <c r="I116" s="60">
        <v>950.85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1416.44</v>
      </c>
      <c r="P116" s="60">
        <v>-1115.97</v>
      </c>
    </row>
    <row r="117" spans="2:16" x14ac:dyDescent="0.3">
      <c r="B117" s="58" t="s">
        <v>4</v>
      </c>
      <c r="C117" s="59" t="s">
        <v>394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</row>
    <row r="118" spans="2:16" x14ac:dyDescent="0.3">
      <c r="B118" s="47" t="s">
        <v>4</v>
      </c>
      <c r="C118" s="61" t="s">
        <v>295</v>
      </c>
      <c r="D118" s="62">
        <v>0</v>
      </c>
      <c r="E118" s="62">
        <v>0</v>
      </c>
      <c r="F118" s="62">
        <v>0</v>
      </c>
      <c r="G118" s="62">
        <v>0</v>
      </c>
      <c r="H118" s="62">
        <v>0</v>
      </c>
      <c r="I118" s="62">
        <v>950.85</v>
      </c>
      <c r="J118" s="62">
        <v>0</v>
      </c>
      <c r="K118" s="62">
        <v>0</v>
      </c>
      <c r="L118" s="62">
        <v>0</v>
      </c>
      <c r="M118" s="62">
        <v>0</v>
      </c>
      <c r="N118" s="62">
        <v>0</v>
      </c>
      <c r="O118" s="62">
        <v>1416.44</v>
      </c>
      <c r="P118" s="62">
        <v>-1115.97</v>
      </c>
    </row>
    <row r="119" spans="2:16" x14ac:dyDescent="0.3">
      <c r="B119" s="47" t="s">
        <v>4</v>
      </c>
      <c r="C119" s="64" t="s">
        <v>296</v>
      </c>
      <c r="D119" s="65">
        <v>57085.17</v>
      </c>
      <c r="E119" s="65">
        <v>59001.69</v>
      </c>
      <c r="F119" s="65">
        <v>56769.38</v>
      </c>
      <c r="G119" s="65">
        <v>60251.46</v>
      </c>
      <c r="H119" s="65">
        <v>60375.75</v>
      </c>
      <c r="I119" s="65">
        <v>51879.95</v>
      </c>
      <c r="J119" s="65">
        <v>51717.66</v>
      </c>
      <c r="K119" s="65">
        <v>60847.49</v>
      </c>
      <c r="L119" s="65">
        <v>63291.69</v>
      </c>
      <c r="M119" s="65">
        <v>64590.09</v>
      </c>
      <c r="N119" s="65">
        <v>58455.02</v>
      </c>
      <c r="O119" s="65">
        <v>74255.89</v>
      </c>
      <c r="P119" s="65">
        <v>68155.37</v>
      </c>
    </row>
    <row r="120" spans="2:16" x14ac:dyDescent="0.3">
      <c r="B120" s="47" t="s">
        <v>4</v>
      </c>
      <c r="C120" s="64" t="s">
        <v>297</v>
      </c>
      <c r="D120" s="65">
        <v>83740.36</v>
      </c>
      <c r="E120" s="65">
        <v>82902.41</v>
      </c>
      <c r="F120" s="65">
        <v>205179.35</v>
      </c>
      <c r="G120" s="65">
        <v>131081.70000000001</v>
      </c>
      <c r="H120" s="65">
        <v>131177.60999999999</v>
      </c>
      <c r="I120" s="65">
        <v>140654.70000000001</v>
      </c>
      <c r="J120" s="65">
        <v>147217.22</v>
      </c>
      <c r="K120" s="65">
        <v>138995.85999999999</v>
      </c>
      <c r="L120" s="65">
        <v>78374.89</v>
      </c>
      <c r="M120" s="65">
        <v>38513.550000000003</v>
      </c>
      <c r="N120" s="65">
        <v>126284.79</v>
      </c>
      <c r="O120" s="65">
        <v>157980.5</v>
      </c>
      <c r="P120" s="65">
        <v>118157.34</v>
      </c>
    </row>
    <row r="121" spans="2:16" ht="0" hidden="1" customHeight="1" x14ac:dyDescent="0.3"/>
  </sheetData>
  <mergeCells count="2">
    <mergeCell ref="B2:Q2"/>
    <mergeCell ref="C3:P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116"/>
  <sheetViews>
    <sheetView showGridLines="0" topLeftCell="A91" workbookViewId="0">
      <selection activeCell="C125" sqref="C125"/>
    </sheetView>
  </sheetViews>
  <sheetFormatPr defaultRowHeight="14.4" x14ac:dyDescent="0.3"/>
  <cols>
    <col min="1" max="1" width="2.44140625" customWidth="1"/>
    <col min="2" max="2" width="8.109375" customWidth="1"/>
    <col min="3" max="3" width="41.109375" customWidth="1"/>
    <col min="4" max="15" width="13.6640625" customWidth="1"/>
    <col min="16" max="16" width="0" hidden="1" customWidth="1"/>
    <col min="17" max="17" width="17.44140625" customWidth="1"/>
  </cols>
  <sheetData>
    <row r="1" spans="2:16" ht="3" customHeight="1" x14ac:dyDescent="0.3"/>
    <row r="2" spans="2:16" ht="22.35" customHeight="1" x14ac:dyDescent="0.3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spans="2:16" ht="15" x14ac:dyDescent="0.3">
      <c r="B3" s="18" t="s">
        <v>4</v>
      </c>
      <c r="C3" s="117" t="s">
        <v>395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2:16" x14ac:dyDescent="0.3">
      <c r="B4" s="42" t="s">
        <v>4</v>
      </c>
      <c r="C4" s="22" t="s">
        <v>2</v>
      </c>
      <c r="D4" s="118" t="s">
        <v>396</v>
      </c>
      <c r="E4" s="119"/>
      <c r="F4" s="119"/>
      <c r="G4" s="120"/>
      <c r="H4" s="118" t="s">
        <v>397</v>
      </c>
      <c r="I4" s="119"/>
      <c r="J4" s="119"/>
      <c r="K4" s="120"/>
      <c r="L4" s="118" t="s">
        <v>398</v>
      </c>
      <c r="M4" s="119"/>
      <c r="N4" s="119"/>
      <c r="O4" s="120"/>
    </row>
    <row r="5" spans="2:16" x14ac:dyDescent="0.3">
      <c r="B5" s="42" t="s">
        <v>4</v>
      </c>
      <c r="C5" s="22" t="s">
        <v>4</v>
      </c>
      <c r="D5" s="66" t="s">
        <v>399</v>
      </c>
      <c r="E5" s="67" t="s">
        <v>400</v>
      </c>
      <c r="F5" s="67" t="s">
        <v>401</v>
      </c>
      <c r="G5" s="67" t="s">
        <v>402</v>
      </c>
      <c r="H5" s="66" t="s">
        <v>399</v>
      </c>
      <c r="I5" s="67" t="s">
        <v>400</v>
      </c>
      <c r="J5" s="67" t="s">
        <v>401</v>
      </c>
      <c r="K5" s="67" t="s">
        <v>402</v>
      </c>
      <c r="L5" s="66" t="s">
        <v>399</v>
      </c>
      <c r="M5" s="67" t="s">
        <v>400</v>
      </c>
      <c r="N5" s="67" t="s">
        <v>401</v>
      </c>
      <c r="O5" s="68" t="s">
        <v>402</v>
      </c>
    </row>
    <row r="6" spans="2:16" x14ac:dyDescent="0.3">
      <c r="B6" s="45" t="s">
        <v>4</v>
      </c>
      <c r="C6" s="46" t="s">
        <v>188</v>
      </c>
      <c r="D6" s="69">
        <v>112586.13</v>
      </c>
      <c r="E6" s="70">
        <v>119170.65</v>
      </c>
      <c r="F6" s="70">
        <v>-6584.52</v>
      </c>
      <c r="G6" s="71">
        <v>-5.52528663727185E-2</v>
      </c>
      <c r="H6" s="69">
        <v>112586.13</v>
      </c>
      <c r="I6" s="70">
        <v>119170.65</v>
      </c>
      <c r="J6" s="70">
        <v>-6584.52</v>
      </c>
      <c r="K6" s="71">
        <v>-5.52528663727185E-2</v>
      </c>
      <c r="L6" s="69">
        <v>697143.36</v>
      </c>
      <c r="M6" s="70">
        <v>1561134.11</v>
      </c>
      <c r="N6" s="70">
        <v>-863990.75</v>
      </c>
      <c r="O6" s="72">
        <v>-0.55343787856893301</v>
      </c>
    </row>
    <row r="7" spans="2:16" x14ac:dyDescent="0.3">
      <c r="B7" s="45" t="s">
        <v>4</v>
      </c>
      <c r="C7" s="46" t="s">
        <v>189</v>
      </c>
      <c r="D7" s="69">
        <v>72242.19</v>
      </c>
      <c r="E7" s="70">
        <v>72242.100000000006</v>
      </c>
      <c r="F7" s="70">
        <v>0.09</v>
      </c>
      <c r="G7" s="71">
        <v>1.24581096064483E-6</v>
      </c>
      <c r="H7" s="69">
        <v>72242.19</v>
      </c>
      <c r="I7" s="70">
        <v>72242.100000000006</v>
      </c>
      <c r="J7" s="70">
        <v>0.09</v>
      </c>
      <c r="K7" s="71">
        <v>1.24581096064483E-6</v>
      </c>
      <c r="L7" s="69">
        <v>549312.88</v>
      </c>
      <c r="M7" s="70">
        <v>404752.5</v>
      </c>
      <c r="N7" s="70">
        <v>144560.38</v>
      </c>
      <c r="O7" s="72">
        <v>0.357157472776573</v>
      </c>
    </row>
    <row r="8" spans="2:16" x14ac:dyDescent="0.3">
      <c r="B8" s="45" t="s">
        <v>4</v>
      </c>
      <c r="C8" s="46" t="s">
        <v>190</v>
      </c>
      <c r="D8" s="69">
        <v>0</v>
      </c>
      <c r="E8" s="70">
        <v>0</v>
      </c>
      <c r="F8" s="70">
        <v>0</v>
      </c>
      <c r="G8" s="71">
        <v>0</v>
      </c>
      <c r="H8" s="69">
        <v>0</v>
      </c>
      <c r="I8" s="70">
        <v>0</v>
      </c>
      <c r="J8" s="70">
        <v>0</v>
      </c>
      <c r="K8" s="71">
        <v>0</v>
      </c>
      <c r="L8" s="69">
        <v>0</v>
      </c>
      <c r="M8" s="70">
        <v>0</v>
      </c>
      <c r="N8" s="70">
        <v>0</v>
      </c>
      <c r="O8" s="72">
        <v>0</v>
      </c>
    </row>
    <row r="9" spans="2:16" x14ac:dyDescent="0.3">
      <c r="B9" s="45" t="s">
        <v>4</v>
      </c>
      <c r="C9" s="46" t="s">
        <v>191</v>
      </c>
      <c r="D9" s="69">
        <v>1264.07</v>
      </c>
      <c r="E9" s="70">
        <v>1064.8900000000001</v>
      </c>
      <c r="F9" s="70">
        <v>199.18</v>
      </c>
      <c r="G9" s="71">
        <v>0.18704279315234401</v>
      </c>
      <c r="H9" s="69">
        <v>1264.07</v>
      </c>
      <c r="I9" s="70">
        <v>1064.8900000000001</v>
      </c>
      <c r="J9" s="70">
        <v>199.18</v>
      </c>
      <c r="K9" s="71">
        <v>0.18704279315234401</v>
      </c>
      <c r="L9" s="69">
        <v>8531.1299999999992</v>
      </c>
      <c r="M9" s="70">
        <v>13337.31</v>
      </c>
      <c r="N9" s="70">
        <v>-4806.18</v>
      </c>
      <c r="O9" s="72">
        <v>-0.36035602381589699</v>
      </c>
    </row>
    <row r="10" spans="2:16" x14ac:dyDescent="0.3">
      <c r="B10" s="45" t="s">
        <v>4</v>
      </c>
      <c r="C10" s="46" t="s">
        <v>192</v>
      </c>
      <c r="D10" s="69">
        <v>0</v>
      </c>
      <c r="E10" s="70">
        <v>0</v>
      </c>
      <c r="F10" s="70">
        <v>0</v>
      </c>
      <c r="G10" s="71">
        <v>0</v>
      </c>
      <c r="H10" s="69">
        <v>0</v>
      </c>
      <c r="I10" s="70">
        <v>0</v>
      </c>
      <c r="J10" s="70">
        <v>0</v>
      </c>
      <c r="K10" s="71">
        <v>0</v>
      </c>
      <c r="L10" s="69">
        <v>0</v>
      </c>
      <c r="M10" s="70">
        <v>0</v>
      </c>
      <c r="N10" s="70">
        <v>0</v>
      </c>
      <c r="O10" s="72">
        <v>0</v>
      </c>
    </row>
    <row r="11" spans="2:16" x14ac:dyDescent="0.3">
      <c r="B11" s="45" t="s">
        <v>4</v>
      </c>
      <c r="C11" s="46" t="s">
        <v>193</v>
      </c>
      <c r="D11" s="69">
        <v>0</v>
      </c>
      <c r="E11" s="70">
        <v>0</v>
      </c>
      <c r="F11" s="70">
        <v>0</v>
      </c>
      <c r="G11" s="71">
        <v>0</v>
      </c>
      <c r="H11" s="69">
        <v>0</v>
      </c>
      <c r="I11" s="70">
        <v>0</v>
      </c>
      <c r="J11" s="70">
        <v>0</v>
      </c>
      <c r="K11" s="71">
        <v>0</v>
      </c>
      <c r="L11" s="69">
        <v>0</v>
      </c>
      <c r="M11" s="70">
        <v>0</v>
      </c>
      <c r="N11" s="70">
        <v>0</v>
      </c>
      <c r="O11" s="72">
        <v>0</v>
      </c>
    </row>
    <row r="12" spans="2:16" x14ac:dyDescent="0.3">
      <c r="B12" s="45" t="s">
        <v>4</v>
      </c>
      <c r="C12" s="46" t="s">
        <v>194</v>
      </c>
      <c r="D12" s="69">
        <v>0</v>
      </c>
      <c r="E12" s="70">
        <v>0</v>
      </c>
      <c r="F12" s="70">
        <v>0</v>
      </c>
      <c r="G12" s="71">
        <v>0</v>
      </c>
      <c r="H12" s="69">
        <v>0</v>
      </c>
      <c r="I12" s="70">
        <v>0</v>
      </c>
      <c r="J12" s="70">
        <v>0</v>
      </c>
      <c r="K12" s="71">
        <v>0</v>
      </c>
      <c r="L12" s="69">
        <v>0</v>
      </c>
      <c r="M12" s="70">
        <v>0</v>
      </c>
      <c r="N12" s="70">
        <v>0</v>
      </c>
      <c r="O12" s="72">
        <v>0</v>
      </c>
    </row>
    <row r="13" spans="2:16" x14ac:dyDescent="0.3">
      <c r="B13" s="45" t="s">
        <v>4</v>
      </c>
      <c r="C13" s="46" t="s">
        <v>195</v>
      </c>
      <c r="D13" s="69">
        <v>0</v>
      </c>
      <c r="E13" s="70">
        <v>0</v>
      </c>
      <c r="F13" s="70">
        <v>0</v>
      </c>
      <c r="G13" s="71">
        <v>0</v>
      </c>
      <c r="H13" s="69">
        <v>0</v>
      </c>
      <c r="I13" s="70">
        <v>0</v>
      </c>
      <c r="J13" s="70">
        <v>0</v>
      </c>
      <c r="K13" s="71">
        <v>0</v>
      </c>
      <c r="L13" s="69">
        <v>0</v>
      </c>
      <c r="M13" s="70">
        <v>0</v>
      </c>
      <c r="N13" s="70">
        <v>0</v>
      </c>
      <c r="O13" s="72">
        <v>0</v>
      </c>
    </row>
    <row r="14" spans="2:16" x14ac:dyDescent="0.3">
      <c r="B14" s="45" t="s">
        <v>4</v>
      </c>
      <c r="C14" s="46" t="s">
        <v>196</v>
      </c>
      <c r="D14" s="69">
        <v>-517.89</v>
      </c>
      <c r="E14" s="70">
        <v>0</v>
      </c>
      <c r="F14" s="70">
        <v>-517.89</v>
      </c>
      <c r="G14" s="71">
        <v>0</v>
      </c>
      <c r="H14" s="69">
        <v>-517.89</v>
      </c>
      <c r="I14" s="70">
        <v>0</v>
      </c>
      <c r="J14" s="70">
        <v>-517.89</v>
      </c>
      <c r="K14" s="71">
        <v>0</v>
      </c>
      <c r="L14" s="69">
        <v>-2303.69</v>
      </c>
      <c r="M14" s="70">
        <v>0</v>
      </c>
      <c r="N14" s="70">
        <v>-2303.69</v>
      </c>
      <c r="O14" s="72">
        <v>0</v>
      </c>
    </row>
    <row r="15" spans="2:16" x14ac:dyDescent="0.3">
      <c r="B15" s="45" t="s">
        <v>4</v>
      </c>
      <c r="C15" s="46" t="s">
        <v>197</v>
      </c>
      <c r="D15" s="69">
        <v>-3262.29</v>
      </c>
      <c r="E15" s="70">
        <v>-10127.14</v>
      </c>
      <c r="F15" s="70">
        <v>6864.85</v>
      </c>
      <c r="G15" s="71">
        <v>-0.677866603996785</v>
      </c>
      <c r="H15" s="69">
        <v>-3262.29</v>
      </c>
      <c r="I15" s="70">
        <v>-10127.14</v>
      </c>
      <c r="J15" s="70">
        <v>6864.85</v>
      </c>
      <c r="K15" s="71">
        <v>-0.677866603996785</v>
      </c>
      <c r="L15" s="69">
        <v>-26548.65</v>
      </c>
      <c r="M15" s="70">
        <v>-19987.580000000002</v>
      </c>
      <c r="N15" s="70">
        <v>-6561.07</v>
      </c>
      <c r="O15" s="72">
        <v>0.32825734781299198</v>
      </c>
    </row>
    <row r="16" spans="2:16" x14ac:dyDescent="0.3">
      <c r="B16" s="45" t="s">
        <v>4</v>
      </c>
      <c r="C16" s="46" t="s">
        <v>198</v>
      </c>
      <c r="D16" s="69">
        <v>-382.08</v>
      </c>
      <c r="E16" s="70">
        <v>-4128.33</v>
      </c>
      <c r="F16" s="70">
        <v>3746.25</v>
      </c>
      <c r="G16" s="71">
        <v>-0.90744925914352803</v>
      </c>
      <c r="H16" s="69">
        <v>-382.08</v>
      </c>
      <c r="I16" s="70">
        <v>-4128.33</v>
      </c>
      <c r="J16" s="70">
        <v>3746.25</v>
      </c>
      <c r="K16" s="71">
        <v>-0.90744925914352803</v>
      </c>
      <c r="L16" s="69">
        <v>-9873.36</v>
      </c>
      <c r="M16" s="70">
        <v>-13017.24</v>
      </c>
      <c r="N16" s="70">
        <v>3143.88</v>
      </c>
      <c r="O16" s="72">
        <v>-0.24151663486269001</v>
      </c>
    </row>
    <row r="17" spans="2:15" x14ac:dyDescent="0.3">
      <c r="B17" s="47" t="s">
        <v>4</v>
      </c>
      <c r="C17" s="50" t="s">
        <v>199</v>
      </c>
      <c r="D17" s="73">
        <v>181930.13</v>
      </c>
      <c r="E17" s="74">
        <v>178222.17</v>
      </c>
      <c r="F17" s="74">
        <v>3707.96</v>
      </c>
      <c r="G17" s="75">
        <v>2.0805267941693201E-2</v>
      </c>
      <c r="H17" s="73">
        <v>181930.13</v>
      </c>
      <c r="I17" s="74">
        <v>178222.17</v>
      </c>
      <c r="J17" s="74">
        <v>3707.96</v>
      </c>
      <c r="K17" s="71">
        <v>2.0805267941693201E-2</v>
      </c>
      <c r="L17" s="73">
        <v>1216261.67</v>
      </c>
      <c r="M17" s="74">
        <v>1946219.1</v>
      </c>
      <c r="N17" s="74">
        <v>-729957.43</v>
      </c>
      <c r="O17" s="72">
        <v>-0.37506436454148501</v>
      </c>
    </row>
    <row r="18" spans="2:15" x14ac:dyDescent="0.3">
      <c r="B18" s="45" t="s">
        <v>4</v>
      </c>
      <c r="C18" s="46" t="s">
        <v>200</v>
      </c>
      <c r="D18" s="69">
        <v>1073</v>
      </c>
      <c r="E18" s="70">
        <v>457.32</v>
      </c>
      <c r="F18" s="70">
        <v>615.67999999999995</v>
      </c>
      <c r="G18" s="71">
        <v>1.3462783171521</v>
      </c>
      <c r="H18" s="69">
        <v>1073</v>
      </c>
      <c r="I18" s="70">
        <v>457.32</v>
      </c>
      <c r="J18" s="70">
        <v>615.67999999999995</v>
      </c>
      <c r="K18" s="71">
        <v>1.3462783171521</v>
      </c>
      <c r="L18" s="69">
        <v>7192</v>
      </c>
      <c r="M18" s="70">
        <v>2418.0300000000002</v>
      </c>
      <c r="N18" s="70">
        <v>4773.97</v>
      </c>
      <c r="O18" s="72">
        <v>1.9743220721000201</v>
      </c>
    </row>
    <row r="19" spans="2:15" x14ac:dyDescent="0.3">
      <c r="B19" s="45" t="s">
        <v>4</v>
      </c>
      <c r="C19" s="46" t="s">
        <v>201</v>
      </c>
      <c r="D19" s="69">
        <v>0</v>
      </c>
      <c r="E19" s="70">
        <v>0</v>
      </c>
      <c r="F19" s="70">
        <v>0</v>
      </c>
      <c r="G19" s="71">
        <v>0</v>
      </c>
      <c r="H19" s="69">
        <v>0</v>
      </c>
      <c r="I19" s="70">
        <v>0</v>
      </c>
      <c r="J19" s="70">
        <v>0</v>
      </c>
      <c r="K19" s="71">
        <v>0</v>
      </c>
      <c r="L19" s="69">
        <v>0</v>
      </c>
      <c r="M19" s="70">
        <v>0</v>
      </c>
      <c r="N19" s="70">
        <v>0</v>
      </c>
      <c r="O19" s="72">
        <v>0</v>
      </c>
    </row>
    <row r="20" spans="2:15" x14ac:dyDescent="0.3">
      <c r="B20" s="47" t="s">
        <v>4</v>
      </c>
      <c r="C20" s="50" t="s">
        <v>202</v>
      </c>
      <c r="D20" s="73">
        <v>1073</v>
      </c>
      <c r="E20" s="74">
        <v>457.32</v>
      </c>
      <c r="F20" s="74">
        <v>615.67999999999995</v>
      </c>
      <c r="G20" s="75">
        <v>1.3462783171521</v>
      </c>
      <c r="H20" s="73">
        <v>1073</v>
      </c>
      <c r="I20" s="74">
        <v>457.32</v>
      </c>
      <c r="J20" s="74">
        <v>615.67999999999995</v>
      </c>
      <c r="K20" s="71">
        <v>1.3462783171521</v>
      </c>
      <c r="L20" s="73">
        <v>7192</v>
      </c>
      <c r="M20" s="74">
        <v>2418.0300000000002</v>
      </c>
      <c r="N20" s="74">
        <v>4773.97</v>
      </c>
      <c r="O20" s="72">
        <v>1.9743220721000201</v>
      </c>
    </row>
    <row r="21" spans="2:15" x14ac:dyDescent="0.3">
      <c r="B21" s="45" t="s">
        <v>4</v>
      </c>
      <c r="C21" s="46" t="s">
        <v>203</v>
      </c>
      <c r="D21" s="69">
        <v>2468.4</v>
      </c>
      <c r="E21" s="70">
        <v>7766.67</v>
      </c>
      <c r="F21" s="70">
        <v>-5298.27</v>
      </c>
      <c r="G21" s="71">
        <v>-0.68218039391399399</v>
      </c>
      <c r="H21" s="69">
        <v>2468.4</v>
      </c>
      <c r="I21" s="70">
        <v>7766.67</v>
      </c>
      <c r="J21" s="70">
        <v>-5298.27</v>
      </c>
      <c r="K21" s="71">
        <v>-0.68218039391399399</v>
      </c>
      <c r="L21" s="69">
        <v>19349.57</v>
      </c>
      <c r="M21" s="70">
        <v>38755.230000000003</v>
      </c>
      <c r="N21" s="70">
        <v>-19405.66</v>
      </c>
      <c r="O21" s="72">
        <v>-0.50072364426685101</v>
      </c>
    </row>
    <row r="22" spans="2:15" x14ac:dyDescent="0.3">
      <c r="B22" s="45" t="s">
        <v>4</v>
      </c>
      <c r="C22" s="46" t="s">
        <v>204</v>
      </c>
      <c r="D22" s="69">
        <v>0</v>
      </c>
      <c r="E22" s="70">
        <v>-616.17999999999995</v>
      </c>
      <c r="F22" s="70">
        <v>616.17999999999995</v>
      </c>
      <c r="G22" s="71">
        <v>-1</v>
      </c>
      <c r="H22" s="69">
        <v>0</v>
      </c>
      <c r="I22" s="70">
        <v>-616.17999999999995</v>
      </c>
      <c r="J22" s="70">
        <v>616.17999999999995</v>
      </c>
      <c r="K22" s="71">
        <v>-1</v>
      </c>
      <c r="L22" s="69">
        <v>-1484.08</v>
      </c>
      <c r="M22" s="70">
        <v>-2364.33</v>
      </c>
      <c r="N22" s="70">
        <v>880.25</v>
      </c>
      <c r="O22" s="72">
        <v>-0.37230420457381203</v>
      </c>
    </row>
    <row r="23" spans="2:15" x14ac:dyDescent="0.3">
      <c r="B23" s="47" t="s">
        <v>4</v>
      </c>
      <c r="C23" s="50" t="s">
        <v>205</v>
      </c>
      <c r="D23" s="73">
        <v>2468.4</v>
      </c>
      <c r="E23" s="74">
        <v>7150.49</v>
      </c>
      <c r="F23" s="74">
        <v>-4682.09</v>
      </c>
      <c r="G23" s="75">
        <v>-0.65479288831954197</v>
      </c>
      <c r="H23" s="73">
        <v>2468.4</v>
      </c>
      <c r="I23" s="74">
        <v>7150.49</v>
      </c>
      <c r="J23" s="74">
        <v>-4682.09</v>
      </c>
      <c r="K23" s="71">
        <v>-0.65479288831954197</v>
      </c>
      <c r="L23" s="73">
        <v>17865.490000000002</v>
      </c>
      <c r="M23" s="74">
        <v>36390.9</v>
      </c>
      <c r="N23" s="74">
        <v>-18525.41</v>
      </c>
      <c r="O23" s="72">
        <v>-0.50906710194032001</v>
      </c>
    </row>
    <row r="24" spans="2:15" x14ac:dyDescent="0.3">
      <c r="B24" s="45" t="s">
        <v>4</v>
      </c>
      <c r="C24" s="46" t="s">
        <v>206</v>
      </c>
      <c r="D24" s="69">
        <v>46</v>
      </c>
      <c r="E24" s="70">
        <v>74.8</v>
      </c>
      <c r="F24" s="70">
        <v>-28.8</v>
      </c>
      <c r="G24" s="71">
        <v>-0.38502673796791398</v>
      </c>
      <c r="H24" s="69">
        <v>46</v>
      </c>
      <c r="I24" s="70">
        <v>74.8</v>
      </c>
      <c r="J24" s="70">
        <v>-28.8</v>
      </c>
      <c r="K24" s="71">
        <v>-0.38502673796791398</v>
      </c>
      <c r="L24" s="69">
        <v>396</v>
      </c>
      <c r="M24" s="70">
        <v>523.6</v>
      </c>
      <c r="N24" s="70">
        <v>-127.6</v>
      </c>
      <c r="O24" s="72">
        <v>-0.24369747899159699</v>
      </c>
    </row>
    <row r="25" spans="2:15" x14ac:dyDescent="0.3">
      <c r="B25" s="45" t="s">
        <v>4</v>
      </c>
      <c r="C25" s="46" t="s">
        <v>207</v>
      </c>
      <c r="D25" s="69">
        <v>-10</v>
      </c>
      <c r="E25" s="70">
        <v>-66.83</v>
      </c>
      <c r="F25" s="70">
        <v>56.83</v>
      </c>
      <c r="G25" s="71">
        <v>-0.85036660182552704</v>
      </c>
      <c r="H25" s="69">
        <v>-10</v>
      </c>
      <c r="I25" s="70">
        <v>-66.83</v>
      </c>
      <c r="J25" s="70">
        <v>56.83</v>
      </c>
      <c r="K25" s="71">
        <v>-0.85036660182552704</v>
      </c>
      <c r="L25" s="69">
        <v>-126</v>
      </c>
      <c r="M25" s="70">
        <v>-467.81</v>
      </c>
      <c r="N25" s="70">
        <v>341.81</v>
      </c>
      <c r="O25" s="72">
        <v>-0.730659883285949</v>
      </c>
    </row>
    <row r="26" spans="2:15" x14ac:dyDescent="0.3">
      <c r="B26" s="47" t="s">
        <v>4</v>
      </c>
      <c r="C26" s="50" t="s">
        <v>208</v>
      </c>
      <c r="D26" s="73">
        <v>36</v>
      </c>
      <c r="E26" s="74">
        <v>7.97</v>
      </c>
      <c r="F26" s="74">
        <v>28.03</v>
      </c>
      <c r="G26" s="75">
        <v>3.5169385194479301</v>
      </c>
      <c r="H26" s="73">
        <v>36</v>
      </c>
      <c r="I26" s="74">
        <v>7.97</v>
      </c>
      <c r="J26" s="74">
        <v>28.03</v>
      </c>
      <c r="K26" s="71">
        <v>3.5169385194479301</v>
      </c>
      <c r="L26" s="73">
        <v>270</v>
      </c>
      <c r="M26" s="74">
        <v>55.79</v>
      </c>
      <c r="N26" s="74">
        <v>214.21</v>
      </c>
      <c r="O26" s="72">
        <v>3.8395769851227799</v>
      </c>
    </row>
    <row r="27" spans="2:15" x14ac:dyDescent="0.3">
      <c r="B27" s="45" t="s">
        <v>4</v>
      </c>
      <c r="C27" s="46" t="s">
        <v>209</v>
      </c>
      <c r="D27" s="69">
        <v>805.18</v>
      </c>
      <c r="E27" s="70">
        <v>803.01</v>
      </c>
      <c r="F27" s="70">
        <v>2.17</v>
      </c>
      <c r="G27" s="71">
        <v>2.70233247406633E-3</v>
      </c>
      <c r="H27" s="69">
        <v>805.18</v>
      </c>
      <c r="I27" s="70">
        <v>803.01</v>
      </c>
      <c r="J27" s="70">
        <v>2.17</v>
      </c>
      <c r="K27" s="71">
        <v>2.70233247406633E-3</v>
      </c>
      <c r="L27" s="69">
        <v>5248.2</v>
      </c>
      <c r="M27" s="70">
        <v>3951.68</v>
      </c>
      <c r="N27" s="70">
        <v>1296.52</v>
      </c>
      <c r="O27" s="72">
        <v>0.32809336788403898</v>
      </c>
    </row>
    <row r="28" spans="2:15" x14ac:dyDescent="0.3">
      <c r="B28" s="45" t="s">
        <v>4</v>
      </c>
      <c r="C28" s="46" t="s">
        <v>210</v>
      </c>
      <c r="D28" s="69">
        <v>0</v>
      </c>
      <c r="E28" s="70">
        <v>0</v>
      </c>
      <c r="F28" s="70">
        <v>0</v>
      </c>
      <c r="G28" s="71">
        <v>0</v>
      </c>
      <c r="H28" s="69">
        <v>0</v>
      </c>
      <c r="I28" s="70">
        <v>0</v>
      </c>
      <c r="J28" s="70">
        <v>0</v>
      </c>
      <c r="K28" s="71">
        <v>0</v>
      </c>
      <c r="L28" s="69">
        <v>0</v>
      </c>
      <c r="M28" s="70">
        <v>0</v>
      </c>
      <c r="N28" s="70">
        <v>0</v>
      </c>
      <c r="O28" s="72">
        <v>0</v>
      </c>
    </row>
    <row r="29" spans="2:15" x14ac:dyDescent="0.3">
      <c r="B29" s="47" t="s">
        <v>4</v>
      </c>
      <c r="C29" s="50" t="s">
        <v>211</v>
      </c>
      <c r="D29" s="73">
        <v>805.18</v>
      </c>
      <c r="E29" s="74">
        <v>803.01</v>
      </c>
      <c r="F29" s="74">
        <v>2.17</v>
      </c>
      <c r="G29" s="75">
        <v>2.70233247406633E-3</v>
      </c>
      <c r="H29" s="73">
        <v>805.18</v>
      </c>
      <c r="I29" s="74">
        <v>803.01</v>
      </c>
      <c r="J29" s="74">
        <v>2.17</v>
      </c>
      <c r="K29" s="71">
        <v>2.70233247406633E-3</v>
      </c>
      <c r="L29" s="73">
        <v>5248.2</v>
      </c>
      <c r="M29" s="74">
        <v>3951.68</v>
      </c>
      <c r="N29" s="74">
        <v>1296.52</v>
      </c>
      <c r="O29" s="72">
        <v>0.32809336788403898</v>
      </c>
    </row>
    <row r="30" spans="2:15" x14ac:dyDescent="0.3">
      <c r="B30" s="45" t="s">
        <v>4</v>
      </c>
      <c r="C30" s="50" t="s">
        <v>212</v>
      </c>
      <c r="D30" s="69">
        <v>0</v>
      </c>
      <c r="E30" s="70">
        <v>0</v>
      </c>
      <c r="F30" s="70">
        <v>0</v>
      </c>
      <c r="G30" s="71">
        <v>0</v>
      </c>
      <c r="H30" s="69">
        <v>0</v>
      </c>
      <c r="I30" s="70">
        <v>0</v>
      </c>
      <c r="J30" s="70">
        <v>0</v>
      </c>
      <c r="K30" s="71">
        <v>0</v>
      </c>
      <c r="L30" s="69">
        <v>0</v>
      </c>
      <c r="M30" s="70">
        <v>0</v>
      </c>
      <c r="N30" s="70">
        <v>0</v>
      </c>
      <c r="O30" s="72">
        <v>0</v>
      </c>
    </row>
    <row r="31" spans="2:15" x14ac:dyDescent="0.3">
      <c r="B31" s="45" t="s">
        <v>4</v>
      </c>
      <c r="C31" s="50" t="s">
        <v>213</v>
      </c>
      <c r="D31" s="69">
        <v>0</v>
      </c>
      <c r="E31" s="70">
        <v>0</v>
      </c>
      <c r="F31" s="70">
        <v>0</v>
      </c>
      <c r="G31" s="71">
        <v>0</v>
      </c>
      <c r="H31" s="69">
        <v>0</v>
      </c>
      <c r="I31" s="70">
        <v>0</v>
      </c>
      <c r="J31" s="70">
        <v>0</v>
      </c>
      <c r="K31" s="71">
        <v>0</v>
      </c>
      <c r="L31" s="69">
        <v>0</v>
      </c>
      <c r="M31" s="70">
        <v>0</v>
      </c>
      <c r="N31" s="70">
        <v>0</v>
      </c>
      <c r="O31" s="72">
        <v>0</v>
      </c>
    </row>
    <row r="32" spans="2:15" x14ac:dyDescent="0.3">
      <c r="B32" s="45" t="s">
        <v>4</v>
      </c>
      <c r="C32" s="50" t="s">
        <v>214</v>
      </c>
      <c r="D32" s="69">
        <v>0</v>
      </c>
      <c r="E32" s="70">
        <v>0</v>
      </c>
      <c r="F32" s="70">
        <v>0</v>
      </c>
      <c r="G32" s="71">
        <v>0</v>
      </c>
      <c r="H32" s="69">
        <v>0</v>
      </c>
      <c r="I32" s="70">
        <v>0</v>
      </c>
      <c r="J32" s="70">
        <v>0</v>
      </c>
      <c r="K32" s="71">
        <v>0</v>
      </c>
      <c r="L32" s="69">
        <v>0</v>
      </c>
      <c r="M32" s="70">
        <v>0</v>
      </c>
      <c r="N32" s="70">
        <v>0</v>
      </c>
      <c r="O32" s="72">
        <v>0</v>
      </c>
    </row>
    <row r="33" spans="2:15" x14ac:dyDescent="0.3">
      <c r="B33" s="45" t="s">
        <v>4</v>
      </c>
      <c r="C33" s="50" t="s">
        <v>215</v>
      </c>
      <c r="D33" s="69">
        <v>0</v>
      </c>
      <c r="E33" s="70">
        <v>0</v>
      </c>
      <c r="F33" s="70">
        <v>0</v>
      </c>
      <c r="G33" s="71">
        <v>0</v>
      </c>
      <c r="H33" s="69">
        <v>0</v>
      </c>
      <c r="I33" s="70">
        <v>0</v>
      </c>
      <c r="J33" s="70">
        <v>0</v>
      </c>
      <c r="K33" s="71">
        <v>0</v>
      </c>
      <c r="L33" s="69">
        <v>0</v>
      </c>
      <c r="M33" s="70">
        <v>0</v>
      </c>
      <c r="N33" s="70">
        <v>0</v>
      </c>
      <c r="O33" s="72">
        <v>0</v>
      </c>
    </row>
    <row r="34" spans="2:15" x14ac:dyDescent="0.3">
      <c r="B34" s="45" t="s">
        <v>4</v>
      </c>
      <c r="C34" s="50" t="s">
        <v>216</v>
      </c>
      <c r="D34" s="69">
        <v>0</v>
      </c>
      <c r="E34" s="70">
        <v>0</v>
      </c>
      <c r="F34" s="70">
        <v>0</v>
      </c>
      <c r="G34" s="71">
        <v>0</v>
      </c>
      <c r="H34" s="69">
        <v>0</v>
      </c>
      <c r="I34" s="70">
        <v>0</v>
      </c>
      <c r="J34" s="70">
        <v>0</v>
      </c>
      <c r="K34" s="71">
        <v>0</v>
      </c>
      <c r="L34" s="69">
        <v>0</v>
      </c>
      <c r="M34" s="70">
        <v>0</v>
      </c>
      <c r="N34" s="70">
        <v>0</v>
      </c>
      <c r="O34" s="72">
        <v>0</v>
      </c>
    </row>
    <row r="35" spans="2:15" x14ac:dyDescent="0.3">
      <c r="B35" s="45" t="s">
        <v>4</v>
      </c>
      <c r="C35" s="50" t="s">
        <v>217</v>
      </c>
      <c r="D35" s="69">
        <v>0</v>
      </c>
      <c r="E35" s="70">
        <v>0</v>
      </c>
      <c r="F35" s="70">
        <v>0</v>
      </c>
      <c r="G35" s="71">
        <v>0</v>
      </c>
      <c r="H35" s="69">
        <v>0</v>
      </c>
      <c r="I35" s="70">
        <v>0</v>
      </c>
      <c r="J35" s="70">
        <v>0</v>
      </c>
      <c r="K35" s="71">
        <v>0</v>
      </c>
      <c r="L35" s="69">
        <v>0</v>
      </c>
      <c r="M35" s="70">
        <v>0</v>
      </c>
      <c r="N35" s="70">
        <v>0</v>
      </c>
      <c r="O35" s="72">
        <v>0</v>
      </c>
    </row>
    <row r="36" spans="2:15" x14ac:dyDescent="0.3">
      <c r="B36" s="47" t="s">
        <v>4</v>
      </c>
      <c r="C36" s="48" t="s">
        <v>218</v>
      </c>
      <c r="D36" s="76">
        <v>186312.71</v>
      </c>
      <c r="E36" s="77">
        <v>186640.96</v>
      </c>
      <c r="F36" s="77">
        <v>-328.25</v>
      </c>
      <c r="G36" s="78">
        <v>-1.75872434432399E-3</v>
      </c>
      <c r="H36" s="76">
        <v>186312.71</v>
      </c>
      <c r="I36" s="77">
        <v>186640.96</v>
      </c>
      <c r="J36" s="77">
        <v>-328.25</v>
      </c>
      <c r="K36" s="79">
        <v>-1.75872434432399E-3</v>
      </c>
      <c r="L36" s="76">
        <v>1246837.3600000001</v>
      </c>
      <c r="M36" s="77">
        <v>1989035.5</v>
      </c>
      <c r="N36" s="77">
        <v>-742198.14</v>
      </c>
      <c r="O36" s="80">
        <v>-0.37314474276602899</v>
      </c>
    </row>
    <row r="37" spans="2:15" x14ac:dyDescent="0.3">
      <c r="B37" s="45" t="s">
        <v>4</v>
      </c>
      <c r="C37" s="46" t="s">
        <v>219</v>
      </c>
      <c r="D37" s="69">
        <v>6463.32</v>
      </c>
      <c r="E37" s="70">
        <v>5512.44</v>
      </c>
      <c r="F37" s="70">
        <v>950.88</v>
      </c>
      <c r="G37" s="71">
        <v>0.172497115614864</v>
      </c>
      <c r="H37" s="69">
        <v>6463.32</v>
      </c>
      <c r="I37" s="70">
        <v>5512.44</v>
      </c>
      <c r="J37" s="70">
        <v>950.88</v>
      </c>
      <c r="K37" s="71">
        <v>0.172497115614864</v>
      </c>
      <c r="L37" s="69">
        <v>40880.839999999997</v>
      </c>
      <c r="M37" s="70">
        <v>36833.1</v>
      </c>
      <c r="N37" s="70">
        <v>4047.74</v>
      </c>
      <c r="O37" s="72">
        <v>0.10989408982681299</v>
      </c>
    </row>
    <row r="38" spans="2:15" x14ac:dyDescent="0.3">
      <c r="B38" s="45" t="s">
        <v>4</v>
      </c>
      <c r="C38" s="46" t="s">
        <v>220</v>
      </c>
      <c r="D38" s="69">
        <v>17.64</v>
      </c>
      <c r="E38" s="70">
        <v>131.31</v>
      </c>
      <c r="F38" s="70">
        <v>-113.67</v>
      </c>
      <c r="G38" s="71">
        <v>-0.86566141192597701</v>
      </c>
      <c r="H38" s="69">
        <v>17.64</v>
      </c>
      <c r="I38" s="70">
        <v>131.31</v>
      </c>
      <c r="J38" s="70">
        <v>-113.67</v>
      </c>
      <c r="K38" s="71">
        <v>-0.86566141192597701</v>
      </c>
      <c r="L38" s="69">
        <v>494.38</v>
      </c>
      <c r="M38" s="70">
        <v>889.94</v>
      </c>
      <c r="N38" s="70">
        <v>-395.56</v>
      </c>
      <c r="O38" s="72">
        <v>-0.44447940310582701</v>
      </c>
    </row>
    <row r="39" spans="2:15" x14ac:dyDescent="0.3">
      <c r="B39" s="45" t="s">
        <v>4</v>
      </c>
      <c r="C39" s="46" t="s">
        <v>221</v>
      </c>
      <c r="D39" s="69">
        <v>282.31</v>
      </c>
      <c r="E39" s="70">
        <v>419.89</v>
      </c>
      <c r="F39" s="70">
        <v>-137.58000000000001</v>
      </c>
      <c r="G39" s="71">
        <v>-0.327657243563791</v>
      </c>
      <c r="H39" s="69">
        <v>282.31</v>
      </c>
      <c r="I39" s="70">
        <v>419.89</v>
      </c>
      <c r="J39" s="70">
        <v>-137.58000000000001</v>
      </c>
      <c r="K39" s="71">
        <v>-0.327657243563791</v>
      </c>
      <c r="L39" s="69">
        <v>2105.8000000000002</v>
      </c>
      <c r="M39" s="70">
        <v>2599.5500000000002</v>
      </c>
      <c r="N39" s="70">
        <v>-493.75</v>
      </c>
      <c r="O39" s="72">
        <v>-0.189936719816891</v>
      </c>
    </row>
    <row r="40" spans="2:15" x14ac:dyDescent="0.3">
      <c r="B40" s="45" t="s">
        <v>4</v>
      </c>
      <c r="C40" s="46" t="s">
        <v>222</v>
      </c>
      <c r="D40" s="69">
        <v>0</v>
      </c>
      <c r="E40" s="70">
        <v>0</v>
      </c>
      <c r="F40" s="70">
        <v>0</v>
      </c>
      <c r="G40" s="71">
        <v>0</v>
      </c>
      <c r="H40" s="69">
        <v>0</v>
      </c>
      <c r="I40" s="70">
        <v>0</v>
      </c>
      <c r="J40" s="70">
        <v>0</v>
      </c>
      <c r="K40" s="71">
        <v>0</v>
      </c>
      <c r="L40" s="69">
        <v>0</v>
      </c>
      <c r="M40" s="70">
        <v>0</v>
      </c>
      <c r="N40" s="70">
        <v>0</v>
      </c>
      <c r="O40" s="72">
        <v>0</v>
      </c>
    </row>
    <row r="41" spans="2:15" x14ac:dyDescent="0.3">
      <c r="B41" s="45" t="s">
        <v>4</v>
      </c>
      <c r="C41" s="46" t="s">
        <v>223</v>
      </c>
      <c r="D41" s="69">
        <v>0</v>
      </c>
      <c r="E41" s="70">
        <v>103.04</v>
      </c>
      <c r="F41" s="70">
        <v>-103.04</v>
      </c>
      <c r="G41" s="71">
        <v>-1</v>
      </c>
      <c r="H41" s="69">
        <v>0</v>
      </c>
      <c r="I41" s="70">
        <v>103.04</v>
      </c>
      <c r="J41" s="70">
        <v>-103.04</v>
      </c>
      <c r="K41" s="71">
        <v>-1</v>
      </c>
      <c r="L41" s="69">
        <v>0</v>
      </c>
      <c r="M41" s="70">
        <v>331.76</v>
      </c>
      <c r="N41" s="70">
        <v>-331.76</v>
      </c>
      <c r="O41" s="72">
        <v>-1</v>
      </c>
    </row>
    <row r="42" spans="2:15" x14ac:dyDescent="0.3">
      <c r="B42" s="45" t="s">
        <v>4</v>
      </c>
      <c r="C42" s="46" t="s">
        <v>224</v>
      </c>
      <c r="D42" s="69">
        <v>70.59</v>
      </c>
      <c r="E42" s="70">
        <v>2.11</v>
      </c>
      <c r="F42" s="70">
        <v>68.48</v>
      </c>
      <c r="G42" s="71">
        <v>32.454976303317501</v>
      </c>
      <c r="H42" s="69">
        <v>70.59</v>
      </c>
      <c r="I42" s="70">
        <v>2.11</v>
      </c>
      <c r="J42" s="70">
        <v>68.48</v>
      </c>
      <c r="K42" s="71">
        <v>32.454976303317501</v>
      </c>
      <c r="L42" s="69">
        <v>71.23</v>
      </c>
      <c r="M42" s="70">
        <v>14.32</v>
      </c>
      <c r="N42" s="70">
        <v>56.91</v>
      </c>
      <c r="O42" s="72">
        <v>3.9741620111731799</v>
      </c>
    </row>
    <row r="43" spans="2:15" x14ac:dyDescent="0.3">
      <c r="B43" s="45" t="s">
        <v>4</v>
      </c>
      <c r="C43" s="46" t="s">
        <v>225</v>
      </c>
      <c r="D43" s="69">
        <v>0</v>
      </c>
      <c r="E43" s="70">
        <v>0</v>
      </c>
      <c r="F43" s="70">
        <v>0</v>
      </c>
      <c r="G43" s="71">
        <v>0</v>
      </c>
      <c r="H43" s="69">
        <v>0</v>
      </c>
      <c r="I43" s="70">
        <v>0</v>
      </c>
      <c r="J43" s="70">
        <v>0</v>
      </c>
      <c r="K43" s="71">
        <v>0</v>
      </c>
      <c r="L43" s="69">
        <v>-600</v>
      </c>
      <c r="M43" s="70">
        <v>0</v>
      </c>
      <c r="N43" s="70">
        <v>-600</v>
      </c>
      <c r="O43" s="72">
        <v>0</v>
      </c>
    </row>
    <row r="44" spans="2:15" x14ac:dyDescent="0.3">
      <c r="B44" s="45" t="s">
        <v>4</v>
      </c>
      <c r="C44" s="46" t="s">
        <v>226</v>
      </c>
      <c r="D44" s="69">
        <v>169.99</v>
      </c>
      <c r="E44" s="70">
        <v>177.21</v>
      </c>
      <c r="F44" s="70">
        <v>-7.22</v>
      </c>
      <c r="G44" s="71">
        <v>-4.0742621748208301E-2</v>
      </c>
      <c r="H44" s="69">
        <v>169.99</v>
      </c>
      <c r="I44" s="70">
        <v>177.21</v>
      </c>
      <c r="J44" s="70">
        <v>-7.22</v>
      </c>
      <c r="K44" s="71">
        <v>-4.0742621748208301E-2</v>
      </c>
      <c r="L44" s="69">
        <v>2299.9899999999998</v>
      </c>
      <c r="M44" s="70">
        <v>936.97</v>
      </c>
      <c r="N44" s="70">
        <v>1363.02</v>
      </c>
      <c r="O44" s="72">
        <v>1.45471039627736</v>
      </c>
    </row>
    <row r="45" spans="2:15" x14ac:dyDescent="0.3">
      <c r="B45" s="45" t="s">
        <v>4</v>
      </c>
      <c r="C45" s="46" t="s">
        <v>227</v>
      </c>
      <c r="D45" s="69">
        <v>0</v>
      </c>
      <c r="E45" s="70">
        <v>0</v>
      </c>
      <c r="F45" s="70">
        <v>0</v>
      </c>
      <c r="G45" s="71">
        <v>0</v>
      </c>
      <c r="H45" s="69">
        <v>0</v>
      </c>
      <c r="I45" s="70">
        <v>0</v>
      </c>
      <c r="J45" s="70">
        <v>0</v>
      </c>
      <c r="K45" s="71">
        <v>0</v>
      </c>
      <c r="L45" s="69">
        <v>0</v>
      </c>
      <c r="M45" s="70">
        <v>0</v>
      </c>
      <c r="N45" s="70">
        <v>0</v>
      </c>
      <c r="O45" s="72">
        <v>0</v>
      </c>
    </row>
    <row r="46" spans="2:15" x14ac:dyDescent="0.3">
      <c r="B46" s="45" t="s">
        <v>4</v>
      </c>
      <c r="C46" s="46" t="s">
        <v>228</v>
      </c>
      <c r="D46" s="69">
        <v>112.06</v>
      </c>
      <c r="E46" s="70">
        <v>98</v>
      </c>
      <c r="F46" s="70">
        <v>14.06</v>
      </c>
      <c r="G46" s="71">
        <v>0.14346938775510201</v>
      </c>
      <c r="H46" s="69">
        <v>112.06</v>
      </c>
      <c r="I46" s="70">
        <v>98</v>
      </c>
      <c r="J46" s="70">
        <v>14.06</v>
      </c>
      <c r="K46" s="71">
        <v>0.14346938775510201</v>
      </c>
      <c r="L46" s="69">
        <v>726.82</v>
      </c>
      <c r="M46" s="70">
        <v>680.99</v>
      </c>
      <c r="N46" s="70">
        <v>45.83</v>
      </c>
      <c r="O46" s="72">
        <v>6.7299079281634103E-2</v>
      </c>
    </row>
    <row r="47" spans="2:15" x14ac:dyDescent="0.3">
      <c r="B47" s="45" t="s">
        <v>4</v>
      </c>
      <c r="C47" s="46" t="s">
        <v>229</v>
      </c>
      <c r="D47" s="69">
        <v>54.78</v>
      </c>
      <c r="E47" s="70">
        <v>466.9</v>
      </c>
      <c r="F47" s="70">
        <v>-412.12</v>
      </c>
      <c r="G47" s="71">
        <v>-0.88267294923966599</v>
      </c>
      <c r="H47" s="69">
        <v>54.78</v>
      </c>
      <c r="I47" s="70">
        <v>466.9</v>
      </c>
      <c r="J47" s="70">
        <v>-412.12</v>
      </c>
      <c r="K47" s="71">
        <v>-0.88267294923966599</v>
      </c>
      <c r="L47" s="69">
        <v>421.03</v>
      </c>
      <c r="M47" s="70">
        <v>3256.17</v>
      </c>
      <c r="N47" s="70">
        <v>-2835.14</v>
      </c>
      <c r="O47" s="72">
        <v>-0.87069778297816103</v>
      </c>
    </row>
    <row r="48" spans="2:15" x14ac:dyDescent="0.3">
      <c r="B48" s="45" t="s">
        <v>4</v>
      </c>
      <c r="C48" s="46" t="s">
        <v>230</v>
      </c>
      <c r="D48" s="69">
        <v>504.77</v>
      </c>
      <c r="E48" s="70">
        <v>453.19</v>
      </c>
      <c r="F48" s="70">
        <v>51.58</v>
      </c>
      <c r="G48" s="71">
        <v>0.11381539751539101</v>
      </c>
      <c r="H48" s="69">
        <v>504.77</v>
      </c>
      <c r="I48" s="70">
        <v>453.19</v>
      </c>
      <c r="J48" s="70">
        <v>51.58</v>
      </c>
      <c r="K48" s="71">
        <v>0.11381539751539101</v>
      </c>
      <c r="L48" s="69">
        <v>3797.42</v>
      </c>
      <c r="M48" s="70">
        <v>3622.69</v>
      </c>
      <c r="N48" s="70">
        <v>174.73</v>
      </c>
      <c r="O48" s="72">
        <v>4.8232114809713199E-2</v>
      </c>
    </row>
    <row r="49" spans="2:15" x14ac:dyDescent="0.3">
      <c r="B49" s="47" t="s">
        <v>4</v>
      </c>
      <c r="C49" s="50" t="s">
        <v>231</v>
      </c>
      <c r="D49" s="73">
        <v>7675.46</v>
      </c>
      <c r="E49" s="74">
        <v>7364.09</v>
      </c>
      <c r="F49" s="74">
        <v>311.37</v>
      </c>
      <c r="G49" s="75">
        <v>4.2282210021876397E-2</v>
      </c>
      <c r="H49" s="73">
        <v>7675.46</v>
      </c>
      <c r="I49" s="74">
        <v>7364.09</v>
      </c>
      <c r="J49" s="74">
        <v>311.37</v>
      </c>
      <c r="K49" s="71">
        <v>4.2282210021876397E-2</v>
      </c>
      <c r="L49" s="73">
        <v>50197.51</v>
      </c>
      <c r="M49" s="74">
        <v>49165.49</v>
      </c>
      <c r="N49" s="74">
        <v>1032.02</v>
      </c>
      <c r="O49" s="72">
        <v>2.0990739642785999E-2</v>
      </c>
    </row>
    <row r="50" spans="2:15" x14ac:dyDescent="0.3">
      <c r="B50" s="45" t="s">
        <v>4</v>
      </c>
      <c r="C50" s="46" t="s">
        <v>232</v>
      </c>
      <c r="D50" s="69">
        <v>13021.34</v>
      </c>
      <c r="E50" s="70">
        <v>24229.94</v>
      </c>
      <c r="F50" s="70">
        <v>-11208.6</v>
      </c>
      <c r="G50" s="71">
        <v>-0.46259297381669101</v>
      </c>
      <c r="H50" s="69">
        <v>13021.34</v>
      </c>
      <c r="I50" s="70">
        <v>24229.94</v>
      </c>
      <c r="J50" s="70">
        <v>-11208.6</v>
      </c>
      <c r="K50" s="71">
        <v>-0.46259297381669101</v>
      </c>
      <c r="L50" s="69">
        <v>66935.520000000004</v>
      </c>
      <c r="M50" s="70">
        <v>113553.04</v>
      </c>
      <c r="N50" s="70">
        <v>-46617.52</v>
      </c>
      <c r="O50" s="72">
        <v>-0.41053520011441302</v>
      </c>
    </row>
    <row r="51" spans="2:15" x14ac:dyDescent="0.3">
      <c r="B51" s="45" t="s">
        <v>4</v>
      </c>
      <c r="C51" s="46" t="s">
        <v>233</v>
      </c>
      <c r="D51" s="69">
        <v>0</v>
      </c>
      <c r="E51" s="70">
        <v>0</v>
      </c>
      <c r="F51" s="70">
        <v>0</v>
      </c>
      <c r="G51" s="71">
        <v>0</v>
      </c>
      <c r="H51" s="69">
        <v>0</v>
      </c>
      <c r="I51" s="70">
        <v>0</v>
      </c>
      <c r="J51" s="70">
        <v>0</v>
      </c>
      <c r="K51" s="71">
        <v>0</v>
      </c>
      <c r="L51" s="69">
        <v>0</v>
      </c>
      <c r="M51" s="70">
        <v>0</v>
      </c>
      <c r="N51" s="70">
        <v>0</v>
      </c>
      <c r="O51" s="72">
        <v>0</v>
      </c>
    </row>
    <row r="52" spans="2:15" x14ac:dyDescent="0.3">
      <c r="B52" s="45" t="s">
        <v>4</v>
      </c>
      <c r="C52" s="46" t="s">
        <v>234</v>
      </c>
      <c r="D52" s="69">
        <v>0</v>
      </c>
      <c r="E52" s="70">
        <v>0</v>
      </c>
      <c r="F52" s="70">
        <v>0</v>
      </c>
      <c r="G52" s="71">
        <v>0</v>
      </c>
      <c r="H52" s="69">
        <v>0</v>
      </c>
      <c r="I52" s="70">
        <v>0</v>
      </c>
      <c r="J52" s="70">
        <v>0</v>
      </c>
      <c r="K52" s="71">
        <v>0</v>
      </c>
      <c r="L52" s="69">
        <v>0</v>
      </c>
      <c r="M52" s="70">
        <v>0</v>
      </c>
      <c r="N52" s="70">
        <v>0</v>
      </c>
      <c r="O52" s="72">
        <v>0</v>
      </c>
    </row>
    <row r="53" spans="2:15" x14ac:dyDescent="0.3">
      <c r="B53" s="45" t="s">
        <v>4</v>
      </c>
      <c r="C53" s="46" t="s">
        <v>235</v>
      </c>
      <c r="D53" s="69">
        <v>0</v>
      </c>
      <c r="E53" s="70">
        <v>0</v>
      </c>
      <c r="F53" s="70">
        <v>0</v>
      </c>
      <c r="G53" s="71">
        <v>0</v>
      </c>
      <c r="H53" s="69">
        <v>0</v>
      </c>
      <c r="I53" s="70">
        <v>0</v>
      </c>
      <c r="J53" s="70">
        <v>0</v>
      </c>
      <c r="K53" s="71">
        <v>0</v>
      </c>
      <c r="L53" s="69">
        <v>0</v>
      </c>
      <c r="M53" s="70">
        <v>0</v>
      </c>
      <c r="N53" s="70">
        <v>0</v>
      </c>
      <c r="O53" s="72">
        <v>0</v>
      </c>
    </row>
    <row r="54" spans="2:15" x14ac:dyDescent="0.3">
      <c r="B54" s="45" t="s">
        <v>4</v>
      </c>
      <c r="C54" s="46" t="s">
        <v>236</v>
      </c>
      <c r="D54" s="69">
        <v>0</v>
      </c>
      <c r="E54" s="70">
        <v>0</v>
      </c>
      <c r="F54" s="70">
        <v>0</v>
      </c>
      <c r="G54" s="71">
        <v>0</v>
      </c>
      <c r="H54" s="69">
        <v>0</v>
      </c>
      <c r="I54" s="70">
        <v>0</v>
      </c>
      <c r="J54" s="70">
        <v>0</v>
      </c>
      <c r="K54" s="71">
        <v>0</v>
      </c>
      <c r="L54" s="69">
        <v>0</v>
      </c>
      <c r="M54" s="70">
        <v>0</v>
      </c>
      <c r="N54" s="70">
        <v>0</v>
      </c>
      <c r="O54" s="72">
        <v>0</v>
      </c>
    </row>
    <row r="55" spans="2:15" x14ac:dyDescent="0.3">
      <c r="B55" s="47" t="s">
        <v>4</v>
      </c>
      <c r="C55" s="50" t="s">
        <v>237</v>
      </c>
      <c r="D55" s="73">
        <v>13021.34</v>
      </c>
      <c r="E55" s="74">
        <v>24229.94</v>
      </c>
      <c r="F55" s="74">
        <v>-11208.6</v>
      </c>
      <c r="G55" s="75">
        <v>-0.46259297381669101</v>
      </c>
      <c r="H55" s="73">
        <v>13021.34</v>
      </c>
      <c r="I55" s="74">
        <v>24229.94</v>
      </c>
      <c r="J55" s="74">
        <v>-11208.6</v>
      </c>
      <c r="K55" s="71">
        <v>-0.46259297381669101</v>
      </c>
      <c r="L55" s="73">
        <v>66935.520000000004</v>
      </c>
      <c r="M55" s="74">
        <v>113553.04</v>
      </c>
      <c r="N55" s="74">
        <v>-46617.52</v>
      </c>
      <c r="O55" s="72">
        <v>-0.41053520011441302</v>
      </c>
    </row>
    <row r="56" spans="2:15" x14ac:dyDescent="0.3">
      <c r="B56" s="45" t="s">
        <v>4</v>
      </c>
      <c r="C56" s="46" t="s">
        <v>238</v>
      </c>
      <c r="D56" s="69">
        <v>0</v>
      </c>
      <c r="E56" s="70">
        <v>0</v>
      </c>
      <c r="F56" s="70">
        <v>0</v>
      </c>
      <c r="G56" s="71">
        <v>0</v>
      </c>
      <c r="H56" s="69">
        <v>0</v>
      </c>
      <c r="I56" s="70">
        <v>0</v>
      </c>
      <c r="J56" s="70">
        <v>0</v>
      </c>
      <c r="K56" s="71">
        <v>0</v>
      </c>
      <c r="L56" s="69">
        <v>0</v>
      </c>
      <c r="M56" s="70">
        <v>0</v>
      </c>
      <c r="N56" s="70">
        <v>0</v>
      </c>
      <c r="O56" s="72">
        <v>0</v>
      </c>
    </row>
    <row r="57" spans="2:15" x14ac:dyDescent="0.3">
      <c r="B57" s="45" t="s">
        <v>4</v>
      </c>
      <c r="C57" s="46" t="s">
        <v>239</v>
      </c>
      <c r="D57" s="69">
        <v>613.37</v>
      </c>
      <c r="E57" s="70">
        <v>42.6</v>
      </c>
      <c r="F57" s="70">
        <v>570.77</v>
      </c>
      <c r="G57" s="71">
        <v>13.3983568075117</v>
      </c>
      <c r="H57" s="69">
        <v>613.37</v>
      </c>
      <c r="I57" s="70">
        <v>42.6</v>
      </c>
      <c r="J57" s="70">
        <v>570.77</v>
      </c>
      <c r="K57" s="71">
        <v>13.3983568075117</v>
      </c>
      <c r="L57" s="69">
        <v>1958.91</v>
      </c>
      <c r="M57" s="70">
        <v>298.2</v>
      </c>
      <c r="N57" s="70">
        <v>1660.71</v>
      </c>
      <c r="O57" s="72">
        <v>5.5691146881287699</v>
      </c>
    </row>
    <row r="58" spans="2:15" x14ac:dyDescent="0.3">
      <c r="B58" s="45" t="s">
        <v>4</v>
      </c>
      <c r="C58" s="46" t="s">
        <v>240</v>
      </c>
      <c r="D58" s="69">
        <v>2483.69</v>
      </c>
      <c r="E58" s="70">
        <v>1688.15</v>
      </c>
      <c r="F58" s="70">
        <v>795.54</v>
      </c>
      <c r="G58" s="71">
        <v>0.47124959274945899</v>
      </c>
      <c r="H58" s="69">
        <v>2483.69</v>
      </c>
      <c r="I58" s="70">
        <v>1688.15</v>
      </c>
      <c r="J58" s="70">
        <v>795.54</v>
      </c>
      <c r="K58" s="71">
        <v>0.47124959274945899</v>
      </c>
      <c r="L58" s="69">
        <v>15082.86</v>
      </c>
      <c r="M58" s="70">
        <v>11629.53</v>
      </c>
      <c r="N58" s="70">
        <v>3453.33</v>
      </c>
      <c r="O58" s="72">
        <v>0.29694493242633202</v>
      </c>
    </row>
    <row r="59" spans="2:15" x14ac:dyDescent="0.3">
      <c r="B59" s="47" t="s">
        <v>4</v>
      </c>
      <c r="C59" s="50" t="s">
        <v>241</v>
      </c>
      <c r="D59" s="73">
        <v>3097.06</v>
      </c>
      <c r="E59" s="74">
        <v>1730.75</v>
      </c>
      <c r="F59" s="74">
        <v>1366.31</v>
      </c>
      <c r="G59" s="75">
        <v>0.78943232702585597</v>
      </c>
      <c r="H59" s="73">
        <v>3097.06</v>
      </c>
      <c r="I59" s="74">
        <v>1730.75</v>
      </c>
      <c r="J59" s="74">
        <v>1366.31</v>
      </c>
      <c r="K59" s="71">
        <v>0.78943232702585597</v>
      </c>
      <c r="L59" s="73">
        <v>17041.77</v>
      </c>
      <c r="M59" s="74">
        <v>11927.73</v>
      </c>
      <c r="N59" s="74">
        <v>5114.04</v>
      </c>
      <c r="O59" s="72">
        <v>0.428752159882895</v>
      </c>
    </row>
    <row r="60" spans="2:15" x14ac:dyDescent="0.3">
      <c r="B60" s="45" t="s">
        <v>4</v>
      </c>
      <c r="C60" s="46" t="s">
        <v>242</v>
      </c>
      <c r="D60" s="69">
        <v>8.8000000000000007</v>
      </c>
      <c r="E60" s="70">
        <v>4716.7</v>
      </c>
      <c r="F60" s="70">
        <v>-4707.8999999999996</v>
      </c>
      <c r="G60" s="71">
        <v>-0.99813428880361299</v>
      </c>
      <c r="H60" s="69">
        <v>8.8000000000000007</v>
      </c>
      <c r="I60" s="70">
        <v>4716.7</v>
      </c>
      <c r="J60" s="70">
        <v>-4707.8999999999996</v>
      </c>
      <c r="K60" s="71">
        <v>-0.99813428880361299</v>
      </c>
      <c r="L60" s="69">
        <v>21128.15</v>
      </c>
      <c r="M60" s="70">
        <v>21833.599999999999</v>
      </c>
      <c r="N60" s="70">
        <v>-705.45</v>
      </c>
      <c r="O60" s="72">
        <v>-3.2310292393375399E-2</v>
      </c>
    </row>
    <row r="61" spans="2:15" x14ac:dyDescent="0.3">
      <c r="B61" s="45" t="s">
        <v>4</v>
      </c>
      <c r="C61" s="46" t="s">
        <v>243</v>
      </c>
      <c r="D61" s="69">
        <v>0</v>
      </c>
      <c r="E61" s="70">
        <v>0</v>
      </c>
      <c r="F61" s="70">
        <v>0</v>
      </c>
      <c r="G61" s="71">
        <v>0</v>
      </c>
      <c r="H61" s="69">
        <v>0</v>
      </c>
      <c r="I61" s="70">
        <v>0</v>
      </c>
      <c r="J61" s="70">
        <v>0</v>
      </c>
      <c r="K61" s="71">
        <v>0</v>
      </c>
      <c r="L61" s="69">
        <v>0</v>
      </c>
      <c r="M61" s="70">
        <v>0</v>
      </c>
      <c r="N61" s="70">
        <v>0</v>
      </c>
      <c r="O61" s="72">
        <v>0</v>
      </c>
    </row>
    <row r="62" spans="2:15" x14ac:dyDescent="0.3">
      <c r="B62" s="45" t="s">
        <v>4</v>
      </c>
      <c r="C62" s="46" t="s">
        <v>244</v>
      </c>
      <c r="D62" s="69">
        <v>0</v>
      </c>
      <c r="E62" s="70">
        <v>0</v>
      </c>
      <c r="F62" s="70">
        <v>0</v>
      </c>
      <c r="G62" s="71">
        <v>0</v>
      </c>
      <c r="H62" s="69">
        <v>0</v>
      </c>
      <c r="I62" s="70">
        <v>0</v>
      </c>
      <c r="J62" s="70">
        <v>0</v>
      </c>
      <c r="K62" s="71">
        <v>0</v>
      </c>
      <c r="L62" s="69">
        <v>0</v>
      </c>
      <c r="M62" s="70">
        <v>0</v>
      </c>
      <c r="N62" s="70">
        <v>0</v>
      </c>
      <c r="O62" s="72">
        <v>0</v>
      </c>
    </row>
    <row r="63" spans="2:15" x14ac:dyDescent="0.3">
      <c r="B63" s="45" t="s">
        <v>4</v>
      </c>
      <c r="C63" s="46" t="s">
        <v>245</v>
      </c>
      <c r="D63" s="69">
        <v>640.08000000000004</v>
      </c>
      <c r="E63" s="70">
        <v>506.57</v>
      </c>
      <c r="F63" s="70">
        <v>133.51</v>
      </c>
      <c r="G63" s="71">
        <v>0.26355686282251201</v>
      </c>
      <c r="H63" s="69">
        <v>640.08000000000004</v>
      </c>
      <c r="I63" s="70">
        <v>506.57</v>
      </c>
      <c r="J63" s="70">
        <v>133.51</v>
      </c>
      <c r="K63" s="71">
        <v>0.26355686282251201</v>
      </c>
      <c r="L63" s="69">
        <v>5687.21</v>
      </c>
      <c r="M63" s="70">
        <v>3545.99</v>
      </c>
      <c r="N63" s="70">
        <v>2141.2199999999998</v>
      </c>
      <c r="O63" s="72">
        <v>0.60384265043048602</v>
      </c>
    </row>
    <row r="64" spans="2:15" x14ac:dyDescent="0.3">
      <c r="B64" s="45" t="s">
        <v>4</v>
      </c>
      <c r="C64" s="46" t="s">
        <v>246</v>
      </c>
      <c r="D64" s="69">
        <v>731.62</v>
      </c>
      <c r="E64" s="70">
        <v>647.44000000000005</v>
      </c>
      <c r="F64" s="70">
        <v>84.18</v>
      </c>
      <c r="G64" s="71">
        <v>0.13001977017175301</v>
      </c>
      <c r="H64" s="69">
        <v>731.62</v>
      </c>
      <c r="I64" s="70">
        <v>647.44000000000005</v>
      </c>
      <c r="J64" s="70">
        <v>84.18</v>
      </c>
      <c r="K64" s="71">
        <v>0.13001977017175301</v>
      </c>
      <c r="L64" s="69">
        <v>5049.75</v>
      </c>
      <c r="M64" s="70">
        <v>4510.93</v>
      </c>
      <c r="N64" s="70">
        <v>538.82000000000005</v>
      </c>
      <c r="O64" s="72">
        <v>0.119447652701328</v>
      </c>
    </row>
    <row r="65" spans="2:15" x14ac:dyDescent="0.3">
      <c r="B65" s="45" t="s">
        <v>4</v>
      </c>
      <c r="C65" s="46" t="s">
        <v>247</v>
      </c>
      <c r="D65" s="69">
        <v>136.38</v>
      </c>
      <c r="E65" s="70">
        <v>255.59</v>
      </c>
      <c r="F65" s="70">
        <v>-119.21</v>
      </c>
      <c r="G65" s="71">
        <v>-0.466411048945577</v>
      </c>
      <c r="H65" s="69">
        <v>136.38</v>
      </c>
      <c r="I65" s="70">
        <v>255.59</v>
      </c>
      <c r="J65" s="70">
        <v>-119.21</v>
      </c>
      <c r="K65" s="71">
        <v>-0.466411048945577</v>
      </c>
      <c r="L65" s="69">
        <v>998.66</v>
      </c>
      <c r="M65" s="70">
        <v>1789.13</v>
      </c>
      <c r="N65" s="70">
        <v>-790.47</v>
      </c>
      <c r="O65" s="72">
        <v>-0.441818090356766</v>
      </c>
    </row>
    <row r="66" spans="2:15" x14ac:dyDescent="0.3">
      <c r="B66" s="47" t="s">
        <v>4</v>
      </c>
      <c r="C66" s="50" t="s">
        <v>248</v>
      </c>
      <c r="D66" s="73">
        <v>1516.88</v>
      </c>
      <c r="E66" s="74">
        <v>6126.3</v>
      </c>
      <c r="F66" s="74">
        <v>-4609.42</v>
      </c>
      <c r="G66" s="75">
        <v>-0.75239867456703102</v>
      </c>
      <c r="H66" s="73">
        <v>1516.88</v>
      </c>
      <c r="I66" s="74">
        <v>6126.3</v>
      </c>
      <c r="J66" s="74">
        <v>-4609.42</v>
      </c>
      <c r="K66" s="71">
        <v>-0.75239867456703102</v>
      </c>
      <c r="L66" s="73">
        <v>32863.769999999997</v>
      </c>
      <c r="M66" s="74">
        <v>31679.65</v>
      </c>
      <c r="N66" s="74">
        <v>1184.1199999999999</v>
      </c>
      <c r="O66" s="72">
        <v>3.7377938203231403E-2</v>
      </c>
    </row>
    <row r="67" spans="2:15" x14ac:dyDescent="0.3">
      <c r="B67" s="45" t="s">
        <v>4</v>
      </c>
      <c r="C67" s="46" t="s">
        <v>249</v>
      </c>
      <c r="D67" s="69">
        <v>221.88</v>
      </c>
      <c r="E67" s="70">
        <v>131.61000000000001</v>
      </c>
      <c r="F67" s="70">
        <v>90.27</v>
      </c>
      <c r="G67" s="71">
        <v>0.68589012992933696</v>
      </c>
      <c r="H67" s="69">
        <v>221.88</v>
      </c>
      <c r="I67" s="70">
        <v>131.61000000000001</v>
      </c>
      <c r="J67" s="70">
        <v>90.27</v>
      </c>
      <c r="K67" s="71">
        <v>0.68589012992933696</v>
      </c>
      <c r="L67" s="69">
        <v>863.18</v>
      </c>
      <c r="M67" s="70">
        <v>921.27</v>
      </c>
      <c r="N67" s="70">
        <v>-58.09</v>
      </c>
      <c r="O67" s="72">
        <v>-6.3054262051298798E-2</v>
      </c>
    </row>
    <row r="68" spans="2:15" x14ac:dyDescent="0.3">
      <c r="B68" s="45" t="s">
        <v>4</v>
      </c>
      <c r="C68" s="46" t="s">
        <v>250</v>
      </c>
      <c r="D68" s="69">
        <v>86.78</v>
      </c>
      <c r="E68" s="70">
        <v>157.46</v>
      </c>
      <c r="F68" s="70">
        <v>-70.680000000000007</v>
      </c>
      <c r="G68" s="71">
        <v>-0.44887590499174401</v>
      </c>
      <c r="H68" s="69">
        <v>86.78</v>
      </c>
      <c r="I68" s="70">
        <v>157.46</v>
      </c>
      <c r="J68" s="70">
        <v>-70.680000000000007</v>
      </c>
      <c r="K68" s="71">
        <v>-0.44887590499174401</v>
      </c>
      <c r="L68" s="69">
        <v>445.98</v>
      </c>
      <c r="M68" s="70">
        <v>1102.22</v>
      </c>
      <c r="N68" s="70">
        <v>-656.24</v>
      </c>
      <c r="O68" s="72">
        <v>-0.59538023262143702</v>
      </c>
    </row>
    <row r="69" spans="2:15" x14ac:dyDescent="0.3">
      <c r="B69" s="45" t="s">
        <v>4</v>
      </c>
      <c r="C69" s="46" t="s">
        <v>251</v>
      </c>
      <c r="D69" s="69">
        <v>12.91</v>
      </c>
      <c r="E69" s="70">
        <v>27.38</v>
      </c>
      <c r="F69" s="70">
        <v>-14.47</v>
      </c>
      <c r="G69" s="71">
        <v>-0.528487947406866</v>
      </c>
      <c r="H69" s="69">
        <v>12.91</v>
      </c>
      <c r="I69" s="70">
        <v>27.38</v>
      </c>
      <c r="J69" s="70">
        <v>-14.47</v>
      </c>
      <c r="K69" s="71">
        <v>-0.528487947406866</v>
      </c>
      <c r="L69" s="69">
        <v>73.03</v>
      </c>
      <c r="M69" s="70">
        <v>206.73</v>
      </c>
      <c r="N69" s="70">
        <v>-133.69999999999999</v>
      </c>
      <c r="O69" s="72">
        <v>-0.64673729018526604</v>
      </c>
    </row>
    <row r="70" spans="2:15" x14ac:dyDescent="0.3">
      <c r="B70" s="45" t="s">
        <v>4</v>
      </c>
      <c r="C70" s="46" t="s">
        <v>252</v>
      </c>
      <c r="D70" s="69">
        <v>191.84</v>
      </c>
      <c r="E70" s="70">
        <v>63.74</v>
      </c>
      <c r="F70" s="70">
        <v>128.1</v>
      </c>
      <c r="G70" s="71">
        <v>2.0097270160025098</v>
      </c>
      <c r="H70" s="69">
        <v>191.84</v>
      </c>
      <c r="I70" s="70">
        <v>63.74</v>
      </c>
      <c r="J70" s="70">
        <v>128.1</v>
      </c>
      <c r="K70" s="71">
        <v>2.0097270160025098</v>
      </c>
      <c r="L70" s="69">
        <v>634.91999999999996</v>
      </c>
      <c r="M70" s="70">
        <v>492.44</v>
      </c>
      <c r="N70" s="70">
        <v>142.47999999999999</v>
      </c>
      <c r="O70" s="72">
        <v>0.28933474128827902</v>
      </c>
    </row>
    <row r="71" spans="2:15" x14ac:dyDescent="0.3">
      <c r="B71" s="45" t="s">
        <v>4</v>
      </c>
      <c r="C71" s="46" t="s">
        <v>253</v>
      </c>
      <c r="D71" s="69">
        <v>12.27</v>
      </c>
      <c r="E71" s="70">
        <v>5.13</v>
      </c>
      <c r="F71" s="70">
        <v>7.14</v>
      </c>
      <c r="G71" s="71">
        <v>1.3918128654970801</v>
      </c>
      <c r="H71" s="69">
        <v>12.27</v>
      </c>
      <c r="I71" s="70">
        <v>5.13</v>
      </c>
      <c r="J71" s="70">
        <v>7.14</v>
      </c>
      <c r="K71" s="71">
        <v>1.3918128654970801</v>
      </c>
      <c r="L71" s="69">
        <v>224.04</v>
      </c>
      <c r="M71" s="70">
        <v>77.67</v>
      </c>
      <c r="N71" s="70">
        <v>146.37</v>
      </c>
      <c r="O71" s="72">
        <v>1.8845113943607601</v>
      </c>
    </row>
    <row r="72" spans="2:15" x14ac:dyDescent="0.3">
      <c r="B72" s="45" t="s">
        <v>4</v>
      </c>
      <c r="C72" s="46" t="s">
        <v>254</v>
      </c>
      <c r="D72" s="69">
        <v>35</v>
      </c>
      <c r="E72" s="70">
        <v>211.64</v>
      </c>
      <c r="F72" s="70">
        <v>-176.64</v>
      </c>
      <c r="G72" s="71">
        <v>-0.83462483462483505</v>
      </c>
      <c r="H72" s="69">
        <v>35</v>
      </c>
      <c r="I72" s="70">
        <v>211.64</v>
      </c>
      <c r="J72" s="70">
        <v>-176.64</v>
      </c>
      <c r="K72" s="71">
        <v>-0.83462483462483505</v>
      </c>
      <c r="L72" s="69">
        <v>1064.98</v>
      </c>
      <c r="M72" s="70">
        <v>1246.5999999999999</v>
      </c>
      <c r="N72" s="70">
        <v>-181.62</v>
      </c>
      <c r="O72" s="72">
        <v>-0.14569228300978701</v>
      </c>
    </row>
    <row r="73" spans="2:15" x14ac:dyDescent="0.3">
      <c r="B73" s="45" t="s">
        <v>4</v>
      </c>
      <c r="C73" s="46" t="s">
        <v>255</v>
      </c>
      <c r="D73" s="69">
        <v>515</v>
      </c>
      <c r="E73" s="70">
        <v>515</v>
      </c>
      <c r="F73" s="70">
        <v>0</v>
      </c>
      <c r="G73" s="71">
        <v>0</v>
      </c>
      <c r="H73" s="69">
        <v>515</v>
      </c>
      <c r="I73" s="70">
        <v>515</v>
      </c>
      <c r="J73" s="70">
        <v>0</v>
      </c>
      <c r="K73" s="71">
        <v>0</v>
      </c>
      <c r="L73" s="69">
        <v>3630.78</v>
      </c>
      <c r="M73" s="70">
        <v>3605</v>
      </c>
      <c r="N73" s="70">
        <v>25.78</v>
      </c>
      <c r="O73" s="72">
        <v>7.1511789181692102E-3</v>
      </c>
    </row>
    <row r="74" spans="2:15" x14ac:dyDescent="0.3">
      <c r="B74" s="47" t="s">
        <v>4</v>
      </c>
      <c r="C74" s="50" t="s">
        <v>256</v>
      </c>
      <c r="D74" s="73">
        <v>1075.68</v>
      </c>
      <c r="E74" s="74">
        <v>1111.96</v>
      </c>
      <c r="F74" s="74">
        <v>-36.28</v>
      </c>
      <c r="G74" s="75">
        <v>-3.2627072916292001E-2</v>
      </c>
      <c r="H74" s="73">
        <v>1075.68</v>
      </c>
      <c r="I74" s="74">
        <v>1111.96</v>
      </c>
      <c r="J74" s="74">
        <v>-36.28</v>
      </c>
      <c r="K74" s="71">
        <v>-3.2627072916292001E-2</v>
      </c>
      <c r="L74" s="73">
        <v>6936.91</v>
      </c>
      <c r="M74" s="74">
        <v>7651.93</v>
      </c>
      <c r="N74" s="74">
        <v>-715.02</v>
      </c>
      <c r="O74" s="72">
        <v>-9.3443092134925396E-2</v>
      </c>
    </row>
    <row r="75" spans="2:15" x14ac:dyDescent="0.3">
      <c r="B75" s="45" t="s">
        <v>4</v>
      </c>
      <c r="C75" s="46" t="s">
        <v>257</v>
      </c>
      <c r="D75" s="69">
        <v>0</v>
      </c>
      <c r="E75" s="70">
        <v>20.93</v>
      </c>
      <c r="F75" s="70">
        <v>-20.93</v>
      </c>
      <c r="G75" s="71">
        <v>-1</v>
      </c>
      <c r="H75" s="69">
        <v>0</v>
      </c>
      <c r="I75" s="70">
        <v>20.93</v>
      </c>
      <c r="J75" s="70">
        <v>-20.93</v>
      </c>
      <c r="K75" s="71">
        <v>-1</v>
      </c>
      <c r="L75" s="69">
        <v>0</v>
      </c>
      <c r="M75" s="70">
        <v>146.51</v>
      </c>
      <c r="N75" s="70">
        <v>-146.51</v>
      </c>
      <c r="O75" s="72">
        <v>-1</v>
      </c>
    </row>
    <row r="76" spans="2:15" x14ac:dyDescent="0.3">
      <c r="B76" s="45" t="s">
        <v>4</v>
      </c>
      <c r="C76" s="46" t="s">
        <v>258</v>
      </c>
      <c r="D76" s="69">
        <v>0</v>
      </c>
      <c r="E76" s="70">
        <v>4.0599999999999996</v>
      </c>
      <c r="F76" s="70">
        <v>-4.0599999999999996</v>
      </c>
      <c r="G76" s="71">
        <v>-1</v>
      </c>
      <c r="H76" s="69">
        <v>0</v>
      </c>
      <c r="I76" s="70">
        <v>4.0599999999999996</v>
      </c>
      <c r="J76" s="70">
        <v>-4.0599999999999996</v>
      </c>
      <c r="K76" s="71">
        <v>-1</v>
      </c>
      <c r="L76" s="69">
        <v>22.61</v>
      </c>
      <c r="M76" s="70">
        <v>42.12</v>
      </c>
      <c r="N76" s="70">
        <v>-19.510000000000002</v>
      </c>
      <c r="O76" s="72">
        <v>-0.46320037986704699</v>
      </c>
    </row>
    <row r="77" spans="2:15" x14ac:dyDescent="0.3">
      <c r="B77" s="45" t="s">
        <v>4</v>
      </c>
      <c r="C77" s="46" t="s">
        <v>259</v>
      </c>
      <c r="D77" s="69">
        <v>68</v>
      </c>
      <c r="E77" s="70">
        <v>150.85</v>
      </c>
      <c r="F77" s="70">
        <v>-82.85</v>
      </c>
      <c r="G77" s="71">
        <v>-0.54922108054358598</v>
      </c>
      <c r="H77" s="69">
        <v>68</v>
      </c>
      <c r="I77" s="70">
        <v>150.85</v>
      </c>
      <c r="J77" s="70">
        <v>-82.85</v>
      </c>
      <c r="K77" s="71">
        <v>-0.54922108054358598</v>
      </c>
      <c r="L77" s="69">
        <v>3295.61</v>
      </c>
      <c r="M77" s="70">
        <v>1928.02</v>
      </c>
      <c r="N77" s="70">
        <v>1367.59</v>
      </c>
      <c r="O77" s="72">
        <v>0.70932355473490905</v>
      </c>
    </row>
    <row r="78" spans="2:15" x14ac:dyDescent="0.3">
      <c r="B78" s="45" t="s">
        <v>4</v>
      </c>
      <c r="C78" s="46" t="s">
        <v>260</v>
      </c>
      <c r="D78" s="69">
        <v>1981.39</v>
      </c>
      <c r="E78" s="70">
        <v>4512.53</v>
      </c>
      <c r="F78" s="70">
        <v>-2531.14</v>
      </c>
      <c r="G78" s="71">
        <v>-0.56091372245724702</v>
      </c>
      <c r="H78" s="69">
        <v>1981.39</v>
      </c>
      <c r="I78" s="70">
        <v>4512.53</v>
      </c>
      <c r="J78" s="70">
        <v>-2531.14</v>
      </c>
      <c r="K78" s="71">
        <v>-0.56091372245724702</v>
      </c>
      <c r="L78" s="69">
        <v>14342</v>
      </c>
      <c r="M78" s="70">
        <v>22861.65</v>
      </c>
      <c r="N78" s="70">
        <v>-8519.65</v>
      </c>
      <c r="O78" s="72">
        <v>-0.37266120336896102</v>
      </c>
    </row>
    <row r="79" spans="2:15" x14ac:dyDescent="0.3">
      <c r="B79" s="47" t="s">
        <v>4</v>
      </c>
      <c r="C79" s="50" t="s">
        <v>261</v>
      </c>
      <c r="D79" s="73">
        <v>2049.39</v>
      </c>
      <c r="E79" s="74">
        <v>4688.37</v>
      </c>
      <c r="F79" s="74">
        <v>-2638.98</v>
      </c>
      <c r="G79" s="75">
        <v>-0.56287792985621898</v>
      </c>
      <c r="H79" s="73">
        <v>2049.39</v>
      </c>
      <c r="I79" s="74">
        <v>4688.37</v>
      </c>
      <c r="J79" s="74">
        <v>-2638.98</v>
      </c>
      <c r="K79" s="71">
        <v>-0.56287792985621898</v>
      </c>
      <c r="L79" s="73">
        <v>17660.22</v>
      </c>
      <c r="M79" s="74">
        <v>24978.3</v>
      </c>
      <c r="N79" s="74">
        <v>-7318.08</v>
      </c>
      <c r="O79" s="72">
        <v>-0.29297750447388299</v>
      </c>
    </row>
    <row r="80" spans="2:15" x14ac:dyDescent="0.3">
      <c r="B80" s="45" t="s">
        <v>4</v>
      </c>
      <c r="C80" s="46" t="s">
        <v>262</v>
      </c>
      <c r="D80" s="69">
        <v>941.12</v>
      </c>
      <c r="E80" s="70">
        <v>900</v>
      </c>
      <c r="F80" s="70">
        <v>41.12</v>
      </c>
      <c r="G80" s="71">
        <v>4.5688888888888897E-2</v>
      </c>
      <c r="H80" s="69">
        <v>941.12</v>
      </c>
      <c r="I80" s="70">
        <v>900</v>
      </c>
      <c r="J80" s="70">
        <v>41.12</v>
      </c>
      <c r="K80" s="71">
        <v>4.5688888888888897E-2</v>
      </c>
      <c r="L80" s="69">
        <v>-2713.13</v>
      </c>
      <c r="M80" s="70">
        <v>6300</v>
      </c>
      <c r="N80" s="70">
        <v>-9013.1299999999992</v>
      </c>
      <c r="O80" s="72">
        <v>-1.43065555555556</v>
      </c>
    </row>
    <row r="81" spans="2:15" x14ac:dyDescent="0.3">
      <c r="B81" s="45" t="s">
        <v>4</v>
      </c>
      <c r="C81" s="46" t="s">
        <v>263</v>
      </c>
      <c r="D81" s="69">
        <v>0</v>
      </c>
      <c r="E81" s="70">
        <v>0</v>
      </c>
      <c r="F81" s="70">
        <v>0</v>
      </c>
      <c r="G81" s="71">
        <v>0</v>
      </c>
      <c r="H81" s="69">
        <v>0</v>
      </c>
      <c r="I81" s="70">
        <v>0</v>
      </c>
      <c r="J81" s="70">
        <v>0</v>
      </c>
      <c r="K81" s="71">
        <v>0</v>
      </c>
      <c r="L81" s="69">
        <v>0</v>
      </c>
      <c r="M81" s="70">
        <v>0</v>
      </c>
      <c r="N81" s="70">
        <v>0</v>
      </c>
      <c r="O81" s="72">
        <v>0</v>
      </c>
    </row>
    <row r="82" spans="2:15" x14ac:dyDescent="0.3">
      <c r="B82" s="45" t="s">
        <v>4</v>
      </c>
      <c r="C82" s="46" t="s">
        <v>264</v>
      </c>
      <c r="D82" s="69">
        <v>279</v>
      </c>
      <c r="E82" s="70">
        <v>67.97</v>
      </c>
      <c r="F82" s="70">
        <v>211.03</v>
      </c>
      <c r="G82" s="71">
        <v>3.1047520965131699</v>
      </c>
      <c r="H82" s="69">
        <v>279</v>
      </c>
      <c r="I82" s="70">
        <v>67.97</v>
      </c>
      <c r="J82" s="70">
        <v>211.03</v>
      </c>
      <c r="K82" s="71">
        <v>3.1047520965131699</v>
      </c>
      <c r="L82" s="69">
        <v>525.94000000000005</v>
      </c>
      <c r="M82" s="70">
        <v>475.79</v>
      </c>
      <c r="N82" s="70">
        <v>50.15</v>
      </c>
      <c r="O82" s="72">
        <v>0.10540364446499501</v>
      </c>
    </row>
    <row r="83" spans="2:15" x14ac:dyDescent="0.3">
      <c r="B83" s="45" t="s">
        <v>4</v>
      </c>
      <c r="C83" s="46" t="s">
        <v>265</v>
      </c>
      <c r="D83" s="69">
        <v>1921.6</v>
      </c>
      <c r="E83" s="70">
        <v>1735.88</v>
      </c>
      <c r="F83" s="70">
        <v>185.72</v>
      </c>
      <c r="G83" s="71">
        <v>0.106988962370671</v>
      </c>
      <c r="H83" s="69">
        <v>1921.6</v>
      </c>
      <c r="I83" s="70">
        <v>1735.88</v>
      </c>
      <c r="J83" s="70">
        <v>185.72</v>
      </c>
      <c r="K83" s="71">
        <v>0.106988962370671</v>
      </c>
      <c r="L83" s="69">
        <v>10920.6</v>
      </c>
      <c r="M83" s="70">
        <v>9030.49</v>
      </c>
      <c r="N83" s="70">
        <v>1890.11</v>
      </c>
      <c r="O83" s="72">
        <v>0.209303149662975</v>
      </c>
    </row>
    <row r="84" spans="2:15" x14ac:dyDescent="0.3">
      <c r="B84" s="45" t="s">
        <v>4</v>
      </c>
      <c r="C84" s="46" t="s">
        <v>266</v>
      </c>
      <c r="D84" s="69">
        <v>0</v>
      </c>
      <c r="E84" s="70">
        <v>0</v>
      </c>
      <c r="F84" s="70">
        <v>0</v>
      </c>
      <c r="G84" s="71">
        <v>0</v>
      </c>
      <c r="H84" s="69">
        <v>0</v>
      </c>
      <c r="I84" s="70">
        <v>0</v>
      </c>
      <c r="J84" s="70">
        <v>0</v>
      </c>
      <c r="K84" s="71">
        <v>0</v>
      </c>
      <c r="L84" s="69">
        <v>4245</v>
      </c>
      <c r="M84" s="70">
        <v>0</v>
      </c>
      <c r="N84" s="70">
        <v>4245</v>
      </c>
      <c r="O84" s="72">
        <v>0</v>
      </c>
    </row>
    <row r="85" spans="2:15" x14ac:dyDescent="0.3">
      <c r="B85" s="45" t="s">
        <v>4</v>
      </c>
      <c r="C85" s="46" t="s">
        <v>267</v>
      </c>
      <c r="D85" s="69">
        <v>0</v>
      </c>
      <c r="E85" s="70">
        <v>0</v>
      </c>
      <c r="F85" s="70">
        <v>0</v>
      </c>
      <c r="G85" s="71">
        <v>0</v>
      </c>
      <c r="H85" s="69">
        <v>0</v>
      </c>
      <c r="I85" s="70">
        <v>0</v>
      </c>
      <c r="J85" s="70">
        <v>0</v>
      </c>
      <c r="K85" s="71">
        <v>0</v>
      </c>
      <c r="L85" s="69">
        <v>0</v>
      </c>
      <c r="M85" s="70">
        <v>0</v>
      </c>
      <c r="N85" s="70">
        <v>0</v>
      </c>
      <c r="O85" s="72">
        <v>0</v>
      </c>
    </row>
    <row r="86" spans="2:15" x14ac:dyDescent="0.3">
      <c r="B86" s="45" t="s">
        <v>4</v>
      </c>
      <c r="C86" s="46" t="s">
        <v>268</v>
      </c>
      <c r="D86" s="69">
        <v>106.45</v>
      </c>
      <c r="E86" s="70">
        <v>212.68</v>
      </c>
      <c r="F86" s="70">
        <v>-106.23</v>
      </c>
      <c r="G86" s="71">
        <v>-0.49948279104758297</v>
      </c>
      <c r="H86" s="69">
        <v>106.45</v>
      </c>
      <c r="I86" s="70">
        <v>212.68</v>
      </c>
      <c r="J86" s="70">
        <v>-106.23</v>
      </c>
      <c r="K86" s="71">
        <v>-0.49948279104758297</v>
      </c>
      <c r="L86" s="69">
        <v>759.72</v>
      </c>
      <c r="M86" s="70">
        <v>1488.76</v>
      </c>
      <c r="N86" s="70">
        <v>-729.04</v>
      </c>
      <c r="O86" s="72">
        <v>-0.489696122947957</v>
      </c>
    </row>
    <row r="87" spans="2:15" x14ac:dyDescent="0.3">
      <c r="B87" s="45" t="s">
        <v>4</v>
      </c>
      <c r="C87" s="46" t="s">
        <v>269</v>
      </c>
      <c r="D87" s="69">
        <v>1223.42</v>
      </c>
      <c r="E87" s="70">
        <v>1129.6500000000001</v>
      </c>
      <c r="F87" s="70">
        <v>93.77</v>
      </c>
      <c r="G87" s="71">
        <v>8.3008011330943196E-2</v>
      </c>
      <c r="H87" s="69">
        <v>1223.42</v>
      </c>
      <c r="I87" s="70">
        <v>1129.6500000000001</v>
      </c>
      <c r="J87" s="70">
        <v>93.77</v>
      </c>
      <c r="K87" s="71">
        <v>8.3008011330943196E-2</v>
      </c>
      <c r="L87" s="69">
        <v>4006.26</v>
      </c>
      <c r="M87" s="70">
        <v>4433.5</v>
      </c>
      <c r="N87" s="70">
        <v>-427.24</v>
      </c>
      <c r="O87" s="72">
        <v>-9.6366302018721095E-2</v>
      </c>
    </row>
    <row r="88" spans="2:15" x14ac:dyDescent="0.3">
      <c r="B88" s="45" t="s">
        <v>4</v>
      </c>
      <c r="C88" s="46" t="s">
        <v>270</v>
      </c>
      <c r="D88" s="69">
        <v>560.88</v>
      </c>
      <c r="E88" s="70">
        <v>390.27</v>
      </c>
      <c r="F88" s="70">
        <v>170.61</v>
      </c>
      <c r="G88" s="71">
        <v>0.43715888999923103</v>
      </c>
      <c r="H88" s="69">
        <v>560.88</v>
      </c>
      <c r="I88" s="70">
        <v>390.27</v>
      </c>
      <c r="J88" s="70">
        <v>170.61</v>
      </c>
      <c r="K88" s="71">
        <v>0.43715888999923103</v>
      </c>
      <c r="L88" s="69">
        <v>4222.28</v>
      </c>
      <c r="M88" s="70">
        <v>1814.76</v>
      </c>
      <c r="N88" s="70">
        <v>2407.52</v>
      </c>
      <c r="O88" s="72">
        <v>1.32663272278428</v>
      </c>
    </row>
    <row r="89" spans="2:15" x14ac:dyDescent="0.3">
      <c r="B89" s="45" t="s">
        <v>4</v>
      </c>
      <c r="C89" s="46" t="s">
        <v>271</v>
      </c>
      <c r="D89" s="69">
        <v>1012.95</v>
      </c>
      <c r="E89" s="70">
        <v>1165</v>
      </c>
      <c r="F89" s="70">
        <v>-152.05000000000001</v>
      </c>
      <c r="G89" s="71">
        <v>-0.130515021459227</v>
      </c>
      <c r="H89" s="69">
        <v>1012.95</v>
      </c>
      <c r="I89" s="70">
        <v>1165</v>
      </c>
      <c r="J89" s="70">
        <v>-152.05000000000001</v>
      </c>
      <c r="K89" s="71">
        <v>-0.130515021459227</v>
      </c>
      <c r="L89" s="69">
        <v>12295.6</v>
      </c>
      <c r="M89" s="70">
        <v>7645</v>
      </c>
      <c r="N89" s="70">
        <v>4650.6000000000004</v>
      </c>
      <c r="O89" s="72">
        <v>0.60831916285153698</v>
      </c>
    </row>
    <row r="90" spans="2:15" x14ac:dyDescent="0.3">
      <c r="B90" s="45" t="s">
        <v>4</v>
      </c>
      <c r="C90" s="46" t="s">
        <v>272</v>
      </c>
      <c r="D90" s="69">
        <v>0</v>
      </c>
      <c r="E90" s="70">
        <v>203.18</v>
      </c>
      <c r="F90" s="70">
        <v>-203.18</v>
      </c>
      <c r="G90" s="71">
        <v>-1</v>
      </c>
      <c r="H90" s="69">
        <v>0</v>
      </c>
      <c r="I90" s="70">
        <v>203.18</v>
      </c>
      <c r="J90" s="70">
        <v>-203.18</v>
      </c>
      <c r="K90" s="71">
        <v>-1</v>
      </c>
      <c r="L90" s="69">
        <v>645.92999999999995</v>
      </c>
      <c r="M90" s="70">
        <v>1208.1199999999999</v>
      </c>
      <c r="N90" s="70">
        <v>-562.19000000000005</v>
      </c>
      <c r="O90" s="72">
        <v>-0.46534284673707899</v>
      </c>
    </row>
    <row r="91" spans="2:15" x14ac:dyDescent="0.3">
      <c r="B91" s="45" t="s">
        <v>4</v>
      </c>
      <c r="C91" s="46" t="s">
        <v>273</v>
      </c>
      <c r="D91" s="69">
        <v>1379.99</v>
      </c>
      <c r="E91" s="70">
        <v>253.24</v>
      </c>
      <c r="F91" s="70">
        <v>1126.75</v>
      </c>
      <c r="G91" s="71">
        <v>4.4493365976938897</v>
      </c>
      <c r="H91" s="69">
        <v>1379.99</v>
      </c>
      <c r="I91" s="70">
        <v>253.24</v>
      </c>
      <c r="J91" s="70">
        <v>1126.75</v>
      </c>
      <c r="K91" s="71">
        <v>4.4493365976938897</v>
      </c>
      <c r="L91" s="69">
        <v>2717.59</v>
      </c>
      <c r="M91" s="70">
        <v>1137.23</v>
      </c>
      <c r="N91" s="70">
        <v>1580.36</v>
      </c>
      <c r="O91" s="72">
        <v>1.38965732525523</v>
      </c>
    </row>
    <row r="92" spans="2:15" x14ac:dyDescent="0.3">
      <c r="B92" s="45" t="s">
        <v>4</v>
      </c>
      <c r="C92" s="46" t="s">
        <v>274</v>
      </c>
      <c r="D92" s="69">
        <v>0</v>
      </c>
      <c r="E92" s="70">
        <v>0.2</v>
      </c>
      <c r="F92" s="70">
        <v>-0.2</v>
      </c>
      <c r="G92" s="71">
        <v>-1</v>
      </c>
      <c r="H92" s="69">
        <v>0</v>
      </c>
      <c r="I92" s="70">
        <v>0.2</v>
      </c>
      <c r="J92" s="70">
        <v>-0.2</v>
      </c>
      <c r="K92" s="71">
        <v>-1</v>
      </c>
      <c r="L92" s="69">
        <v>0</v>
      </c>
      <c r="M92" s="70">
        <v>1.4</v>
      </c>
      <c r="N92" s="70">
        <v>-1.4</v>
      </c>
      <c r="O92" s="72">
        <v>-1</v>
      </c>
    </row>
    <row r="93" spans="2:15" x14ac:dyDescent="0.3">
      <c r="B93" s="47" t="s">
        <v>4</v>
      </c>
      <c r="C93" s="50" t="s">
        <v>275</v>
      </c>
      <c r="D93" s="73">
        <v>7425.41</v>
      </c>
      <c r="E93" s="74">
        <v>6058.07</v>
      </c>
      <c r="F93" s="74">
        <v>1367.34</v>
      </c>
      <c r="G93" s="75">
        <v>0.225705546485927</v>
      </c>
      <c r="H93" s="73">
        <v>7425.41</v>
      </c>
      <c r="I93" s="74">
        <v>6058.07</v>
      </c>
      <c r="J93" s="74">
        <v>1367.34</v>
      </c>
      <c r="K93" s="71">
        <v>0.225705546485927</v>
      </c>
      <c r="L93" s="73">
        <v>37625.79</v>
      </c>
      <c r="M93" s="74">
        <v>33535.050000000003</v>
      </c>
      <c r="N93" s="74">
        <v>4090.74</v>
      </c>
      <c r="O93" s="72">
        <v>0.121984013740847</v>
      </c>
    </row>
    <row r="94" spans="2:15" x14ac:dyDescent="0.3">
      <c r="B94" s="45" t="s">
        <v>4</v>
      </c>
      <c r="C94" s="46" t="s">
        <v>276</v>
      </c>
      <c r="D94" s="69">
        <v>0</v>
      </c>
      <c r="E94" s="70">
        <v>0</v>
      </c>
      <c r="F94" s="70">
        <v>0</v>
      </c>
      <c r="G94" s="71">
        <v>0</v>
      </c>
      <c r="H94" s="69">
        <v>0</v>
      </c>
      <c r="I94" s="70">
        <v>0</v>
      </c>
      <c r="J94" s="70">
        <v>0</v>
      </c>
      <c r="K94" s="71">
        <v>0</v>
      </c>
      <c r="L94" s="69">
        <v>0</v>
      </c>
      <c r="M94" s="70">
        <v>0</v>
      </c>
      <c r="N94" s="70">
        <v>0</v>
      </c>
      <c r="O94" s="72">
        <v>0</v>
      </c>
    </row>
    <row r="95" spans="2:15" x14ac:dyDescent="0.3">
      <c r="B95" s="45" t="s">
        <v>4</v>
      </c>
      <c r="C95" s="46" t="s">
        <v>277</v>
      </c>
      <c r="D95" s="69">
        <v>0</v>
      </c>
      <c r="E95" s="70">
        <v>0</v>
      </c>
      <c r="F95" s="70">
        <v>0</v>
      </c>
      <c r="G95" s="71">
        <v>0</v>
      </c>
      <c r="H95" s="69">
        <v>0</v>
      </c>
      <c r="I95" s="70">
        <v>0</v>
      </c>
      <c r="J95" s="70">
        <v>0</v>
      </c>
      <c r="K95" s="71">
        <v>0</v>
      </c>
      <c r="L95" s="69">
        <v>0</v>
      </c>
      <c r="M95" s="70">
        <v>0</v>
      </c>
      <c r="N95" s="70">
        <v>0</v>
      </c>
      <c r="O95" s="72">
        <v>0</v>
      </c>
    </row>
    <row r="96" spans="2:15" x14ac:dyDescent="0.3">
      <c r="B96" s="45" t="s">
        <v>4</v>
      </c>
      <c r="C96" s="46" t="s">
        <v>278</v>
      </c>
      <c r="D96" s="69">
        <v>0</v>
      </c>
      <c r="E96" s="70">
        <v>0</v>
      </c>
      <c r="F96" s="70">
        <v>0</v>
      </c>
      <c r="G96" s="71">
        <v>0</v>
      </c>
      <c r="H96" s="69">
        <v>0</v>
      </c>
      <c r="I96" s="70">
        <v>0</v>
      </c>
      <c r="J96" s="70">
        <v>0</v>
      </c>
      <c r="K96" s="71">
        <v>0</v>
      </c>
      <c r="L96" s="69">
        <v>0</v>
      </c>
      <c r="M96" s="70">
        <v>0</v>
      </c>
      <c r="N96" s="70">
        <v>0</v>
      </c>
      <c r="O96" s="72">
        <v>0</v>
      </c>
    </row>
    <row r="97" spans="2:15" x14ac:dyDescent="0.3">
      <c r="B97" s="47" t="s">
        <v>4</v>
      </c>
      <c r="C97" s="50" t="s">
        <v>279</v>
      </c>
      <c r="D97" s="73">
        <v>0</v>
      </c>
      <c r="E97" s="74">
        <v>0</v>
      </c>
      <c r="F97" s="74">
        <v>0</v>
      </c>
      <c r="G97" s="75">
        <v>0</v>
      </c>
      <c r="H97" s="73">
        <v>0</v>
      </c>
      <c r="I97" s="74">
        <v>0</v>
      </c>
      <c r="J97" s="74">
        <v>0</v>
      </c>
      <c r="K97" s="71">
        <v>0</v>
      </c>
      <c r="L97" s="73">
        <v>0</v>
      </c>
      <c r="M97" s="74">
        <v>0</v>
      </c>
      <c r="N97" s="74">
        <v>0</v>
      </c>
      <c r="O97" s="72">
        <v>0</v>
      </c>
    </row>
    <row r="98" spans="2:15" x14ac:dyDescent="0.3">
      <c r="B98" s="45" t="s">
        <v>4</v>
      </c>
      <c r="C98" s="46" t="s">
        <v>280</v>
      </c>
      <c r="D98" s="69">
        <v>44.58</v>
      </c>
      <c r="E98" s="70">
        <v>40.049999999999997</v>
      </c>
      <c r="F98" s="70">
        <v>4.53</v>
      </c>
      <c r="G98" s="71">
        <v>0.11310861423221</v>
      </c>
      <c r="H98" s="69">
        <v>44.58</v>
      </c>
      <c r="I98" s="70">
        <v>40.049999999999997</v>
      </c>
      <c r="J98" s="70">
        <v>4.53</v>
      </c>
      <c r="K98" s="71">
        <v>0.11310861423221</v>
      </c>
      <c r="L98" s="69">
        <v>304.33999999999997</v>
      </c>
      <c r="M98" s="70">
        <v>280.35000000000002</v>
      </c>
      <c r="N98" s="70">
        <v>23.99</v>
      </c>
      <c r="O98" s="72">
        <v>8.5571606919921495E-2</v>
      </c>
    </row>
    <row r="99" spans="2:15" x14ac:dyDescent="0.3">
      <c r="B99" s="45" t="s">
        <v>4</v>
      </c>
      <c r="C99" s="46" t="s">
        <v>281</v>
      </c>
      <c r="D99" s="69">
        <v>0</v>
      </c>
      <c r="E99" s="70">
        <v>0</v>
      </c>
      <c r="F99" s="70">
        <v>0</v>
      </c>
      <c r="G99" s="71">
        <v>0</v>
      </c>
      <c r="H99" s="69">
        <v>0</v>
      </c>
      <c r="I99" s="70">
        <v>0</v>
      </c>
      <c r="J99" s="70">
        <v>0</v>
      </c>
      <c r="K99" s="71">
        <v>0</v>
      </c>
      <c r="L99" s="69">
        <v>0</v>
      </c>
      <c r="M99" s="70">
        <v>0</v>
      </c>
      <c r="N99" s="70">
        <v>0</v>
      </c>
      <c r="O99" s="72">
        <v>0</v>
      </c>
    </row>
    <row r="100" spans="2:15" x14ac:dyDescent="0.3">
      <c r="B100" s="45" t="s">
        <v>4</v>
      </c>
      <c r="C100" s="46" t="s">
        <v>282</v>
      </c>
      <c r="D100" s="69">
        <v>45.67</v>
      </c>
      <c r="E100" s="70">
        <v>40</v>
      </c>
      <c r="F100" s="70">
        <v>5.67</v>
      </c>
      <c r="G100" s="71">
        <v>0.14174999999999999</v>
      </c>
      <c r="H100" s="69">
        <v>45.67</v>
      </c>
      <c r="I100" s="70">
        <v>40</v>
      </c>
      <c r="J100" s="70">
        <v>5.67</v>
      </c>
      <c r="K100" s="71">
        <v>0.14174999999999999</v>
      </c>
      <c r="L100" s="69">
        <v>313.79000000000002</v>
      </c>
      <c r="M100" s="70">
        <v>280</v>
      </c>
      <c r="N100" s="70">
        <v>33.79</v>
      </c>
      <c r="O100" s="72">
        <v>0.120678571428571</v>
      </c>
    </row>
    <row r="101" spans="2:15" x14ac:dyDescent="0.3">
      <c r="B101" s="45" t="s">
        <v>4</v>
      </c>
      <c r="C101" s="46" t="s">
        <v>283</v>
      </c>
      <c r="D101" s="69">
        <v>1007.31</v>
      </c>
      <c r="E101" s="70">
        <v>378.83</v>
      </c>
      <c r="F101" s="70">
        <v>628.48</v>
      </c>
      <c r="G101" s="71">
        <v>1.6590027188976599</v>
      </c>
      <c r="H101" s="69">
        <v>1007.31</v>
      </c>
      <c r="I101" s="70">
        <v>378.83</v>
      </c>
      <c r="J101" s="70">
        <v>628.48</v>
      </c>
      <c r="K101" s="71">
        <v>1.6590027188976599</v>
      </c>
      <c r="L101" s="69">
        <v>3076.71</v>
      </c>
      <c r="M101" s="70">
        <v>2003.01</v>
      </c>
      <c r="N101" s="70">
        <v>1073.7</v>
      </c>
      <c r="O101" s="72">
        <v>0.53604325490137394</v>
      </c>
    </row>
    <row r="102" spans="2:15" x14ac:dyDescent="0.3">
      <c r="B102" s="45" t="s">
        <v>4</v>
      </c>
      <c r="C102" s="46" t="s">
        <v>284</v>
      </c>
      <c r="D102" s="69">
        <v>0</v>
      </c>
      <c r="E102" s="70">
        <v>0</v>
      </c>
      <c r="F102" s="70">
        <v>0</v>
      </c>
      <c r="G102" s="71">
        <v>0</v>
      </c>
      <c r="H102" s="69">
        <v>0</v>
      </c>
      <c r="I102" s="70">
        <v>0</v>
      </c>
      <c r="J102" s="70">
        <v>0</v>
      </c>
      <c r="K102" s="71">
        <v>0</v>
      </c>
      <c r="L102" s="69">
        <v>0</v>
      </c>
      <c r="M102" s="70">
        <v>0</v>
      </c>
      <c r="N102" s="70">
        <v>0</v>
      </c>
      <c r="O102" s="72">
        <v>0</v>
      </c>
    </row>
    <row r="103" spans="2:15" x14ac:dyDescent="0.3">
      <c r="B103" s="47" t="s">
        <v>4</v>
      </c>
      <c r="C103" s="50" t="s">
        <v>285</v>
      </c>
      <c r="D103" s="73">
        <v>1097.56</v>
      </c>
      <c r="E103" s="74">
        <v>458.88</v>
      </c>
      <c r="F103" s="74">
        <v>638.67999999999995</v>
      </c>
      <c r="G103" s="75">
        <v>1.39182357043236</v>
      </c>
      <c r="H103" s="73">
        <v>1097.56</v>
      </c>
      <c r="I103" s="74">
        <v>458.88</v>
      </c>
      <c r="J103" s="74">
        <v>638.67999999999995</v>
      </c>
      <c r="K103" s="71">
        <v>1.39182357043236</v>
      </c>
      <c r="L103" s="73">
        <v>3694.84</v>
      </c>
      <c r="M103" s="74">
        <v>2563.36</v>
      </c>
      <c r="N103" s="74">
        <v>1131.48</v>
      </c>
      <c r="O103" s="72">
        <v>0.44140503089694799</v>
      </c>
    </row>
    <row r="104" spans="2:15" x14ac:dyDescent="0.3">
      <c r="B104" s="45" t="s">
        <v>4</v>
      </c>
      <c r="C104" s="46" t="s">
        <v>286</v>
      </c>
      <c r="D104" s="69">
        <v>17465</v>
      </c>
      <c r="E104" s="70">
        <v>17465.150000000001</v>
      </c>
      <c r="F104" s="70">
        <v>-0.15</v>
      </c>
      <c r="G104" s="71">
        <v>-8.5885320194787898E-6</v>
      </c>
      <c r="H104" s="69">
        <v>17465</v>
      </c>
      <c r="I104" s="70">
        <v>17465.150000000001</v>
      </c>
      <c r="J104" s="70">
        <v>-0.15</v>
      </c>
      <c r="K104" s="71">
        <v>-8.5885320194787898E-6</v>
      </c>
      <c r="L104" s="69">
        <v>122255</v>
      </c>
      <c r="M104" s="70">
        <v>122256.05</v>
      </c>
      <c r="N104" s="70">
        <v>-1.05</v>
      </c>
      <c r="O104" s="72">
        <v>-8.5885320194787898E-6</v>
      </c>
    </row>
    <row r="105" spans="2:15" x14ac:dyDescent="0.3">
      <c r="B105" s="45" t="s">
        <v>4</v>
      </c>
      <c r="C105" s="46" t="s">
        <v>287</v>
      </c>
      <c r="D105" s="69">
        <v>0</v>
      </c>
      <c r="E105" s="70">
        <v>165.5</v>
      </c>
      <c r="F105" s="70">
        <v>-165.5</v>
      </c>
      <c r="G105" s="71">
        <v>-1</v>
      </c>
      <c r="H105" s="69">
        <v>0</v>
      </c>
      <c r="I105" s="70">
        <v>165.5</v>
      </c>
      <c r="J105" s="70">
        <v>-165.5</v>
      </c>
      <c r="K105" s="71">
        <v>-1</v>
      </c>
      <c r="L105" s="69">
        <v>1309.3399999999999</v>
      </c>
      <c r="M105" s="70">
        <v>366.65</v>
      </c>
      <c r="N105" s="70">
        <v>942.69</v>
      </c>
      <c r="O105" s="72">
        <v>2.57108959498159</v>
      </c>
    </row>
    <row r="106" spans="2:15" x14ac:dyDescent="0.3">
      <c r="B106" s="45" t="s">
        <v>4</v>
      </c>
      <c r="C106" s="46" t="s">
        <v>288</v>
      </c>
      <c r="D106" s="69">
        <v>0</v>
      </c>
      <c r="E106" s="70">
        <v>0</v>
      </c>
      <c r="F106" s="70">
        <v>0</v>
      </c>
      <c r="G106" s="71">
        <v>0</v>
      </c>
      <c r="H106" s="69">
        <v>0</v>
      </c>
      <c r="I106" s="70">
        <v>0</v>
      </c>
      <c r="J106" s="70">
        <v>0</v>
      </c>
      <c r="K106" s="71">
        <v>0</v>
      </c>
      <c r="L106" s="69">
        <v>250</v>
      </c>
      <c r="M106" s="70">
        <v>0</v>
      </c>
      <c r="N106" s="70">
        <v>250</v>
      </c>
      <c r="O106" s="72">
        <v>0</v>
      </c>
    </row>
    <row r="107" spans="2:15" x14ac:dyDescent="0.3">
      <c r="B107" s="45" t="s">
        <v>4</v>
      </c>
      <c r="C107" s="46" t="s">
        <v>289</v>
      </c>
      <c r="D107" s="69">
        <v>0</v>
      </c>
      <c r="E107" s="70">
        <v>0</v>
      </c>
      <c r="F107" s="70">
        <v>0</v>
      </c>
      <c r="G107" s="71">
        <v>0</v>
      </c>
      <c r="H107" s="69">
        <v>0</v>
      </c>
      <c r="I107" s="70">
        <v>0</v>
      </c>
      <c r="J107" s="70">
        <v>0</v>
      </c>
      <c r="K107" s="71">
        <v>0</v>
      </c>
      <c r="L107" s="69">
        <v>0</v>
      </c>
      <c r="M107" s="70">
        <v>0</v>
      </c>
      <c r="N107" s="70">
        <v>0</v>
      </c>
      <c r="O107" s="72">
        <v>0</v>
      </c>
    </row>
    <row r="108" spans="2:15" x14ac:dyDescent="0.3">
      <c r="B108" s="47" t="s">
        <v>4</v>
      </c>
      <c r="C108" s="50" t="s">
        <v>290</v>
      </c>
      <c r="D108" s="73">
        <v>17465</v>
      </c>
      <c r="E108" s="74">
        <v>17630.650000000001</v>
      </c>
      <c r="F108" s="74">
        <v>-165.65</v>
      </c>
      <c r="G108" s="75">
        <v>-9.3955696471769296E-3</v>
      </c>
      <c r="H108" s="73">
        <v>17465</v>
      </c>
      <c r="I108" s="74">
        <v>17630.650000000001</v>
      </c>
      <c r="J108" s="74">
        <v>-165.65</v>
      </c>
      <c r="K108" s="71">
        <v>-9.3955696471769296E-3</v>
      </c>
      <c r="L108" s="73">
        <v>123814.34</v>
      </c>
      <c r="M108" s="74">
        <v>122622.7</v>
      </c>
      <c r="N108" s="74">
        <v>1191.6400000000001</v>
      </c>
      <c r="O108" s="72">
        <v>9.7179396637001193E-3</v>
      </c>
    </row>
    <row r="109" spans="2:15" x14ac:dyDescent="0.3">
      <c r="B109" s="45" t="s">
        <v>4</v>
      </c>
      <c r="C109" s="46" t="s">
        <v>291</v>
      </c>
      <c r="D109" s="69">
        <v>14847.56</v>
      </c>
      <c r="E109" s="70">
        <v>13627.2</v>
      </c>
      <c r="F109" s="70">
        <v>1220.3599999999999</v>
      </c>
      <c r="G109" s="71">
        <v>8.9553246448279902E-2</v>
      </c>
      <c r="H109" s="69">
        <v>14847.56</v>
      </c>
      <c r="I109" s="70">
        <v>13627.2</v>
      </c>
      <c r="J109" s="70">
        <v>1220.3599999999999</v>
      </c>
      <c r="K109" s="71">
        <v>8.9553246448279902E-2</v>
      </c>
      <c r="L109" s="69">
        <v>84242.07</v>
      </c>
      <c r="M109" s="70">
        <v>84034.4</v>
      </c>
      <c r="N109" s="70">
        <v>207.67</v>
      </c>
      <c r="O109" s="72">
        <v>2.4712498691012298E-3</v>
      </c>
    </row>
    <row r="110" spans="2:15" x14ac:dyDescent="0.3">
      <c r="B110" s="47" t="s">
        <v>4</v>
      </c>
      <c r="C110" s="50" t="s">
        <v>292</v>
      </c>
      <c r="D110" s="73">
        <v>14847.56</v>
      </c>
      <c r="E110" s="74">
        <v>13627.2</v>
      </c>
      <c r="F110" s="74">
        <v>1220.3599999999999</v>
      </c>
      <c r="G110" s="75">
        <v>8.9553246448279902E-2</v>
      </c>
      <c r="H110" s="73">
        <v>14847.56</v>
      </c>
      <c r="I110" s="74">
        <v>13627.2</v>
      </c>
      <c r="J110" s="74">
        <v>1220.3599999999999</v>
      </c>
      <c r="K110" s="71">
        <v>8.9553246448279902E-2</v>
      </c>
      <c r="L110" s="73">
        <v>84242.07</v>
      </c>
      <c r="M110" s="74">
        <v>84034.4</v>
      </c>
      <c r="N110" s="74">
        <v>207.67</v>
      </c>
      <c r="O110" s="72">
        <v>2.4712498691012298E-3</v>
      </c>
    </row>
    <row r="111" spans="2:15" x14ac:dyDescent="0.3">
      <c r="B111" s="45" t="s">
        <v>4</v>
      </c>
      <c r="C111" s="46" t="s">
        <v>293</v>
      </c>
      <c r="D111" s="69">
        <v>-1115.97</v>
      </c>
      <c r="E111" s="70">
        <v>0</v>
      </c>
      <c r="F111" s="70">
        <v>-1115.97</v>
      </c>
      <c r="G111" s="71">
        <v>0</v>
      </c>
      <c r="H111" s="69">
        <v>-1115.97</v>
      </c>
      <c r="I111" s="70">
        <v>0</v>
      </c>
      <c r="J111" s="70">
        <v>-1115.97</v>
      </c>
      <c r="K111" s="71">
        <v>0</v>
      </c>
      <c r="L111" s="69">
        <v>300.47000000000003</v>
      </c>
      <c r="M111" s="70">
        <v>0</v>
      </c>
      <c r="N111" s="70">
        <v>300.47000000000003</v>
      </c>
      <c r="O111" s="72">
        <v>0</v>
      </c>
    </row>
    <row r="112" spans="2:15" x14ac:dyDescent="0.3">
      <c r="B112" s="45" t="s">
        <v>4</v>
      </c>
      <c r="C112" s="46" t="s">
        <v>294</v>
      </c>
      <c r="D112" s="69">
        <v>0</v>
      </c>
      <c r="E112" s="70">
        <v>0</v>
      </c>
      <c r="F112" s="70">
        <v>0</v>
      </c>
      <c r="G112" s="71">
        <v>0</v>
      </c>
      <c r="H112" s="69">
        <v>0</v>
      </c>
      <c r="I112" s="70">
        <v>0</v>
      </c>
      <c r="J112" s="70">
        <v>0</v>
      </c>
      <c r="K112" s="71">
        <v>0</v>
      </c>
      <c r="L112" s="69">
        <v>0</v>
      </c>
      <c r="M112" s="70">
        <v>0</v>
      </c>
      <c r="N112" s="70">
        <v>0</v>
      </c>
      <c r="O112" s="72">
        <v>0</v>
      </c>
    </row>
    <row r="113" spans="2:15" x14ac:dyDescent="0.3">
      <c r="B113" s="47" t="s">
        <v>4</v>
      </c>
      <c r="C113" s="50" t="s">
        <v>295</v>
      </c>
      <c r="D113" s="73">
        <v>-1115.97</v>
      </c>
      <c r="E113" s="74">
        <v>0</v>
      </c>
      <c r="F113" s="74">
        <v>-1115.97</v>
      </c>
      <c r="G113" s="75">
        <v>0</v>
      </c>
      <c r="H113" s="73">
        <v>-1115.97</v>
      </c>
      <c r="I113" s="74">
        <v>0</v>
      </c>
      <c r="J113" s="74">
        <v>-1115.97</v>
      </c>
      <c r="K113" s="71">
        <v>0</v>
      </c>
      <c r="L113" s="73">
        <v>300.47000000000003</v>
      </c>
      <c r="M113" s="74">
        <v>0</v>
      </c>
      <c r="N113" s="74">
        <v>300.47000000000003</v>
      </c>
      <c r="O113" s="72">
        <v>0</v>
      </c>
    </row>
    <row r="114" spans="2:15" x14ac:dyDescent="0.3">
      <c r="B114" s="47" t="s">
        <v>4</v>
      </c>
      <c r="C114" s="48" t="s">
        <v>296</v>
      </c>
      <c r="D114" s="76">
        <v>68155.37</v>
      </c>
      <c r="E114" s="77">
        <v>83026.210000000006</v>
      </c>
      <c r="F114" s="77">
        <v>-14870.84</v>
      </c>
      <c r="G114" s="78">
        <v>-0.17911018701202899</v>
      </c>
      <c r="H114" s="76">
        <v>68155.37</v>
      </c>
      <c r="I114" s="77">
        <v>83026.210000000006</v>
      </c>
      <c r="J114" s="77">
        <v>-14870.84</v>
      </c>
      <c r="K114" s="79">
        <v>-0.17911018701202899</v>
      </c>
      <c r="L114" s="76">
        <v>441313.21</v>
      </c>
      <c r="M114" s="77">
        <v>481711.65</v>
      </c>
      <c r="N114" s="77">
        <v>-40398.44</v>
      </c>
      <c r="O114" s="80">
        <v>-8.3864361594742406E-2</v>
      </c>
    </row>
    <row r="115" spans="2:15" x14ac:dyDescent="0.3">
      <c r="B115" s="47" t="s">
        <v>4</v>
      </c>
      <c r="C115" s="48" t="s">
        <v>297</v>
      </c>
      <c r="D115" s="76">
        <v>118157.34</v>
      </c>
      <c r="E115" s="77">
        <v>103614.75</v>
      </c>
      <c r="F115" s="77">
        <v>14542.59</v>
      </c>
      <c r="G115" s="78">
        <v>0.14035250772694</v>
      </c>
      <c r="H115" s="76">
        <v>118157.34</v>
      </c>
      <c r="I115" s="77">
        <v>103614.75</v>
      </c>
      <c r="J115" s="77">
        <v>14542.59</v>
      </c>
      <c r="K115" s="78">
        <v>0.14035250772694</v>
      </c>
      <c r="L115" s="76">
        <v>805524.15</v>
      </c>
      <c r="M115" s="77">
        <v>1507323.85</v>
      </c>
      <c r="N115" s="77">
        <v>-701799.7</v>
      </c>
      <c r="O115" s="81">
        <v>-0.46559317694070801</v>
      </c>
    </row>
    <row r="116" spans="2:15" ht="0" hidden="1" customHeight="1" x14ac:dyDescent="0.3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16"/>
  <sheetViews>
    <sheetView showGridLines="0" topLeftCell="A91" workbookViewId="0">
      <selection activeCell="C124" sqref="C124"/>
    </sheetView>
  </sheetViews>
  <sheetFormatPr defaultRowHeight="14.4" x14ac:dyDescent="0.3"/>
  <cols>
    <col min="1" max="1" width="2.44140625" customWidth="1"/>
    <col min="2" max="2" width="8.109375" customWidth="1"/>
    <col min="3" max="3" width="41.109375" customWidth="1"/>
    <col min="4" max="15" width="13.6640625" customWidth="1"/>
    <col min="16" max="16" width="0" hidden="1" customWidth="1"/>
    <col min="17" max="17" width="17.44140625" customWidth="1"/>
  </cols>
  <sheetData>
    <row r="1" spans="2:16" ht="5.7" customHeight="1" x14ac:dyDescent="0.3"/>
    <row r="2" spans="2:16" ht="21.6" customHeight="1" x14ac:dyDescent="0.3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spans="2:16" ht="15" x14ac:dyDescent="0.3">
      <c r="B3" s="18" t="s">
        <v>4</v>
      </c>
      <c r="C3" s="117" t="s">
        <v>403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2:16" x14ac:dyDescent="0.3">
      <c r="B4" s="42" t="s">
        <v>4</v>
      </c>
      <c r="C4" s="22" t="s">
        <v>2</v>
      </c>
      <c r="D4" s="118" t="s">
        <v>396</v>
      </c>
      <c r="E4" s="119"/>
      <c r="F4" s="119"/>
      <c r="G4" s="120"/>
      <c r="H4" s="118" t="s">
        <v>397</v>
      </c>
      <c r="I4" s="119"/>
      <c r="J4" s="119"/>
      <c r="K4" s="120"/>
      <c r="L4" s="118" t="s">
        <v>398</v>
      </c>
      <c r="M4" s="119"/>
      <c r="N4" s="119"/>
      <c r="O4" s="120"/>
    </row>
    <row r="5" spans="2:16" x14ac:dyDescent="0.3">
      <c r="B5" s="42" t="s">
        <v>4</v>
      </c>
      <c r="C5" s="22" t="s">
        <v>4</v>
      </c>
      <c r="D5" s="66" t="s">
        <v>399</v>
      </c>
      <c r="E5" s="67" t="s">
        <v>404</v>
      </c>
      <c r="F5" s="67" t="s">
        <v>405</v>
      </c>
      <c r="G5" s="67" t="s">
        <v>406</v>
      </c>
      <c r="H5" s="66" t="s">
        <v>399</v>
      </c>
      <c r="I5" s="67" t="s">
        <v>404</v>
      </c>
      <c r="J5" s="67" t="s">
        <v>405</v>
      </c>
      <c r="K5" s="67" t="s">
        <v>406</v>
      </c>
      <c r="L5" s="66" t="s">
        <v>399</v>
      </c>
      <c r="M5" s="67" t="s">
        <v>404</v>
      </c>
      <c r="N5" s="67" t="s">
        <v>405</v>
      </c>
      <c r="O5" s="67" t="s">
        <v>406</v>
      </c>
    </row>
    <row r="6" spans="2:16" ht="15" x14ac:dyDescent="0.3">
      <c r="B6" s="45" t="s">
        <v>4</v>
      </c>
      <c r="C6" s="46" t="s">
        <v>188</v>
      </c>
      <c r="D6" s="69">
        <v>112586.13</v>
      </c>
      <c r="E6" s="82">
        <v>99765.66</v>
      </c>
      <c r="F6" s="70">
        <v>12820.47</v>
      </c>
      <c r="G6" s="71">
        <v>0.12850584058683101</v>
      </c>
      <c r="H6" s="69">
        <v>112586.13</v>
      </c>
      <c r="I6" s="70">
        <v>99765.66</v>
      </c>
      <c r="J6" s="82">
        <v>12820.47</v>
      </c>
      <c r="K6" s="83">
        <v>0.12850584058683101</v>
      </c>
      <c r="L6" s="69">
        <v>697143.36</v>
      </c>
      <c r="M6" s="82">
        <v>837192.1</v>
      </c>
      <c r="N6" s="70">
        <v>-140048.74</v>
      </c>
      <c r="O6" s="84">
        <v>-0.167283876663432</v>
      </c>
    </row>
    <row r="7" spans="2:16" ht="15" x14ac:dyDescent="0.3">
      <c r="B7" s="45" t="s">
        <v>4</v>
      </c>
      <c r="C7" s="46" t="s">
        <v>189</v>
      </c>
      <c r="D7" s="69">
        <v>72242.19</v>
      </c>
      <c r="E7" s="82">
        <v>38592</v>
      </c>
      <c r="F7" s="70">
        <v>33650.19</v>
      </c>
      <c r="G7" s="71">
        <v>0.87194729477611899</v>
      </c>
      <c r="H7" s="69">
        <v>72242.19</v>
      </c>
      <c r="I7" s="70">
        <v>38592</v>
      </c>
      <c r="J7" s="82">
        <v>33650.19</v>
      </c>
      <c r="K7" s="83">
        <v>0.87194729477611899</v>
      </c>
      <c r="L7" s="69">
        <v>549312.88</v>
      </c>
      <c r="M7" s="82">
        <v>262418</v>
      </c>
      <c r="N7" s="70">
        <v>286894.88</v>
      </c>
      <c r="O7" s="84">
        <v>1.09327439428698</v>
      </c>
    </row>
    <row r="8" spans="2:16" ht="15" x14ac:dyDescent="0.3">
      <c r="B8" s="45" t="s">
        <v>4</v>
      </c>
      <c r="C8" s="46" t="s">
        <v>190</v>
      </c>
      <c r="D8" s="69">
        <v>0</v>
      </c>
      <c r="E8" s="82">
        <v>0</v>
      </c>
      <c r="F8" s="70">
        <v>0</v>
      </c>
      <c r="G8" s="71">
        <v>0</v>
      </c>
      <c r="H8" s="69">
        <v>0</v>
      </c>
      <c r="I8" s="70">
        <v>0</v>
      </c>
      <c r="J8" s="82">
        <v>0</v>
      </c>
      <c r="K8" s="83">
        <v>0</v>
      </c>
      <c r="L8" s="69">
        <v>0</v>
      </c>
      <c r="M8" s="82">
        <v>0</v>
      </c>
      <c r="N8" s="70">
        <v>0</v>
      </c>
      <c r="O8" s="84">
        <v>0</v>
      </c>
    </row>
    <row r="9" spans="2:16" ht="15" x14ac:dyDescent="0.3">
      <c r="B9" s="45" t="s">
        <v>4</v>
      </c>
      <c r="C9" s="46" t="s">
        <v>191</v>
      </c>
      <c r="D9" s="69">
        <v>1264.07</v>
      </c>
      <c r="E9" s="82">
        <v>1825.56</v>
      </c>
      <c r="F9" s="70">
        <v>-561.49</v>
      </c>
      <c r="G9" s="71">
        <v>-0.30757137535879397</v>
      </c>
      <c r="H9" s="69">
        <v>1264.07</v>
      </c>
      <c r="I9" s="70">
        <v>1825.56</v>
      </c>
      <c r="J9" s="82">
        <v>-561.49</v>
      </c>
      <c r="K9" s="83">
        <v>-0.30757137535879397</v>
      </c>
      <c r="L9" s="69">
        <v>8531.1299999999992</v>
      </c>
      <c r="M9" s="82">
        <v>11350.38</v>
      </c>
      <c r="N9" s="70">
        <v>-2819.25</v>
      </c>
      <c r="O9" s="84">
        <v>-0.248383754552711</v>
      </c>
    </row>
    <row r="10" spans="2:16" ht="15" x14ac:dyDescent="0.3">
      <c r="B10" s="45" t="s">
        <v>4</v>
      </c>
      <c r="C10" s="46" t="s">
        <v>192</v>
      </c>
      <c r="D10" s="69">
        <v>0</v>
      </c>
      <c r="E10" s="82">
        <v>0</v>
      </c>
      <c r="F10" s="70">
        <v>0</v>
      </c>
      <c r="G10" s="71">
        <v>0</v>
      </c>
      <c r="H10" s="69">
        <v>0</v>
      </c>
      <c r="I10" s="70">
        <v>0</v>
      </c>
      <c r="J10" s="82">
        <v>0</v>
      </c>
      <c r="K10" s="83">
        <v>0</v>
      </c>
      <c r="L10" s="69">
        <v>0</v>
      </c>
      <c r="M10" s="82">
        <v>0</v>
      </c>
      <c r="N10" s="70">
        <v>0</v>
      </c>
      <c r="O10" s="84">
        <v>0</v>
      </c>
    </row>
    <row r="11" spans="2:16" ht="15" x14ac:dyDescent="0.3">
      <c r="B11" s="45" t="s">
        <v>4</v>
      </c>
      <c r="C11" s="46" t="s">
        <v>193</v>
      </c>
      <c r="D11" s="69">
        <v>0</v>
      </c>
      <c r="E11" s="82">
        <v>0</v>
      </c>
      <c r="F11" s="70">
        <v>0</v>
      </c>
      <c r="G11" s="71">
        <v>0</v>
      </c>
      <c r="H11" s="69">
        <v>0</v>
      </c>
      <c r="I11" s="70">
        <v>0</v>
      </c>
      <c r="J11" s="82">
        <v>0</v>
      </c>
      <c r="K11" s="83">
        <v>0</v>
      </c>
      <c r="L11" s="69">
        <v>0</v>
      </c>
      <c r="M11" s="82">
        <v>0</v>
      </c>
      <c r="N11" s="70">
        <v>0</v>
      </c>
      <c r="O11" s="84">
        <v>0</v>
      </c>
    </row>
    <row r="12" spans="2:16" ht="15" x14ac:dyDescent="0.3">
      <c r="B12" s="45" t="s">
        <v>4</v>
      </c>
      <c r="C12" s="46" t="s">
        <v>194</v>
      </c>
      <c r="D12" s="69">
        <v>0</v>
      </c>
      <c r="E12" s="82">
        <v>0</v>
      </c>
      <c r="F12" s="70">
        <v>0</v>
      </c>
      <c r="G12" s="71">
        <v>0</v>
      </c>
      <c r="H12" s="69">
        <v>0</v>
      </c>
      <c r="I12" s="70">
        <v>0</v>
      </c>
      <c r="J12" s="82">
        <v>0</v>
      </c>
      <c r="K12" s="83">
        <v>0</v>
      </c>
      <c r="L12" s="69">
        <v>0</v>
      </c>
      <c r="M12" s="82">
        <v>0</v>
      </c>
      <c r="N12" s="70">
        <v>0</v>
      </c>
      <c r="O12" s="84">
        <v>0</v>
      </c>
    </row>
    <row r="13" spans="2:16" ht="15" x14ac:dyDescent="0.3">
      <c r="B13" s="45" t="s">
        <v>4</v>
      </c>
      <c r="C13" s="46" t="s">
        <v>195</v>
      </c>
      <c r="D13" s="69">
        <v>0</v>
      </c>
      <c r="E13" s="82">
        <v>0</v>
      </c>
      <c r="F13" s="70">
        <v>0</v>
      </c>
      <c r="G13" s="71">
        <v>0</v>
      </c>
      <c r="H13" s="69">
        <v>0</v>
      </c>
      <c r="I13" s="70">
        <v>0</v>
      </c>
      <c r="J13" s="82">
        <v>0</v>
      </c>
      <c r="K13" s="83">
        <v>0</v>
      </c>
      <c r="L13" s="69">
        <v>0</v>
      </c>
      <c r="M13" s="82">
        <v>0</v>
      </c>
      <c r="N13" s="70">
        <v>0</v>
      </c>
      <c r="O13" s="84">
        <v>0</v>
      </c>
    </row>
    <row r="14" spans="2:16" ht="15" x14ac:dyDescent="0.3">
      <c r="B14" s="45" t="s">
        <v>4</v>
      </c>
      <c r="C14" s="46" t="s">
        <v>196</v>
      </c>
      <c r="D14" s="69">
        <v>-517.89</v>
      </c>
      <c r="E14" s="82">
        <v>0</v>
      </c>
      <c r="F14" s="70">
        <v>-517.89</v>
      </c>
      <c r="G14" s="71">
        <v>0</v>
      </c>
      <c r="H14" s="69">
        <v>-517.89</v>
      </c>
      <c r="I14" s="70">
        <v>0</v>
      </c>
      <c r="J14" s="82">
        <v>-517.89</v>
      </c>
      <c r="K14" s="83">
        <v>0</v>
      </c>
      <c r="L14" s="69">
        <v>-2303.69</v>
      </c>
      <c r="M14" s="82">
        <v>-11594.33</v>
      </c>
      <c r="N14" s="70">
        <v>9290.64</v>
      </c>
      <c r="O14" s="84">
        <v>-0.80130891565101203</v>
      </c>
    </row>
    <row r="15" spans="2:16" ht="15" x14ac:dyDescent="0.3">
      <c r="B15" s="45" t="s">
        <v>4</v>
      </c>
      <c r="C15" s="46" t="s">
        <v>197</v>
      </c>
      <c r="D15" s="69">
        <v>-3262.29</v>
      </c>
      <c r="E15" s="82">
        <v>-1427.29</v>
      </c>
      <c r="F15" s="70">
        <v>-1835</v>
      </c>
      <c r="G15" s="71">
        <v>1.2856532309481601</v>
      </c>
      <c r="H15" s="69">
        <v>-3262.29</v>
      </c>
      <c r="I15" s="70">
        <v>-1427.29</v>
      </c>
      <c r="J15" s="82">
        <v>-1835</v>
      </c>
      <c r="K15" s="83">
        <v>1.2856532309481601</v>
      </c>
      <c r="L15" s="69">
        <v>-26548.65</v>
      </c>
      <c r="M15" s="82">
        <v>-13875.04</v>
      </c>
      <c r="N15" s="70">
        <v>-12673.61</v>
      </c>
      <c r="O15" s="84">
        <v>0.913410700077261</v>
      </c>
    </row>
    <row r="16" spans="2:16" ht="15" x14ac:dyDescent="0.3">
      <c r="B16" s="45" t="s">
        <v>4</v>
      </c>
      <c r="C16" s="46" t="s">
        <v>198</v>
      </c>
      <c r="D16" s="69">
        <v>-382.08</v>
      </c>
      <c r="E16" s="82">
        <v>-556.88</v>
      </c>
      <c r="F16" s="70">
        <v>174.8</v>
      </c>
      <c r="G16" s="71">
        <v>-0.31389168222956498</v>
      </c>
      <c r="H16" s="69">
        <v>-382.08</v>
      </c>
      <c r="I16" s="70">
        <v>-556.88</v>
      </c>
      <c r="J16" s="82">
        <v>174.8</v>
      </c>
      <c r="K16" s="83">
        <v>-0.31389168222956498</v>
      </c>
      <c r="L16" s="69">
        <v>-9873.36</v>
      </c>
      <c r="M16" s="82">
        <v>-15826.47</v>
      </c>
      <c r="N16" s="70">
        <v>5953.11</v>
      </c>
      <c r="O16" s="84">
        <v>-0.37614894540601901</v>
      </c>
    </row>
    <row r="17" spans="2:15" ht="15" x14ac:dyDescent="0.3">
      <c r="B17" s="47" t="s">
        <v>4</v>
      </c>
      <c r="C17" s="50" t="s">
        <v>199</v>
      </c>
      <c r="D17" s="73">
        <v>181930.13</v>
      </c>
      <c r="E17" s="85">
        <v>138199.04999999999</v>
      </c>
      <c r="F17" s="74">
        <v>43731.08</v>
      </c>
      <c r="G17" s="75">
        <v>0.31643546030164499</v>
      </c>
      <c r="H17" s="73">
        <v>181930.13</v>
      </c>
      <c r="I17" s="74">
        <v>138199.04999999999</v>
      </c>
      <c r="J17" s="85">
        <v>43731.08</v>
      </c>
      <c r="K17" s="86">
        <v>0.31643546030164499</v>
      </c>
      <c r="L17" s="73">
        <v>1216261.67</v>
      </c>
      <c r="M17" s="85">
        <v>1069664.6399999999</v>
      </c>
      <c r="N17" s="74">
        <v>146597.03</v>
      </c>
      <c r="O17" s="87">
        <v>0.13704952423219299</v>
      </c>
    </row>
    <row r="18" spans="2:15" ht="15" x14ac:dyDescent="0.3">
      <c r="B18" s="45" t="s">
        <v>4</v>
      </c>
      <c r="C18" s="46" t="s">
        <v>200</v>
      </c>
      <c r="D18" s="69">
        <v>1073</v>
      </c>
      <c r="E18" s="82">
        <v>87</v>
      </c>
      <c r="F18" s="70">
        <v>986</v>
      </c>
      <c r="G18" s="71">
        <v>11.3333333333333</v>
      </c>
      <c r="H18" s="69">
        <v>1073</v>
      </c>
      <c r="I18" s="70">
        <v>87</v>
      </c>
      <c r="J18" s="82">
        <v>986</v>
      </c>
      <c r="K18" s="83">
        <v>11.3333333333333</v>
      </c>
      <c r="L18" s="69">
        <v>7192</v>
      </c>
      <c r="M18" s="82">
        <v>1247</v>
      </c>
      <c r="N18" s="70">
        <v>5945</v>
      </c>
      <c r="O18" s="84">
        <v>4.7674418604651203</v>
      </c>
    </row>
    <row r="19" spans="2:15" ht="15" x14ac:dyDescent="0.3">
      <c r="B19" s="45" t="s">
        <v>4</v>
      </c>
      <c r="C19" s="46" t="s">
        <v>201</v>
      </c>
      <c r="D19" s="69">
        <v>0</v>
      </c>
      <c r="E19" s="82">
        <v>-29</v>
      </c>
      <c r="F19" s="70">
        <v>29</v>
      </c>
      <c r="G19" s="71">
        <v>-1</v>
      </c>
      <c r="H19" s="69">
        <v>0</v>
      </c>
      <c r="I19" s="70">
        <v>-29</v>
      </c>
      <c r="J19" s="82">
        <v>29</v>
      </c>
      <c r="K19" s="83">
        <v>-1</v>
      </c>
      <c r="L19" s="69">
        <v>0</v>
      </c>
      <c r="M19" s="82">
        <v>-203</v>
      </c>
      <c r="N19" s="70">
        <v>203</v>
      </c>
      <c r="O19" s="84">
        <v>-1</v>
      </c>
    </row>
    <row r="20" spans="2:15" ht="15" x14ac:dyDescent="0.3">
      <c r="B20" s="47" t="s">
        <v>4</v>
      </c>
      <c r="C20" s="50" t="s">
        <v>202</v>
      </c>
      <c r="D20" s="73">
        <v>1073</v>
      </c>
      <c r="E20" s="85">
        <v>58</v>
      </c>
      <c r="F20" s="74">
        <v>1015</v>
      </c>
      <c r="G20" s="75">
        <v>17.5</v>
      </c>
      <c r="H20" s="73">
        <v>1073</v>
      </c>
      <c r="I20" s="74">
        <v>58</v>
      </c>
      <c r="J20" s="85">
        <v>1015</v>
      </c>
      <c r="K20" s="86">
        <v>17.5</v>
      </c>
      <c r="L20" s="73">
        <v>7192</v>
      </c>
      <c r="M20" s="85">
        <v>1044</v>
      </c>
      <c r="N20" s="74">
        <v>6148</v>
      </c>
      <c r="O20" s="87">
        <v>5.8888888888888902</v>
      </c>
    </row>
    <row r="21" spans="2:15" ht="15" x14ac:dyDescent="0.3">
      <c r="B21" s="45" t="s">
        <v>4</v>
      </c>
      <c r="C21" s="46" t="s">
        <v>203</v>
      </c>
      <c r="D21" s="69">
        <v>2468.4</v>
      </c>
      <c r="E21" s="82">
        <v>2837.92</v>
      </c>
      <c r="F21" s="70">
        <v>-369.52</v>
      </c>
      <c r="G21" s="71">
        <v>-0.130208039691041</v>
      </c>
      <c r="H21" s="69">
        <v>2468.4</v>
      </c>
      <c r="I21" s="70">
        <v>2837.92</v>
      </c>
      <c r="J21" s="82">
        <v>-369.52</v>
      </c>
      <c r="K21" s="83">
        <v>-0.130208039691041</v>
      </c>
      <c r="L21" s="69">
        <v>19349.57</v>
      </c>
      <c r="M21" s="82">
        <v>21106.63</v>
      </c>
      <c r="N21" s="70">
        <v>-1757.06</v>
      </c>
      <c r="O21" s="84">
        <v>-8.3246828129360295E-2</v>
      </c>
    </row>
    <row r="22" spans="2:15" ht="15" x14ac:dyDescent="0.3">
      <c r="B22" s="45" t="s">
        <v>4</v>
      </c>
      <c r="C22" s="46" t="s">
        <v>204</v>
      </c>
      <c r="D22" s="69">
        <v>0</v>
      </c>
      <c r="E22" s="82">
        <v>-337.4</v>
      </c>
      <c r="F22" s="70">
        <v>337.4</v>
      </c>
      <c r="G22" s="71">
        <v>-1</v>
      </c>
      <c r="H22" s="69">
        <v>0</v>
      </c>
      <c r="I22" s="70">
        <v>-337.4</v>
      </c>
      <c r="J22" s="82">
        <v>337.4</v>
      </c>
      <c r="K22" s="83">
        <v>-1</v>
      </c>
      <c r="L22" s="69">
        <v>-1484.08</v>
      </c>
      <c r="M22" s="82">
        <v>-3815.15</v>
      </c>
      <c r="N22" s="70">
        <v>2331.0700000000002</v>
      </c>
      <c r="O22" s="84">
        <v>-0.61100349920710895</v>
      </c>
    </row>
    <row r="23" spans="2:15" ht="15" x14ac:dyDescent="0.3">
      <c r="B23" s="47" t="s">
        <v>4</v>
      </c>
      <c r="C23" s="50" t="s">
        <v>205</v>
      </c>
      <c r="D23" s="73">
        <v>2468.4</v>
      </c>
      <c r="E23" s="85">
        <v>2500.52</v>
      </c>
      <c r="F23" s="74">
        <v>-32.119999999999997</v>
      </c>
      <c r="G23" s="75">
        <v>-1.28453281717403E-2</v>
      </c>
      <c r="H23" s="73">
        <v>2468.4</v>
      </c>
      <c r="I23" s="74">
        <v>2500.52</v>
      </c>
      <c r="J23" s="85">
        <v>-32.119999999999997</v>
      </c>
      <c r="K23" s="86">
        <v>-1.28453281717403E-2</v>
      </c>
      <c r="L23" s="73">
        <v>17865.490000000002</v>
      </c>
      <c r="M23" s="85">
        <v>17291.48</v>
      </c>
      <c r="N23" s="74">
        <v>574.01</v>
      </c>
      <c r="O23" s="87">
        <v>3.3196117394231103E-2</v>
      </c>
    </row>
    <row r="24" spans="2:15" ht="15" x14ac:dyDescent="0.3">
      <c r="B24" s="45" t="s">
        <v>4</v>
      </c>
      <c r="C24" s="46" t="s">
        <v>206</v>
      </c>
      <c r="D24" s="69">
        <v>46</v>
      </c>
      <c r="E24" s="82">
        <v>14</v>
      </c>
      <c r="F24" s="70">
        <v>32</v>
      </c>
      <c r="G24" s="71">
        <v>2.28571428571429</v>
      </c>
      <c r="H24" s="69">
        <v>46</v>
      </c>
      <c r="I24" s="70">
        <v>14</v>
      </c>
      <c r="J24" s="82">
        <v>32</v>
      </c>
      <c r="K24" s="83">
        <v>2.28571428571429</v>
      </c>
      <c r="L24" s="69">
        <v>396</v>
      </c>
      <c r="M24" s="82">
        <v>744.9</v>
      </c>
      <c r="N24" s="70">
        <v>-348.9</v>
      </c>
      <c r="O24" s="84">
        <v>-0.46838501812323802</v>
      </c>
    </row>
    <row r="25" spans="2:15" ht="15" x14ac:dyDescent="0.3">
      <c r="B25" s="45" t="s">
        <v>4</v>
      </c>
      <c r="C25" s="46" t="s">
        <v>207</v>
      </c>
      <c r="D25" s="69">
        <v>-10</v>
      </c>
      <c r="E25" s="82">
        <v>-10</v>
      </c>
      <c r="F25" s="70">
        <v>0</v>
      </c>
      <c r="G25" s="71">
        <v>0</v>
      </c>
      <c r="H25" s="69">
        <v>-10</v>
      </c>
      <c r="I25" s="70">
        <v>-10</v>
      </c>
      <c r="J25" s="82">
        <v>0</v>
      </c>
      <c r="K25" s="83">
        <v>0</v>
      </c>
      <c r="L25" s="69">
        <v>-126</v>
      </c>
      <c r="M25" s="82">
        <v>-631</v>
      </c>
      <c r="N25" s="70">
        <v>505</v>
      </c>
      <c r="O25" s="84">
        <v>-0.800316957210777</v>
      </c>
    </row>
    <row r="26" spans="2:15" ht="15" x14ac:dyDescent="0.3">
      <c r="B26" s="47" t="s">
        <v>4</v>
      </c>
      <c r="C26" s="50" t="s">
        <v>208</v>
      </c>
      <c r="D26" s="73">
        <v>36</v>
      </c>
      <c r="E26" s="85">
        <v>4</v>
      </c>
      <c r="F26" s="74">
        <v>32</v>
      </c>
      <c r="G26" s="75">
        <v>8</v>
      </c>
      <c r="H26" s="73">
        <v>36</v>
      </c>
      <c r="I26" s="74">
        <v>4</v>
      </c>
      <c r="J26" s="85">
        <v>32</v>
      </c>
      <c r="K26" s="86">
        <v>8</v>
      </c>
      <c r="L26" s="73">
        <v>270</v>
      </c>
      <c r="M26" s="85">
        <v>113.9</v>
      </c>
      <c r="N26" s="74">
        <v>156.1</v>
      </c>
      <c r="O26" s="87">
        <v>1.37050043898156</v>
      </c>
    </row>
    <row r="27" spans="2:15" ht="15" x14ac:dyDescent="0.3">
      <c r="B27" s="45" t="s">
        <v>4</v>
      </c>
      <c r="C27" s="46" t="s">
        <v>209</v>
      </c>
      <c r="D27" s="69">
        <v>805.18</v>
      </c>
      <c r="E27" s="82">
        <v>63.96</v>
      </c>
      <c r="F27" s="70">
        <v>741.22</v>
      </c>
      <c r="G27" s="71">
        <v>11.5888055034396</v>
      </c>
      <c r="H27" s="69">
        <v>805.18</v>
      </c>
      <c r="I27" s="70">
        <v>63.96</v>
      </c>
      <c r="J27" s="82">
        <v>741.22</v>
      </c>
      <c r="K27" s="83">
        <v>11.5888055034396</v>
      </c>
      <c r="L27" s="69">
        <v>5248.2</v>
      </c>
      <c r="M27" s="82">
        <v>1211.5</v>
      </c>
      <c r="N27" s="70">
        <v>4036.7</v>
      </c>
      <c r="O27" s="84">
        <v>3.3319851423854701</v>
      </c>
    </row>
    <row r="28" spans="2:15" ht="15" x14ac:dyDescent="0.3">
      <c r="B28" s="45" t="s">
        <v>4</v>
      </c>
      <c r="C28" s="46" t="s">
        <v>210</v>
      </c>
      <c r="D28" s="69">
        <v>0</v>
      </c>
      <c r="E28" s="82">
        <v>0</v>
      </c>
      <c r="F28" s="70">
        <v>0</v>
      </c>
      <c r="G28" s="71">
        <v>0</v>
      </c>
      <c r="H28" s="69">
        <v>0</v>
      </c>
      <c r="I28" s="70">
        <v>0</v>
      </c>
      <c r="J28" s="82">
        <v>0</v>
      </c>
      <c r="K28" s="83">
        <v>0</v>
      </c>
      <c r="L28" s="69">
        <v>0</v>
      </c>
      <c r="M28" s="82">
        <v>0</v>
      </c>
      <c r="N28" s="70">
        <v>0</v>
      </c>
      <c r="O28" s="84">
        <v>0</v>
      </c>
    </row>
    <row r="29" spans="2:15" ht="15" x14ac:dyDescent="0.3">
      <c r="B29" s="47" t="s">
        <v>4</v>
      </c>
      <c r="C29" s="50" t="s">
        <v>211</v>
      </c>
      <c r="D29" s="73">
        <v>805.18</v>
      </c>
      <c r="E29" s="85">
        <v>63.96</v>
      </c>
      <c r="F29" s="74">
        <v>741.22</v>
      </c>
      <c r="G29" s="75">
        <v>11.5888055034396</v>
      </c>
      <c r="H29" s="73">
        <v>805.18</v>
      </c>
      <c r="I29" s="74">
        <v>63.96</v>
      </c>
      <c r="J29" s="85">
        <v>741.22</v>
      </c>
      <c r="K29" s="86">
        <v>11.5888055034396</v>
      </c>
      <c r="L29" s="73">
        <v>5248.2</v>
      </c>
      <c r="M29" s="85">
        <v>1211.5</v>
      </c>
      <c r="N29" s="74">
        <v>4036.7</v>
      </c>
      <c r="O29" s="87">
        <v>3.3319851423854701</v>
      </c>
    </row>
    <row r="30" spans="2:15" ht="15" x14ac:dyDescent="0.3">
      <c r="B30" s="45" t="s">
        <v>4</v>
      </c>
      <c r="C30" s="50" t="s">
        <v>212</v>
      </c>
      <c r="D30" s="69">
        <v>0</v>
      </c>
      <c r="E30" s="82">
        <v>0</v>
      </c>
      <c r="F30" s="70">
        <v>0</v>
      </c>
      <c r="G30" s="71">
        <v>0</v>
      </c>
      <c r="H30" s="69">
        <v>0</v>
      </c>
      <c r="I30" s="70">
        <v>0</v>
      </c>
      <c r="J30" s="82">
        <v>0</v>
      </c>
      <c r="K30" s="83">
        <v>0</v>
      </c>
      <c r="L30" s="69">
        <v>0</v>
      </c>
      <c r="M30" s="82">
        <v>0</v>
      </c>
      <c r="N30" s="70">
        <v>0</v>
      </c>
      <c r="O30" s="84">
        <v>0</v>
      </c>
    </row>
    <row r="31" spans="2:15" ht="15" x14ac:dyDescent="0.3">
      <c r="B31" s="45" t="s">
        <v>4</v>
      </c>
      <c r="C31" s="50" t="s">
        <v>213</v>
      </c>
      <c r="D31" s="69">
        <v>0</v>
      </c>
      <c r="E31" s="82">
        <v>0</v>
      </c>
      <c r="F31" s="70">
        <v>0</v>
      </c>
      <c r="G31" s="71">
        <v>0</v>
      </c>
      <c r="H31" s="69">
        <v>0</v>
      </c>
      <c r="I31" s="70">
        <v>0</v>
      </c>
      <c r="J31" s="82">
        <v>0</v>
      </c>
      <c r="K31" s="83">
        <v>0</v>
      </c>
      <c r="L31" s="69">
        <v>0</v>
      </c>
      <c r="M31" s="82">
        <v>0</v>
      </c>
      <c r="N31" s="70">
        <v>0</v>
      </c>
      <c r="O31" s="84">
        <v>0</v>
      </c>
    </row>
    <row r="32" spans="2:15" ht="15" x14ac:dyDescent="0.3">
      <c r="B32" s="45" t="s">
        <v>4</v>
      </c>
      <c r="C32" s="50" t="s">
        <v>214</v>
      </c>
      <c r="D32" s="69">
        <v>0</v>
      </c>
      <c r="E32" s="82">
        <v>0</v>
      </c>
      <c r="F32" s="70">
        <v>0</v>
      </c>
      <c r="G32" s="71">
        <v>0</v>
      </c>
      <c r="H32" s="69">
        <v>0</v>
      </c>
      <c r="I32" s="70">
        <v>0</v>
      </c>
      <c r="J32" s="82">
        <v>0</v>
      </c>
      <c r="K32" s="83">
        <v>0</v>
      </c>
      <c r="L32" s="69">
        <v>0</v>
      </c>
      <c r="M32" s="82">
        <v>0</v>
      </c>
      <c r="N32" s="70">
        <v>0</v>
      </c>
      <c r="O32" s="84">
        <v>0</v>
      </c>
    </row>
    <row r="33" spans="2:15" ht="15" x14ac:dyDescent="0.3">
      <c r="B33" s="45" t="s">
        <v>4</v>
      </c>
      <c r="C33" s="50" t="s">
        <v>215</v>
      </c>
      <c r="D33" s="69">
        <v>0</v>
      </c>
      <c r="E33" s="82">
        <v>0</v>
      </c>
      <c r="F33" s="70">
        <v>0</v>
      </c>
      <c r="G33" s="71">
        <v>0</v>
      </c>
      <c r="H33" s="69">
        <v>0</v>
      </c>
      <c r="I33" s="70">
        <v>0</v>
      </c>
      <c r="J33" s="82">
        <v>0</v>
      </c>
      <c r="K33" s="83">
        <v>0</v>
      </c>
      <c r="L33" s="69">
        <v>0</v>
      </c>
      <c r="M33" s="82">
        <v>0</v>
      </c>
      <c r="N33" s="70">
        <v>0</v>
      </c>
      <c r="O33" s="84">
        <v>0</v>
      </c>
    </row>
    <row r="34" spans="2:15" ht="15" x14ac:dyDescent="0.3">
      <c r="B34" s="45" t="s">
        <v>4</v>
      </c>
      <c r="C34" s="50" t="s">
        <v>216</v>
      </c>
      <c r="D34" s="69">
        <v>0</v>
      </c>
      <c r="E34" s="82">
        <v>0</v>
      </c>
      <c r="F34" s="70">
        <v>0</v>
      </c>
      <c r="G34" s="71">
        <v>0</v>
      </c>
      <c r="H34" s="69">
        <v>0</v>
      </c>
      <c r="I34" s="70">
        <v>0</v>
      </c>
      <c r="J34" s="82">
        <v>0</v>
      </c>
      <c r="K34" s="83">
        <v>0</v>
      </c>
      <c r="L34" s="69">
        <v>0</v>
      </c>
      <c r="M34" s="82">
        <v>0</v>
      </c>
      <c r="N34" s="70">
        <v>0</v>
      </c>
      <c r="O34" s="84">
        <v>0</v>
      </c>
    </row>
    <row r="35" spans="2:15" ht="15" x14ac:dyDescent="0.3">
      <c r="B35" s="45" t="s">
        <v>4</v>
      </c>
      <c r="C35" s="50" t="s">
        <v>217</v>
      </c>
      <c r="D35" s="69">
        <v>0</v>
      </c>
      <c r="E35" s="82">
        <v>0</v>
      </c>
      <c r="F35" s="70">
        <v>0</v>
      </c>
      <c r="G35" s="71">
        <v>0</v>
      </c>
      <c r="H35" s="69">
        <v>0</v>
      </c>
      <c r="I35" s="70">
        <v>0</v>
      </c>
      <c r="J35" s="82">
        <v>0</v>
      </c>
      <c r="K35" s="83">
        <v>0</v>
      </c>
      <c r="L35" s="69">
        <v>0</v>
      </c>
      <c r="M35" s="82">
        <v>0</v>
      </c>
      <c r="N35" s="70">
        <v>0</v>
      </c>
      <c r="O35" s="84">
        <v>0</v>
      </c>
    </row>
    <row r="36" spans="2:15" ht="15" x14ac:dyDescent="0.3">
      <c r="B36" s="47" t="s">
        <v>4</v>
      </c>
      <c r="C36" s="48" t="s">
        <v>218</v>
      </c>
      <c r="D36" s="76">
        <v>186312.71</v>
      </c>
      <c r="E36" s="88">
        <v>140825.53</v>
      </c>
      <c r="F36" s="77">
        <v>45487.18</v>
      </c>
      <c r="G36" s="78">
        <v>0.32300379057689299</v>
      </c>
      <c r="H36" s="76">
        <v>186312.71</v>
      </c>
      <c r="I36" s="77">
        <v>140825.53</v>
      </c>
      <c r="J36" s="88">
        <v>45487.18</v>
      </c>
      <c r="K36" s="89">
        <v>0.32300379057689299</v>
      </c>
      <c r="L36" s="76">
        <v>1246837.3600000001</v>
      </c>
      <c r="M36" s="90">
        <v>1089325.52</v>
      </c>
      <c r="N36" s="77">
        <v>157511.84</v>
      </c>
      <c r="O36" s="91">
        <v>0.144595749487261</v>
      </c>
    </row>
    <row r="37" spans="2:15" ht="15" x14ac:dyDescent="0.3">
      <c r="B37" s="45" t="s">
        <v>4</v>
      </c>
      <c r="C37" s="46" t="s">
        <v>219</v>
      </c>
      <c r="D37" s="69">
        <v>6463.32</v>
      </c>
      <c r="E37" s="82">
        <v>4425.17</v>
      </c>
      <c r="F37" s="70">
        <v>2038.15</v>
      </c>
      <c r="G37" s="71">
        <v>0.46058117541247001</v>
      </c>
      <c r="H37" s="69">
        <v>6463.32</v>
      </c>
      <c r="I37" s="70">
        <v>4425.17</v>
      </c>
      <c r="J37" s="82">
        <v>2038.15</v>
      </c>
      <c r="K37" s="83">
        <v>0.46058117541247001</v>
      </c>
      <c r="L37" s="69">
        <v>40880.839999999997</v>
      </c>
      <c r="M37" s="82">
        <v>37499.78</v>
      </c>
      <c r="N37" s="70">
        <v>3381.06</v>
      </c>
      <c r="O37" s="84">
        <v>9.0162128951156495E-2</v>
      </c>
    </row>
    <row r="38" spans="2:15" ht="15" x14ac:dyDescent="0.3">
      <c r="B38" s="45" t="s">
        <v>4</v>
      </c>
      <c r="C38" s="46" t="s">
        <v>220</v>
      </c>
      <c r="D38" s="69">
        <v>17.64</v>
      </c>
      <c r="E38" s="82">
        <v>5.79</v>
      </c>
      <c r="F38" s="70">
        <v>11.85</v>
      </c>
      <c r="G38" s="71">
        <v>2.04663212435233</v>
      </c>
      <c r="H38" s="69">
        <v>17.64</v>
      </c>
      <c r="I38" s="70">
        <v>5.79</v>
      </c>
      <c r="J38" s="82">
        <v>11.85</v>
      </c>
      <c r="K38" s="83">
        <v>2.04663212435233</v>
      </c>
      <c r="L38" s="69">
        <v>494.38</v>
      </c>
      <c r="M38" s="82">
        <v>892.66</v>
      </c>
      <c r="N38" s="70">
        <v>-398.28</v>
      </c>
      <c r="O38" s="84">
        <v>-0.44617211480294799</v>
      </c>
    </row>
    <row r="39" spans="2:15" ht="15" x14ac:dyDescent="0.3">
      <c r="B39" s="45" t="s">
        <v>4</v>
      </c>
      <c r="C39" s="46" t="s">
        <v>221</v>
      </c>
      <c r="D39" s="69">
        <v>282.31</v>
      </c>
      <c r="E39" s="82">
        <v>222.31</v>
      </c>
      <c r="F39" s="70">
        <v>60</v>
      </c>
      <c r="G39" s="71">
        <v>0.26989339211011598</v>
      </c>
      <c r="H39" s="69">
        <v>282.31</v>
      </c>
      <c r="I39" s="70">
        <v>222.31</v>
      </c>
      <c r="J39" s="82">
        <v>60</v>
      </c>
      <c r="K39" s="83">
        <v>0.26989339211011598</v>
      </c>
      <c r="L39" s="69">
        <v>2105.8000000000002</v>
      </c>
      <c r="M39" s="82">
        <v>2416.77</v>
      </c>
      <c r="N39" s="70">
        <v>-310.97000000000003</v>
      </c>
      <c r="O39" s="84">
        <v>-0.12867173955320499</v>
      </c>
    </row>
    <row r="40" spans="2:15" ht="15" x14ac:dyDescent="0.3">
      <c r="B40" s="45" t="s">
        <v>4</v>
      </c>
      <c r="C40" s="46" t="s">
        <v>222</v>
      </c>
      <c r="D40" s="69">
        <v>0</v>
      </c>
      <c r="E40" s="82">
        <v>0</v>
      </c>
      <c r="F40" s="70">
        <v>0</v>
      </c>
      <c r="G40" s="71">
        <v>0</v>
      </c>
      <c r="H40" s="69">
        <v>0</v>
      </c>
      <c r="I40" s="70">
        <v>0</v>
      </c>
      <c r="J40" s="82">
        <v>0</v>
      </c>
      <c r="K40" s="83">
        <v>0</v>
      </c>
      <c r="L40" s="69">
        <v>0</v>
      </c>
      <c r="M40" s="82">
        <v>0</v>
      </c>
      <c r="N40" s="70">
        <v>0</v>
      </c>
      <c r="O40" s="84">
        <v>0</v>
      </c>
    </row>
    <row r="41" spans="2:15" ht="15" x14ac:dyDescent="0.3">
      <c r="B41" s="45" t="s">
        <v>4</v>
      </c>
      <c r="C41" s="46" t="s">
        <v>223</v>
      </c>
      <c r="D41" s="69">
        <v>0</v>
      </c>
      <c r="E41" s="82">
        <v>0</v>
      </c>
      <c r="F41" s="70">
        <v>0</v>
      </c>
      <c r="G41" s="71">
        <v>0</v>
      </c>
      <c r="H41" s="69">
        <v>0</v>
      </c>
      <c r="I41" s="70">
        <v>0</v>
      </c>
      <c r="J41" s="82">
        <v>0</v>
      </c>
      <c r="K41" s="83">
        <v>0</v>
      </c>
      <c r="L41" s="69">
        <v>0</v>
      </c>
      <c r="M41" s="82">
        <v>750</v>
      </c>
      <c r="N41" s="70">
        <v>-750</v>
      </c>
      <c r="O41" s="84">
        <v>-1</v>
      </c>
    </row>
    <row r="42" spans="2:15" ht="15" x14ac:dyDescent="0.3">
      <c r="B42" s="45" t="s">
        <v>4</v>
      </c>
      <c r="C42" s="46" t="s">
        <v>224</v>
      </c>
      <c r="D42" s="69">
        <v>70.59</v>
      </c>
      <c r="E42" s="82">
        <v>0</v>
      </c>
      <c r="F42" s="70">
        <v>70.59</v>
      </c>
      <c r="G42" s="71">
        <v>0</v>
      </c>
      <c r="H42" s="69">
        <v>70.59</v>
      </c>
      <c r="I42" s="70">
        <v>0</v>
      </c>
      <c r="J42" s="82">
        <v>70.59</v>
      </c>
      <c r="K42" s="83">
        <v>0</v>
      </c>
      <c r="L42" s="69">
        <v>71.23</v>
      </c>
      <c r="M42" s="82">
        <v>11.96</v>
      </c>
      <c r="N42" s="70">
        <v>59.27</v>
      </c>
      <c r="O42" s="84">
        <v>4.9556856187290999</v>
      </c>
    </row>
    <row r="43" spans="2:15" ht="15" x14ac:dyDescent="0.3">
      <c r="B43" s="45" t="s">
        <v>4</v>
      </c>
      <c r="C43" s="46" t="s">
        <v>225</v>
      </c>
      <c r="D43" s="69">
        <v>0</v>
      </c>
      <c r="E43" s="82">
        <v>0</v>
      </c>
      <c r="F43" s="70">
        <v>0</v>
      </c>
      <c r="G43" s="71">
        <v>0</v>
      </c>
      <c r="H43" s="69">
        <v>0</v>
      </c>
      <c r="I43" s="70">
        <v>0</v>
      </c>
      <c r="J43" s="82">
        <v>0</v>
      </c>
      <c r="K43" s="83">
        <v>0</v>
      </c>
      <c r="L43" s="69">
        <v>-600</v>
      </c>
      <c r="M43" s="82">
        <v>0</v>
      </c>
      <c r="N43" s="70">
        <v>-600</v>
      </c>
      <c r="O43" s="84">
        <v>0</v>
      </c>
    </row>
    <row r="44" spans="2:15" ht="15" x14ac:dyDescent="0.3">
      <c r="B44" s="45" t="s">
        <v>4</v>
      </c>
      <c r="C44" s="46" t="s">
        <v>226</v>
      </c>
      <c r="D44" s="69">
        <v>169.99</v>
      </c>
      <c r="E44" s="82">
        <v>8.99</v>
      </c>
      <c r="F44" s="70">
        <v>161</v>
      </c>
      <c r="G44" s="71">
        <v>17.908787541713</v>
      </c>
      <c r="H44" s="69">
        <v>169.99</v>
      </c>
      <c r="I44" s="70">
        <v>8.99</v>
      </c>
      <c r="J44" s="82">
        <v>161</v>
      </c>
      <c r="K44" s="83">
        <v>17.908787541713</v>
      </c>
      <c r="L44" s="69">
        <v>2299.9899999999998</v>
      </c>
      <c r="M44" s="82">
        <v>627</v>
      </c>
      <c r="N44" s="70">
        <v>1672.99</v>
      </c>
      <c r="O44" s="84">
        <v>2.6682456140350901</v>
      </c>
    </row>
    <row r="45" spans="2:15" ht="15" x14ac:dyDescent="0.3">
      <c r="B45" s="45" t="s">
        <v>4</v>
      </c>
      <c r="C45" s="46" t="s">
        <v>227</v>
      </c>
      <c r="D45" s="69">
        <v>0</v>
      </c>
      <c r="E45" s="82">
        <v>0</v>
      </c>
      <c r="F45" s="70">
        <v>0</v>
      </c>
      <c r="G45" s="71">
        <v>0</v>
      </c>
      <c r="H45" s="69">
        <v>0</v>
      </c>
      <c r="I45" s="70">
        <v>0</v>
      </c>
      <c r="J45" s="82">
        <v>0</v>
      </c>
      <c r="K45" s="83">
        <v>0</v>
      </c>
      <c r="L45" s="69">
        <v>0</v>
      </c>
      <c r="M45" s="82">
        <v>0</v>
      </c>
      <c r="N45" s="70">
        <v>0</v>
      </c>
      <c r="O45" s="84">
        <v>0</v>
      </c>
    </row>
    <row r="46" spans="2:15" ht="15" x14ac:dyDescent="0.3">
      <c r="B46" s="45" t="s">
        <v>4</v>
      </c>
      <c r="C46" s="46" t="s">
        <v>228</v>
      </c>
      <c r="D46" s="69">
        <v>112.06</v>
      </c>
      <c r="E46" s="82">
        <v>95.64</v>
      </c>
      <c r="F46" s="70">
        <v>16.420000000000002</v>
      </c>
      <c r="G46" s="71">
        <v>0.17168548724383101</v>
      </c>
      <c r="H46" s="69">
        <v>112.06</v>
      </c>
      <c r="I46" s="70">
        <v>95.64</v>
      </c>
      <c r="J46" s="82">
        <v>16.420000000000002</v>
      </c>
      <c r="K46" s="83">
        <v>0.17168548724383101</v>
      </c>
      <c r="L46" s="69">
        <v>726.82</v>
      </c>
      <c r="M46" s="82">
        <v>714.21</v>
      </c>
      <c r="N46" s="70">
        <v>12.61</v>
      </c>
      <c r="O46" s="84">
        <v>1.7655871522381399E-2</v>
      </c>
    </row>
    <row r="47" spans="2:15" ht="15" x14ac:dyDescent="0.3">
      <c r="B47" s="45" t="s">
        <v>4</v>
      </c>
      <c r="C47" s="46" t="s">
        <v>229</v>
      </c>
      <c r="D47" s="69">
        <v>54.78</v>
      </c>
      <c r="E47" s="82">
        <v>54.23</v>
      </c>
      <c r="F47" s="70">
        <v>0.55000000000000004</v>
      </c>
      <c r="G47" s="71">
        <v>1.0141987829614601E-2</v>
      </c>
      <c r="H47" s="69">
        <v>54.78</v>
      </c>
      <c r="I47" s="70">
        <v>54.23</v>
      </c>
      <c r="J47" s="82">
        <v>0.55000000000000004</v>
      </c>
      <c r="K47" s="83">
        <v>1.0141987829614601E-2</v>
      </c>
      <c r="L47" s="69">
        <v>421.03</v>
      </c>
      <c r="M47" s="82">
        <v>5224.5200000000004</v>
      </c>
      <c r="N47" s="70">
        <v>-4803.49</v>
      </c>
      <c r="O47" s="84">
        <v>-0.91941269245787205</v>
      </c>
    </row>
    <row r="48" spans="2:15" ht="15" x14ac:dyDescent="0.3">
      <c r="B48" s="45" t="s">
        <v>4</v>
      </c>
      <c r="C48" s="46" t="s">
        <v>230</v>
      </c>
      <c r="D48" s="69">
        <v>504.77</v>
      </c>
      <c r="E48" s="82">
        <v>296.33</v>
      </c>
      <c r="F48" s="70">
        <v>208.44</v>
      </c>
      <c r="G48" s="71">
        <v>0.70340498768265103</v>
      </c>
      <c r="H48" s="69">
        <v>504.77</v>
      </c>
      <c r="I48" s="70">
        <v>296.33</v>
      </c>
      <c r="J48" s="82">
        <v>208.44</v>
      </c>
      <c r="K48" s="83">
        <v>0.70340498768265103</v>
      </c>
      <c r="L48" s="69">
        <v>3797.42</v>
      </c>
      <c r="M48" s="82">
        <v>3336.72</v>
      </c>
      <c r="N48" s="70">
        <v>460.7</v>
      </c>
      <c r="O48" s="84">
        <v>0.13806972116329799</v>
      </c>
    </row>
    <row r="49" spans="2:15" ht="15" x14ac:dyDescent="0.3">
      <c r="B49" s="47" t="s">
        <v>4</v>
      </c>
      <c r="C49" s="50" t="s">
        <v>231</v>
      </c>
      <c r="D49" s="73">
        <v>7675.46</v>
      </c>
      <c r="E49" s="85">
        <v>5108.46</v>
      </c>
      <c r="F49" s="74">
        <v>2567</v>
      </c>
      <c r="G49" s="75">
        <v>0.50249977488323305</v>
      </c>
      <c r="H49" s="73">
        <v>7675.46</v>
      </c>
      <c r="I49" s="74">
        <v>5108.46</v>
      </c>
      <c r="J49" s="85">
        <v>2567</v>
      </c>
      <c r="K49" s="86">
        <v>0.50249977488323305</v>
      </c>
      <c r="L49" s="73">
        <v>50197.51</v>
      </c>
      <c r="M49" s="85">
        <v>51473.62</v>
      </c>
      <c r="N49" s="74">
        <v>-1276.1099999999999</v>
      </c>
      <c r="O49" s="87">
        <v>-2.47915339935291E-2</v>
      </c>
    </row>
    <row r="50" spans="2:15" ht="15" x14ac:dyDescent="0.3">
      <c r="B50" s="45" t="s">
        <v>4</v>
      </c>
      <c r="C50" s="46" t="s">
        <v>232</v>
      </c>
      <c r="D50" s="69">
        <v>13021.34</v>
      </c>
      <c r="E50" s="82">
        <v>6859.78</v>
      </c>
      <c r="F50" s="70">
        <v>6161.56</v>
      </c>
      <c r="G50" s="71">
        <v>0.89821539466280298</v>
      </c>
      <c r="H50" s="69">
        <v>13021.34</v>
      </c>
      <c r="I50" s="70">
        <v>6859.78</v>
      </c>
      <c r="J50" s="82">
        <v>6161.56</v>
      </c>
      <c r="K50" s="83">
        <v>0.89821539466280298</v>
      </c>
      <c r="L50" s="69">
        <v>66935.520000000004</v>
      </c>
      <c r="M50" s="82">
        <v>53541.79</v>
      </c>
      <c r="N50" s="70">
        <v>13393.73</v>
      </c>
      <c r="O50" s="84">
        <v>0.25015469225067</v>
      </c>
    </row>
    <row r="51" spans="2:15" ht="15" x14ac:dyDescent="0.3">
      <c r="B51" s="45" t="s">
        <v>4</v>
      </c>
      <c r="C51" s="46" t="s">
        <v>233</v>
      </c>
      <c r="D51" s="69">
        <v>0</v>
      </c>
      <c r="E51" s="82">
        <v>0</v>
      </c>
      <c r="F51" s="70">
        <v>0</v>
      </c>
      <c r="G51" s="71">
        <v>0</v>
      </c>
      <c r="H51" s="69">
        <v>0</v>
      </c>
      <c r="I51" s="70">
        <v>0</v>
      </c>
      <c r="J51" s="82">
        <v>0</v>
      </c>
      <c r="K51" s="83">
        <v>0</v>
      </c>
      <c r="L51" s="69">
        <v>0</v>
      </c>
      <c r="M51" s="82">
        <v>0</v>
      </c>
      <c r="N51" s="70">
        <v>0</v>
      </c>
      <c r="O51" s="84">
        <v>0</v>
      </c>
    </row>
    <row r="52" spans="2:15" ht="15" x14ac:dyDescent="0.3">
      <c r="B52" s="45" t="s">
        <v>4</v>
      </c>
      <c r="C52" s="46" t="s">
        <v>234</v>
      </c>
      <c r="D52" s="69">
        <v>0</v>
      </c>
      <c r="E52" s="82">
        <v>0</v>
      </c>
      <c r="F52" s="70">
        <v>0</v>
      </c>
      <c r="G52" s="71">
        <v>0</v>
      </c>
      <c r="H52" s="69">
        <v>0</v>
      </c>
      <c r="I52" s="70">
        <v>0</v>
      </c>
      <c r="J52" s="82">
        <v>0</v>
      </c>
      <c r="K52" s="83">
        <v>0</v>
      </c>
      <c r="L52" s="69">
        <v>0</v>
      </c>
      <c r="M52" s="82">
        <v>0</v>
      </c>
      <c r="N52" s="70">
        <v>0</v>
      </c>
      <c r="O52" s="84">
        <v>0</v>
      </c>
    </row>
    <row r="53" spans="2:15" ht="15" x14ac:dyDescent="0.3">
      <c r="B53" s="45" t="s">
        <v>4</v>
      </c>
      <c r="C53" s="46" t="s">
        <v>235</v>
      </c>
      <c r="D53" s="69">
        <v>0</v>
      </c>
      <c r="E53" s="82">
        <v>0</v>
      </c>
      <c r="F53" s="70">
        <v>0</v>
      </c>
      <c r="G53" s="71">
        <v>0</v>
      </c>
      <c r="H53" s="69">
        <v>0</v>
      </c>
      <c r="I53" s="70">
        <v>0</v>
      </c>
      <c r="J53" s="82">
        <v>0</v>
      </c>
      <c r="K53" s="83">
        <v>0</v>
      </c>
      <c r="L53" s="69">
        <v>0</v>
      </c>
      <c r="M53" s="82">
        <v>0</v>
      </c>
      <c r="N53" s="70">
        <v>0</v>
      </c>
      <c r="O53" s="84">
        <v>0</v>
      </c>
    </row>
    <row r="54" spans="2:15" ht="15" x14ac:dyDescent="0.3">
      <c r="B54" s="45" t="s">
        <v>4</v>
      </c>
      <c r="C54" s="46" t="s">
        <v>236</v>
      </c>
      <c r="D54" s="69">
        <v>0</v>
      </c>
      <c r="E54" s="82">
        <v>0</v>
      </c>
      <c r="F54" s="70">
        <v>0</v>
      </c>
      <c r="G54" s="71">
        <v>0</v>
      </c>
      <c r="H54" s="69">
        <v>0</v>
      </c>
      <c r="I54" s="70">
        <v>0</v>
      </c>
      <c r="J54" s="82">
        <v>0</v>
      </c>
      <c r="K54" s="83">
        <v>0</v>
      </c>
      <c r="L54" s="69">
        <v>0</v>
      </c>
      <c r="M54" s="82">
        <v>0</v>
      </c>
      <c r="N54" s="70">
        <v>0</v>
      </c>
      <c r="O54" s="84">
        <v>0</v>
      </c>
    </row>
    <row r="55" spans="2:15" ht="15" x14ac:dyDescent="0.3">
      <c r="B55" s="47" t="s">
        <v>4</v>
      </c>
      <c r="C55" s="50" t="s">
        <v>237</v>
      </c>
      <c r="D55" s="73">
        <v>13021.34</v>
      </c>
      <c r="E55" s="85">
        <v>6859.78</v>
      </c>
      <c r="F55" s="74">
        <v>6161.56</v>
      </c>
      <c r="G55" s="75">
        <v>0.89821539466280298</v>
      </c>
      <c r="H55" s="73">
        <v>13021.34</v>
      </c>
      <c r="I55" s="74">
        <v>6859.78</v>
      </c>
      <c r="J55" s="85">
        <v>6161.56</v>
      </c>
      <c r="K55" s="86">
        <v>0.89821539466280298</v>
      </c>
      <c r="L55" s="73">
        <v>66935.520000000004</v>
      </c>
      <c r="M55" s="85">
        <v>53541.79</v>
      </c>
      <c r="N55" s="74">
        <v>13393.73</v>
      </c>
      <c r="O55" s="87">
        <v>0.25015469225067</v>
      </c>
    </row>
    <row r="56" spans="2:15" ht="15" x14ac:dyDescent="0.3">
      <c r="B56" s="45" t="s">
        <v>4</v>
      </c>
      <c r="C56" s="46" t="s">
        <v>238</v>
      </c>
      <c r="D56" s="69">
        <v>0</v>
      </c>
      <c r="E56" s="82">
        <v>0</v>
      </c>
      <c r="F56" s="70">
        <v>0</v>
      </c>
      <c r="G56" s="71">
        <v>0</v>
      </c>
      <c r="H56" s="69">
        <v>0</v>
      </c>
      <c r="I56" s="70">
        <v>0</v>
      </c>
      <c r="J56" s="82">
        <v>0</v>
      </c>
      <c r="K56" s="83">
        <v>0</v>
      </c>
      <c r="L56" s="69">
        <v>0</v>
      </c>
      <c r="M56" s="82">
        <v>0</v>
      </c>
      <c r="N56" s="70">
        <v>0</v>
      </c>
      <c r="O56" s="84">
        <v>0</v>
      </c>
    </row>
    <row r="57" spans="2:15" ht="15" x14ac:dyDescent="0.3">
      <c r="B57" s="45" t="s">
        <v>4</v>
      </c>
      <c r="C57" s="46" t="s">
        <v>239</v>
      </c>
      <c r="D57" s="69">
        <v>613.37</v>
      </c>
      <c r="E57" s="82">
        <v>40.11</v>
      </c>
      <c r="F57" s="70">
        <v>573.26</v>
      </c>
      <c r="G57" s="71">
        <v>14.292196459735701</v>
      </c>
      <c r="H57" s="69">
        <v>613.37</v>
      </c>
      <c r="I57" s="70">
        <v>40.11</v>
      </c>
      <c r="J57" s="82">
        <v>573.26</v>
      </c>
      <c r="K57" s="83">
        <v>14.292196459735701</v>
      </c>
      <c r="L57" s="69">
        <v>1958.91</v>
      </c>
      <c r="M57" s="82">
        <v>260.27999999999997</v>
      </c>
      <c r="N57" s="70">
        <v>1698.63</v>
      </c>
      <c r="O57" s="84">
        <v>6.5261641309359204</v>
      </c>
    </row>
    <row r="58" spans="2:15" ht="15" x14ac:dyDescent="0.3">
      <c r="B58" s="45" t="s">
        <v>4</v>
      </c>
      <c r="C58" s="46" t="s">
        <v>240</v>
      </c>
      <c r="D58" s="69">
        <v>2483.69</v>
      </c>
      <c r="E58" s="82">
        <v>1538.79</v>
      </c>
      <c r="F58" s="70">
        <v>944.9</v>
      </c>
      <c r="G58" s="71">
        <v>0.61405389949245803</v>
      </c>
      <c r="H58" s="69">
        <v>2483.69</v>
      </c>
      <c r="I58" s="70">
        <v>1538.79</v>
      </c>
      <c r="J58" s="82">
        <v>944.9</v>
      </c>
      <c r="K58" s="83">
        <v>0.61405389949245803</v>
      </c>
      <c r="L58" s="69">
        <v>15082.86</v>
      </c>
      <c r="M58" s="82">
        <v>13552.24</v>
      </c>
      <c r="N58" s="70">
        <v>1530.62</v>
      </c>
      <c r="O58" s="84">
        <v>0.112942214718748</v>
      </c>
    </row>
    <row r="59" spans="2:15" ht="15" x14ac:dyDescent="0.3">
      <c r="B59" s="47" t="s">
        <v>4</v>
      </c>
      <c r="C59" s="50" t="s">
        <v>241</v>
      </c>
      <c r="D59" s="73">
        <v>3097.06</v>
      </c>
      <c r="E59" s="85">
        <v>1578.9</v>
      </c>
      <c r="F59" s="74">
        <v>1518.16</v>
      </c>
      <c r="G59" s="75">
        <v>0.96153017923871098</v>
      </c>
      <c r="H59" s="73">
        <v>3097.06</v>
      </c>
      <c r="I59" s="74">
        <v>1578.9</v>
      </c>
      <c r="J59" s="85">
        <v>1518.16</v>
      </c>
      <c r="K59" s="86">
        <v>0.96153017923871098</v>
      </c>
      <c r="L59" s="73">
        <v>17041.77</v>
      </c>
      <c r="M59" s="85">
        <v>13812.52</v>
      </c>
      <c r="N59" s="74">
        <v>3229.25</v>
      </c>
      <c r="O59" s="87">
        <v>0.23379151668196699</v>
      </c>
    </row>
    <row r="60" spans="2:15" ht="15" x14ac:dyDescent="0.3">
      <c r="B60" s="45" t="s">
        <v>4</v>
      </c>
      <c r="C60" s="46" t="s">
        <v>242</v>
      </c>
      <c r="D60" s="69">
        <v>8.8000000000000007</v>
      </c>
      <c r="E60" s="82">
        <v>4379.93</v>
      </c>
      <c r="F60" s="70">
        <v>-4371.13</v>
      </c>
      <c r="G60" s="71">
        <v>-0.99799083546997303</v>
      </c>
      <c r="H60" s="69">
        <v>8.8000000000000007</v>
      </c>
      <c r="I60" s="70">
        <v>4379.93</v>
      </c>
      <c r="J60" s="82">
        <v>-4371.13</v>
      </c>
      <c r="K60" s="83">
        <v>-0.99799083546997303</v>
      </c>
      <c r="L60" s="69">
        <v>21128.15</v>
      </c>
      <c r="M60" s="82">
        <v>20641.16</v>
      </c>
      <c r="N60" s="70">
        <v>486.99</v>
      </c>
      <c r="O60" s="84">
        <v>2.3593150772534099E-2</v>
      </c>
    </row>
    <row r="61" spans="2:15" ht="15" x14ac:dyDescent="0.3">
      <c r="B61" s="45" t="s">
        <v>4</v>
      </c>
      <c r="C61" s="46" t="s">
        <v>243</v>
      </c>
      <c r="D61" s="69">
        <v>0</v>
      </c>
      <c r="E61" s="82">
        <v>0</v>
      </c>
      <c r="F61" s="70">
        <v>0</v>
      </c>
      <c r="G61" s="71">
        <v>0</v>
      </c>
      <c r="H61" s="69">
        <v>0</v>
      </c>
      <c r="I61" s="70">
        <v>0</v>
      </c>
      <c r="J61" s="82">
        <v>0</v>
      </c>
      <c r="K61" s="83">
        <v>0</v>
      </c>
      <c r="L61" s="69">
        <v>0</v>
      </c>
      <c r="M61" s="82">
        <v>0</v>
      </c>
      <c r="N61" s="70">
        <v>0</v>
      </c>
      <c r="O61" s="84">
        <v>0</v>
      </c>
    </row>
    <row r="62" spans="2:15" ht="15" x14ac:dyDescent="0.3">
      <c r="B62" s="45" t="s">
        <v>4</v>
      </c>
      <c r="C62" s="46" t="s">
        <v>244</v>
      </c>
      <c r="D62" s="69">
        <v>0</v>
      </c>
      <c r="E62" s="82">
        <v>0</v>
      </c>
      <c r="F62" s="70">
        <v>0</v>
      </c>
      <c r="G62" s="71">
        <v>0</v>
      </c>
      <c r="H62" s="69">
        <v>0</v>
      </c>
      <c r="I62" s="70">
        <v>0</v>
      </c>
      <c r="J62" s="82">
        <v>0</v>
      </c>
      <c r="K62" s="83">
        <v>0</v>
      </c>
      <c r="L62" s="69">
        <v>0</v>
      </c>
      <c r="M62" s="82">
        <v>0</v>
      </c>
      <c r="N62" s="70">
        <v>0</v>
      </c>
      <c r="O62" s="84">
        <v>0</v>
      </c>
    </row>
    <row r="63" spans="2:15" ht="15" x14ac:dyDescent="0.3">
      <c r="B63" s="45" t="s">
        <v>4</v>
      </c>
      <c r="C63" s="46" t="s">
        <v>245</v>
      </c>
      <c r="D63" s="69">
        <v>640.08000000000004</v>
      </c>
      <c r="E63" s="82">
        <v>469.66</v>
      </c>
      <c r="F63" s="70">
        <v>170.42</v>
      </c>
      <c r="G63" s="71">
        <v>0.36285823787420701</v>
      </c>
      <c r="H63" s="69">
        <v>640.08000000000004</v>
      </c>
      <c r="I63" s="70">
        <v>469.66</v>
      </c>
      <c r="J63" s="82">
        <v>170.42</v>
      </c>
      <c r="K63" s="83">
        <v>0.36285823787420701</v>
      </c>
      <c r="L63" s="69">
        <v>5687.21</v>
      </c>
      <c r="M63" s="82">
        <v>3404.19</v>
      </c>
      <c r="N63" s="70">
        <v>2283.02</v>
      </c>
      <c r="O63" s="84">
        <v>0.670649993096743</v>
      </c>
    </row>
    <row r="64" spans="2:15" ht="15" x14ac:dyDescent="0.3">
      <c r="B64" s="45" t="s">
        <v>4</v>
      </c>
      <c r="C64" s="46" t="s">
        <v>246</v>
      </c>
      <c r="D64" s="69">
        <v>731.62</v>
      </c>
      <c r="E64" s="82">
        <v>562.79999999999995</v>
      </c>
      <c r="F64" s="70">
        <v>168.82</v>
      </c>
      <c r="G64" s="71">
        <v>0.29996446339729899</v>
      </c>
      <c r="H64" s="69">
        <v>731.62</v>
      </c>
      <c r="I64" s="70">
        <v>562.79999999999995</v>
      </c>
      <c r="J64" s="82">
        <v>168.82</v>
      </c>
      <c r="K64" s="83">
        <v>0.29996446339729899</v>
      </c>
      <c r="L64" s="69">
        <v>5049.75</v>
      </c>
      <c r="M64" s="82">
        <v>4224.45</v>
      </c>
      <c r="N64" s="70">
        <v>825.3</v>
      </c>
      <c r="O64" s="84">
        <v>0.19536270993857199</v>
      </c>
    </row>
    <row r="65" spans="2:15" ht="15" x14ac:dyDescent="0.3">
      <c r="B65" s="45" t="s">
        <v>4</v>
      </c>
      <c r="C65" s="46" t="s">
        <v>247</v>
      </c>
      <c r="D65" s="69">
        <v>136.38</v>
      </c>
      <c r="E65" s="82">
        <v>280.49</v>
      </c>
      <c r="F65" s="70">
        <v>-144.11000000000001</v>
      </c>
      <c r="G65" s="71">
        <v>-0.51377945737816</v>
      </c>
      <c r="H65" s="69">
        <v>136.38</v>
      </c>
      <c r="I65" s="70">
        <v>280.49</v>
      </c>
      <c r="J65" s="82">
        <v>-144.11000000000001</v>
      </c>
      <c r="K65" s="83">
        <v>-0.51377945737816</v>
      </c>
      <c r="L65" s="69">
        <v>998.66</v>
      </c>
      <c r="M65" s="82">
        <v>2724.06</v>
      </c>
      <c r="N65" s="70">
        <v>-1725.4</v>
      </c>
      <c r="O65" s="84">
        <v>-0.63339280338905901</v>
      </c>
    </row>
    <row r="66" spans="2:15" ht="15" x14ac:dyDescent="0.3">
      <c r="B66" s="47" t="s">
        <v>4</v>
      </c>
      <c r="C66" s="50" t="s">
        <v>248</v>
      </c>
      <c r="D66" s="73">
        <v>1516.88</v>
      </c>
      <c r="E66" s="85">
        <v>5692.88</v>
      </c>
      <c r="F66" s="74">
        <v>-4176</v>
      </c>
      <c r="G66" s="75">
        <v>-0.73354787032222701</v>
      </c>
      <c r="H66" s="73">
        <v>1516.88</v>
      </c>
      <c r="I66" s="74">
        <v>5692.88</v>
      </c>
      <c r="J66" s="85">
        <v>-4176</v>
      </c>
      <c r="K66" s="86">
        <v>-0.73354787032222701</v>
      </c>
      <c r="L66" s="73">
        <v>32863.769999999997</v>
      </c>
      <c r="M66" s="85">
        <v>30993.86</v>
      </c>
      <c r="N66" s="74">
        <v>1869.91</v>
      </c>
      <c r="O66" s="87">
        <v>6.0331626973858701E-2</v>
      </c>
    </row>
    <row r="67" spans="2:15" ht="15" x14ac:dyDescent="0.3">
      <c r="B67" s="45" t="s">
        <v>4</v>
      </c>
      <c r="C67" s="46" t="s">
        <v>249</v>
      </c>
      <c r="D67" s="69">
        <v>221.88</v>
      </c>
      <c r="E67" s="82">
        <v>110.49</v>
      </c>
      <c r="F67" s="70">
        <v>111.39</v>
      </c>
      <c r="G67" s="71">
        <v>1.0081455335324501</v>
      </c>
      <c r="H67" s="69">
        <v>221.88</v>
      </c>
      <c r="I67" s="70">
        <v>110.49</v>
      </c>
      <c r="J67" s="82">
        <v>111.39</v>
      </c>
      <c r="K67" s="83">
        <v>1.0081455335324501</v>
      </c>
      <c r="L67" s="69">
        <v>863.18</v>
      </c>
      <c r="M67" s="82">
        <v>964.03</v>
      </c>
      <c r="N67" s="70">
        <v>-100.85</v>
      </c>
      <c r="O67" s="84">
        <v>-0.1046129269836</v>
      </c>
    </row>
    <row r="68" spans="2:15" ht="15" x14ac:dyDescent="0.3">
      <c r="B68" s="45" t="s">
        <v>4</v>
      </c>
      <c r="C68" s="46" t="s">
        <v>250</v>
      </c>
      <c r="D68" s="69">
        <v>86.78</v>
      </c>
      <c r="E68" s="82">
        <v>58.84</v>
      </c>
      <c r="F68" s="70">
        <v>27.94</v>
      </c>
      <c r="G68" s="71">
        <v>0.47484704282800799</v>
      </c>
      <c r="H68" s="69">
        <v>86.78</v>
      </c>
      <c r="I68" s="70">
        <v>58.84</v>
      </c>
      <c r="J68" s="82">
        <v>27.94</v>
      </c>
      <c r="K68" s="83">
        <v>0.47484704282800799</v>
      </c>
      <c r="L68" s="69">
        <v>445.98</v>
      </c>
      <c r="M68" s="82">
        <v>1280.1600000000001</v>
      </c>
      <c r="N68" s="70">
        <v>-834.18</v>
      </c>
      <c r="O68" s="84">
        <v>-0.65162167229096402</v>
      </c>
    </row>
    <row r="69" spans="2:15" ht="15" x14ac:dyDescent="0.3">
      <c r="B69" s="45" t="s">
        <v>4</v>
      </c>
      <c r="C69" s="46" t="s">
        <v>251</v>
      </c>
      <c r="D69" s="69">
        <v>12.91</v>
      </c>
      <c r="E69" s="82">
        <v>11.07</v>
      </c>
      <c r="F69" s="70">
        <v>1.84</v>
      </c>
      <c r="G69" s="71">
        <v>0.166214995483288</v>
      </c>
      <c r="H69" s="69">
        <v>12.91</v>
      </c>
      <c r="I69" s="70">
        <v>11.07</v>
      </c>
      <c r="J69" s="82">
        <v>1.84</v>
      </c>
      <c r="K69" s="83">
        <v>0.166214995483288</v>
      </c>
      <c r="L69" s="69">
        <v>73.03</v>
      </c>
      <c r="M69" s="82">
        <v>82.25</v>
      </c>
      <c r="N69" s="70">
        <v>-9.2200000000000006</v>
      </c>
      <c r="O69" s="84">
        <v>-0.11209726443769</v>
      </c>
    </row>
    <row r="70" spans="2:15" ht="15" x14ac:dyDescent="0.3">
      <c r="B70" s="45" t="s">
        <v>4</v>
      </c>
      <c r="C70" s="46" t="s">
        <v>252</v>
      </c>
      <c r="D70" s="69">
        <v>191.84</v>
      </c>
      <c r="E70" s="82">
        <v>17.96</v>
      </c>
      <c r="F70" s="70">
        <v>173.88</v>
      </c>
      <c r="G70" s="71">
        <v>9.6815144766146997</v>
      </c>
      <c r="H70" s="69">
        <v>191.84</v>
      </c>
      <c r="I70" s="70">
        <v>17.96</v>
      </c>
      <c r="J70" s="82">
        <v>173.88</v>
      </c>
      <c r="K70" s="83">
        <v>9.6815144766146997</v>
      </c>
      <c r="L70" s="69">
        <v>634.91999999999996</v>
      </c>
      <c r="M70" s="82">
        <v>595.11</v>
      </c>
      <c r="N70" s="70">
        <v>39.81</v>
      </c>
      <c r="O70" s="84">
        <v>6.6895195846146102E-2</v>
      </c>
    </row>
    <row r="71" spans="2:15" ht="15" x14ac:dyDescent="0.3">
      <c r="B71" s="45" t="s">
        <v>4</v>
      </c>
      <c r="C71" s="46" t="s">
        <v>253</v>
      </c>
      <c r="D71" s="69">
        <v>12.27</v>
      </c>
      <c r="E71" s="82">
        <v>13.37</v>
      </c>
      <c r="F71" s="70">
        <v>-1.1000000000000001</v>
      </c>
      <c r="G71" s="71">
        <v>-8.2273747195213201E-2</v>
      </c>
      <c r="H71" s="69">
        <v>12.27</v>
      </c>
      <c r="I71" s="70">
        <v>13.37</v>
      </c>
      <c r="J71" s="82">
        <v>-1.1000000000000001</v>
      </c>
      <c r="K71" s="83">
        <v>-8.2273747195213201E-2</v>
      </c>
      <c r="L71" s="69">
        <v>224.04</v>
      </c>
      <c r="M71" s="82">
        <v>39.19</v>
      </c>
      <c r="N71" s="70">
        <v>184.85</v>
      </c>
      <c r="O71" s="84">
        <v>4.7167644807348799</v>
      </c>
    </row>
    <row r="72" spans="2:15" ht="15" x14ac:dyDescent="0.3">
      <c r="B72" s="45" t="s">
        <v>4</v>
      </c>
      <c r="C72" s="46" t="s">
        <v>254</v>
      </c>
      <c r="D72" s="69">
        <v>35</v>
      </c>
      <c r="E72" s="82">
        <v>40.54</v>
      </c>
      <c r="F72" s="70">
        <v>-5.54</v>
      </c>
      <c r="G72" s="71">
        <v>-0.13665515540207199</v>
      </c>
      <c r="H72" s="69">
        <v>35</v>
      </c>
      <c r="I72" s="70">
        <v>40.54</v>
      </c>
      <c r="J72" s="82">
        <v>-5.54</v>
      </c>
      <c r="K72" s="83">
        <v>-0.13665515540207199</v>
      </c>
      <c r="L72" s="69">
        <v>1064.98</v>
      </c>
      <c r="M72" s="82">
        <v>869.67</v>
      </c>
      <c r="N72" s="70">
        <v>195.31</v>
      </c>
      <c r="O72" s="84">
        <v>0.22457943817770001</v>
      </c>
    </row>
    <row r="73" spans="2:15" ht="15" x14ac:dyDescent="0.3">
      <c r="B73" s="45" t="s">
        <v>4</v>
      </c>
      <c r="C73" s="46" t="s">
        <v>255</v>
      </c>
      <c r="D73" s="69">
        <v>515</v>
      </c>
      <c r="E73" s="82">
        <v>515</v>
      </c>
      <c r="F73" s="70">
        <v>0</v>
      </c>
      <c r="G73" s="71">
        <v>0</v>
      </c>
      <c r="H73" s="69">
        <v>515</v>
      </c>
      <c r="I73" s="70">
        <v>515</v>
      </c>
      <c r="J73" s="82">
        <v>0</v>
      </c>
      <c r="K73" s="83">
        <v>0</v>
      </c>
      <c r="L73" s="69">
        <v>3630.78</v>
      </c>
      <c r="M73" s="82">
        <v>3605</v>
      </c>
      <c r="N73" s="70">
        <v>25.78</v>
      </c>
      <c r="O73" s="84">
        <v>7.1511789181692102E-3</v>
      </c>
    </row>
    <row r="74" spans="2:15" ht="15" x14ac:dyDescent="0.3">
      <c r="B74" s="47" t="s">
        <v>4</v>
      </c>
      <c r="C74" s="50" t="s">
        <v>256</v>
      </c>
      <c r="D74" s="73">
        <v>1075.68</v>
      </c>
      <c r="E74" s="85">
        <v>767.27</v>
      </c>
      <c r="F74" s="74">
        <v>308.41000000000003</v>
      </c>
      <c r="G74" s="75">
        <v>0.40195758989664698</v>
      </c>
      <c r="H74" s="73">
        <v>1075.68</v>
      </c>
      <c r="I74" s="74">
        <v>767.27</v>
      </c>
      <c r="J74" s="85">
        <v>308.41000000000003</v>
      </c>
      <c r="K74" s="86">
        <v>0.40195758989664698</v>
      </c>
      <c r="L74" s="73">
        <v>6936.91</v>
      </c>
      <c r="M74" s="85">
        <v>7435.41</v>
      </c>
      <c r="N74" s="74">
        <v>-498.5</v>
      </c>
      <c r="O74" s="87">
        <v>-6.7044050025486093E-2</v>
      </c>
    </row>
    <row r="75" spans="2:15" ht="15" x14ac:dyDescent="0.3">
      <c r="B75" s="45" t="s">
        <v>4</v>
      </c>
      <c r="C75" s="46" t="s">
        <v>257</v>
      </c>
      <c r="D75" s="69">
        <v>0</v>
      </c>
      <c r="E75" s="82">
        <v>0</v>
      </c>
      <c r="F75" s="70">
        <v>0</v>
      </c>
      <c r="G75" s="71">
        <v>0</v>
      </c>
      <c r="H75" s="69">
        <v>0</v>
      </c>
      <c r="I75" s="70">
        <v>0</v>
      </c>
      <c r="J75" s="82">
        <v>0</v>
      </c>
      <c r="K75" s="83">
        <v>0</v>
      </c>
      <c r="L75" s="69">
        <v>0</v>
      </c>
      <c r="M75" s="82">
        <v>82.58</v>
      </c>
      <c r="N75" s="70">
        <v>-82.58</v>
      </c>
      <c r="O75" s="84">
        <v>-1</v>
      </c>
    </row>
    <row r="76" spans="2:15" ht="15" x14ac:dyDescent="0.3">
      <c r="B76" s="45" t="s">
        <v>4</v>
      </c>
      <c r="C76" s="46" t="s">
        <v>258</v>
      </c>
      <c r="D76" s="69">
        <v>0</v>
      </c>
      <c r="E76" s="82">
        <v>0</v>
      </c>
      <c r="F76" s="70">
        <v>0</v>
      </c>
      <c r="G76" s="71">
        <v>0</v>
      </c>
      <c r="H76" s="69">
        <v>0</v>
      </c>
      <c r="I76" s="70">
        <v>0</v>
      </c>
      <c r="J76" s="82">
        <v>0</v>
      </c>
      <c r="K76" s="83">
        <v>0</v>
      </c>
      <c r="L76" s="69">
        <v>22.61</v>
      </c>
      <c r="M76" s="82">
        <v>24.91</v>
      </c>
      <c r="N76" s="70">
        <v>-2.2999999999999998</v>
      </c>
      <c r="O76" s="84">
        <v>-9.2332396627860303E-2</v>
      </c>
    </row>
    <row r="77" spans="2:15" ht="15" x14ac:dyDescent="0.3">
      <c r="B77" s="45" t="s">
        <v>4</v>
      </c>
      <c r="C77" s="46" t="s">
        <v>259</v>
      </c>
      <c r="D77" s="69">
        <v>68</v>
      </c>
      <c r="E77" s="82">
        <v>70</v>
      </c>
      <c r="F77" s="70">
        <v>-2</v>
      </c>
      <c r="G77" s="71">
        <v>-2.8571428571428598E-2</v>
      </c>
      <c r="H77" s="69">
        <v>68</v>
      </c>
      <c r="I77" s="70">
        <v>70</v>
      </c>
      <c r="J77" s="82">
        <v>-2</v>
      </c>
      <c r="K77" s="83">
        <v>-2.8571428571428598E-2</v>
      </c>
      <c r="L77" s="69">
        <v>3295.61</v>
      </c>
      <c r="M77" s="82">
        <v>2422.14</v>
      </c>
      <c r="N77" s="70">
        <v>873.47</v>
      </c>
      <c r="O77" s="84">
        <v>0.36061912193349699</v>
      </c>
    </row>
    <row r="78" spans="2:15" ht="15" x14ac:dyDescent="0.3">
      <c r="B78" s="45" t="s">
        <v>4</v>
      </c>
      <c r="C78" s="46" t="s">
        <v>260</v>
      </c>
      <c r="D78" s="69">
        <v>1981.39</v>
      </c>
      <c r="E78" s="82">
        <v>1854.39</v>
      </c>
      <c r="F78" s="70">
        <v>127</v>
      </c>
      <c r="G78" s="71">
        <v>6.84861329062387E-2</v>
      </c>
      <c r="H78" s="69">
        <v>1981.39</v>
      </c>
      <c r="I78" s="70">
        <v>1854.39</v>
      </c>
      <c r="J78" s="82">
        <v>127</v>
      </c>
      <c r="K78" s="83">
        <v>6.84861329062387E-2</v>
      </c>
      <c r="L78" s="69">
        <v>14342</v>
      </c>
      <c r="M78" s="82">
        <v>15679.84</v>
      </c>
      <c r="N78" s="70">
        <v>-1337.84</v>
      </c>
      <c r="O78" s="84">
        <v>-8.53222992071348E-2</v>
      </c>
    </row>
    <row r="79" spans="2:15" ht="15" x14ac:dyDescent="0.3">
      <c r="B79" s="47" t="s">
        <v>4</v>
      </c>
      <c r="C79" s="50" t="s">
        <v>261</v>
      </c>
      <c r="D79" s="73">
        <v>2049.39</v>
      </c>
      <c r="E79" s="85">
        <v>1924.39</v>
      </c>
      <c r="F79" s="74">
        <v>125</v>
      </c>
      <c r="G79" s="75">
        <v>6.4955648283352097E-2</v>
      </c>
      <c r="H79" s="73">
        <v>2049.39</v>
      </c>
      <c r="I79" s="74">
        <v>1924.39</v>
      </c>
      <c r="J79" s="85">
        <v>125</v>
      </c>
      <c r="K79" s="86">
        <v>6.4955648283352097E-2</v>
      </c>
      <c r="L79" s="73">
        <v>17660.22</v>
      </c>
      <c r="M79" s="85">
        <v>18209.47</v>
      </c>
      <c r="N79" s="74">
        <v>-549.25</v>
      </c>
      <c r="O79" s="87">
        <v>-3.01628767888357E-2</v>
      </c>
    </row>
    <row r="80" spans="2:15" ht="15" x14ac:dyDescent="0.3">
      <c r="B80" s="45" t="s">
        <v>4</v>
      </c>
      <c r="C80" s="46" t="s">
        <v>262</v>
      </c>
      <c r="D80" s="69">
        <v>941.12</v>
      </c>
      <c r="E80" s="82">
        <v>224.25</v>
      </c>
      <c r="F80" s="70">
        <v>716.87</v>
      </c>
      <c r="G80" s="71">
        <v>3.19674470457079</v>
      </c>
      <c r="H80" s="69">
        <v>941.12</v>
      </c>
      <c r="I80" s="70">
        <v>224.25</v>
      </c>
      <c r="J80" s="82">
        <v>716.87</v>
      </c>
      <c r="K80" s="83">
        <v>3.19674470457079</v>
      </c>
      <c r="L80" s="69">
        <v>-2713.13</v>
      </c>
      <c r="M80" s="82">
        <v>9730.0499999999993</v>
      </c>
      <c r="N80" s="70">
        <v>-12443.18</v>
      </c>
      <c r="O80" s="84">
        <v>-1.27884029372922</v>
      </c>
    </row>
    <row r="81" spans="2:15" ht="15" x14ac:dyDescent="0.3">
      <c r="B81" s="45" t="s">
        <v>4</v>
      </c>
      <c r="C81" s="46" t="s">
        <v>263</v>
      </c>
      <c r="D81" s="69">
        <v>0</v>
      </c>
      <c r="E81" s="82">
        <v>0</v>
      </c>
      <c r="F81" s="70">
        <v>0</v>
      </c>
      <c r="G81" s="71">
        <v>0</v>
      </c>
      <c r="H81" s="69">
        <v>0</v>
      </c>
      <c r="I81" s="70">
        <v>0</v>
      </c>
      <c r="J81" s="82">
        <v>0</v>
      </c>
      <c r="K81" s="83">
        <v>0</v>
      </c>
      <c r="L81" s="69">
        <v>0</v>
      </c>
      <c r="M81" s="82">
        <v>320</v>
      </c>
      <c r="N81" s="70">
        <v>-320</v>
      </c>
      <c r="O81" s="84">
        <v>-1</v>
      </c>
    </row>
    <row r="82" spans="2:15" ht="15" x14ac:dyDescent="0.3">
      <c r="B82" s="45" t="s">
        <v>4</v>
      </c>
      <c r="C82" s="46" t="s">
        <v>264</v>
      </c>
      <c r="D82" s="69">
        <v>279</v>
      </c>
      <c r="E82" s="82">
        <v>0</v>
      </c>
      <c r="F82" s="70">
        <v>279</v>
      </c>
      <c r="G82" s="71">
        <v>0</v>
      </c>
      <c r="H82" s="69">
        <v>279</v>
      </c>
      <c r="I82" s="70">
        <v>0</v>
      </c>
      <c r="J82" s="82">
        <v>279</v>
      </c>
      <c r="K82" s="83">
        <v>0</v>
      </c>
      <c r="L82" s="69">
        <v>525.94000000000005</v>
      </c>
      <c r="M82" s="82">
        <v>-13462.99</v>
      </c>
      <c r="N82" s="70">
        <v>13988.93</v>
      </c>
      <c r="O82" s="84">
        <v>-1.0390656161818399</v>
      </c>
    </row>
    <row r="83" spans="2:15" ht="15" x14ac:dyDescent="0.3">
      <c r="B83" s="45" t="s">
        <v>4</v>
      </c>
      <c r="C83" s="46" t="s">
        <v>265</v>
      </c>
      <c r="D83" s="69">
        <v>1921.6</v>
      </c>
      <c r="E83" s="82">
        <v>1285</v>
      </c>
      <c r="F83" s="70">
        <v>636.6</v>
      </c>
      <c r="G83" s="71">
        <v>0.495408560311284</v>
      </c>
      <c r="H83" s="69">
        <v>1921.6</v>
      </c>
      <c r="I83" s="70">
        <v>1285</v>
      </c>
      <c r="J83" s="82">
        <v>636.6</v>
      </c>
      <c r="K83" s="83">
        <v>0.495408560311284</v>
      </c>
      <c r="L83" s="69">
        <v>10920.6</v>
      </c>
      <c r="M83" s="82">
        <v>7703</v>
      </c>
      <c r="N83" s="70">
        <v>3217.6</v>
      </c>
      <c r="O83" s="84">
        <v>0.41770738673244201</v>
      </c>
    </row>
    <row r="84" spans="2:15" ht="15" x14ac:dyDescent="0.3">
      <c r="B84" s="45" t="s">
        <v>4</v>
      </c>
      <c r="C84" s="46" t="s">
        <v>266</v>
      </c>
      <c r="D84" s="69">
        <v>0</v>
      </c>
      <c r="E84" s="82">
        <v>0</v>
      </c>
      <c r="F84" s="70">
        <v>0</v>
      </c>
      <c r="G84" s="71">
        <v>0</v>
      </c>
      <c r="H84" s="69">
        <v>0</v>
      </c>
      <c r="I84" s="70">
        <v>0</v>
      </c>
      <c r="J84" s="82">
        <v>0</v>
      </c>
      <c r="K84" s="83">
        <v>0</v>
      </c>
      <c r="L84" s="69">
        <v>4245</v>
      </c>
      <c r="M84" s="82">
        <v>0</v>
      </c>
      <c r="N84" s="70">
        <v>4245</v>
      </c>
      <c r="O84" s="84">
        <v>0</v>
      </c>
    </row>
    <row r="85" spans="2:15" ht="15" x14ac:dyDescent="0.3">
      <c r="B85" s="45" t="s">
        <v>4</v>
      </c>
      <c r="C85" s="46" t="s">
        <v>267</v>
      </c>
      <c r="D85" s="69">
        <v>0</v>
      </c>
      <c r="E85" s="82">
        <v>0</v>
      </c>
      <c r="F85" s="70">
        <v>0</v>
      </c>
      <c r="G85" s="71">
        <v>0</v>
      </c>
      <c r="H85" s="69">
        <v>0</v>
      </c>
      <c r="I85" s="70">
        <v>0</v>
      </c>
      <c r="J85" s="82">
        <v>0</v>
      </c>
      <c r="K85" s="83">
        <v>0</v>
      </c>
      <c r="L85" s="69">
        <v>0</v>
      </c>
      <c r="M85" s="82">
        <v>0</v>
      </c>
      <c r="N85" s="70">
        <v>0</v>
      </c>
      <c r="O85" s="84">
        <v>0</v>
      </c>
    </row>
    <row r="86" spans="2:15" ht="15" x14ac:dyDescent="0.3">
      <c r="B86" s="45" t="s">
        <v>4</v>
      </c>
      <c r="C86" s="46" t="s">
        <v>268</v>
      </c>
      <c r="D86" s="69">
        <v>106.45</v>
      </c>
      <c r="E86" s="82">
        <v>104.13</v>
      </c>
      <c r="F86" s="70">
        <v>2.3199999999999998</v>
      </c>
      <c r="G86" s="71">
        <v>2.2279842504561598E-2</v>
      </c>
      <c r="H86" s="69">
        <v>106.45</v>
      </c>
      <c r="I86" s="70">
        <v>104.13</v>
      </c>
      <c r="J86" s="82">
        <v>2.3199999999999998</v>
      </c>
      <c r="K86" s="83">
        <v>2.2279842504561598E-2</v>
      </c>
      <c r="L86" s="69">
        <v>759.72</v>
      </c>
      <c r="M86" s="82">
        <v>1331.11</v>
      </c>
      <c r="N86" s="70">
        <v>-571.39</v>
      </c>
      <c r="O86" s="84">
        <v>-0.429258288195566</v>
      </c>
    </row>
    <row r="87" spans="2:15" ht="15" x14ac:dyDescent="0.3">
      <c r="B87" s="45" t="s">
        <v>4</v>
      </c>
      <c r="C87" s="46" t="s">
        <v>269</v>
      </c>
      <c r="D87" s="69">
        <v>1223.42</v>
      </c>
      <c r="E87" s="82">
        <v>1265.8800000000001</v>
      </c>
      <c r="F87" s="70">
        <v>-42.46</v>
      </c>
      <c r="G87" s="71">
        <v>-3.3541883906847397E-2</v>
      </c>
      <c r="H87" s="69">
        <v>1223.42</v>
      </c>
      <c r="I87" s="70">
        <v>1265.8800000000001</v>
      </c>
      <c r="J87" s="82">
        <v>-42.46</v>
      </c>
      <c r="K87" s="83">
        <v>-3.3541883906847397E-2</v>
      </c>
      <c r="L87" s="69">
        <v>4006.26</v>
      </c>
      <c r="M87" s="82">
        <v>4270.53</v>
      </c>
      <c r="N87" s="70">
        <v>-264.27</v>
      </c>
      <c r="O87" s="84">
        <v>-6.1882248807525103E-2</v>
      </c>
    </row>
    <row r="88" spans="2:15" ht="15" x14ac:dyDescent="0.3">
      <c r="B88" s="45" t="s">
        <v>4</v>
      </c>
      <c r="C88" s="46" t="s">
        <v>270</v>
      </c>
      <c r="D88" s="69">
        <v>560.88</v>
      </c>
      <c r="E88" s="82">
        <v>0</v>
      </c>
      <c r="F88" s="70">
        <v>560.88</v>
      </c>
      <c r="G88" s="71">
        <v>0</v>
      </c>
      <c r="H88" s="69">
        <v>560.88</v>
      </c>
      <c r="I88" s="70">
        <v>0</v>
      </c>
      <c r="J88" s="82">
        <v>560.88</v>
      </c>
      <c r="K88" s="83">
        <v>0</v>
      </c>
      <c r="L88" s="69">
        <v>4222.28</v>
      </c>
      <c r="M88" s="82">
        <v>1851.5</v>
      </c>
      <c r="N88" s="70">
        <v>2370.7800000000002</v>
      </c>
      <c r="O88" s="84">
        <v>1.28046448825277</v>
      </c>
    </row>
    <row r="89" spans="2:15" ht="15" x14ac:dyDescent="0.3">
      <c r="B89" s="45" t="s">
        <v>4</v>
      </c>
      <c r="C89" s="46" t="s">
        <v>271</v>
      </c>
      <c r="D89" s="69">
        <v>1012.95</v>
      </c>
      <c r="E89" s="82">
        <v>1153.6500000000001</v>
      </c>
      <c r="F89" s="70">
        <v>-140.69999999999999</v>
      </c>
      <c r="G89" s="71">
        <v>-0.121960733324665</v>
      </c>
      <c r="H89" s="69">
        <v>1012.95</v>
      </c>
      <c r="I89" s="70">
        <v>1153.6500000000001</v>
      </c>
      <c r="J89" s="82">
        <v>-140.69999999999999</v>
      </c>
      <c r="K89" s="83">
        <v>-0.121960733324665</v>
      </c>
      <c r="L89" s="69">
        <v>12295.6</v>
      </c>
      <c r="M89" s="82">
        <v>8132.29</v>
      </c>
      <c r="N89" s="70">
        <v>4163.3100000000004</v>
      </c>
      <c r="O89" s="84">
        <v>0.51194804907350799</v>
      </c>
    </row>
    <row r="90" spans="2:15" ht="15" x14ac:dyDescent="0.3">
      <c r="B90" s="45" t="s">
        <v>4</v>
      </c>
      <c r="C90" s="46" t="s">
        <v>272</v>
      </c>
      <c r="D90" s="69">
        <v>0</v>
      </c>
      <c r="E90" s="82">
        <v>0</v>
      </c>
      <c r="F90" s="70">
        <v>0</v>
      </c>
      <c r="G90" s="71">
        <v>0</v>
      </c>
      <c r="H90" s="69">
        <v>0</v>
      </c>
      <c r="I90" s="70">
        <v>0</v>
      </c>
      <c r="J90" s="82">
        <v>0</v>
      </c>
      <c r="K90" s="83">
        <v>0</v>
      </c>
      <c r="L90" s="69">
        <v>645.92999999999995</v>
      </c>
      <c r="M90" s="82">
        <v>3655.07</v>
      </c>
      <c r="N90" s="70">
        <v>-3009.14</v>
      </c>
      <c r="O90" s="84">
        <v>-0.82327835034623098</v>
      </c>
    </row>
    <row r="91" spans="2:15" ht="15" x14ac:dyDescent="0.3">
      <c r="B91" s="45" t="s">
        <v>4</v>
      </c>
      <c r="C91" s="46" t="s">
        <v>273</v>
      </c>
      <c r="D91" s="69">
        <v>1379.99</v>
      </c>
      <c r="E91" s="82">
        <v>0</v>
      </c>
      <c r="F91" s="70">
        <v>1379.99</v>
      </c>
      <c r="G91" s="71">
        <v>0</v>
      </c>
      <c r="H91" s="69">
        <v>1379.99</v>
      </c>
      <c r="I91" s="70">
        <v>0</v>
      </c>
      <c r="J91" s="82">
        <v>1379.99</v>
      </c>
      <c r="K91" s="83">
        <v>0</v>
      </c>
      <c r="L91" s="69">
        <v>2717.59</v>
      </c>
      <c r="M91" s="82">
        <v>1267.3</v>
      </c>
      <c r="N91" s="70">
        <v>1450.29</v>
      </c>
      <c r="O91" s="84">
        <v>1.1443935926773501</v>
      </c>
    </row>
    <row r="92" spans="2:15" ht="15" x14ac:dyDescent="0.3">
      <c r="B92" s="45" t="s">
        <v>4</v>
      </c>
      <c r="C92" s="46" t="s">
        <v>274</v>
      </c>
      <c r="D92" s="69">
        <v>0</v>
      </c>
      <c r="E92" s="82">
        <v>0</v>
      </c>
      <c r="F92" s="70">
        <v>0</v>
      </c>
      <c r="G92" s="71">
        <v>0</v>
      </c>
      <c r="H92" s="69">
        <v>0</v>
      </c>
      <c r="I92" s="70">
        <v>0</v>
      </c>
      <c r="J92" s="82">
        <v>0</v>
      </c>
      <c r="K92" s="83">
        <v>0</v>
      </c>
      <c r="L92" s="69">
        <v>0</v>
      </c>
      <c r="M92" s="82">
        <v>0</v>
      </c>
      <c r="N92" s="70">
        <v>0</v>
      </c>
      <c r="O92" s="84">
        <v>0</v>
      </c>
    </row>
    <row r="93" spans="2:15" ht="15" x14ac:dyDescent="0.3">
      <c r="B93" s="47" t="s">
        <v>4</v>
      </c>
      <c r="C93" s="50" t="s">
        <v>275</v>
      </c>
      <c r="D93" s="73">
        <v>7425.41</v>
      </c>
      <c r="E93" s="85">
        <v>4032.91</v>
      </c>
      <c r="F93" s="74">
        <v>3392.5</v>
      </c>
      <c r="G93" s="75">
        <v>0.841203994138228</v>
      </c>
      <c r="H93" s="73">
        <v>7425.41</v>
      </c>
      <c r="I93" s="74">
        <v>4032.91</v>
      </c>
      <c r="J93" s="85">
        <v>3392.5</v>
      </c>
      <c r="K93" s="86">
        <v>0.841203994138228</v>
      </c>
      <c r="L93" s="73">
        <v>37625.79</v>
      </c>
      <c r="M93" s="85">
        <v>24797.86</v>
      </c>
      <c r="N93" s="74">
        <v>12827.93</v>
      </c>
      <c r="O93" s="87">
        <v>0.51729987990899196</v>
      </c>
    </row>
    <row r="94" spans="2:15" ht="15" x14ac:dyDescent="0.3">
      <c r="B94" s="45" t="s">
        <v>4</v>
      </c>
      <c r="C94" s="46" t="s">
        <v>276</v>
      </c>
      <c r="D94" s="69">
        <v>0</v>
      </c>
      <c r="E94" s="82">
        <v>0</v>
      </c>
      <c r="F94" s="70">
        <v>0</v>
      </c>
      <c r="G94" s="71">
        <v>0</v>
      </c>
      <c r="H94" s="69">
        <v>0</v>
      </c>
      <c r="I94" s="70">
        <v>0</v>
      </c>
      <c r="J94" s="82">
        <v>0</v>
      </c>
      <c r="K94" s="83">
        <v>0</v>
      </c>
      <c r="L94" s="69">
        <v>0</v>
      </c>
      <c r="M94" s="82">
        <v>0</v>
      </c>
      <c r="N94" s="70">
        <v>0</v>
      </c>
      <c r="O94" s="84">
        <v>0</v>
      </c>
    </row>
    <row r="95" spans="2:15" ht="15" x14ac:dyDescent="0.3">
      <c r="B95" s="45" t="s">
        <v>4</v>
      </c>
      <c r="C95" s="46" t="s">
        <v>277</v>
      </c>
      <c r="D95" s="69">
        <v>0</v>
      </c>
      <c r="E95" s="82">
        <v>0</v>
      </c>
      <c r="F95" s="70">
        <v>0</v>
      </c>
      <c r="G95" s="71">
        <v>0</v>
      </c>
      <c r="H95" s="69">
        <v>0</v>
      </c>
      <c r="I95" s="70">
        <v>0</v>
      </c>
      <c r="J95" s="82">
        <v>0</v>
      </c>
      <c r="K95" s="83">
        <v>0</v>
      </c>
      <c r="L95" s="69">
        <v>0</v>
      </c>
      <c r="M95" s="82">
        <v>0</v>
      </c>
      <c r="N95" s="70">
        <v>0</v>
      </c>
      <c r="O95" s="84">
        <v>0</v>
      </c>
    </row>
    <row r="96" spans="2:15" ht="15" x14ac:dyDescent="0.3">
      <c r="B96" s="45" t="s">
        <v>4</v>
      </c>
      <c r="C96" s="46" t="s">
        <v>278</v>
      </c>
      <c r="D96" s="69">
        <v>0</v>
      </c>
      <c r="E96" s="82">
        <v>0</v>
      </c>
      <c r="F96" s="70">
        <v>0</v>
      </c>
      <c r="G96" s="71">
        <v>0</v>
      </c>
      <c r="H96" s="69">
        <v>0</v>
      </c>
      <c r="I96" s="70">
        <v>0</v>
      </c>
      <c r="J96" s="82">
        <v>0</v>
      </c>
      <c r="K96" s="83">
        <v>0</v>
      </c>
      <c r="L96" s="69">
        <v>0</v>
      </c>
      <c r="M96" s="82">
        <v>0</v>
      </c>
      <c r="N96" s="70">
        <v>0</v>
      </c>
      <c r="O96" s="84">
        <v>0</v>
      </c>
    </row>
    <row r="97" spans="2:15" ht="15" x14ac:dyDescent="0.3">
      <c r="B97" s="47" t="s">
        <v>4</v>
      </c>
      <c r="C97" s="50" t="s">
        <v>279</v>
      </c>
      <c r="D97" s="73">
        <v>0</v>
      </c>
      <c r="E97" s="85">
        <v>0</v>
      </c>
      <c r="F97" s="74">
        <v>0</v>
      </c>
      <c r="G97" s="75">
        <v>0</v>
      </c>
      <c r="H97" s="73">
        <v>0</v>
      </c>
      <c r="I97" s="74">
        <v>0</v>
      </c>
      <c r="J97" s="85">
        <v>0</v>
      </c>
      <c r="K97" s="86">
        <v>0</v>
      </c>
      <c r="L97" s="73">
        <v>0</v>
      </c>
      <c r="M97" s="85">
        <v>0</v>
      </c>
      <c r="N97" s="74">
        <v>0</v>
      </c>
      <c r="O97" s="87">
        <v>0</v>
      </c>
    </row>
    <row r="98" spans="2:15" ht="15" x14ac:dyDescent="0.3">
      <c r="B98" s="45" t="s">
        <v>4</v>
      </c>
      <c r="C98" s="46" t="s">
        <v>280</v>
      </c>
      <c r="D98" s="69">
        <v>44.58</v>
      </c>
      <c r="E98" s="82">
        <v>39.380000000000003</v>
      </c>
      <c r="F98" s="70">
        <v>5.2</v>
      </c>
      <c r="G98" s="71">
        <v>0.13204672422549499</v>
      </c>
      <c r="H98" s="69">
        <v>44.58</v>
      </c>
      <c r="I98" s="70">
        <v>39.380000000000003</v>
      </c>
      <c r="J98" s="82">
        <v>5.2</v>
      </c>
      <c r="K98" s="83">
        <v>0.13204672422549499</v>
      </c>
      <c r="L98" s="69">
        <v>304.33999999999997</v>
      </c>
      <c r="M98" s="82">
        <v>263.42</v>
      </c>
      <c r="N98" s="70">
        <v>40.92</v>
      </c>
      <c r="O98" s="84">
        <v>0.15534128008503501</v>
      </c>
    </row>
    <row r="99" spans="2:15" ht="15" x14ac:dyDescent="0.3">
      <c r="B99" s="45" t="s">
        <v>4</v>
      </c>
      <c r="C99" s="46" t="s">
        <v>281</v>
      </c>
      <c r="D99" s="69">
        <v>0</v>
      </c>
      <c r="E99" s="82">
        <v>0</v>
      </c>
      <c r="F99" s="70">
        <v>0</v>
      </c>
      <c r="G99" s="71">
        <v>0</v>
      </c>
      <c r="H99" s="69">
        <v>0</v>
      </c>
      <c r="I99" s="70">
        <v>0</v>
      </c>
      <c r="J99" s="82">
        <v>0</v>
      </c>
      <c r="K99" s="83">
        <v>0</v>
      </c>
      <c r="L99" s="69">
        <v>0</v>
      </c>
      <c r="M99" s="82">
        <v>0</v>
      </c>
      <c r="N99" s="70">
        <v>0</v>
      </c>
      <c r="O99" s="84">
        <v>0</v>
      </c>
    </row>
    <row r="100" spans="2:15" ht="15" x14ac:dyDescent="0.3">
      <c r="B100" s="45" t="s">
        <v>4</v>
      </c>
      <c r="C100" s="46" t="s">
        <v>282</v>
      </c>
      <c r="D100" s="69">
        <v>45.67</v>
      </c>
      <c r="E100" s="82">
        <v>40</v>
      </c>
      <c r="F100" s="70">
        <v>5.67</v>
      </c>
      <c r="G100" s="71">
        <v>0.14174999999999999</v>
      </c>
      <c r="H100" s="69">
        <v>45.67</v>
      </c>
      <c r="I100" s="70">
        <v>40</v>
      </c>
      <c r="J100" s="82">
        <v>5.67</v>
      </c>
      <c r="K100" s="83">
        <v>0.14174999999999999</v>
      </c>
      <c r="L100" s="69">
        <v>313.79000000000002</v>
      </c>
      <c r="M100" s="82">
        <v>280</v>
      </c>
      <c r="N100" s="70">
        <v>33.79</v>
      </c>
      <c r="O100" s="84">
        <v>0.120678571428571</v>
      </c>
    </row>
    <row r="101" spans="2:15" ht="15" x14ac:dyDescent="0.3">
      <c r="B101" s="45" t="s">
        <v>4</v>
      </c>
      <c r="C101" s="46" t="s">
        <v>283</v>
      </c>
      <c r="D101" s="69">
        <v>1007.31</v>
      </c>
      <c r="E101" s="82">
        <v>0</v>
      </c>
      <c r="F101" s="70">
        <v>1007.31</v>
      </c>
      <c r="G101" s="71">
        <v>0</v>
      </c>
      <c r="H101" s="69">
        <v>1007.31</v>
      </c>
      <c r="I101" s="70">
        <v>0</v>
      </c>
      <c r="J101" s="82">
        <v>1007.31</v>
      </c>
      <c r="K101" s="83">
        <v>0</v>
      </c>
      <c r="L101" s="69">
        <v>3076.71</v>
      </c>
      <c r="M101" s="82">
        <v>609.6</v>
      </c>
      <c r="N101" s="70">
        <v>2467.11</v>
      </c>
      <c r="O101" s="84">
        <v>4.04709645669291</v>
      </c>
    </row>
    <row r="102" spans="2:15" ht="15" x14ac:dyDescent="0.3">
      <c r="B102" s="45" t="s">
        <v>4</v>
      </c>
      <c r="C102" s="46" t="s">
        <v>284</v>
      </c>
      <c r="D102" s="69">
        <v>0</v>
      </c>
      <c r="E102" s="82">
        <v>0</v>
      </c>
      <c r="F102" s="70">
        <v>0</v>
      </c>
      <c r="G102" s="71">
        <v>0</v>
      </c>
      <c r="H102" s="69">
        <v>0</v>
      </c>
      <c r="I102" s="70">
        <v>0</v>
      </c>
      <c r="J102" s="82">
        <v>0</v>
      </c>
      <c r="K102" s="83">
        <v>0</v>
      </c>
      <c r="L102" s="69">
        <v>0</v>
      </c>
      <c r="M102" s="82">
        <v>0</v>
      </c>
      <c r="N102" s="70">
        <v>0</v>
      </c>
      <c r="O102" s="84">
        <v>0</v>
      </c>
    </row>
    <row r="103" spans="2:15" ht="15" x14ac:dyDescent="0.3">
      <c r="B103" s="47" t="s">
        <v>4</v>
      </c>
      <c r="C103" s="50" t="s">
        <v>285</v>
      </c>
      <c r="D103" s="73">
        <v>1097.56</v>
      </c>
      <c r="E103" s="85">
        <v>79.38</v>
      </c>
      <c r="F103" s="74">
        <v>1018.18</v>
      </c>
      <c r="G103" s="75">
        <v>12.8266565885614</v>
      </c>
      <c r="H103" s="73">
        <v>1097.56</v>
      </c>
      <c r="I103" s="74">
        <v>79.38</v>
      </c>
      <c r="J103" s="85">
        <v>1018.18</v>
      </c>
      <c r="K103" s="86">
        <v>12.8266565885614</v>
      </c>
      <c r="L103" s="73">
        <v>3694.84</v>
      </c>
      <c r="M103" s="85">
        <v>1153.02</v>
      </c>
      <c r="N103" s="74">
        <v>2541.8200000000002</v>
      </c>
      <c r="O103" s="87">
        <v>2.2044890808485502</v>
      </c>
    </row>
    <row r="104" spans="2:15" ht="15" x14ac:dyDescent="0.3">
      <c r="B104" s="45" t="s">
        <v>4</v>
      </c>
      <c r="C104" s="46" t="s">
        <v>286</v>
      </c>
      <c r="D104" s="69">
        <v>17465</v>
      </c>
      <c r="E104" s="82">
        <v>19709.490000000002</v>
      </c>
      <c r="F104" s="70">
        <v>-2244.4899999999998</v>
      </c>
      <c r="G104" s="71">
        <v>-0.11387864424701</v>
      </c>
      <c r="H104" s="69">
        <v>17465</v>
      </c>
      <c r="I104" s="70">
        <v>19709.490000000002</v>
      </c>
      <c r="J104" s="82">
        <v>-2244.4899999999998</v>
      </c>
      <c r="K104" s="83">
        <v>-0.11387864424701</v>
      </c>
      <c r="L104" s="69">
        <v>122255</v>
      </c>
      <c r="M104" s="82">
        <v>124500.53</v>
      </c>
      <c r="N104" s="70">
        <v>-2245.5300000000002</v>
      </c>
      <c r="O104" s="84">
        <v>-1.8036308761095202E-2</v>
      </c>
    </row>
    <row r="105" spans="2:15" ht="15" x14ac:dyDescent="0.3">
      <c r="B105" s="45" t="s">
        <v>4</v>
      </c>
      <c r="C105" s="46" t="s">
        <v>287</v>
      </c>
      <c r="D105" s="69">
        <v>0</v>
      </c>
      <c r="E105" s="82">
        <v>0</v>
      </c>
      <c r="F105" s="70">
        <v>0</v>
      </c>
      <c r="G105" s="71">
        <v>0</v>
      </c>
      <c r="H105" s="69">
        <v>0</v>
      </c>
      <c r="I105" s="70">
        <v>0</v>
      </c>
      <c r="J105" s="82">
        <v>0</v>
      </c>
      <c r="K105" s="83">
        <v>0</v>
      </c>
      <c r="L105" s="69">
        <v>1309.3399999999999</v>
      </c>
      <c r="M105" s="82">
        <v>1023.69</v>
      </c>
      <c r="N105" s="70">
        <v>285.64999999999998</v>
      </c>
      <c r="O105" s="84">
        <v>0.27903955298967498</v>
      </c>
    </row>
    <row r="106" spans="2:15" ht="15" x14ac:dyDescent="0.3">
      <c r="B106" s="45" t="s">
        <v>4</v>
      </c>
      <c r="C106" s="46" t="s">
        <v>288</v>
      </c>
      <c r="D106" s="69">
        <v>0</v>
      </c>
      <c r="E106" s="82">
        <v>0</v>
      </c>
      <c r="F106" s="70">
        <v>0</v>
      </c>
      <c r="G106" s="71">
        <v>0</v>
      </c>
      <c r="H106" s="69">
        <v>0</v>
      </c>
      <c r="I106" s="70">
        <v>0</v>
      </c>
      <c r="J106" s="82">
        <v>0</v>
      </c>
      <c r="K106" s="83">
        <v>0</v>
      </c>
      <c r="L106" s="69">
        <v>250</v>
      </c>
      <c r="M106" s="82">
        <v>125</v>
      </c>
      <c r="N106" s="70">
        <v>125</v>
      </c>
      <c r="O106" s="84">
        <v>1</v>
      </c>
    </row>
    <row r="107" spans="2:15" ht="15" x14ac:dyDescent="0.3">
      <c r="B107" s="45" t="s">
        <v>4</v>
      </c>
      <c r="C107" s="46" t="s">
        <v>289</v>
      </c>
      <c r="D107" s="69">
        <v>0</v>
      </c>
      <c r="E107" s="82">
        <v>0</v>
      </c>
      <c r="F107" s="70">
        <v>0</v>
      </c>
      <c r="G107" s="71">
        <v>0</v>
      </c>
      <c r="H107" s="69">
        <v>0</v>
      </c>
      <c r="I107" s="70">
        <v>0</v>
      </c>
      <c r="J107" s="82">
        <v>0</v>
      </c>
      <c r="K107" s="83">
        <v>0</v>
      </c>
      <c r="L107" s="69">
        <v>0</v>
      </c>
      <c r="M107" s="82">
        <v>0</v>
      </c>
      <c r="N107" s="70">
        <v>0</v>
      </c>
      <c r="O107" s="84">
        <v>0</v>
      </c>
    </row>
    <row r="108" spans="2:15" ht="15" x14ac:dyDescent="0.3">
      <c r="B108" s="47" t="s">
        <v>4</v>
      </c>
      <c r="C108" s="50" t="s">
        <v>290</v>
      </c>
      <c r="D108" s="73">
        <v>17465</v>
      </c>
      <c r="E108" s="85">
        <v>19709.490000000002</v>
      </c>
      <c r="F108" s="74">
        <v>-2244.4899999999998</v>
      </c>
      <c r="G108" s="75">
        <v>-0.11387864424701</v>
      </c>
      <c r="H108" s="73">
        <v>17465</v>
      </c>
      <c r="I108" s="74">
        <v>19709.490000000002</v>
      </c>
      <c r="J108" s="85">
        <v>-2244.4899999999998</v>
      </c>
      <c r="K108" s="86">
        <v>-0.11387864424701</v>
      </c>
      <c r="L108" s="73">
        <v>123814.34</v>
      </c>
      <c r="M108" s="85">
        <v>125649.22</v>
      </c>
      <c r="N108" s="74">
        <v>-1834.88</v>
      </c>
      <c r="O108" s="87">
        <v>-1.4603194512468901E-2</v>
      </c>
    </row>
    <row r="109" spans="2:15" ht="15" x14ac:dyDescent="0.3">
      <c r="B109" s="45" t="s">
        <v>4</v>
      </c>
      <c r="C109" s="46" t="s">
        <v>291</v>
      </c>
      <c r="D109" s="69">
        <v>14847.56</v>
      </c>
      <c r="E109" s="82">
        <v>11331.71</v>
      </c>
      <c r="F109" s="70">
        <v>3515.85</v>
      </c>
      <c r="G109" s="71">
        <v>0.31026649993690297</v>
      </c>
      <c r="H109" s="69">
        <v>14847.56</v>
      </c>
      <c r="I109" s="70">
        <v>11331.71</v>
      </c>
      <c r="J109" s="82">
        <v>3515.85</v>
      </c>
      <c r="K109" s="83">
        <v>0.31026649993690297</v>
      </c>
      <c r="L109" s="69">
        <v>84242.07</v>
      </c>
      <c r="M109" s="82">
        <v>82917.08</v>
      </c>
      <c r="N109" s="70">
        <v>1324.99</v>
      </c>
      <c r="O109" s="84">
        <v>1.5979699236876199E-2</v>
      </c>
    </row>
    <row r="110" spans="2:15" ht="15" x14ac:dyDescent="0.3">
      <c r="B110" s="47" t="s">
        <v>4</v>
      </c>
      <c r="C110" s="50" t="s">
        <v>292</v>
      </c>
      <c r="D110" s="73">
        <v>14847.56</v>
      </c>
      <c r="E110" s="85">
        <v>11331.71</v>
      </c>
      <c r="F110" s="74">
        <v>3515.85</v>
      </c>
      <c r="G110" s="75">
        <v>0.31026649993690297</v>
      </c>
      <c r="H110" s="73">
        <v>14847.56</v>
      </c>
      <c r="I110" s="74">
        <v>11331.71</v>
      </c>
      <c r="J110" s="85">
        <v>3515.85</v>
      </c>
      <c r="K110" s="86">
        <v>0.31026649993690297</v>
      </c>
      <c r="L110" s="73">
        <v>84242.07</v>
      </c>
      <c r="M110" s="85">
        <v>82917.08</v>
      </c>
      <c r="N110" s="74">
        <v>1324.99</v>
      </c>
      <c r="O110" s="87">
        <v>1.5979699236876199E-2</v>
      </c>
    </row>
    <row r="111" spans="2:15" ht="15" x14ac:dyDescent="0.3">
      <c r="B111" s="45" t="s">
        <v>4</v>
      </c>
      <c r="C111" s="46" t="s">
        <v>293</v>
      </c>
      <c r="D111" s="69">
        <v>-1115.97</v>
      </c>
      <c r="E111" s="82">
        <v>0</v>
      </c>
      <c r="F111" s="70">
        <v>-1115.97</v>
      </c>
      <c r="G111" s="71">
        <v>0</v>
      </c>
      <c r="H111" s="69">
        <v>-1115.97</v>
      </c>
      <c r="I111" s="70">
        <v>0</v>
      </c>
      <c r="J111" s="82">
        <v>-1115.97</v>
      </c>
      <c r="K111" s="83">
        <v>0</v>
      </c>
      <c r="L111" s="69">
        <v>300.47000000000003</v>
      </c>
      <c r="M111" s="82">
        <v>0</v>
      </c>
      <c r="N111" s="70">
        <v>300.47000000000003</v>
      </c>
      <c r="O111" s="84">
        <v>0</v>
      </c>
    </row>
    <row r="112" spans="2:15" ht="15" x14ac:dyDescent="0.3">
      <c r="B112" s="45" t="s">
        <v>4</v>
      </c>
      <c r="C112" s="46" t="s">
        <v>294</v>
      </c>
      <c r="D112" s="69">
        <v>0</v>
      </c>
      <c r="E112" s="82">
        <v>0</v>
      </c>
      <c r="F112" s="70">
        <v>0</v>
      </c>
      <c r="G112" s="71">
        <v>0</v>
      </c>
      <c r="H112" s="69">
        <v>0</v>
      </c>
      <c r="I112" s="70">
        <v>0</v>
      </c>
      <c r="J112" s="82">
        <v>0</v>
      </c>
      <c r="K112" s="83">
        <v>0</v>
      </c>
      <c r="L112" s="69">
        <v>0</v>
      </c>
      <c r="M112" s="82">
        <v>0</v>
      </c>
      <c r="N112" s="70">
        <v>0</v>
      </c>
      <c r="O112" s="84">
        <v>0</v>
      </c>
    </row>
    <row r="113" spans="2:15" ht="15" x14ac:dyDescent="0.3">
      <c r="B113" s="47" t="s">
        <v>4</v>
      </c>
      <c r="C113" s="50" t="s">
        <v>295</v>
      </c>
      <c r="D113" s="73">
        <v>-1115.97</v>
      </c>
      <c r="E113" s="85">
        <v>0</v>
      </c>
      <c r="F113" s="74">
        <v>-1115.97</v>
      </c>
      <c r="G113" s="75">
        <v>0</v>
      </c>
      <c r="H113" s="73">
        <v>-1115.97</v>
      </c>
      <c r="I113" s="74">
        <v>0</v>
      </c>
      <c r="J113" s="85">
        <v>-1115.97</v>
      </c>
      <c r="K113" s="86">
        <v>0</v>
      </c>
      <c r="L113" s="73">
        <v>300.47000000000003</v>
      </c>
      <c r="M113" s="85">
        <v>0</v>
      </c>
      <c r="N113" s="74">
        <v>300.47000000000003</v>
      </c>
      <c r="O113" s="87">
        <v>0</v>
      </c>
    </row>
    <row r="114" spans="2:15" ht="15" x14ac:dyDescent="0.3">
      <c r="B114" s="47" t="s">
        <v>4</v>
      </c>
      <c r="C114" s="48" t="s">
        <v>296</v>
      </c>
      <c r="D114" s="76">
        <v>68155.37</v>
      </c>
      <c r="E114" s="88">
        <v>57085.17</v>
      </c>
      <c r="F114" s="77">
        <v>11070.2</v>
      </c>
      <c r="G114" s="78">
        <v>0.193924271400085</v>
      </c>
      <c r="H114" s="76">
        <v>68155.37</v>
      </c>
      <c r="I114" s="77">
        <v>57085.17</v>
      </c>
      <c r="J114" s="88">
        <v>11070.2</v>
      </c>
      <c r="K114" s="89">
        <v>0.193924271400085</v>
      </c>
      <c r="L114" s="76">
        <v>441313.21</v>
      </c>
      <c r="M114" s="90">
        <v>409983.85</v>
      </c>
      <c r="N114" s="77">
        <v>31329.360000000001</v>
      </c>
      <c r="O114" s="91">
        <v>7.6416083218887806E-2</v>
      </c>
    </row>
    <row r="115" spans="2:15" ht="15" x14ac:dyDescent="0.3">
      <c r="B115" s="47" t="s">
        <v>4</v>
      </c>
      <c r="C115" s="48" t="s">
        <v>297</v>
      </c>
      <c r="D115" s="76">
        <v>118157.34</v>
      </c>
      <c r="E115" s="77">
        <v>83740.36</v>
      </c>
      <c r="F115" s="77">
        <v>34416.980000000003</v>
      </c>
      <c r="G115" s="78">
        <v>0.410996322442368</v>
      </c>
      <c r="H115" s="92">
        <v>118157.34</v>
      </c>
      <c r="I115" s="93">
        <v>83740.36</v>
      </c>
      <c r="J115" s="93">
        <v>34416.980000000003</v>
      </c>
      <c r="K115" s="89">
        <v>0.410996322442368</v>
      </c>
      <c r="L115" s="92">
        <v>805524.15</v>
      </c>
      <c r="M115" s="93">
        <v>679341.67</v>
      </c>
      <c r="N115" s="93">
        <v>126182.48</v>
      </c>
      <c r="O115" s="91">
        <v>0.185742293712087</v>
      </c>
    </row>
    <row r="116" spans="2:15" ht="0" hidden="1" customHeight="1" x14ac:dyDescent="0.3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P116"/>
  <sheetViews>
    <sheetView showGridLines="0" workbookViewId="0">
      <selection activeCell="C125" sqref="C125"/>
    </sheetView>
  </sheetViews>
  <sheetFormatPr defaultRowHeight="14.4" x14ac:dyDescent="0.3"/>
  <cols>
    <col min="1" max="1" width="2.44140625" customWidth="1"/>
    <col min="2" max="2" width="8.109375" customWidth="1"/>
    <col min="3" max="3" width="41.109375" customWidth="1"/>
    <col min="4" max="15" width="13.6640625" customWidth="1"/>
    <col min="16" max="16" width="0" hidden="1" customWidth="1"/>
    <col min="17" max="17" width="17.33203125" customWidth="1"/>
  </cols>
  <sheetData>
    <row r="1" spans="2:16" ht="4.2" customHeight="1" x14ac:dyDescent="0.3"/>
    <row r="2" spans="2:16" ht="21.6" customHeight="1" x14ac:dyDescent="0.3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spans="2:16" ht="15" x14ac:dyDescent="0.3">
      <c r="B3" s="18" t="s">
        <v>4</v>
      </c>
      <c r="C3" s="117" t="s">
        <v>407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2:16" x14ac:dyDescent="0.3">
      <c r="B4" s="42" t="s">
        <v>4</v>
      </c>
      <c r="C4" s="22" t="s">
        <v>2</v>
      </c>
      <c r="D4" s="118" t="s">
        <v>396</v>
      </c>
      <c r="E4" s="119"/>
      <c r="F4" s="119"/>
      <c r="G4" s="120"/>
      <c r="H4" s="118" t="s">
        <v>397</v>
      </c>
      <c r="I4" s="119"/>
      <c r="J4" s="119"/>
      <c r="K4" s="120"/>
      <c r="L4" s="118" t="s">
        <v>398</v>
      </c>
      <c r="M4" s="119"/>
      <c r="N4" s="119"/>
      <c r="O4" s="120"/>
    </row>
    <row r="5" spans="2:16" x14ac:dyDescent="0.3">
      <c r="B5" s="42" t="s">
        <v>4</v>
      </c>
      <c r="C5" s="22" t="s">
        <v>4</v>
      </c>
      <c r="D5" s="66" t="s">
        <v>399</v>
      </c>
      <c r="E5" s="67" t="s">
        <v>408</v>
      </c>
      <c r="F5" s="67" t="s">
        <v>409</v>
      </c>
      <c r="G5" s="67" t="s">
        <v>410</v>
      </c>
      <c r="H5" s="66" t="s">
        <v>399</v>
      </c>
      <c r="I5" s="67" t="s">
        <v>408</v>
      </c>
      <c r="J5" s="67" t="s">
        <v>409</v>
      </c>
      <c r="K5" s="67" t="s">
        <v>410</v>
      </c>
      <c r="L5" s="66" t="s">
        <v>399</v>
      </c>
      <c r="M5" s="67" t="s">
        <v>408</v>
      </c>
      <c r="N5" s="67" t="s">
        <v>409</v>
      </c>
      <c r="O5" s="68" t="s">
        <v>410</v>
      </c>
    </row>
    <row r="6" spans="2:16" x14ac:dyDescent="0.3">
      <c r="B6" s="45" t="s">
        <v>4</v>
      </c>
      <c r="C6" s="46" t="s">
        <v>188</v>
      </c>
      <c r="D6" s="69">
        <v>112586.13</v>
      </c>
      <c r="E6" s="70">
        <v>114066.09</v>
      </c>
      <c r="F6" s="70">
        <v>-1479.96</v>
      </c>
      <c r="G6" s="71">
        <v>-1.29745834191389E-2</v>
      </c>
      <c r="H6" s="69">
        <v>112586.13</v>
      </c>
      <c r="I6" s="70">
        <v>114066.09</v>
      </c>
      <c r="J6" s="70">
        <v>-1479.96</v>
      </c>
      <c r="K6" s="71">
        <v>-1.29745834191389E-2</v>
      </c>
      <c r="L6" s="69">
        <v>697143.36</v>
      </c>
      <c r="M6" s="70">
        <v>738498.53</v>
      </c>
      <c r="N6" s="70">
        <v>-41355.17</v>
      </c>
      <c r="O6" s="72">
        <v>-5.5998987567382197E-2</v>
      </c>
    </row>
    <row r="7" spans="2:16" x14ac:dyDescent="0.3">
      <c r="B7" s="45" t="s">
        <v>4</v>
      </c>
      <c r="C7" s="46" t="s">
        <v>189</v>
      </c>
      <c r="D7" s="69">
        <v>72242.19</v>
      </c>
      <c r="E7" s="70">
        <v>38592</v>
      </c>
      <c r="F7" s="70">
        <v>33650.19</v>
      </c>
      <c r="G7" s="71">
        <v>0.87194729477611899</v>
      </c>
      <c r="H7" s="69">
        <v>72242.19</v>
      </c>
      <c r="I7" s="70">
        <v>38592</v>
      </c>
      <c r="J7" s="70">
        <v>33650.19</v>
      </c>
      <c r="K7" s="71">
        <v>0.87194729477611899</v>
      </c>
      <c r="L7" s="69">
        <v>549312.88</v>
      </c>
      <c r="M7" s="70">
        <v>270144</v>
      </c>
      <c r="N7" s="70">
        <v>279168.88</v>
      </c>
      <c r="O7" s="72">
        <v>1.03340766406065</v>
      </c>
    </row>
    <row r="8" spans="2:16" x14ac:dyDescent="0.3">
      <c r="B8" s="45" t="s">
        <v>4</v>
      </c>
      <c r="C8" s="46" t="s">
        <v>190</v>
      </c>
      <c r="D8" s="69">
        <v>0</v>
      </c>
      <c r="E8" s="70">
        <v>0</v>
      </c>
      <c r="F8" s="70">
        <v>0</v>
      </c>
      <c r="G8" s="71">
        <v>0</v>
      </c>
      <c r="H8" s="69">
        <v>0</v>
      </c>
      <c r="I8" s="70">
        <v>0</v>
      </c>
      <c r="J8" s="70">
        <v>0</v>
      </c>
      <c r="K8" s="71">
        <v>0</v>
      </c>
      <c r="L8" s="69">
        <v>0</v>
      </c>
      <c r="M8" s="70">
        <v>0</v>
      </c>
      <c r="N8" s="70">
        <v>0</v>
      </c>
      <c r="O8" s="72">
        <v>0</v>
      </c>
    </row>
    <row r="9" spans="2:16" x14ac:dyDescent="0.3">
      <c r="B9" s="45" t="s">
        <v>4</v>
      </c>
      <c r="C9" s="46" t="s">
        <v>191</v>
      </c>
      <c r="D9" s="69">
        <v>1264.07</v>
      </c>
      <c r="E9" s="70">
        <v>1597.94</v>
      </c>
      <c r="F9" s="70">
        <v>-333.87</v>
      </c>
      <c r="G9" s="71">
        <v>-0.208937757362604</v>
      </c>
      <c r="H9" s="69">
        <v>1264.07</v>
      </c>
      <c r="I9" s="70">
        <v>1597.94</v>
      </c>
      <c r="J9" s="70">
        <v>-333.87</v>
      </c>
      <c r="K9" s="71">
        <v>-0.208937757362604</v>
      </c>
      <c r="L9" s="69">
        <v>8531.1299999999992</v>
      </c>
      <c r="M9" s="70">
        <v>10557.89</v>
      </c>
      <c r="N9" s="70">
        <v>-2026.76</v>
      </c>
      <c r="O9" s="72">
        <v>-0.191966387223205</v>
      </c>
    </row>
    <row r="10" spans="2:16" x14ac:dyDescent="0.3">
      <c r="B10" s="45" t="s">
        <v>4</v>
      </c>
      <c r="C10" s="46" t="s">
        <v>192</v>
      </c>
      <c r="D10" s="69">
        <v>0</v>
      </c>
      <c r="E10" s="70">
        <v>0</v>
      </c>
      <c r="F10" s="70">
        <v>0</v>
      </c>
      <c r="G10" s="71">
        <v>0</v>
      </c>
      <c r="H10" s="69">
        <v>0</v>
      </c>
      <c r="I10" s="70">
        <v>0</v>
      </c>
      <c r="J10" s="70">
        <v>0</v>
      </c>
      <c r="K10" s="71">
        <v>0</v>
      </c>
      <c r="L10" s="69">
        <v>0</v>
      </c>
      <c r="M10" s="70">
        <v>0</v>
      </c>
      <c r="N10" s="70">
        <v>0</v>
      </c>
      <c r="O10" s="72">
        <v>0</v>
      </c>
    </row>
    <row r="11" spans="2:16" x14ac:dyDescent="0.3">
      <c r="B11" s="45" t="s">
        <v>4</v>
      </c>
      <c r="C11" s="46" t="s">
        <v>193</v>
      </c>
      <c r="D11" s="69">
        <v>0</v>
      </c>
      <c r="E11" s="70">
        <v>0</v>
      </c>
      <c r="F11" s="70">
        <v>0</v>
      </c>
      <c r="G11" s="71">
        <v>0</v>
      </c>
      <c r="H11" s="69">
        <v>0</v>
      </c>
      <c r="I11" s="70">
        <v>0</v>
      </c>
      <c r="J11" s="70">
        <v>0</v>
      </c>
      <c r="K11" s="71">
        <v>0</v>
      </c>
      <c r="L11" s="69">
        <v>0</v>
      </c>
      <c r="M11" s="70">
        <v>0</v>
      </c>
      <c r="N11" s="70">
        <v>0</v>
      </c>
      <c r="O11" s="72">
        <v>0</v>
      </c>
    </row>
    <row r="12" spans="2:16" x14ac:dyDescent="0.3">
      <c r="B12" s="45" t="s">
        <v>4</v>
      </c>
      <c r="C12" s="46" t="s">
        <v>194</v>
      </c>
      <c r="D12" s="69">
        <v>0</v>
      </c>
      <c r="E12" s="70">
        <v>0</v>
      </c>
      <c r="F12" s="70">
        <v>0</v>
      </c>
      <c r="G12" s="71">
        <v>0</v>
      </c>
      <c r="H12" s="69">
        <v>0</v>
      </c>
      <c r="I12" s="70">
        <v>0</v>
      </c>
      <c r="J12" s="70">
        <v>0</v>
      </c>
      <c r="K12" s="71">
        <v>0</v>
      </c>
      <c r="L12" s="69">
        <v>0</v>
      </c>
      <c r="M12" s="70">
        <v>0</v>
      </c>
      <c r="N12" s="70">
        <v>0</v>
      </c>
      <c r="O12" s="72">
        <v>0</v>
      </c>
    </row>
    <row r="13" spans="2:16" x14ac:dyDescent="0.3">
      <c r="B13" s="45" t="s">
        <v>4</v>
      </c>
      <c r="C13" s="46" t="s">
        <v>195</v>
      </c>
      <c r="D13" s="69">
        <v>0</v>
      </c>
      <c r="E13" s="70">
        <v>0</v>
      </c>
      <c r="F13" s="70">
        <v>0</v>
      </c>
      <c r="G13" s="71">
        <v>0</v>
      </c>
      <c r="H13" s="69">
        <v>0</v>
      </c>
      <c r="I13" s="70">
        <v>0</v>
      </c>
      <c r="J13" s="70">
        <v>0</v>
      </c>
      <c r="K13" s="71">
        <v>0</v>
      </c>
      <c r="L13" s="69">
        <v>0</v>
      </c>
      <c r="M13" s="70">
        <v>0</v>
      </c>
      <c r="N13" s="70">
        <v>0</v>
      </c>
      <c r="O13" s="72">
        <v>0</v>
      </c>
    </row>
    <row r="14" spans="2:16" x14ac:dyDescent="0.3">
      <c r="B14" s="45" t="s">
        <v>4</v>
      </c>
      <c r="C14" s="46" t="s">
        <v>196</v>
      </c>
      <c r="D14" s="69">
        <v>-517.89</v>
      </c>
      <c r="E14" s="70">
        <v>0</v>
      </c>
      <c r="F14" s="70">
        <v>-517.89</v>
      </c>
      <c r="G14" s="71">
        <v>0</v>
      </c>
      <c r="H14" s="69">
        <v>-517.89</v>
      </c>
      <c r="I14" s="70">
        <v>0</v>
      </c>
      <c r="J14" s="70">
        <v>-517.89</v>
      </c>
      <c r="K14" s="71">
        <v>0</v>
      </c>
      <c r="L14" s="69">
        <v>-2303.69</v>
      </c>
      <c r="M14" s="70">
        <v>0</v>
      </c>
      <c r="N14" s="70">
        <v>-2303.69</v>
      </c>
      <c r="O14" s="72">
        <v>0</v>
      </c>
    </row>
    <row r="15" spans="2:16" x14ac:dyDescent="0.3">
      <c r="B15" s="45" t="s">
        <v>4</v>
      </c>
      <c r="C15" s="46" t="s">
        <v>197</v>
      </c>
      <c r="D15" s="69">
        <v>-3262.29</v>
      </c>
      <c r="E15" s="70">
        <v>-1938.06</v>
      </c>
      <c r="F15" s="70">
        <v>-1324.23</v>
      </c>
      <c r="G15" s="71">
        <v>0.68327605956471904</v>
      </c>
      <c r="H15" s="69">
        <v>-3262.29</v>
      </c>
      <c r="I15" s="70">
        <v>-1938.06</v>
      </c>
      <c r="J15" s="70">
        <v>-1324.23</v>
      </c>
      <c r="K15" s="71">
        <v>0.68327605956471904</v>
      </c>
      <c r="L15" s="69">
        <v>-26548.65</v>
      </c>
      <c r="M15" s="70">
        <v>-11265.52</v>
      </c>
      <c r="N15" s="70">
        <v>-15283.13</v>
      </c>
      <c r="O15" s="72">
        <v>1.3566288995093001</v>
      </c>
    </row>
    <row r="16" spans="2:16" x14ac:dyDescent="0.3">
      <c r="B16" s="45" t="s">
        <v>4</v>
      </c>
      <c r="C16" s="46" t="s">
        <v>198</v>
      </c>
      <c r="D16" s="69">
        <v>-382.08</v>
      </c>
      <c r="E16" s="70">
        <v>-2609.98</v>
      </c>
      <c r="F16" s="70">
        <v>2227.9</v>
      </c>
      <c r="G16" s="71">
        <v>-0.85360807362508495</v>
      </c>
      <c r="H16" s="69">
        <v>-382.08</v>
      </c>
      <c r="I16" s="70">
        <v>-2609.98</v>
      </c>
      <c r="J16" s="70">
        <v>2227.9</v>
      </c>
      <c r="K16" s="71">
        <v>-0.85360807362508495</v>
      </c>
      <c r="L16" s="69">
        <v>-9873.36</v>
      </c>
      <c r="M16" s="70">
        <v>-14380.55</v>
      </c>
      <c r="N16" s="70">
        <v>4507.1899999999996</v>
      </c>
      <c r="O16" s="72">
        <v>-0.31342264377927098</v>
      </c>
    </row>
    <row r="17" spans="2:15" x14ac:dyDescent="0.3">
      <c r="B17" s="47" t="s">
        <v>4</v>
      </c>
      <c r="C17" s="50" t="s">
        <v>199</v>
      </c>
      <c r="D17" s="73">
        <v>181930.13</v>
      </c>
      <c r="E17" s="74">
        <v>149707.99</v>
      </c>
      <c r="F17" s="74">
        <v>32222.14</v>
      </c>
      <c r="G17" s="75">
        <v>0.21523326844478999</v>
      </c>
      <c r="H17" s="73">
        <v>181930.13</v>
      </c>
      <c r="I17" s="74">
        <v>149707.99</v>
      </c>
      <c r="J17" s="74">
        <v>32222.14</v>
      </c>
      <c r="K17" s="75">
        <v>0.21523326844478999</v>
      </c>
      <c r="L17" s="73">
        <v>1216261.67</v>
      </c>
      <c r="M17" s="74">
        <v>993554.35</v>
      </c>
      <c r="N17" s="74">
        <v>222707.32</v>
      </c>
      <c r="O17" s="94">
        <v>0.224152126151931</v>
      </c>
    </row>
    <row r="18" spans="2:15" x14ac:dyDescent="0.3">
      <c r="B18" s="45" t="s">
        <v>4</v>
      </c>
      <c r="C18" s="46" t="s">
        <v>200</v>
      </c>
      <c r="D18" s="69">
        <v>1073</v>
      </c>
      <c r="E18" s="70">
        <v>457.32</v>
      </c>
      <c r="F18" s="70">
        <v>615.67999999999995</v>
      </c>
      <c r="G18" s="71">
        <v>1.3462783171521</v>
      </c>
      <c r="H18" s="69">
        <v>1073</v>
      </c>
      <c r="I18" s="70">
        <v>457.32</v>
      </c>
      <c r="J18" s="70">
        <v>615.67999999999995</v>
      </c>
      <c r="K18" s="71">
        <v>1.3462783171521</v>
      </c>
      <c r="L18" s="69">
        <v>7192</v>
      </c>
      <c r="M18" s="70">
        <v>2418.0300000000002</v>
      </c>
      <c r="N18" s="70">
        <v>4773.97</v>
      </c>
      <c r="O18" s="72">
        <v>1.9743220721000201</v>
      </c>
    </row>
    <row r="19" spans="2:15" x14ac:dyDescent="0.3">
      <c r="B19" s="45" t="s">
        <v>4</v>
      </c>
      <c r="C19" s="46" t="s">
        <v>201</v>
      </c>
      <c r="D19" s="69">
        <v>0</v>
      </c>
      <c r="E19" s="70">
        <v>0</v>
      </c>
      <c r="F19" s="70">
        <v>0</v>
      </c>
      <c r="G19" s="71">
        <v>0</v>
      </c>
      <c r="H19" s="69">
        <v>0</v>
      </c>
      <c r="I19" s="70">
        <v>0</v>
      </c>
      <c r="J19" s="70">
        <v>0</v>
      </c>
      <c r="K19" s="71">
        <v>0</v>
      </c>
      <c r="L19" s="69">
        <v>0</v>
      </c>
      <c r="M19" s="70">
        <v>0</v>
      </c>
      <c r="N19" s="70">
        <v>0</v>
      </c>
      <c r="O19" s="72">
        <v>0</v>
      </c>
    </row>
    <row r="20" spans="2:15" x14ac:dyDescent="0.3">
      <c r="B20" s="47" t="s">
        <v>4</v>
      </c>
      <c r="C20" s="50" t="s">
        <v>202</v>
      </c>
      <c r="D20" s="73">
        <v>1073</v>
      </c>
      <c r="E20" s="74">
        <v>457.32</v>
      </c>
      <c r="F20" s="74">
        <v>615.67999999999995</v>
      </c>
      <c r="G20" s="75">
        <v>1.3462783171521</v>
      </c>
      <c r="H20" s="73">
        <v>1073</v>
      </c>
      <c r="I20" s="74">
        <v>457.32</v>
      </c>
      <c r="J20" s="74">
        <v>615.67999999999995</v>
      </c>
      <c r="K20" s="75">
        <v>1.3462783171521</v>
      </c>
      <c r="L20" s="73">
        <v>7192</v>
      </c>
      <c r="M20" s="74">
        <v>2418.0300000000002</v>
      </c>
      <c r="N20" s="74">
        <v>4773.97</v>
      </c>
      <c r="O20" s="94">
        <v>1.9743220721000201</v>
      </c>
    </row>
    <row r="21" spans="2:15" x14ac:dyDescent="0.3">
      <c r="B21" s="45" t="s">
        <v>4</v>
      </c>
      <c r="C21" s="46" t="s">
        <v>203</v>
      </c>
      <c r="D21" s="69">
        <v>2468.4</v>
      </c>
      <c r="E21" s="70">
        <v>3311.15</v>
      </c>
      <c r="F21" s="70">
        <v>-842.75</v>
      </c>
      <c r="G21" s="71">
        <v>-0.25451882276550403</v>
      </c>
      <c r="H21" s="69">
        <v>2468.4</v>
      </c>
      <c r="I21" s="70">
        <v>3311.15</v>
      </c>
      <c r="J21" s="70">
        <v>-842.75</v>
      </c>
      <c r="K21" s="71">
        <v>-0.25451882276550403</v>
      </c>
      <c r="L21" s="69">
        <v>19349.57</v>
      </c>
      <c r="M21" s="70">
        <v>21877.41</v>
      </c>
      <c r="N21" s="70">
        <v>-2527.84</v>
      </c>
      <c r="O21" s="72">
        <v>-0.11554567016845201</v>
      </c>
    </row>
    <row r="22" spans="2:15" x14ac:dyDescent="0.3">
      <c r="B22" s="45" t="s">
        <v>4</v>
      </c>
      <c r="C22" s="46" t="s">
        <v>204</v>
      </c>
      <c r="D22" s="69">
        <v>0</v>
      </c>
      <c r="E22" s="70">
        <v>-385.57</v>
      </c>
      <c r="F22" s="70">
        <v>385.57</v>
      </c>
      <c r="G22" s="71">
        <v>-1</v>
      </c>
      <c r="H22" s="69">
        <v>0</v>
      </c>
      <c r="I22" s="70">
        <v>-385.57</v>
      </c>
      <c r="J22" s="70">
        <v>385.57</v>
      </c>
      <c r="K22" s="71">
        <v>-1</v>
      </c>
      <c r="L22" s="69">
        <v>-1484.08</v>
      </c>
      <c r="M22" s="70">
        <v>-2547.54</v>
      </c>
      <c r="N22" s="70">
        <v>1063.46</v>
      </c>
      <c r="O22" s="72">
        <v>-0.41744584972169202</v>
      </c>
    </row>
    <row r="23" spans="2:15" x14ac:dyDescent="0.3">
      <c r="B23" s="47" t="s">
        <v>4</v>
      </c>
      <c r="C23" s="50" t="s">
        <v>205</v>
      </c>
      <c r="D23" s="73">
        <v>2468.4</v>
      </c>
      <c r="E23" s="74">
        <v>2925.58</v>
      </c>
      <c r="F23" s="74">
        <v>-457.18</v>
      </c>
      <c r="G23" s="75">
        <v>-0.15626986785526301</v>
      </c>
      <c r="H23" s="73">
        <v>2468.4</v>
      </c>
      <c r="I23" s="74">
        <v>2925.58</v>
      </c>
      <c r="J23" s="74">
        <v>-457.18</v>
      </c>
      <c r="K23" s="75">
        <v>-0.15626986785526301</v>
      </c>
      <c r="L23" s="73">
        <v>17865.490000000002</v>
      </c>
      <c r="M23" s="74">
        <v>19329.87</v>
      </c>
      <c r="N23" s="74">
        <v>-1464.38</v>
      </c>
      <c r="O23" s="94">
        <v>-7.5757364120917506E-2</v>
      </c>
    </row>
    <row r="24" spans="2:15" x14ac:dyDescent="0.3">
      <c r="B24" s="45" t="s">
        <v>4</v>
      </c>
      <c r="C24" s="46" t="s">
        <v>206</v>
      </c>
      <c r="D24" s="69">
        <v>46</v>
      </c>
      <c r="E24" s="70">
        <v>74.8</v>
      </c>
      <c r="F24" s="70">
        <v>-28.8</v>
      </c>
      <c r="G24" s="71">
        <v>-0.38502673796791398</v>
      </c>
      <c r="H24" s="69">
        <v>46</v>
      </c>
      <c r="I24" s="70">
        <v>74.8</v>
      </c>
      <c r="J24" s="70">
        <v>-28.8</v>
      </c>
      <c r="K24" s="71">
        <v>-0.38502673796791398</v>
      </c>
      <c r="L24" s="69">
        <v>396</v>
      </c>
      <c r="M24" s="70">
        <v>523.6</v>
      </c>
      <c r="N24" s="70">
        <v>-127.6</v>
      </c>
      <c r="O24" s="72">
        <v>-0.24369747899159699</v>
      </c>
    </row>
    <row r="25" spans="2:15" x14ac:dyDescent="0.3">
      <c r="B25" s="45" t="s">
        <v>4</v>
      </c>
      <c r="C25" s="46" t="s">
        <v>207</v>
      </c>
      <c r="D25" s="69">
        <v>-10</v>
      </c>
      <c r="E25" s="70">
        <v>-66.83</v>
      </c>
      <c r="F25" s="70">
        <v>56.83</v>
      </c>
      <c r="G25" s="71">
        <v>-0.85036660182552704</v>
      </c>
      <c r="H25" s="69">
        <v>-10</v>
      </c>
      <c r="I25" s="70">
        <v>-66.83</v>
      </c>
      <c r="J25" s="70">
        <v>56.83</v>
      </c>
      <c r="K25" s="71">
        <v>-0.85036660182552704</v>
      </c>
      <c r="L25" s="69">
        <v>-126</v>
      </c>
      <c r="M25" s="70">
        <v>-467.81</v>
      </c>
      <c r="N25" s="70">
        <v>341.81</v>
      </c>
      <c r="O25" s="72">
        <v>-0.730659883285949</v>
      </c>
    </row>
    <row r="26" spans="2:15" x14ac:dyDescent="0.3">
      <c r="B26" s="47" t="s">
        <v>4</v>
      </c>
      <c r="C26" s="50" t="s">
        <v>208</v>
      </c>
      <c r="D26" s="73">
        <v>36</v>
      </c>
      <c r="E26" s="74">
        <v>7.97</v>
      </c>
      <c r="F26" s="74">
        <v>28.03</v>
      </c>
      <c r="G26" s="75">
        <v>3.5169385194479301</v>
      </c>
      <c r="H26" s="73">
        <v>36</v>
      </c>
      <c r="I26" s="74">
        <v>7.97</v>
      </c>
      <c r="J26" s="74">
        <v>28.03</v>
      </c>
      <c r="K26" s="75">
        <v>3.5169385194479301</v>
      </c>
      <c r="L26" s="73">
        <v>270</v>
      </c>
      <c r="M26" s="74">
        <v>55.79</v>
      </c>
      <c r="N26" s="74">
        <v>214.21</v>
      </c>
      <c r="O26" s="94">
        <v>3.8395769851227799</v>
      </c>
    </row>
    <row r="27" spans="2:15" x14ac:dyDescent="0.3">
      <c r="B27" s="45" t="s">
        <v>4</v>
      </c>
      <c r="C27" s="46" t="s">
        <v>209</v>
      </c>
      <c r="D27" s="69">
        <v>805.18</v>
      </c>
      <c r="E27" s="70">
        <v>806.01</v>
      </c>
      <c r="F27" s="70">
        <v>-0.83</v>
      </c>
      <c r="G27" s="71">
        <v>-1.0297638987109301E-3</v>
      </c>
      <c r="H27" s="69">
        <v>805.18</v>
      </c>
      <c r="I27" s="70">
        <v>806.01</v>
      </c>
      <c r="J27" s="70">
        <v>-0.83</v>
      </c>
      <c r="K27" s="71">
        <v>-1.0297638987109301E-3</v>
      </c>
      <c r="L27" s="69">
        <v>5248.2</v>
      </c>
      <c r="M27" s="70">
        <v>4261.7299999999996</v>
      </c>
      <c r="N27" s="70">
        <v>986.47</v>
      </c>
      <c r="O27" s="72">
        <v>0.23147172627078699</v>
      </c>
    </row>
    <row r="28" spans="2:15" x14ac:dyDescent="0.3">
      <c r="B28" s="45" t="s">
        <v>4</v>
      </c>
      <c r="C28" s="46" t="s">
        <v>210</v>
      </c>
      <c r="D28" s="69">
        <v>0</v>
      </c>
      <c r="E28" s="70">
        <v>0</v>
      </c>
      <c r="F28" s="70">
        <v>0</v>
      </c>
      <c r="G28" s="71">
        <v>0</v>
      </c>
      <c r="H28" s="69">
        <v>0</v>
      </c>
      <c r="I28" s="70">
        <v>0</v>
      </c>
      <c r="J28" s="70">
        <v>0</v>
      </c>
      <c r="K28" s="71">
        <v>0</v>
      </c>
      <c r="L28" s="69">
        <v>0</v>
      </c>
      <c r="M28" s="70">
        <v>0</v>
      </c>
      <c r="N28" s="70">
        <v>0</v>
      </c>
      <c r="O28" s="72">
        <v>0</v>
      </c>
    </row>
    <row r="29" spans="2:15" x14ac:dyDescent="0.3">
      <c r="B29" s="47" t="s">
        <v>4</v>
      </c>
      <c r="C29" s="50" t="s">
        <v>211</v>
      </c>
      <c r="D29" s="73">
        <v>805.18</v>
      </c>
      <c r="E29" s="74">
        <v>806.01</v>
      </c>
      <c r="F29" s="74">
        <v>-0.83</v>
      </c>
      <c r="G29" s="75">
        <v>-1.0297638987109301E-3</v>
      </c>
      <c r="H29" s="73">
        <v>805.18</v>
      </c>
      <c r="I29" s="74">
        <v>806.01</v>
      </c>
      <c r="J29" s="74">
        <v>-0.83</v>
      </c>
      <c r="K29" s="75">
        <v>-1.0297638987109301E-3</v>
      </c>
      <c r="L29" s="73">
        <v>5248.2</v>
      </c>
      <c r="M29" s="74">
        <v>4261.7299999999996</v>
      </c>
      <c r="N29" s="74">
        <v>986.47</v>
      </c>
      <c r="O29" s="94">
        <v>0.23147172627078699</v>
      </c>
    </row>
    <row r="30" spans="2:15" x14ac:dyDescent="0.3">
      <c r="B30" s="45" t="s">
        <v>4</v>
      </c>
      <c r="C30" s="50" t="s">
        <v>212</v>
      </c>
      <c r="D30" s="69">
        <v>0</v>
      </c>
      <c r="E30" s="70">
        <v>0</v>
      </c>
      <c r="F30" s="70">
        <v>0</v>
      </c>
      <c r="G30" s="71">
        <v>0</v>
      </c>
      <c r="H30" s="69">
        <v>0</v>
      </c>
      <c r="I30" s="70">
        <v>0</v>
      </c>
      <c r="J30" s="70">
        <v>0</v>
      </c>
      <c r="K30" s="71">
        <v>0</v>
      </c>
      <c r="L30" s="69">
        <v>0</v>
      </c>
      <c r="M30" s="70">
        <v>0</v>
      </c>
      <c r="N30" s="70">
        <v>0</v>
      </c>
      <c r="O30" s="72">
        <v>0</v>
      </c>
    </row>
    <row r="31" spans="2:15" x14ac:dyDescent="0.3">
      <c r="B31" s="45" t="s">
        <v>4</v>
      </c>
      <c r="C31" s="50" t="s">
        <v>213</v>
      </c>
      <c r="D31" s="69">
        <v>0</v>
      </c>
      <c r="E31" s="70">
        <v>0</v>
      </c>
      <c r="F31" s="70">
        <v>0</v>
      </c>
      <c r="G31" s="71">
        <v>0</v>
      </c>
      <c r="H31" s="69">
        <v>0</v>
      </c>
      <c r="I31" s="70">
        <v>0</v>
      </c>
      <c r="J31" s="70">
        <v>0</v>
      </c>
      <c r="K31" s="71">
        <v>0</v>
      </c>
      <c r="L31" s="69">
        <v>0</v>
      </c>
      <c r="M31" s="70">
        <v>0</v>
      </c>
      <c r="N31" s="70">
        <v>0</v>
      </c>
      <c r="O31" s="72">
        <v>0</v>
      </c>
    </row>
    <row r="32" spans="2:15" x14ac:dyDescent="0.3">
      <c r="B32" s="45" t="s">
        <v>4</v>
      </c>
      <c r="C32" s="50" t="s">
        <v>214</v>
      </c>
      <c r="D32" s="69">
        <v>0</v>
      </c>
      <c r="E32" s="70">
        <v>0</v>
      </c>
      <c r="F32" s="70">
        <v>0</v>
      </c>
      <c r="G32" s="71">
        <v>0</v>
      </c>
      <c r="H32" s="69">
        <v>0</v>
      </c>
      <c r="I32" s="70">
        <v>0</v>
      </c>
      <c r="J32" s="70">
        <v>0</v>
      </c>
      <c r="K32" s="71">
        <v>0</v>
      </c>
      <c r="L32" s="69">
        <v>0</v>
      </c>
      <c r="M32" s="70">
        <v>0</v>
      </c>
      <c r="N32" s="70">
        <v>0</v>
      </c>
      <c r="O32" s="72">
        <v>0</v>
      </c>
    </row>
    <row r="33" spans="2:15" x14ac:dyDescent="0.3">
      <c r="B33" s="45" t="s">
        <v>4</v>
      </c>
      <c r="C33" s="50" t="s">
        <v>215</v>
      </c>
      <c r="D33" s="69">
        <v>0</v>
      </c>
      <c r="E33" s="70">
        <v>0</v>
      </c>
      <c r="F33" s="70">
        <v>0</v>
      </c>
      <c r="G33" s="71">
        <v>0</v>
      </c>
      <c r="H33" s="69">
        <v>0</v>
      </c>
      <c r="I33" s="70">
        <v>0</v>
      </c>
      <c r="J33" s="70">
        <v>0</v>
      </c>
      <c r="K33" s="71">
        <v>0</v>
      </c>
      <c r="L33" s="69">
        <v>0</v>
      </c>
      <c r="M33" s="70">
        <v>0</v>
      </c>
      <c r="N33" s="70">
        <v>0</v>
      </c>
      <c r="O33" s="72">
        <v>0</v>
      </c>
    </row>
    <row r="34" spans="2:15" x14ac:dyDescent="0.3">
      <c r="B34" s="45" t="s">
        <v>4</v>
      </c>
      <c r="C34" s="50" t="s">
        <v>216</v>
      </c>
      <c r="D34" s="69">
        <v>0</v>
      </c>
      <c r="E34" s="70">
        <v>0</v>
      </c>
      <c r="F34" s="70">
        <v>0</v>
      </c>
      <c r="G34" s="71">
        <v>0</v>
      </c>
      <c r="H34" s="69">
        <v>0</v>
      </c>
      <c r="I34" s="70">
        <v>0</v>
      </c>
      <c r="J34" s="70">
        <v>0</v>
      </c>
      <c r="K34" s="71">
        <v>0</v>
      </c>
      <c r="L34" s="69">
        <v>0</v>
      </c>
      <c r="M34" s="70">
        <v>0</v>
      </c>
      <c r="N34" s="70">
        <v>0</v>
      </c>
      <c r="O34" s="72">
        <v>0</v>
      </c>
    </row>
    <row r="35" spans="2:15" x14ac:dyDescent="0.3">
      <c r="B35" s="45" t="s">
        <v>4</v>
      </c>
      <c r="C35" s="50" t="s">
        <v>217</v>
      </c>
      <c r="D35" s="69">
        <v>0</v>
      </c>
      <c r="E35" s="70">
        <v>0</v>
      </c>
      <c r="F35" s="70">
        <v>0</v>
      </c>
      <c r="G35" s="71">
        <v>0</v>
      </c>
      <c r="H35" s="69">
        <v>0</v>
      </c>
      <c r="I35" s="70">
        <v>0</v>
      </c>
      <c r="J35" s="70">
        <v>0</v>
      </c>
      <c r="K35" s="71">
        <v>0</v>
      </c>
      <c r="L35" s="69">
        <v>0</v>
      </c>
      <c r="M35" s="70">
        <v>0</v>
      </c>
      <c r="N35" s="70">
        <v>0</v>
      </c>
      <c r="O35" s="72">
        <v>0</v>
      </c>
    </row>
    <row r="36" spans="2:15" x14ac:dyDescent="0.3">
      <c r="B36" s="47" t="s">
        <v>4</v>
      </c>
      <c r="C36" s="48" t="s">
        <v>218</v>
      </c>
      <c r="D36" s="76">
        <v>186312.71</v>
      </c>
      <c r="E36" s="77">
        <v>153904.87</v>
      </c>
      <c r="F36" s="77">
        <v>32407.84</v>
      </c>
      <c r="G36" s="78">
        <v>0.210570594679688</v>
      </c>
      <c r="H36" s="76">
        <v>186312.71</v>
      </c>
      <c r="I36" s="77">
        <v>153904.87</v>
      </c>
      <c r="J36" s="77">
        <v>32407.84</v>
      </c>
      <c r="K36" s="78">
        <v>0.210570594679688</v>
      </c>
      <c r="L36" s="76">
        <v>1246837.3600000001</v>
      </c>
      <c r="M36" s="77">
        <v>1019619.77</v>
      </c>
      <c r="N36" s="77">
        <v>227217.59</v>
      </c>
      <c r="O36" s="81">
        <v>0.222845414227306</v>
      </c>
    </row>
    <row r="37" spans="2:15" x14ac:dyDescent="0.3">
      <c r="B37" s="45" t="s">
        <v>4</v>
      </c>
      <c r="C37" s="46" t="s">
        <v>219</v>
      </c>
      <c r="D37" s="69">
        <v>6463.32</v>
      </c>
      <c r="E37" s="70">
        <v>5512.44</v>
      </c>
      <c r="F37" s="70">
        <v>950.88</v>
      </c>
      <c r="G37" s="71">
        <v>0.172497115614864</v>
      </c>
      <c r="H37" s="69">
        <v>6463.32</v>
      </c>
      <c r="I37" s="70">
        <v>5512.44</v>
      </c>
      <c r="J37" s="70">
        <v>950.88</v>
      </c>
      <c r="K37" s="71">
        <v>0.172497115614864</v>
      </c>
      <c r="L37" s="69">
        <v>40880.839999999997</v>
      </c>
      <c r="M37" s="70">
        <v>36833.1</v>
      </c>
      <c r="N37" s="70">
        <v>4047.74</v>
      </c>
      <c r="O37" s="72">
        <v>0.10989408982681299</v>
      </c>
    </row>
    <row r="38" spans="2:15" x14ac:dyDescent="0.3">
      <c r="B38" s="45" t="s">
        <v>4</v>
      </c>
      <c r="C38" s="46" t="s">
        <v>220</v>
      </c>
      <c r="D38" s="69">
        <v>17.64</v>
      </c>
      <c r="E38" s="70">
        <v>131.31</v>
      </c>
      <c r="F38" s="70">
        <v>-113.67</v>
      </c>
      <c r="G38" s="71">
        <v>-0.86566141192597701</v>
      </c>
      <c r="H38" s="69">
        <v>17.64</v>
      </c>
      <c r="I38" s="70">
        <v>131.31</v>
      </c>
      <c r="J38" s="70">
        <v>-113.67</v>
      </c>
      <c r="K38" s="71">
        <v>-0.86566141192597701</v>
      </c>
      <c r="L38" s="69">
        <v>494.38</v>
      </c>
      <c r="M38" s="70">
        <v>889.94</v>
      </c>
      <c r="N38" s="70">
        <v>-395.56</v>
      </c>
      <c r="O38" s="72">
        <v>-0.44447940310582701</v>
      </c>
    </row>
    <row r="39" spans="2:15" x14ac:dyDescent="0.3">
      <c r="B39" s="45" t="s">
        <v>4</v>
      </c>
      <c r="C39" s="46" t="s">
        <v>221</v>
      </c>
      <c r="D39" s="69">
        <v>282.31</v>
      </c>
      <c r="E39" s="70">
        <v>419.89</v>
      </c>
      <c r="F39" s="70">
        <v>-137.58000000000001</v>
      </c>
      <c r="G39" s="71">
        <v>-0.327657243563791</v>
      </c>
      <c r="H39" s="69">
        <v>282.31</v>
      </c>
      <c r="I39" s="70">
        <v>419.89</v>
      </c>
      <c r="J39" s="70">
        <v>-137.58000000000001</v>
      </c>
      <c r="K39" s="71">
        <v>-0.327657243563791</v>
      </c>
      <c r="L39" s="69">
        <v>2105.8000000000002</v>
      </c>
      <c r="M39" s="70">
        <v>2599.5500000000002</v>
      </c>
      <c r="N39" s="70">
        <v>-493.75</v>
      </c>
      <c r="O39" s="72">
        <v>-0.189936719816891</v>
      </c>
    </row>
    <row r="40" spans="2:15" x14ac:dyDescent="0.3">
      <c r="B40" s="45" t="s">
        <v>4</v>
      </c>
      <c r="C40" s="46" t="s">
        <v>222</v>
      </c>
      <c r="D40" s="69">
        <v>0</v>
      </c>
      <c r="E40" s="70">
        <v>0</v>
      </c>
      <c r="F40" s="70">
        <v>0</v>
      </c>
      <c r="G40" s="71">
        <v>0</v>
      </c>
      <c r="H40" s="69">
        <v>0</v>
      </c>
      <c r="I40" s="70">
        <v>0</v>
      </c>
      <c r="J40" s="70">
        <v>0</v>
      </c>
      <c r="K40" s="71">
        <v>0</v>
      </c>
      <c r="L40" s="69">
        <v>0</v>
      </c>
      <c r="M40" s="70">
        <v>0</v>
      </c>
      <c r="N40" s="70">
        <v>0</v>
      </c>
      <c r="O40" s="72">
        <v>0</v>
      </c>
    </row>
    <row r="41" spans="2:15" x14ac:dyDescent="0.3">
      <c r="B41" s="45" t="s">
        <v>4</v>
      </c>
      <c r="C41" s="46" t="s">
        <v>223</v>
      </c>
      <c r="D41" s="69">
        <v>0</v>
      </c>
      <c r="E41" s="70">
        <v>103.04</v>
      </c>
      <c r="F41" s="70">
        <v>-103.04</v>
      </c>
      <c r="G41" s="71">
        <v>-1</v>
      </c>
      <c r="H41" s="69">
        <v>0</v>
      </c>
      <c r="I41" s="70">
        <v>103.04</v>
      </c>
      <c r="J41" s="70">
        <v>-103.04</v>
      </c>
      <c r="K41" s="71">
        <v>-1</v>
      </c>
      <c r="L41" s="69">
        <v>0</v>
      </c>
      <c r="M41" s="70">
        <v>331.76</v>
      </c>
      <c r="N41" s="70">
        <v>-331.76</v>
      </c>
      <c r="O41" s="72">
        <v>-1</v>
      </c>
    </row>
    <row r="42" spans="2:15" x14ac:dyDescent="0.3">
      <c r="B42" s="45" t="s">
        <v>4</v>
      </c>
      <c r="C42" s="46" t="s">
        <v>224</v>
      </c>
      <c r="D42" s="69">
        <v>70.59</v>
      </c>
      <c r="E42" s="70">
        <v>2.11</v>
      </c>
      <c r="F42" s="70">
        <v>68.48</v>
      </c>
      <c r="G42" s="71">
        <v>32.454976303317501</v>
      </c>
      <c r="H42" s="69">
        <v>70.59</v>
      </c>
      <c r="I42" s="70">
        <v>2.11</v>
      </c>
      <c r="J42" s="70">
        <v>68.48</v>
      </c>
      <c r="K42" s="71">
        <v>32.454976303317501</v>
      </c>
      <c r="L42" s="69">
        <v>71.23</v>
      </c>
      <c r="M42" s="70">
        <v>14.32</v>
      </c>
      <c r="N42" s="70">
        <v>56.91</v>
      </c>
      <c r="O42" s="72">
        <v>3.9741620111731799</v>
      </c>
    </row>
    <row r="43" spans="2:15" x14ac:dyDescent="0.3">
      <c r="B43" s="45" t="s">
        <v>4</v>
      </c>
      <c r="C43" s="46" t="s">
        <v>225</v>
      </c>
      <c r="D43" s="69">
        <v>0</v>
      </c>
      <c r="E43" s="70">
        <v>0</v>
      </c>
      <c r="F43" s="70">
        <v>0</v>
      </c>
      <c r="G43" s="71">
        <v>0</v>
      </c>
      <c r="H43" s="69">
        <v>0</v>
      </c>
      <c r="I43" s="70">
        <v>0</v>
      </c>
      <c r="J43" s="70">
        <v>0</v>
      </c>
      <c r="K43" s="71">
        <v>0</v>
      </c>
      <c r="L43" s="69">
        <v>-600</v>
      </c>
      <c r="M43" s="70">
        <v>0</v>
      </c>
      <c r="N43" s="70">
        <v>-600</v>
      </c>
      <c r="O43" s="72">
        <v>0</v>
      </c>
    </row>
    <row r="44" spans="2:15" x14ac:dyDescent="0.3">
      <c r="B44" s="45" t="s">
        <v>4</v>
      </c>
      <c r="C44" s="46" t="s">
        <v>226</v>
      </c>
      <c r="D44" s="69">
        <v>169.99</v>
      </c>
      <c r="E44" s="70">
        <v>177.21</v>
      </c>
      <c r="F44" s="70">
        <v>-7.22</v>
      </c>
      <c r="G44" s="71">
        <v>-4.0742621748208301E-2</v>
      </c>
      <c r="H44" s="69">
        <v>169.99</v>
      </c>
      <c r="I44" s="70">
        <v>177.21</v>
      </c>
      <c r="J44" s="70">
        <v>-7.22</v>
      </c>
      <c r="K44" s="71">
        <v>-4.0742621748208301E-2</v>
      </c>
      <c r="L44" s="69">
        <v>2299.9899999999998</v>
      </c>
      <c r="M44" s="70">
        <v>936.97</v>
      </c>
      <c r="N44" s="70">
        <v>1363.02</v>
      </c>
      <c r="O44" s="72">
        <v>1.45471039627736</v>
      </c>
    </row>
    <row r="45" spans="2:15" x14ac:dyDescent="0.3">
      <c r="B45" s="45" t="s">
        <v>4</v>
      </c>
      <c r="C45" s="46" t="s">
        <v>227</v>
      </c>
      <c r="D45" s="69">
        <v>0</v>
      </c>
      <c r="E45" s="70">
        <v>0</v>
      </c>
      <c r="F45" s="70">
        <v>0</v>
      </c>
      <c r="G45" s="71">
        <v>0</v>
      </c>
      <c r="H45" s="69">
        <v>0</v>
      </c>
      <c r="I45" s="70">
        <v>0</v>
      </c>
      <c r="J45" s="70">
        <v>0</v>
      </c>
      <c r="K45" s="71">
        <v>0</v>
      </c>
      <c r="L45" s="69">
        <v>0</v>
      </c>
      <c r="M45" s="70">
        <v>0</v>
      </c>
      <c r="N45" s="70">
        <v>0</v>
      </c>
      <c r="O45" s="72">
        <v>0</v>
      </c>
    </row>
    <row r="46" spans="2:15" x14ac:dyDescent="0.3">
      <c r="B46" s="45" t="s">
        <v>4</v>
      </c>
      <c r="C46" s="46" t="s">
        <v>228</v>
      </c>
      <c r="D46" s="69">
        <v>112.06</v>
      </c>
      <c r="E46" s="70">
        <v>98</v>
      </c>
      <c r="F46" s="70">
        <v>14.06</v>
      </c>
      <c r="G46" s="71">
        <v>0.14346938775510201</v>
      </c>
      <c r="H46" s="69">
        <v>112.06</v>
      </c>
      <c r="I46" s="70">
        <v>98</v>
      </c>
      <c r="J46" s="70">
        <v>14.06</v>
      </c>
      <c r="K46" s="71">
        <v>0.14346938775510201</v>
      </c>
      <c r="L46" s="69">
        <v>726.82</v>
      </c>
      <c r="M46" s="70">
        <v>680.99</v>
      </c>
      <c r="N46" s="70">
        <v>45.83</v>
      </c>
      <c r="O46" s="72">
        <v>6.7299079281634103E-2</v>
      </c>
    </row>
    <row r="47" spans="2:15" x14ac:dyDescent="0.3">
      <c r="B47" s="45" t="s">
        <v>4</v>
      </c>
      <c r="C47" s="46" t="s">
        <v>229</v>
      </c>
      <c r="D47" s="69">
        <v>54.78</v>
      </c>
      <c r="E47" s="70">
        <v>466.9</v>
      </c>
      <c r="F47" s="70">
        <v>-412.12</v>
      </c>
      <c r="G47" s="71">
        <v>-0.88267294923966599</v>
      </c>
      <c r="H47" s="69">
        <v>54.78</v>
      </c>
      <c r="I47" s="70">
        <v>466.9</v>
      </c>
      <c r="J47" s="70">
        <v>-412.12</v>
      </c>
      <c r="K47" s="71">
        <v>-0.88267294923966599</v>
      </c>
      <c r="L47" s="69">
        <v>421.03</v>
      </c>
      <c r="M47" s="70">
        <v>3256.17</v>
      </c>
      <c r="N47" s="70">
        <v>-2835.14</v>
      </c>
      <c r="O47" s="72">
        <v>-0.87069778297816103</v>
      </c>
    </row>
    <row r="48" spans="2:15" x14ac:dyDescent="0.3">
      <c r="B48" s="45" t="s">
        <v>4</v>
      </c>
      <c r="C48" s="46" t="s">
        <v>230</v>
      </c>
      <c r="D48" s="69">
        <v>504.77</v>
      </c>
      <c r="E48" s="70">
        <v>453.19</v>
      </c>
      <c r="F48" s="70">
        <v>51.58</v>
      </c>
      <c r="G48" s="71">
        <v>0.11381539751539101</v>
      </c>
      <c r="H48" s="69">
        <v>504.77</v>
      </c>
      <c r="I48" s="70">
        <v>453.19</v>
      </c>
      <c r="J48" s="70">
        <v>51.58</v>
      </c>
      <c r="K48" s="71">
        <v>0.11381539751539101</v>
      </c>
      <c r="L48" s="69">
        <v>3797.42</v>
      </c>
      <c r="M48" s="70">
        <v>3622.69</v>
      </c>
      <c r="N48" s="70">
        <v>174.73</v>
      </c>
      <c r="O48" s="72">
        <v>4.8232114809713199E-2</v>
      </c>
    </row>
    <row r="49" spans="2:15" x14ac:dyDescent="0.3">
      <c r="B49" s="47" t="s">
        <v>4</v>
      </c>
      <c r="C49" s="50" t="s">
        <v>231</v>
      </c>
      <c r="D49" s="73">
        <v>7675.46</v>
      </c>
      <c r="E49" s="74">
        <v>7364.09</v>
      </c>
      <c r="F49" s="74">
        <v>311.37</v>
      </c>
      <c r="G49" s="75">
        <v>4.2282210021876397E-2</v>
      </c>
      <c r="H49" s="73">
        <v>7675.46</v>
      </c>
      <c r="I49" s="74">
        <v>7364.09</v>
      </c>
      <c r="J49" s="74">
        <v>311.37</v>
      </c>
      <c r="K49" s="75">
        <v>4.2282210021876397E-2</v>
      </c>
      <c r="L49" s="73">
        <v>50197.51</v>
      </c>
      <c r="M49" s="74">
        <v>49165.49</v>
      </c>
      <c r="N49" s="74">
        <v>1032.02</v>
      </c>
      <c r="O49" s="94">
        <v>2.0990739642785999E-2</v>
      </c>
    </row>
    <row r="50" spans="2:15" x14ac:dyDescent="0.3">
      <c r="B50" s="45" t="s">
        <v>4</v>
      </c>
      <c r="C50" s="46" t="s">
        <v>232</v>
      </c>
      <c r="D50" s="69">
        <v>13021.34</v>
      </c>
      <c r="E50" s="70">
        <v>7694.85</v>
      </c>
      <c r="F50" s="70">
        <v>5326.49</v>
      </c>
      <c r="G50" s="71">
        <v>0.69221492296795895</v>
      </c>
      <c r="H50" s="69">
        <v>13021.34</v>
      </c>
      <c r="I50" s="70">
        <v>7694.85</v>
      </c>
      <c r="J50" s="70">
        <v>5326.49</v>
      </c>
      <c r="K50" s="71">
        <v>0.69221492296795895</v>
      </c>
      <c r="L50" s="69">
        <v>66935.520000000004</v>
      </c>
      <c r="M50" s="70">
        <v>50978.2</v>
      </c>
      <c r="N50" s="70">
        <v>15957.32</v>
      </c>
      <c r="O50" s="72">
        <v>0.31302242919522499</v>
      </c>
    </row>
    <row r="51" spans="2:15" x14ac:dyDescent="0.3">
      <c r="B51" s="45" t="s">
        <v>4</v>
      </c>
      <c r="C51" s="46" t="s">
        <v>233</v>
      </c>
      <c r="D51" s="69">
        <v>0</v>
      </c>
      <c r="E51" s="70">
        <v>0</v>
      </c>
      <c r="F51" s="70">
        <v>0</v>
      </c>
      <c r="G51" s="71">
        <v>0</v>
      </c>
      <c r="H51" s="69">
        <v>0</v>
      </c>
      <c r="I51" s="70">
        <v>0</v>
      </c>
      <c r="J51" s="70">
        <v>0</v>
      </c>
      <c r="K51" s="71">
        <v>0</v>
      </c>
      <c r="L51" s="69">
        <v>0</v>
      </c>
      <c r="M51" s="70">
        <v>0</v>
      </c>
      <c r="N51" s="70">
        <v>0</v>
      </c>
      <c r="O51" s="72">
        <v>0</v>
      </c>
    </row>
    <row r="52" spans="2:15" x14ac:dyDescent="0.3">
      <c r="B52" s="45" t="s">
        <v>4</v>
      </c>
      <c r="C52" s="46" t="s">
        <v>234</v>
      </c>
      <c r="D52" s="69">
        <v>0</v>
      </c>
      <c r="E52" s="70">
        <v>0</v>
      </c>
      <c r="F52" s="70">
        <v>0</v>
      </c>
      <c r="G52" s="71">
        <v>0</v>
      </c>
      <c r="H52" s="69">
        <v>0</v>
      </c>
      <c r="I52" s="70">
        <v>0</v>
      </c>
      <c r="J52" s="70">
        <v>0</v>
      </c>
      <c r="K52" s="71">
        <v>0</v>
      </c>
      <c r="L52" s="69">
        <v>0</v>
      </c>
      <c r="M52" s="70">
        <v>0</v>
      </c>
      <c r="N52" s="70">
        <v>0</v>
      </c>
      <c r="O52" s="72">
        <v>0</v>
      </c>
    </row>
    <row r="53" spans="2:15" x14ac:dyDescent="0.3">
      <c r="B53" s="45" t="s">
        <v>4</v>
      </c>
      <c r="C53" s="46" t="s">
        <v>235</v>
      </c>
      <c r="D53" s="69">
        <v>0</v>
      </c>
      <c r="E53" s="70">
        <v>0</v>
      </c>
      <c r="F53" s="70">
        <v>0</v>
      </c>
      <c r="G53" s="71">
        <v>0</v>
      </c>
      <c r="H53" s="69">
        <v>0</v>
      </c>
      <c r="I53" s="70">
        <v>0</v>
      </c>
      <c r="J53" s="70">
        <v>0</v>
      </c>
      <c r="K53" s="71">
        <v>0</v>
      </c>
      <c r="L53" s="69">
        <v>0</v>
      </c>
      <c r="M53" s="70">
        <v>0</v>
      </c>
      <c r="N53" s="70">
        <v>0</v>
      </c>
      <c r="O53" s="72">
        <v>0</v>
      </c>
    </row>
    <row r="54" spans="2:15" x14ac:dyDescent="0.3">
      <c r="B54" s="45" t="s">
        <v>4</v>
      </c>
      <c r="C54" s="46" t="s">
        <v>236</v>
      </c>
      <c r="D54" s="69">
        <v>0</v>
      </c>
      <c r="E54" s="70">
        <v>0</v>
      </c>
      <c r="F54" s="70">
        <v>0</v>
      </c>
      <c r="G54" s="71">
        <v>0</v>
      </c>
      <c r="H54" s="69">
        <v>0</v>
      </c>
      <c r="I54" s="70">
        <v>0</v>
      </c>
      <c r="J54" s="70">
        <v>0</v>
      </c>
      <c r="K54" s="71">
        <v>0</v>
      </c>
      <c r="L54" s="69">
        <v>0</v>
      </c>
      <c r="M54" s="70">
        <v>0</v>
      </c>
      <c r="N54" s="70">
        <v>0</v>
      </c>
      <c r="O54" s="72">
        <v>0</v>
      </c>
    </row>
    <row r="55" spans="2:15" x14ac:dyDescent="0.3">
      <c r="B55" s="47" t="s">
        <v>4</v>
      </c>
      <c r="C55" s="50" t="s">
        <v>237</v>
      </c>
      <c r="D55" s="73">
        <v>13021.34</v>
      </c>
      <c r="E55" s="74">
        <v>7694.85</v>
      </c>
      <c r="F55" s="74">
        <v>5326.49</v>
      </c>
      <c r="G55" s="75">
        <v>0.69221492296795895</v>
      </c>
      <c r="H55" s="73">
        <v>13021.34</v>
      </c>
      <c r="I55" s="74">
        <v>7694.85</v>
      </c>
      <c r="J55" s="74">
        <v>5326.49</v>
      </c>
      <c r="K55" s="75">
        <v>0.69221492296795895</v>
      </c>
      <c r="L55" s="73">
        <v>66935.520000000004</v>
      </c>
      <c r="M55" s="74">
        <v>50978.2</v>
      </c>
      <c r="N55" s="74">
        <v>15957.32</v>
      </c>
      <c r="O55" s="94">
        <v>0.31302242919522499</v>
      </c>
    </row>
    <row r="56" spans="2:15" x14ac:dyDescent="0.3">
      <c r="B56" s="45" t="s">
        <v>4</v>
      </c>
      <c r="C56" s="46" t="s">
        <v>238</v>
      </c>
      <c r="D56" s="69">
        <v>0</v>
      </c>
      <c r="E56" s="70">
        <v>0</v>
      </c>
      <c r="F56" s="70">
        <v>0</v>
      </c>
      <c r="G56" s="71">
        <v>0</v>
      </c>
      <c r="H56" s="69">
        <v>0</v>
      </c>
      <c r="I56" s="70">
        <v>0</v>
      </c>
      <c r="J56" s="70">
        <v>0</v>
      </c>
      <c r="K56" s="71">
        <v>0</v>
      </c>
      <c r="L56" s="69">
        <v>0</v>
      </c>
      <c r="M56" s="70">
        <v>0</v>
      </c>
      <c r="N56" s="70">
        <v>0</v>
      </c>
      <c r="O56" s="72">
        <v>0</v>
      </c>
    </row>
    <row r="57" spans="2:15" x14ac:dyDescent="0.3">
      <c r="B57" s="45" t="s">
        <v>4</v>
      </c>
      <c r="C57" s="46" t="s">
        <v>239</v>
      </c>
      <c r="D57" s="69">
        <v>613.37</v>
      </c>
      <c r="E57" s="70">
        <v>42.6</v>
      </c>
      <c r="F57" s="70">
        <v>570.77</v>
      </c>
      <c r="G57" s="71">
        <v>13.3983568075117</v>
      </c>
      <c r="H57" s="69">
        <v>613.37</v>
      </c>
      <c r="I57" s="70">
        <v>42.6</v>
      </c>
      <c r="J57" s="70">
        <v>570.77</v>
      </c>
      <c r="K57" s="71">
        <v>13.3983568075117</v>
      </c>
      <c r="L57" s="69">
        <v>1958.91</v>
      </c>
      <c r="M57" s="70">
        <v>298.2</v>
      </c>
      <c r="N57" s="70">
        <v>1660.71</v>
      </c>
      <c r="O57" s="72">
        <v>5.5691146881287699</v>
      </c>
    </row>
    <row r="58" spans="2:15" x14ac:dyDescent="0.3">
      <c r="B58" s="45" t="s">
        <v>4</v>
      </c>
      <c r="C58" s="46" t="s">
        <v>240</v>
      </c>
      <c r="D58" s="69">
        <v>2483.69</v>
      </c>
      <c r="E58" s="70">
        <v>1688.15</v>
      </c>
      <c r="F58" s="70">
        <v>795.54</v>
      </c>
      <c r="G58" s="71">
        <v>0.47124959274945899</v>
      </c>
      <c r="H58" s="69">
        <v>2483.69</v>
      </c>
      <c r="I58" s="70">
        <v>1688.15</v>
      </c>
      <c r="J58" s="70">
        <v>795.54</v>
      </c>
      <c r="K58" s="71">
        <v>0.47124959274945899</v>
      </c>
      <c r="L58" s="69">
        <v>15082.86</v>
      </c>
      <c r="M58" s="70">
        <v>11629.53</v>
      </c>
      <c r="N58" s="70">
        <v>3453.33</v>
      </c>
      <c r="O58" s="72">
        <v>0.29694493242633202</v>
      </c>
    </row>
    <row r="59" spans="2:15" x14ac:dyDescent="0.3">
      <c r="B59" s="47" t="s">
        <v>4</v>
      </c>
      <c r="C59" s="50" t="s">
        <v>241</v>
      </c>
      <c r="D59" s="73">
        <v>3097.06</v>
      </c>
      <c r="E59" s="74">
        <v>1730.75</v>
      </c>
      <c r="F59" s="74">
        <v>1366.31</v>
      </c>
      <c r="G59" s="75">
        <v>0.78943232702585597</v>
      </c>
      <c r="H59" s="73">
        <v>3097.06</v>
      </c>
      <c r="I59" s="74">
        <v>1730.75</v>
      </c>
      <c r="J59" s="74">
        <v>1366.31</v>
      </c>
      <c r="K59" s="75">
        <v>0.78943232702585597</v>
      </c>
      <c r="L59" s="73">
        <v>17041.77</v>
      </c>
      <c r="M59" s="74">
        <v>11927.73</v>
      </c>
      <c r="N59" s="74">
        <v>5114.04</v>
      </c>
      <c r="O59" s="94">
        <v>0.428752159882895</v>
      </c>
    </row>
    <row r="60" spans="2:15" x14ac:dyDescent="0.3">
      <c r="B60" s="45" t="s">
        <v>4</v>
      </c>
      <c r="C60" s="46" t="s">
        <v>242</v>
      </c>
      <c r="D60" s="69">
        <v>8.8000000000000007</v>
      </c>
      <c r="E60" s="70">
        <v>4716.7</v>
      </c>
      <c r="F60" s="70">
        <v>-4707.8999999999996</v>
      </c>
      <c r="G60" s="71">
        <v>-0.99813428880361299</v>
      </c>
      <c r="H60" s="69">
        <v>8.8000000000000007</v>
      </c>
      <c r="I60" s="70">
        <v>4716.7</v>
      </c>
      <c r="J60" s="70">
        <v>-4707.8999999999996</v>
      </c>
      <c r="K60" s="71">
        <v>-0.99813428880361299</v>
      </c>
      <c r="L60" s="69">
        <v>21128.15</v>
      </c>
      <c r="M60" s="70">
        <v>21833.599999999999</v>
      </c>
      <c r="N60" s="70">
        <v>-705.45</v>
      </c>
      <c r="O60" s="72">
        <v>-3.2310292393375399E-2</v>
      </c>
    </row>
    <row r="61" spans="2:15" x14ac:dyDescent="0.3">
      <c r="B61" s="45" t="s">
        <v>4</v>
      </c>
      <c r="C61" s="46" t="s">
        <v>243</v>
      </c>
      <c r="D61" s="69">
        <v>0</v>
      </c>
      <c r="E61" s="70">
        <v>0</v>
      </c>
      <c r="F61" s="70">
        <v>0</v>
      </c>
      <c r="G61" s="71">
        <v>0</v>
      </c>
      <c r="H61" s="69">
        <v>0</v>
      </c>
      <c r="I61" s="70">
        <v>0</v>
      </c>
      <c r="J61" s="70">
        <v>0</v>
      </c>
      <c r="K61" s="71">
        <v>0</v>
      </c>
      <c r="L61" s="69">
        <v>0</v>
      </c>
      <c r="M61" s="70">
        <v>0</v>
      </c>
      <c r="N61" s="70">
        <v>0</v>
      </c>
      <c r="O61" s="72">
        <v>0</v>
      </c>
    </row>
    <row r="62" spans="2:15" x14ac:dyDescent="0.3">
      <c r="B62" s="45" t="s">
        <v>4</v>
      </c>
      <c r="C62" s="46" t="s">
        <v>244</v>
      </c>
      <c r="D62" s="69">
        <v>0</v>
      </c>
      <c r="E62" s="70">
        <v>0</v>
      </c>
      <c r="F62" s="70">
        <v>0</v>
      </c>
      <c r="G62" s="71">
        <v>0</v>
      </c>
      <c r="H62" s="69">
        <v>0</v>
      </c>
      <c r="I62" s="70">
        <v>0</v>
      </c>
      <c r="J62" s="70">
        <v>0</v>
      </c>
      <c r="K62" s="71">
        <v>0</v>
      </c>
      <c r="L62" s="69">
        <v>0</v>
      </c>
      <c r="M62" s="70">
        <v>0</v>
      </c>
      <c r="N62" s="70">
        <v>0</v>
      </c>
      <c r="O62" s="72">
        <v>0</v>
      </c>
    </row>
    <row r="63" spans="2:15" x14ac:dyDescent="0.3">
      <c r="B63" s="45" t="s">
        <v>4</v>
      </c>
      <c r="C63" s="46" t="s">
        <v>245</v>
      </c>
      <c r="D63" s="69">
        <v>640.08000000000004</v>
      </c>
      <c r="E63" s="70">
        <v>506.57</v>
      </c>
      <c r="F63" s="70">
        <v>133.51</v>
      </c>
      <c r="G63" s="71">
        <v>0.26355686282251201</v>
      </c>
      <c r="H63" s="69">
        <v>640.08000000000004</v>
      </c>
      <c r="I63" s="70">
        <v>506.57</v>
      </c>
      <c r="J63" s="70">
        <v>133.51</v>
      </c>
      <c r="K63" s="71">
        <v>0.26355686282251201</v>
      </c>
      <c r="L63" s="69">
        <v>5687.21</v>
      </c>
      <c r="M63" s="70">
        <v>3545.99</v>
      </c>
      <c r="N63" s="70">
        <v>2141.2199999999998</v>
      </c>
      <c r="O63" s="72">
        <v>0.60384265043048602</v>
      </c>
    </row>
    <row r="64" spans="2:15" x14ac:dyDescent="0.3">
      <c r="B64" s="45" t="s">
        <v>4</v>
      </c>
      <c r="C64" s="46" t="s">
        <v>246</v>
      </c>
      <c r="D64" s="69">
        <v>731.62</v>
      </c>
      <c r="E64" s="70">
        <v>647.44000000000005</v>
      </c>
      <c r="F64" s="70">
        <v>84.18</v>
      </c>
      <c r="G64" s="71">
        <v>0.13001977017175301</v>
      </c>
      <c r="H64" s="69">
        <v>731.62</v>
      </c>
      <c r="I64" s="70">
        <v>647.44000000000005</v>
      </c>
      <c r="J64" s="70">
        <v>84.18</v>
      </c>
      <c r="K64" s="71">
        <v>0.13001977017175301</v>
      </c>
      <c r="L64" s="69">
        <v>5049.75</v>
      </c>
      <c r="M64" s="70">
        <v>4510.93</v>
      </c>
      <c r="N64" s="70">
        <v>538.82000000000005</v>
      </c>
      <c r="O64" s="72">
        <v>0.119447652701328</v>
      </c>
    </row>
    <row r="65" spans="2:15" x14ac:dyDescent="0.3">
      <c r="B65" s="45" t="s">
        <v>4</v>
      </c>
      <c r="C65" s="46" t="s">
        <v>247</v>
      </c>
      <c r="D65" s="69">
        <v>136.38</v>
      </c>
      <c r="E65" s="70">
        <v>255.59</v>
      </c>
      <c r="F65" s="70">
        <v>-119.21</v>
      </c>
      <c r="G65" s="71">
        <v>-0.466411048945577</v>
      </c>
      <c r="H65" s="69">
        <v>136.38</v>
      </c>
      <c r="I65" s="70">
        <v>255.59</v>
      </c>
      <c r="J65" s="70">
        <v>-119.21</v>
      </c>
      <c r="K65" s="71">
        <v>-0.466411048945577</v>
      </c>
      <c r="L65" s="69">
        <v>998.66</v>
      </c>
      <c r="M65" s="70">
        <v>1789.13</v>
      </c>
      <c r="N65" s="70">
        <v>-790.47</v>
      </c>
      <c r="O65" s="72">
        <v>-0.441818090356766</v>
      </c>
    </row>
    <row r="66" spans="2:15" x14ac:dyDescent="0.3">
      <c r="B66" s="47" t="s">
        <v>4</v>
      </c>
      <c r="C66" s="50" t="s">
        <v>248</v>
      </c>
      <c r="D66" s="73">
        <v>1516.88</v>
      </c>
      <c r="E66" s="74">
        <v>6126.3</v>
      </c>
      <c r="F66" s="74">
        <v>-4609.42</v>
      </c>
      <c r="G66" s="75">
        <v>-0.75239867456703102</v>
      </c>
      <c r="H66" s="73">
        <v>1516.88</v>
      </c>
      <c r="I66" s="74">
        <v>6126.3</v>
      </c>
      <c r="J66" s="74">
        <v>-4609.42</v>
      </c>
      <c r="K66" s="75">
        <v>-0.75239867456703102</v>
      </c>
      <c r="L66" s="73">
        <v>32863.769999999997</v>
      </c>
      <c r="M66" s="74">
        <v>31679.65</v>
      </c>
      <c r="N66" s="74">
        <v>1184.1199999999999</v>
      </c>
      <c r="O66" s="94">
        <v>3.7377938203231403E-2</v>
      </c>
    </row>
    <row r="67" spans="2:15" x14ac:dyDescent="0.3">
      <c r="B67" s="45" t="s">
        <v>4</v>
      </c>
      <c r="C67" s="46" t="s">
        <v>249</v>
      </c>
      <c r="D67" s="69">
        <v>221.88</v>
      </c>
      <c r="E67" s="70">
        <v>131.61000000000001</v>
      </c>
      <c r="F67" s="70">
        <v>90.27</v>
      </c>
      <c r="G67" s="71">
        <v>0.68589012992933696</v>
      </c>
      <c r="H67" s="69">
        <v>221.88</v>
      </c>
      <c r="I67" s="70">
        <v>131.61000000000001</v>
      </c>
      <c r="J67" s="70">
        <v>90.27</v>
      </c>
      <c r="K67" s="71">
        <v>0.68589012992933696</v>
      </c>
      <c r="L67" s="69">
        <v>863.18</v>
      </c>
      <c r="M67" s="70">
        <v>921.27</v>
      </c>
      <c r="N67" s="70">
        <v>-58.09</v>
      </c>
      <c r="O67" s="72">
        <v>-6.3054262051298798E-2</v>
      </c>
    </row>
    <row r="68" spans="2:15" x14ac:dyDescent="0.3">
      <c r="B68" s="45" t="s">
        <v>4</v>
      </c>
      <c r="C68" s="46" t="s">
        <v>250</v>
      </c>
      <c r="D68" s="69">
        <v>86.78</v>
      </c>
      <c r="E68" s="70">
        <v>157.46</v>
      </c>
      <c r="F68" s="70">
        <v>-70.680000000000007</v>
      </c>
      <c r="G68" s="71">
        <v>-0.44887590499174401</v>
      </c>
      <c r="H68" s="69">
        <v>86.78</v>
      </c>
      <c r="I68" s="70">
        <v>157.46</v>
      </c>
      <c r="J68" s="70">
        <v>-70.680000000000007</v>
      </c>
      <c r="K68" s="71">
        <v>-0.44887590499174401</v>
      </c>
      <c r="L68" s="69">
        <v>445.98</v>
      </c>
      <c r="M68" s="70">
        <v>1102.22</v>
      </c>
      <c r="N68" s="70">
        <v>-656.24</v>
      </c>
      <c r="O68" s="72">
        <v>-0.59538023262143702</v>
      </c>
    </row>
    <row r="69" spans="2:15" x14ac:dyDescent="0.3">
      <c r="B69" s="45" t="s">
        <v>4</v>
      </c>
      <c r="C69" s="46" t="s">
        <v>251</v>
      </c>
      <c r="D69" s="69">
        <v>12.91</v>
      </c>
      <c r="E69" s="70">
        <v>27.38</v>
      </c>
      <c r="F69" s="70">
        <v>-14.47</v>
      </c>
      <c r="G69" s="71">
        <v>-0.528487947406866</v>
      </c>
      <c r="H69" s="69">
        <v>12.91</v>
      </c>
      <c r="I69" s="70">
        <v>27.38</v>
      </c>
      <c r="J69" s="70">
        <v>-14.47</v>
      </c>
      <c r="K69" s="71">
        <v>-0.528487947406866</v>
      </c>
      <c r="L69" s="69">
        <v>73.03</v>
      </c>
      <c r="M69" s="70">
        <v>206.73</v>
      </c>
      <c r="N69" s="70">
        <v>-133.69999999999999</v>
      </c>
      <c r="O69" s="72">
        <v>-0.64673729018526604</v>
      </c>
    </row>
    <row r="70" spans="2:15" x14ac:dyDescent="0.3">
      <c r="B70" s="45" t="s">
        <v>4</v>
      </c>
      <c r="C70" s="46" t="s">
        <v>252</v>
      </c>
      <c r="D70" s="69">
        <v>191.84</v>
      </c>
      <c r="E70" s="70">
        <v>63.74</v>
      </c>
      <c r="F70" s="70">
        <v>128.1</v>
      </c>
      <c r="G70" s="71">
        <v>2.0097270160025098</v>
      </c>
      <c r="H70" s="69">
        <v>191.84</v>
      </c>
      <c r="I70" s="70">
        <v>63.74</v>
      </c>
      <c r="J70" s="70">
        <v>128.1</v>
      </c>
      <c r="K70" s="71">
        <v>2.0097270160025098</v>
      </c>
      <c r="L70" s="69">
        <v>634.91999999999996</v>
      </c>
      <c r="M70" s="70">
        <v>492.44</v>
      </c>
      <c r="N70" s="70">
        <v>142.47999999999999</v>
      </c>
      <c r="O70" s="72">
        <v>0.28933474128827902</v>
      </c>
    </row>
    <row r="71" spans="2:15" x14ac:dyDescent="0.3">
      <c r="B71" s="45" t="s">
        <v>4</v>
      </c>
      <c r="C71" s="46" t="s">
        <v>253</v>
      </c>
      <c r="D71" s="69">
        <v>12.27</v>
      </c>
      <c r="E71" s="70">
        <v>5.13</v>
      </c>
      <c r="F71" s="70">
        <v>7.14</v>
      </c>
      <c r="G71" s="71">
        <v>1.3918128654970801</v>
      </c>
      <c r="H71" s="69">
        <v>12.27</v>
      </c>
      <c r="I71" s="70">
        <v>5.13</v>
      </c>
      <c r="J71" s="70">
        <v>7.14</v>
      </c>
      <c r="K71" s="71">
        <v>1.3918128654970801</v>
      </c>
      <c r="L71" s="69">
        <v>224.04</v>
      </c>
      <c r="M71" s="70">
        <v>77.67</v>
      </c>
      <c r="N71" s="70">
        <v>146.37</v>
      </c>
      <c r="O71" s="72">
        <v>1.8845113943607601</v>
      </c>
    </row>
    <row r="72" spans="2:15" x14ac:dyDescent="0.3">
      <c r="B72" s="45" t="s">
        <v>4</v>
      </c>
      <c r="C72" s="46" t="s">
        <v>254</v>
      </c>
      <c r="D72" s="69">
        <v>35</v>
      </c>
      <c r="E72" s="70">
        <v>211.64</v>
      </c>
      <c r="F72" s="70">
        <v>-176.64</v>
      </c>
      <c r="G72" s="71">
        <v>-0.83462483462483505</v>
      </c>
      <c r="H72" s="69">
        <v>35</v>
      </c>
      <c r="I72" s="70">
        <v>211.64</v>
      </c>
      <c r="J72" s="70">
        <v>-176.64</v>
      </c>
      <c r="K72" s="71">
        <v>-0.83462483462483505</v>
      </c>
      <c r="L72" s="69">
        <v>1064.98</v>
      </c>
      <c r="M72" s="70">
        <v>1246.5999999999999</v>
      </c>
      <c r="N72" s="70">
        <v>-181.62</v>
      </c>
      <c r="O72" s="72">
        <v>-0.14569228300978701</v>
      </c>
    </row>
    <row r="73" spans="2:15" x14ac:dyDescent="0.3">
      <c r="B73" s="45" t="s">
        <v>4</v>
      </c>
      <c r="C73" s="46" t="s">
        <v>255</v>
      </c>
      <c r="D73" s="69">
        <v>515</v>
      </c>
      <c r="E73" s="70">
        <v>515</v>
      </c>
      <c r="F73" s="70">
        <v>0</v>
      </c>
      <c r="G73" s="71">
        <v>0</v>
      </c>
      <c r="H73" s="69">
        <v>515</v>
      </c>
      <c r="I73" s="70">
        <v>515</v>
      </c>
      <c r="J73" s="70">
        <v>0</v>
      </c>
      <c r="K73" s="71">
        <v>0</v>
      </c>
      <c r="L73" s="69">
        <v>3630.78</v>
      </c>
      <c r="M73" s="70">
        <v>3605</v>
      </c>
      <c r="N73" s="70">
        <v>25.78</v>
      </c>
      <c r="O73" s="72">
        <v>7.1511789181692102E-3</v>
      </c>
    </row>
    <row r="74" spans="2:15" x14ac:dyDescent="0.3">
      <c r="B74" s="47" t="s">
        <v>4</v>
      </c>
      <c r="C74" s="50" t="s">
        <v>256</v>
      </c>
      <c r="D74" s="73">
        <v>1075.68</v>
      </c>
      <c r="E74" s="74">
        <v>1111.96</v>
      </c>
      <c r="F74" s="74">
        <v>-36.28</v>
      </c>
      <c r="G74" s="75">
        <v>-3.2627072916292001E-2</v>
      </c>
      <c r="H74" s="73">
        <v>1075.68</v>
      </c>
      <c r="I74" s="74">
        <v>1111.96</v>
      </c>
      <c r="J74" s="74">
        <v>-36.28</v>
      </c>
      <c r="K74" s="75">
        <v>-3.2627072916292001E-2</v>
      </c>
      <c r="L74" s="73">
        <v>6936.91</v>
      </c>
      <c r="M74" s="74">
        <v>7651.93</v>
      </c>
      <c r="N74" s="74">
        <v>-715.02</v>
      </c>
      <c r="O74" s="94">
        <v>-9.3443092134925396E-2</v>
      </c>
    </row>
    <row r="75" spans="2:15" x14ac:dyDescent="0.3">
      <c r="B75" s="45" t="s">
        <v>4</v>
      </c>
      <c r="C75" s="46" t="s">
        <v>257</v>
      </c>
      <c r="D75" s="69">
        <v>0</v>
      </c>
      <c r="E75" s="70">
        <v>20.93</v>
      </c>
      <c r="F75" s="70">
        <v>-20.93</v>
      </c>
      <c r="G75" s="71">
        <v>-1</v>
      </c>
      <c r="H75" s="69">
        <v>0</v>
      </c>
      <c r="I75" s="70">
        <v>20.93</v>
      </c>
      <c r="J75" s="70">
        <v>-20.93</v>
      </c>
      <c r="K75" s="71">
        <v>-1</v>
      </c>
      <c r="L75" s="69">
        <v>0</v>
      </c>
      <c r="M75" s="70">
        <v>146.51</v>
      </c>
      <c r="N75" s="70">
        <v>-146.51</v>
      </c>
      <c r="O75" s="72">
        <v>-1</v>
      </c>
    </row>
    <row r="76" spans="2:15" x14ac:dyDescent="0.3">
      <c r="B76" s="45" t="s">
        <v>4</v>
      </c>
      <c r="C76" s="46" t="s">
        <v>258</v>
      </c>
      <c r="D76" s="69">
        <v>0</v>
      </c>
      <c r="E76" s="70">
        <v>4.0599999999999996</v>
      </c>
      <c r="F76" s="70">
        <v>-4.0599999999999996</v>
      </c>
      <c r="G76" s="71">
        <v>-1</v>
      </c>
      <c r="H76" s="69">
        <v>0</v>
      </c>
      <c r="I76" s="70">
        <v>4.0599999999999996</v>
      </c>
      <c r="J76" s="70">
        <v>-4.0599999999999996</v>
      </c>
      <c r="K76" s="71">
        <v>-1</v>
      </c>
      <c r="L76" s="69">
        <v>22.61</v>
      </c>
      <c r="M76" s="70">
        <v>42.12</v>
      </c>
      <c r="N76" s="70">
        <v>-19.510000000000002</v>
      </c>
      <c r="O76" s="72">
        <v>-0.46320037986704699</v>
      </c>
    </row>
    <row r="77" spans="2:15" x14ac:dyDescent="0.3">
      <c r="B77" s="45" t="s">
        <v>4</v>
      </c>
      <c r="C77" s="46" t="s">
        <v>259</v>
      </c>
      <c r="D77" s="69">
        <v>68</v>
      </c>
      <c r="E77" s="70">
        <v>150.85</v>
      </c>
      <c r="F77" s="70">
        <v>-82.85</v>
      </c>
      <c r="G77" s="71">
        <v>-0.54922108054358598</v>
      </c>
      <c r="H77" s="69">
        <v>68</v>
      </c>
      <c r="I77" s="70">
        <v>150.85</v>
      </c>
      <c r="J77" s="70">
        <v>-82.85</v>
      </c>
      <c r="K77" s="71">
        <v>-0.54922108054358598</v>
      </c>
      <c r="L77" s="69">
        <v>3295.61</v>
      </c>
      <c r="M77" s="70">
        <v>1928.02</v>
      </c>
      <c r="N77" s="70">
        <v>1367.59</v>
      </c>
      <c r="O77" s="72">
        <v>0.70932355473490905</v>
      </c>
    </row>
    <row r="78" spans="2:15" x14ac:dyDescent="0.3">
      <c r="B78" s="45" t="s">
        <v>4</v>
      </c>
      <c r="C78" s="46" t="s">
        <v>260</v>
      </c>
      <c r="D78" s="69">
        <v>1981.39</v>
      </c>
      <c r="E78" s="70">
        <v>2090.5100000000002</v>
      </c>
      <c r="F78" s="70">
        <v>-109.12</v>
      </c>
      <c r="G78" s="71">
        <v>-5.2197789056258999E-2</v>
      </c>
      <c r="H78" s="69">
        <v>1981.39</v>
      </c>
      <c r="I78" s="70">
        <v>2090.5100000000002</v>
      </c>
      <c r="J78" s="70">
        <v>-109.12</v>
      </c>
      <c r="K78" s="71">
        <v>-5.2197789056258999E-2</v>
      </c>
      <c r="L78" s="69">
        <v>14342</v>
      </c>
      <c r="M78" s="70">
        <v>13812.44</v>
      </c>
      <c r="N78" s="70">
        <v>529.55999999999995</v>
      </c>
      <c r="O78" s="72">
        <v>3.8339352062343797E-2</v>
      </c>
    </row>
    <row r="79" spans="2:15" x14ac:dyDescent="0.3">
      <c r="B79" s="47" t="s">
        <v>4</v>
      </c>
      <c r="C79" s="50" t="s">
        <v>261</v>
      </c>
      <c r="D79" s="73">
        <v>2049.39</v>
      </c>
      <c r="E79" s="74">
        <v>2266.35</v>
      </c>
      <c r="F79" s="74">
        <v>-216.96</v>
      </c>
      <c r="G79" s="75">
        <v>-9.5731021245615194E-2</v>
      </c>
      <c r="H79" s="73">
        <v>2049.39</v>
      </c>
      <c r="I79" s="74">
        <v>2266.35</v>
      </c>
      <c r="J79" s="74">
        <v>-216.96</v>
      </c>
      <c r="K79" s="75">
        <v>-9.5731021245615194E-2</v>
      </c>
      <c r="L79" s="73">
        <v>17660.22</v>
      </c>
      <c r="M79" s="74">
        <v>15929.09</v>
      </c>
      <c r="N79" s="74">
        <v>1731.13</v>
      </c>
      <c r="O79" s="94">
        <v>0.108677269071868</v>
      </c>
    </row>
    <row r="80" spans="2:15" x14ac:dyDescent="0.3">
      <c r="B80" s="45" t="s">
        <v>4</v>
      </c>
      <c r="C80" s="46" t="s">
        <v>262</v>
      </c>
      <c r="D80" s="69">
        <v>941.12</v>
      </c>
      <c r="E80" s="70">
        <v>900</v>
      </c>
      <c r="F80" s="70">
        <v>41.12</v>
      </c>
      <c r="G80" s="71">
        <v>4.5688888888888897E-2</v>
      </c>
      <c r="H80" s="69">
        <v>941.12</v>
      </c>
      <c r="I80" s="70">
        <v>900</v>
      </c>
      <c r="J80" s="70">
        <v>41.12</v>
      </c>
      <c r="K80" s="71">
        <v>4.5688888888888897E-2</v>
      </c>
      <c r="L80" s="69">
        <v>-2713.13</v>
      </c>
      <c r="M80" s="70">
        <v>6300</v>
      </c>
      <c r="N80" s="70">
        <v>-9013.1299999999992</v>
      </c>
      <c r="O80" s="72">
        <v>-1.43065555555556</v>
      </c>
    </row>
    <row r="81" spans="2:15" x14ac:dyDescent="0.3">
      <c r="B81" s="45" t="s">
        <v>4</v>
      </c>
      <c r="C81" s="46" t="s">
        <v>263</v>
      </c>
      <c r="D81" s="69">
        <v>0</v>
      </c>
      <c r="E81" s="70">
        <v>0</v>
      </c>
      <c r="F81" s="70">
        <v>0</v>
      </c>
      <c r="G81" s="71">
        <v>0</v>
      </c>
      <c r="H81" s="69">
        <v>0</v>
      </c>
      <c r="I81" s="70">
        <v>0</v>
      </c>
      <c r="J81" s="70">
        <v>0</v>
      </c>
      <c r="K81" s="71">
        <v>0</v>
      </c>
      <c r="L81" s="69">
        <v>0</v>
      </c>
      <c r="M81" s="70">
        <v>0</v>
      </c>
      <c r="N81" s="70">
        <v>0</v>
      </c>
      <c r="O81" s="72">
        <v>0</v>
      </c>
    </row>
    <row r="82" spans="2:15" x14ac:dyDescent="0.3">
      <c r="B82" s="45" t="s">
        <v>4</v>
      </c>
      <c r="C82" s="46" t="s">
        <v>264</v>
      </c>
      <c r="D82" s="69">
        <v>279</v>
      </c>
      <c r="E82" s="70">
        <v>67.97</v>
      </c>
      <c r="F82" s="70">
        <v>211.03</v>
      </c>
      <c r="G82" s="71">
        <v>3.1047520965131699</v>
      </c>
      <c r="H82" s="69">
        <v>279</v>
      </c>
      <c r="I82" s="70">
        <v>67.97</v>
      </c>
      <c r="J82" s="70">
        <v>211.03</v>
      </c>
      <c r="K82" s="71">
        <v>3.1047520965131699</v>
      </c>
      <c r="L82" s="69">
        <v>525.94000000000005</v>
      </c>
      <c r="M82" s="70">
        <v>475.79</v>
      </c>
      <c r="N82" s="70">
        <v>50.15</v>
      </c>
      <c r="O82" s="72">
        <v>0.10540364446499501</v>
      </c>
    </row>
    <row r="83" spans="2:15" x14ac:dyDescent="0.3">
      <c r="B83" s="45" t="s">
        <v>4</v>
      </c>
      <c r="C83" s="46" t="s">
        <v>265</v>
      </c>
      <c r="D83" s="69">
        <v>1921.6</v>
      </c>
      <c r="E83" s="70">
        <v>1367.96</v>
      </c>
      <c r="F83" s="70">
        <v>553.64</v>
      </c>
      <c r="G83" s="71">
        <v>0.40471943624082601</v>
      </c>
      <c r="H83" s="69">
        <v>1921.6</v>
      </c>
      <c r="I83" s="70">
        <v>1367.96</v>
      </c>
      <c r="J83" s="70">
        <v>553.64</v>
      </c>
      <c r="K83" s="71">
        <v>0.40471943624082601</v>
      </c>
      <c r="L83" s="69">
        <v>10920.6</v>
      </c>
      <c r="M83" s="70">
        <v>7691.3</v>
      </c>
      <c r="N83" s="70">
        <v>3229.3</v>
      </c>
      <c r="O83" s="72">
        <v>0.41986400218428599</v>
      </c>
    </row>
    <row r="84" spans="2:15" x14ac:dyDescent="0.3">
      <c r="B84" s="45" t="s">
        <v>4</v>
      </c>
      <c r="C84" s="46" t="s">
        <v>266</v>
      </c>
      <c r="D84" s="69">
        <v>0</v>
      </c>
      <c r="E84" s="70">
        <v>0</v>
      </c>
      <c r="F84" s="70">
        <v>0</v>
      </c>
      <c r="G84" s="71">
        <v>0</v>
      </c>
      <c r="H84" s="69">
        <v>0</v>
      </c>
      <c r="I84" s="70">
        <v>0</v>
      </c>
      <c r="J84" s="70">
        <v>0</v>
      </c>
      <c r="K84" s="71">
        <v>0</v>
      </c>
      <c r="L84" s="69">
        <v>4245</v>
      </c>
      <c r="M84" s="70">
        <v>0</v>
      </c>
      <c r="N84" s="70">
        <v>4245</v>
      </c>
      <c r="O84" s="72">
        <v>0</v>
      </c>
    </row>
    <row r="85" spans="2:15" x14ac:dyDescent="0.3">
      <c r="B85" s="45" t="s">
        <v>4</v>
      </c>
      <c r="C85" s="46" t="s">
        <v>267</v>
      </c>
      <c r="D85" s="69">
        <v>0</v>
      </c>
      <c r="E85" s="70">
        <v>0</v>
      </c>
      <c r="F85" s="70">
        <v>0</v>
      </c>
      <c r="G85" s="71">
        <v>0</v>
      </c>
      <c r="H85" s="69">
        <v>0</v>
      </c>
      <c r="I85" s="70">
        <v>0</v>
      </c>
      <c r="J85" s="70">
        <v>0</v>
      </c>
      <c r="K85" s="71">
        <v>0</v>
      </c>
      <c r="L85" s="69">
        <v>0</v>
      </c>
      <c r="M85" s="70">
        <v>0</v>
      </c>
      <c r="N85" s="70">
        <v>0</v>
      </c>
      <c r="O85" s="72">
        <v>0</v>
      </c>
    </row>
    <row r="86" spans="2:15" x14ac:dyDescent="0.3">
      <c r="B86" s="45" t="s">
        <v>4</v>
      </c>
      <c r="C86" s="46" t="s">
        <v>268</v>
      </c>
      <c r="D86" s="69">
        <v>106.45</v>
      </c>
      <c r="E86" s="70">
        <v>212.68</v>
      </c>
      <c r="F86" s="70">
        <v>-106.23</v>
      </c>
      <c r="G86" s="71">
        <v>-0.49948279104758297</v>
      </c>
      <c r="H86" s="69">
        <v>106.45</v>
      </c>
      <c r="I86" s="70">
        <v>212.68</v>
      </c>
      <c r="J86" s="70">
        <v>-106.23</v>
      </c>
      <c r="K86" s="71">
        <v>-0.49948279104758297</v>
      </c>
      <c r="L86" s="69">
        <v>759.72</v>
      </c>
      <c r="M86" s="70">
        <v>1488.76</v>
      </c>
      <c r="N86" s="70">
        <v>-729.04</v>
      </c>
      <c r="O86" s="72">
        <v>-0.489696122947957</v>
      </c>
    </row>
    <row r="87" spans="2:15" x14ac:dyDescent="0.3">
      <c r="B87" s="45" t="s">
        <v>4</v>
      </c>
      <c r="C87" s="46" t="s">
        <v>269</v>
      </c>
      <c r="D87" s="69">
        <v>1223.42</v>
      </c>
      <c r="E87" s="70">
        <v>1129.6500000000001</v>
      </c>
      <c r="F87" s="70">
        <v>93.77</v>
      </c>
      <c r="G87" s="71">
        <v>8.3008011330943196E-2</v>
      </c>
      <c r="H87" s="69">
        <v>1223.42</v>
      </c>
      <c r="I87" s="70">
        <v>1129.6500000000001</v>
      </c>
      <c r="J87" s="70">
        <v>93.77</v>
      </c>
      <c r="K87" s="71">
        <v>8.3008011330943196E-2</v>
      </c>
      <c r="L87" s="69">
        <v>4006.26</v>
      </c>
      <c r="M87" s="70">
        <v>4433.5</v>
      </c>
      <c r="N87" s="70">
        <v>-427.24</v>
      </c>
      <c r="O87" s="72">
        <v>-9.6366302018721095E-2</v>
      </c>
    </row>
    <row r="88" spans="2:15" x14ac:dyDescent="0.3">
      <c r="B88" s="45" t="s">
        <v>4</v>
      </c>
      <c r="C88" s="46" t="s">
        <v>270</v>
      </c>
      <c r="D88" s="69">
        <v>560.88</v>
      </c>
      <c r="E88" s="70">
        <v>390.27</v>
      </c>
      <c r="F88" s="70">
        <v>170.61</v>
      </c>
      <c r="G88" s="71">
        <v>0.43715888999923103</v>
      </c>
      <c r="H88" s="69">
        <v>560.88</v>
      </c>
      <c r="I88" s="70">
        <v>390.27</v>
      </c>
      <c r="J88" s="70">
        <v>170.61</v>
      </c>
      <c r="K88" s="71">
        <v>0.43715888999923103</v>
      </c>
      <c r="L88" s="69">
        <v>4222.28</v>
      </c>
      <c r="M88" s="70">
        <v>1814.76</v>
      </c>
      <c r="N88" s="70">
        <v>2407.52</v>
      </c>
      <c r="O88" s="72">
        <v>1.32663272278428</v>
      </c>
    </row>
    <row r="89" spans="2:15" x14ac:dyDescent="0.3">
      <c r="B89" s="45" t="s">
        <v>4</v>
      </c>
      <c r="C89" s="46" t="s">
        <v>271</v>
      </c>
      <c r="D89" s="69">
        <v>1012.95</v>
      </c>
      <c r="E89" s="70">
        <v>1165</v>
      </c>
      <c r="F89" s="70">
        <v>-152.05000000000001</v>
      </c>
      <c r="G89" s="71">
        <v>-0.130515021459227</v>
      </c>
      <c r="H89" s="69">
        <v>1012.95</v>
      </c>
      <c r="I89" s="70">
        <v>1165</v>
      </c>
      <c r="J89" s="70">
        <v>-152.05000000000001</v>
      </c>
      <c r="K89" s="71">
        <v>-0.130515021459227</v>
      </c>
      <c r="L89" s="69">
        <v>12295.6</v>
      </c>
      <c r="M89" s="70">
        <v>7645</v>
      </c>
      <c r="N89" s="70">
        <v>4650.6000000000004</v>
      </c>
      <c r="O89" s="72">
        <v>0.60831916285153698</v>
      </c>
    </row>
    <row r="90" spans="2:15" x14ac:dyDescent="0.3">
      <c r="B90" s="45" t="s">
        <v>4</v>
      </c>
      <c r="C90" s="46" t="s">
        <v>272</v>
      </c>
      <c r="D90" s="69">
        <v>0</v>
      </c>
      <c r="E90" s="70">
        <v>203.18</v>
      </c>
      <c r="F90" s="70">
        <v>-203.18</v>
      </c>
      <c r="G90" s="71">
        <v>-1</v>
      </c>
      <c r="H90" s="69">
        <v>0</v>
      </c>
      <c r="I90" s="70">
        <v>203.18</v>
      </c>
      <c r="J90" s="70">
        <v>-203.18</v>
      </c>
      <c r="K90" s="71">
        <v>-1</v>
      </c>
      <c r="L90" s="69">
        <v>645.92999999999995</v>
      </c>
      <c r="M90" s="70">
        <v>1208.1199999999999</v>
      </c>
      <c r="N90" s="70">
        <v>-562.19000000000005</v>
      </c>
      <c r="O90" s="72">
        <v>-0.46534284673707899</v>
      </c>
    </row>
    <row r="91" spans="2:15" x14ac:dyDescent="0.3">
      <c r="B91" s="45" t="s">
        <v>4</v>
      </c>
      <c r="C91" s="46" t="s">
        <v>273</v>
      </c>
      <c r="D91" s="69">
        <v>1379.99</v>
      </c>
      <c r="E91" s="70">
        <v>253.24</v>
      </c>
      <c r="F91" s="70">
        <v>1126.75</v>
      </c>
      <c r="G91" s="71">
        <v>4.4493365976938897</v>
      </c>
      <c r="H91" s="69">
        <v>1379.99</v>
      </c>
      <c r="I91" s="70">
        <v>253.24</v>
      </c>
      <c r="J91" s="70">
        <v>1126.75</v>
      </c>
      <c r="K91" s="71">
        <v>4.4493365976938897</v>
      </c>
      <c r="L91" s="69">
        <v>2717.59</v>
      </c>
      <c r="M91" s="70">
        <v>1137.23</v>
      </c>
      <c r="N91" s="70">
        <v>1580.36</v>
      </c>
      <c r="O91" s="72">
        <v>1.38965732525523</v>
      </c>
    </row>
    <row r="92" spans="2:15" x14ac:dyDescent="0.3">
      <c r="B92" s="45" t="s">
        <v>4</v>
      </c>
      <c r="C92" s="46" t="s">
        <v>274</v>
      </c>
      <c r="D92" s="69">
        <v>0</v>
      </c>
      <c r="E92" s="70">
        <v>0.2</v>
      </c>
      <c r="F92" s="70">
        <v>-0.2</v>
      </c>
      <c r="G92" s="71">
        <v>-1</v>
      </c>
      <c r="H92" s="69">
        <v>0</v>
      </c>
      <c r="I92" s="70">
        <v>0.2</v>
      </c>
      <c r="J92" s="70">
        <v>-0.2</v>
      </c>
      <c r="K92" s="71">
        <v>-1</v>
      </c>
      <c r="L92" s="69">
        <v>0</v>
      </c>
      <c r="M92" s="70">
        <v>1.4</v>
      </c>
      <c r="N92" s="70">
        <v>-1.4</v>
      </c>
      <c r="O92" s="72">
        <v>-1</v>
      </c>
    </row>
    <row r="93" spans="2:15" x14ac:dyDescent="0.3">
      <c r="B93" s="47" t="s">
        <v>4</v>
      </c>
      <c r="C93" s="50" t="s">
        <v>275</v>
      </c>
      <c r="D93" s="73">
        <v>7425.41</v>
      </c>
      <c r="E93" s="74">
        <v>5690.15</v>
      </c>
      <c r="F93" s="74">
        <v>1735.26</v>
      </c>
      <c r="G93" s="75">
        <v>0.304958568754778</v>
      </c>
      <c r="H93" s="73">
        <v>7425.41</v>
      </c>
      <c r="I93" s="74">
        <v>5690.15</v>
      </c>
      <c r="J93" s="74">
        <v>1735.26</v>
      </c>
      <c r="K93" s="75">
        <v>0.304958568754778</v>
      </c>
      <c r="L93" s="73">
        <v>37625.79</v>
      </c>
      <c r="M93" s="74">
        <v>32195.86</v>
      </c>
      <c r="N93" s="74">
        <v>5429.93</v>
      </c>
      <c r="O93" s="94">
        <v>0.16865305042325299</v>
      </c>
    </row>
    <row r="94" spans="2:15" x14ac:dyDescent="0.3">
      <c r="B94" s="45" t="s">
        <v>4</v>
      </c>
      <c r="C94" s="46" t="s">
        <v>276</v>
      </c>
      <c r="D94" s="69">
        <v>0</v>
      </c>
      <c r="E94" s="70">
        <v>0</v>
      </c>
      <c r="F94" s="70">
        <v>0</v>
      </c>
      <c r="G94" s="71">
        <v>0</v>
      </c>
      <c r="H94" s="69">
        <v>0</v>
      </c>
      <c r="I94" s="70">
        <v>0</v>
      </c>
      <c r="J94" s="70">
        <v>0</v>
      </c>
      <c r="K94" s="71">
        <v>0</v>
      </c>
      <c r="L94" s="69">
        <v>0</v>
      </c>
      <c r="M94" s="70">
        <v>0</v>
      </c>
      <c r="N94" s="70">
        <v>0</v>
      </c>
      <c r="O94" s="72">
        <v>0</v>
      </c>
    </row>
    <row r="95" spans="2:15" x14ac:dyDescent="0.3">
      <c r="B95" s="45" t="s">
        <v>4</v>
      </c>
      <c r="C95" s="46" t="s">
        <v>277</v>
      </c>
      <c r="D95" s="69">
        <v>0</v>
      </c>
      <c r="E95" s="70">
        <v>0</v>
      </c>
      <c r="F95" s="70">
        <v>0</v>
      </c>
      <c r="G95" s="71">
        <v>0</v>
      </c>
      <c r="H95" s="69">
        <v>0</v>
      </c>
      <c r="I95" s="70">
        <v>0</v>
      </c>
      <c r="J95" s="70">
        <v>0</v>
      </c>
      <c r="K95" s="71">
        <v>0</v>
      </c>
      <c r="L95" s="69">
        <v>0</v>
      </c>
      <c r="M95" s="70">
        <v>0</v>
      </c>
      <c r="N95" s="70">
        <v>0</v>
      </c>
      <c r="O95" s="72">
        <v>0</v>
      </c>
    </row>
    <row r="96" spans="2:15" x14ac:dyDescent="0.3">
      <c r="B96" s="45" t="s">
        <v>4</v>
      </c>
      <c r="C96" s="46" t="s">
        <v>278</v>
      </c>
      <c r="D96" s="69">
        <v>0</v>
      </c>
      <c r="E96" s="70">
        <v>0</v>
      </c>
      <c r="F96" s="70">
        <v>0</v>
      </c>
      <c r="G96" s="71">
        <v>0</v>
      </c>
      <c r="H96" s="69">
        <v>0</v>
      </c>
      <c r="I96" s="70">
        <v>0</v>
      </c>
      <c r="J96" s="70">
        <v>0</v>
      </c>
      <c r="K96" s="71">
        <v>0</v>
      </c>
      <c r="L96" s="69">
        <v>0</v>
      </c>
      <c r="M96" s="70">
        <v>0</v>
      </c>
      <c r="N96" s="70">
        <v>0</v>
      </c>
      <c r="O96" s="72">
        <v>0</v>
      </c>
    </row>
    <row r="97" spans="2:15" x14ac:dyDescent="0.3">
      <c r="B97" s="47" t="s">
        <v>4</v>
      </c>
      <c r="C97" s="50" t="s">
        <v>279</v>
      </c>
      <c r="D97" s="73">
        <v>0</v>
      </c>
      <c r="E97" s="74">
        <v>0</v>
      </c>
      <c r="F97" s="74">
        <v>0</v>
      </c>
      <c r="G97" s="75">
        <v>0</v>
      </c>
      <c r="H97" s="73">
        <v>0</v>
      </c>
      <c r="I97" s="74">
        <v>0</v>
      </c>
      <c r="J97" s="74">
        <v>0</v>
      </c>
      <c r="K97" s="75">
        <v>0</v>
      </c>
      <c r="L97" s="73">
        <v>0</v>
      </c>
      <c r="M97" s="74">
        <v>0</v>
      </c>
      <c r="N97" s="74">
        <v>0</v>
      </c>
      <c r="O97" s="94">
        <v>0</v>
      </c>
    </row>
    <row r="98" spans="2:15" x14ac:dyDescent="0.3">
      <c r="B98" s="45" t="s">
        <v>4</v>
      </c>
      <c r="C98" s="46" t="s">
        <v>280</v>
      </c>
      <c r="D98" s="69">
        <v>44.58</v>
      </c>
      <c r="E98" s="70">
        <v>40.049999999999997</v>
      </c>
      <c r="F98" s="70">
        <v>4.53</v>
      </c>
      <c r="G98" s="71">
        <v>0.11310861423221</v>
      </c>
      <c r="H98" s="69">
        <v>44.58</v>
      </c>
      <c r="I98" s="70">
        <v>40.049999999999997</v>
      </c>
      <c r="J98" s="70">
        <v>4.53</v>
      </c>
      <c r="K98" s="71">
        <v>0.11310861423221</v>
      </c>
      <c r="L98" s="69">
        <v>304.33999999999997</v>
      </c>
      <c r="M98" s="70">
        <v>280.35000000000002</v>
      </c>
      <c r="N98" s="70">
        <v>23.99</v>
      </c>
      <c r="O98" s="72">
        <v>8.5571606919921495E-2</v>
      </c>
    </row>
    <row r="99" spans="2:15" x14ac:dyDescent="0.3">
      <c r="B99" s="45" t="s">
        <v>4</v>
      </c>
      <c r="C99" s="46" t="s">
        <v>281</v>
      </c>
      <c r="D99" s="69">
        <v>0</v>
      </c>
      <c r="E99" s="70">
        <v>0</v>
      </c>
      <c r="F99" s="70">
        <v>0</v>
      </c>
      <c r="G99" s="71">
        <v>0</v>
      </c>
      <c r="H99" s="69">
        <v>0</v>
      </c>
      <c r="I99" s="70">
        <v>0</v>
      </c>
      <c r="J99" s="70">
        <v>0</v>
      </c>
      <c r="K99" s="71">
        <v>0</v>
      </c>
      <c r="L99" s="69">
        <v>0</v>
      </c>
      <c r="M99" s="70">
        <v>0</v>
      </c>
      <c r="N99" s="70">
        <v>0</v>
      </c>
      <c r="O99" s="72">
        <v>0</v>
      </c>
    </row>
    <row r="100" spans="2:15" x14ac:dyDescent="0.3">
      <c r="B100" s="45" t="s">
        <v>4</v>
      </c>
      <c r="C100" s="46" t="s">
        <v>282</v>
      </c>
      <c r="D100" s="69">
        <v>45.67</v>
      </c>
      <c r="E100" s="70">
        <v>40</v>
      </c>
      <c r="F100" s="70">
        <v>5.67</v>
      </c>
      <c r="G100" s="71">
        <v>0.14174999999999999</v>
      </c>
      <c r="H100" s="69">
        <v>45.67</v>
      </c>
      <c r="I100" s="70">
        <v>40</v>
      </c>
      <c r="J100" s="70">
        <v>5.67</v>
      </c>
      <c r="K100" s="71">
        <v>0.14174999999999999</v>
      </c>
      <c r="L100" s="69">
        <v>313.79000000000002</v>
      </c>
      <c r="M100" s="70">
        <v>280</v>
      </c>
      <c r="N100" s="70">
        <v>33.79</v>
      </c>
      <c r="O100" s="72">
        <v>0.120678571428571</v>
      </c>
    </row>
    <row r="101" spans="2:15" x14ac:dyDescent="0.3">
      <c r="B101" s="45" t="s">
        <v>4</v>
      </c>
      <c r="C101" s="46" t="s">
        <v>283</v>
      </c>
      <c r="D101" s="69">
        <v>1007.31</v>
      </c>
      <c r="E101" s="70">
        <v>378.83</v>
      </c>
      <c r="F101" s="70">
        <v>628.48</v>
      </c>
      <c r="G101" s="71">
        <v>1.6590027188976599</v>
      </c>
      <c r="H101" s="69">
        <v>1007.31</v>
      </c>
      <c r="I101" s="70">
        <v>378.83</v>
      </c>
      <c r="J101" s="70">
        <v>628.48</v>
      </c>
      <c r="K101" s="71">
        <v>1.6590027188976599</v>
      </c>
      <c r="L101" s="69">
        <v>3076.71</v>
      </c>
      <c r="M101" s="70">
        <v>2003.01</v>
      </c>
      <c r="N101" s="70">
        <v>1073.7</v>
      </c>
      <c r="O101" s="72">
        <v>0.53604325490137394</v>
      </c>
    </row>
    <row r="102" spans="2:15" x14ac:dyDescent="0.3">
      <c r="B102" s="45" t="s">
        <v>4</v>
      </c>
      <c r="C102" s="46" t="s">
        <v>284</v>
      </c>
      <c r="D102" s="69">
        <v>0</v>
      </c>
      <c r="E102" s="70">
        <v>0</v>
      </c>
      <c r="F102" s="70">
        <v>0</v>
      </c>
      <c r="G102" s="71">
        <v>0</v>
      </c>
      <c r="H102" s="69">
        <v>0</v>
      </c>
      <c r="I102" s="70">
        <v>0</v>
      </c>
      <c r="J102" s="70">
        <v>0</v>
      </c>
      <c r="K102" s="71">
        <v>0</v>
      </c>
      <c r="L102" s="69">
        <v>0</v>
      </c>
      <c r="M102" s="70">
        <v>0</v>
      </c>
      <c r="N102" s="70">
        <v>0</v>
      </c>
      <c r="O102" s="72">
        <v>0</v>
      </c>
    </row>
    <row r="103" spans="2:15" x14ac:dyDescent="0.3">
      <c r="B103" s="47" t="s">
        <v>4</v>
      </c>
      <c r="C103" s="50" t="s">
        <v>285</v>
      </c>
      <c r="D103" s="73">
        <v>1097.56</v>
      </c>
      <c r="E103" s="74">
        <v>458.88</v>
      </c>
      <c r="F103" s="74">
        <v>638.67999999999995</v>
      </c>
      <c r="G103" s="75">
        <v>1.39182357043236</v>
      </c>
      <c r="H103" s="73">
        <v>1097.56</v>
      </c>
      <c r="I103" s="74">
        <v>458.88</v>
      </c>
      <c r="J103" s="74">
        <v>638.67999999999995</v>
      </c>
      <c r="K103" s="75">
        <v>1.39182357043236</v>
      </c>
      <c r="L103" s="73">
        <v>3694.84</v>
      </c>
      <c r="M103" s="74">
        <v>2563.36</v>
      </c>
      <c r="N103" s="74">
        <v>1131.48</v>
      </c>
      <c r="O103" s="94">
        <v>0.44140503089694799</v>
      </c>
    </row>
    <row r="104" spans="2:15" x14ac:dyDescent="0.3">
      <c r="B104" s="45" t="s">
        <v>4</v>
      </c>
      <c r="C104" s="46" t="s">
        <v>286</v>
      </c>
      <c r="D104" s="69">
        <v>17465</v>
      </c>
      <c r="E104" s="70">
        <v>17465.150000000001</v>
      </c>
      <c r="F104" s="70">
        <v>-0.15</v>
      </c>
      <c r="G104" s="71">
        <v>-8.5885320194787898E-6</v>
      </c>
      <c r="H104" s="69">
        <v>17465</v>
      </c>
      <c r="I104" s="70">
        <v>17465.150000000001</v>
      </c>
      <c r="J104" s="70">
        <v>-0.15</v>
      </c>
      <c r="K104" s="71">
        <v>-8.5885320194787898E-6</v>
      </c>
      <c r="L104" s="69">
        <v>122255</v>
      </c>
      <c r="M104" s="70">
        <v>122256.05</v>
      </c>
      <c r="N104" s="70">
        <v>-1.05</v>
      </c>
      <c r="O104" s="72">
        <v>-8.5885320194787898E-6</v>
      </c>
    </row>
    <row r="105" spans="2:15" x14ac:dyDescent="0.3">
      <c r="B105" s="45" t="s">
        <v>4</v>
      </c>
      <c r="C105" s="46" t="s">
        <v>287</v>
      </c>
      <c r="D105" s="69">
        <v>0</v>
      </c>
      <c r="E105" s="70">
        <v>165.5</v>
      </c>
      <c r="F105" s="70">
        <v>-165.5</v>
      </c>
      <c r="G105" s="71">
        <v>-1</v>
      </c>
      <c r="H105" s="69">
        <v>0</v>
      </c>
      <c r="I105" s="70">
        <v>165.5</v>
      </c>
      <c r="J105" s="70">
        <v>-165.5</v>
      </c>
      <c r="K105" s="71">
        <v>-1</v>
      </c>
      <c r="L105" s="69">
        <v>1309.3399999999999</v>
      </c>
      <c r="M105" s="70">
        <v>366.65</v>
      </c>
      <c r="N105" s="70">
        <v>942.69</v>
      </c>
      <c r="O105" s="72">
        <v>2.57108959498159</v>
      </c>
    </row>
    <row r="106" spans="2:15" x14ac:dyDescent="0.3">
      <c r="B106" s="45" t="s">
        <v>4</v>
      </c>
      <c r="C106" s="46" t="s">
        <v>288</v>
      </c>
      <c r="D106" s="69">
        <v>0</v>
      </c>
      <c r="E106" s="70">
        <v>0</v>
      </c>
      <c r="F106" s="70">
        <v>0</v>
      </c>
      <c r="G106" s="71">
        <v>0</v>
      </c>
      <c r="H106" s="69">
        <v>0</v>
      </c>
      <c r="I106" s="70">
        <v>0</v>
      </c>
      <c r="J106" s="70">
        <v>0</v>
      </c>
      <c r="K106" s="71">
        <v>0</v>
      </c>
      <c r="L106" s="69">
        <v>250</v>
      </c>
      <c r="M106" s="70">
        <v>0</v>
      </c>
      <c r="N106" s="70">
        <v>250</v>
      </c>
      <c r="O106" s="72">
        <v>0</v>
      </c>
    </row>
    <row r="107" spans="2:15" x14ac:dyDescent="0.3">
      <c r="B107" s="45" t="s">
        <v>4</v>
      </c>
      <c r="C107" s="46" t="s">
        <v>289</v>
      </c>
      <c r="D107" s="69">
        <v>0</v>
      </c>
      <c r="E107" s="70">
        <v>0</v>
      </c>
      <c r="F107" s="70">
        <v>0</v>
      </c>
      <c r="G107" s="71">
        <v>0</v>
      </c>
      <c r="H107" s="69">
        <v>0</v>
      </c>
      <c r="I107" s="70">
        <v>0</v>
      </c>
      <c r="J107" s="70">
        <v>0</v>
      </c>
      <c r="K107" s="71">
        <v>0</v>
      </c>
      <c r="L107" s="69">
        <v>0</v>
      </c>
      <c r="M107" s="70">
        <v>0</v>
      </c>
      <c r="N107" s="70">
        <v>0</v>
      </c>
      <c r="O107" s="72">
        <v>0</v>
      </c>
    </row>
    <row r="108" spans="2:15" x14ac:dyDescent="0.3">
      <c r="B108" s="47" t="s">
        <v>4</v>
      </c>
      <c r="C108" s="50" t="s">
        <v>290</v>
      </c>
      <c r="D108" s="73">
        <v>17465</v>
      </c>
      <c r="E108" s="74">
        <v>17630.650000000001</v>
      </c>
      <c r="F108" s="74">
        <v>-165.65</v>
      </c>
      <c r="G108" s="75">
        <v>-9.3955696471769296E-3</v>
      </c>
      <c r="H108" s="73">
        <v>17465</v>
      </c>
      <c r="I108" s="74">
        <v>17630.650000000001</v>
      </c>
      <c r="J108" s="74">
        <v>-165.65</v>
      </c>
      <c r="K108" s="75">
        <v>-9.3955696471769296E-3</v>
      </c>
      <c r="L108" s="73">
        <v>123814.34</v>
      </c>
      <c r="M108" s="74">
        <v>122622.7</v>
      </c>
      <c r="N108" s="74">
        <v>1191.6400000000001</v>
      </c>
      <c r="O108" s="94">
        <v>9.7179396637001193E-3</v>
      </c>
    </row>
    <row r="109" spans="2:15" x14ac:dyDescent="0.3">
      <c r="B109" s="45" t="s">
        <v>4</v>
      </c>
      <c r="C109" s="46" t="s">
        <v>291</v>
      </c>
      <c r="D109" s="69">
        <v>14847.56</v>
      </c>
      <c r="E109" s="70">
        <v>13627.2</v>
      </c>
      <c r="F109" s="70">
        <v>1220.3599999999999</v>
      </c>
      <c r="G109" s="71">
        <v>8.9553246448279902E-2</v>
      </c>
      <c r="H109" s="69">
        <v>14847.56</v>
      </c>
      <c r="I109" s="70">
        <v>13627.2</v>
      </c>
      <c r="J109" s="70">
        <v>1220.3599999999999</v>
      </c>
      <c r="K109" s="71">
        <v>8.9553246448279902E-2</v>
      </c>
      <c r="L109" s="69">
        <v>84242.07</v>
      </c>
      <c r="M109" s="70">
        <v>84034.4</v>
      </c>
      <c r="N109" s="70">
        <v>207.67</v>
      </c>
      <c r="O109" s="72">
        <v>2.4712498691012298E-3</v>
      </c>
    </row>
    <row r="110" spans="2:15" x14ac:dyDescent="0.3">
      <c r="B110" s="47" t="s">
        <v>4</v>
      </c>
      <c r="C110" s="50" t="s">
        <v>292</v>
      </c>
      <c r="D110" s="73">
        <v>14847.56</v>
      </c>
      <c r="E110" s="74">
        <v>13627.2</v>
      </c>
      <c r="F110" s="74">
        <v>1220.3599999999999</v>
      </c>
      <c r="G110" s="75">
        <v>8.9553246448279902E-2</v>
      </c>
      <c r="H110" s="73">
        <v>14847.56</v>
      </c>
      <c r="I110" s="74">
        <v>13627.2</v>
      </c>
      <c r="J110" s="74">
        <v>1220.3599999999999</v>
      </c>
      <c r="K110" s="75">
        <v>8.9553246448279902E-2</v>
      </c>
      <c r="L110" s="73">
        <v>84242.07</v>
      </c>
      <c r="M110" s="74">
        <v>84034.4</v>
      </c>
      <c r="N110" s="74">
        <v>207.67</v>
      </c>
      <c r="O110" s="94">
        <v>2.4712498691012298E-3</v>
      </c>
    </row>
    <row r="111" spans="2:15" x14ac:dyDescent="0.3">
      <c r="B111" s="45" t="s">
        <v>4</v>
      </c>
      <c r="C111" s="46" t="s">
        <v>293</v>
      </c>
      <c r="D111" s="69">
        <v>-1115.97</v>
      </c>
      <c r="E111" s="70">
        <v>0</v>
      </c>
      <c r="F111" s="70">
        <v>-1115.97</v>
      </c>
      <c r="G111" s="71">
        <v>0</v>
      </c>
      <c r="H111" s="69">
        <v>-1115.97</v>
      </c>
      <c r="I111" s="70">
        <v>0</v>
      </c>
      <c r="J111" s="70">
        <v>-1115.97</v>
      </c>
      <c r="K111" s="71">
        <v>0</v>
      </c>
      <c r="L111" s="69">
        <v>300.47000000000003</v>
      </c>
      <c r="M111" s="70">
        <v>0</v>
      </c>
      <c r="N111" s="70">
        <v>300.47000000000003</v>
      </c>
      <c r="O111" s="72">
        <v>0</v>
      </c>
    </row>
    <row r="112" spans="2:15" x14ac:dyDescent="0.3">
      <c r="B112" s="45" t="s">
        <v>4</v>
      </c>
      <c r="C112" s="46" t="s">
        <v>294</v>
      </c>
      <c r="D112" s="69">
        <v>0</v>
      </c>
      <c r="E112" s="70">
        <v>0</v>
      </c>
      <c r="F112" s="70">
        <v>0</v>
      </c>
      <c r="G112" s="71">
        <v>0</v>
      </c>
      <c r="H112" s="69">
        <v>0</v>
      </c>
      <c r="I112" s="70">
        <v>0</v>
      </c>
      <c r="J112" s="70">
        <v>0</v>
      </c>
      <c r="K112" s="71">
        <v>0</v>
      </c>
      <c r="L112" s="69">
        <v>0</v>
      </c>
      <c r="M112" s="70">
        <v>0</v>
      </c>
      <c r="N112" s="70">
        <v>0</v>
      </c>
      <c r="O112" s="72">
        <v>0</v>
      </c>
    </row>
    <row r="113" spans="2:15" x14ac:dyDescent="0.3">
      <c r="B113" s="47" t="s">
        <v>4</v>
      </c>
      <c r="C113" s="50" t="s">
        <v>295</v>
      </c>
      <c r="D113" s="73">
        <v>-1115.97</v>
      </c>
      <c r="E113" s="74">
        <v>0</v>
      </c>
      <c r="F113" s="74">
        <v>-1115.97</v>
      </c>
      <c r="G113" s="75">
        <v>0</v>
      </c>
      <c r="H113" s="73">
        <v>-1115.97</v>
      </c>
      <c r="I113" s="74">
        <v>0</v>
      </c>
      <c r="J113" s="74">
        <v>-1115.97</v>
      </c>
      <c r="K113" s="75">
        <v>0</v>
      </c>
      <c r="L113" s="73">
        <v>300.47000000000003</v>
      </c>
      <c r="M113" s="74">
        <v>0</v>
      </c>
      <c r="N113" s="74">
        <v>300.47000000000003</v>
      </c>
      <c r="O113" s="94">
        <v>0</v>
      </c>
    </row>
    <row r="114" spans="2:15" x14ac:dyDescent="0.3">
      <c r="B114" s="47" t="s">
        <v>4</v>
      </c>
      <c r="C114" s="48" t="s">
        <v>296</v>
      </c>
      <c r="D114" s="76">
        <v>68155.37</v>
      </c>
      <c r="E114" s="77">
        <v>63701.18</v>
      </c>
      <c r="F114" s="77">
        <v>4454.1899999999996</v>
      </c>
      <c r="G114" s="78">
        <v>6.9923194515392001E-2</v>
      </c>
      <c r="H114" s="76">
        <v>68155.37</v>
      </c>
      <c r="I114" s="77">
        <v>63701.18</v>
      </c>
      <c r="J114" s="77">
        <v>4454.1899999999996</v>
      </c>
      <c r="K114" s="78">
        <v>6.9923194515392001E-2</v>
      </c>
      <c r="L114" s="76">
        <v>441313.21</v>
      </c>
      <c r="M114" s="77">
        <v>408748.41</v>
      </c>
      <c r="N114" s="77">
        <v>32564.799999999999</v>
      </c>
      <c r="O114" s="81">
        <v>7.9669545381228501E-2</v>
      </c>
    </row>
    <row r="115" spans="2:15" x14ac:dyDescent="0.3">
      <c r="B115" s="47" t="s">
        <v>4</v>
      </c>
      <c r="C115" s="48" t="s">
        <v>297</v>
      </c>
      <c r="D115" s="76">
        <v>118157.34</v>
      </c>
      <c r="E115" s="77">
        <v>90203.69</v>
      </c>
      <c r="F115" s="77">
        <v>27953.65</v>
      </c>
      <c r="G115" s="78">
        <v>0.30989475042539799</v>
      </c>
      <c r="H115" s="76">
        <v>118157.34</v>
      </c>
      <c r="I115" s="77">
        <v>90203.69</v>
      </c>
      <c r="J115" s="77">
        <v>27953.65</v>
      </c>
      <c r="K115" s="78">
        <v>0.30989475042539799</v>
      </c>
      <c r="L115" s="76">
        <v>805524.15</v>
      </c>
      <c r="M115" s="77">
        <v>610871.36</v>
      </c>
      <c r="N115" s="77">
        <v>194652.79</v>
      </c>
      <c r="O115" s="81">
        <v>0.31864775916160198</v>
      </c>
    </row>
    <row r="116" spans="2:15" ht="0" hidden="1" customHeight="1" x14ac:dyDescent="0.3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B1:Q602"/>
  <sheetViews>
    <sheetView showGridLines="0" topLeftCell="C5" workbookViewId="0">
      <selection activeCell="P5" sqref="P5"/>
    </sheetView>
  </sheetViews>
  <sheetFormatPr defaultRowHeight="14.4" x14ac:dyDescent="0.3"/>
  <cols>
    <col min="1" max="1" width="2.44140625" customWidth="1"/>
    <col min="2" max="2" width="16.109375" customWidth="1"/>
    <col min="3" max="3" width="9" customWidth="1"/>
    <col min="4" max="7" width="13.6640625" customWidth="1"/>
    <col min="8" max="8" width="18.44140625" customWidth="1"/>
    <col min="9" max="9" width="8.109375" customWidth="1"/>
    <col min="10" max="10" width="8.88671875" customWidth="1"/>
    <col min="11" max="11" width="0" hidden="1" customWidth="1"/>
    <col min="12" max="12" width="8.88671875" customWidth="1"/>
    <col min="15" max="15" width="12" bestFit="1" customWidth="1"/>
  </cols>
  <sheetData>
    <row r="1" spans="2:17" ht="16.5" customHeight="1" x14ac:dyDescent="0.3"/>
    <row r="2" spans="2:17" ht="16.95" customHeight="1" x14ac:dyDescent="0.3">
      <c r="C2" s="154" t="s">
        <v>411</v>
      </c>
      <c r="D2" s="116"/>
      <c r="E2" s="116"/>
      <c r="F2" s="116"/>
      <c r="G2" s="116"/>
      <c r="H2" s="116"/>
      <c r="I2" s="116"/>
      <c r="J2" s="18" t="s">
        <v>4</v>
      </c>
    </row>
    <row r="3" spans="2:17" ht="15.6" x14ac:dyDescent="0.3">
      <c r="B3" s="18" t="s">
        <v>4</v>
      </c>
      <c r="C3" s="155" t="s">
        <v>412</v>
      </c>
      <c r="D3" s="116"/>
      <c r="E3" s="116"/>
      <c r="F3" s="116"/>
      <c r="G3" s="116"/>
      <c r="H3" s="116"/>
      <c r="I3" s="116"/>
      <c r="J3" s="18" t="s">
        <v>4</v>
      </c>
    </row>
    <row r="4" spans="2:17" ht="15" x14ac:dyDescent="0.3">
      <c r="B4" s="18" t="s">
        <v>4</v>
      </c>
      <c r="C4" s="156" t="s">
        <v>4</v>
      </c>
      <c r="D4" s="116"/>
      <c r="E4" s="116"/>
      <c r="F4" s="116"/>
      <c r="G4" s="116"/>
      <c r="H4" s="96" t="s">
        <v>4</v>
      </c>
      <c r="I4" s="96" t="s">
        <v>4</v>
      </c>
      <c r="J4" s="18" t="s">
        <v>4</v>
      </c>
    </row>
    <row r="5" spans="2:17" ht="27" x14ac:dyDescent="0.3">
      <c r="B5" s="97" t="s">
        <v>413</v>
      </c>
      <c r="C5" s="97" t="s">
        <v>414</v>
      </c>
      <c r="D5" s="97" t="s">
        <v>415</v>
      </c>
      <c r="E5" s="97" t="s">
        <v>416</v>
      </c>
      <c r="F5" s="97" t="s">
        <v>183</v>
      </c>
      <c r="G5" s="97" t="s">
        <v>417</v>
      </c>
      <c r="H5" s="97" t="s">
        <v>418</v>
      </c>
      <c r="I5" s="97" t="s">
        <v>419</v>
      </c>
      <c r="J5" s="97" t="s">
        <v>420</v>
      </c>
      <c r="O5">
        <v>1</v>
      </c>
      <c r="P5">
        <v>2</v>
      </c>
      <c r="Q5">
        <v>3</v>
      </c>
    </row>
    <row r="6" spans="2:17" hidden="1" x14ac:dyDescent="0.3">
      <c r="B6" s="98" t="s">
        <v>421</v>
      </c>
      <c r="C6" s="99" t="s">
        <v>422</v>
      </c>
      <c r="D6" s="100">
        <v>44461</v>
      </c>
      <c r="E6" s="98">
        <v>530</v>
      </c>
      <c r="F6" s="101">
        <v>373</v>
      </c>
      <c r="G6" s="100">
        <v>45890</v>
      </c>
      <c r="H6" s="99" t="s">
        <v>423</v>
      </c>
      <c r="I6" s="99" t="s">
        <v>424</v>
      </c>
      <c r="J6" s="99" t="s">
        <v>425</v>
      </c>
      <c r="L6">
        <f>--LEFT(I6,FIND("X",I6)-1)</f>
        <v>10</v>
      </c>
      <c r="M6">
        <f>--RIGHT(I6,LEN(I6)-FIND("X",I6))</f>
        <v>15</v>
      </c>
      <c r="N6">
        <f>L6*M6</f>
        <v>150</v>
      </c>
      <c r="O6" s="158">
        <f>E6/N6</f>
        <v>3.5333333333333332</v>
      </c>
      <c r="P6" s="159">
        <f>F6-E6</f>
        <v>-157</v>
      </c>
    </row>
    <row r="7" spans="2:17" x14ac:dyDescent="0.3">
      <c r="B7" s="102" t="s">
        <v>426</v>
      </c>
      <c r="C7" s="103" t="s">
        <v>427</v>
      </c>
      <c r="D7" s="104">
        <v>45011</v>
      </c>
      <c r="E7" s="102">
        <v>255</v>
      </c>
      <c r="F7" s="105">
        <v>278</v>
      </c>
      <c r="G7" s="104">
        <v>45895</v>
      </c>
      <c r="H7" s="103" t="s">
        <v>423</v>
      </c>
      <c r="I7" s="103" t="s">
        <v>428</v>
      </c>
      <c r="J7" s="103" t="s">
        <v>425</v>
      </c>
      <c r="L7">
        <f t="shared" ref="L7:L70" si="0">--LEFT(I7,FIND("X",I7)-1)</f>
        <v>10</v>
      </c>
      <c r="M7">
        <f t="shared" ref="M7:M70" si="1">--RIGHT(I7,LEN(I7)-FIND("X",I7))</f>
        <v>10</v>
      </c>
      <c r="N7">
        <f t="shared" ref="N7:N70" si="2">L7*M7</f>
        <v>100</v>
      </c>
      <c r="O7" s="158">
        <f t="shared" ref="O7:O13" si="3">E7/N7</f>
        <v>2.5499999999999998</v>
      </c>
      <c r="P7" s="159">
        <f t="shared" ref="P7:P13" si="4">F7-E7</f>
        <v>23</v>
      </c>
    </row>
    <row r="8" spans="2:17" hidden="1" x14ac:dyDescent="0.3">
      <c r="B8" s="98" t="s">
        <v>429</v>
      </c>
      <c r="C8" s="99" t="s">
        <v>430</v>
      </c>
      <c r="D8" s="100">
        <v>45569</v>
      </c>
      <c r="E8" s="98">
        <v>251</v>
      </c>
      <c r="F8" s="101">
        <v>187</v>
      </c>
      <c r="G8" s="100">
        <v>45872</v>
      </c>
      <c r="H8" s="99" t="s">
        <v>423</v>
      </c>
      <c r="I8" s="99" t="s">
        <v>431</v>
      </c>
      <c r="J8" s="99" t="s">
        <v>425</v>
      </c>
      <c r="L8">
        <f t="shared" si="0"/>
        <v>5</v>
      </c>
      <c r="M8">
        <f t="shared" si="1"/>
        <v>15</v>
      </c>
      <c r="N8">
        <f t="shared" si="2"/>
        <v>75</v>
      </c>
      <c r="O8" s="158">
        <f t="shared" si="3"/>
        <v>3.3466666666666667</v>
      </c>
      <c r="P8" s="159">
        <f t="shared" si="4"/>
        <v>-64</v>
      </c>
    </row>
    <row r="9" spans="2:17" hidden="1" x14ac:dyDescent="0.3">
      <c r="B9" s="102" t="s">
        <v>432</v>
      </c>
      <c r="C9" s="103" t="s">
        <v>433</v>
      </c>
      <c r="D9" s="104">
        <v>44873</v>
      </c>
      <c r="E9" s="102">
        <v>314</v>
      </c>
      <c r="F9" s="105">
        <v>278</v>
      </c>
      <c r="G9" s="104">
        <v>45876</v>
      </c>
      <c r="H9" s="103" t="s">
        <v>423</v>
      </c>
      <c r="I9" s="103" t="s">
        <v>428</v>
      </c>
      <c r="J9" s="103" t="s">
        <v>425</v>
      </c>
      <c r="L9">
        <f t="shared" si="0"/>
        <v>10</v>
      </c>
      <c r="M9">
        <f t="shared" si="1"/>
        <v>10</v>
      </c>
      <c r="N9">
        <f t="shared" si="2"/>
        <v>100</v>
      </c>
      <c r="O9" s="158">
        <f t="shared" si="3"/>
        <v>3.14</v>
      </c>
      <c r="P9" s="159">
        <f t="shared" si="4"/>
        <v>-36</v>
      </c>
    </row>
    <row r="10" spans="2:17" hidden="1" x14ac:dyDescent="0.3">
      <c r="B10" s="98" t="s">
        <v>434</v>
      </c>
      <c r="C10" s="99" t="s">
        <v>435</v>
      </c>
      <c r="D10" s="100">
        <v>45627</v>
      </c>
      <c r="E10" s="98">
        <v>292</v>
      </c>
      <c r="F10" s="101">
        <v>278</v>
      </c>
      <c r="G10" s="100">
        <v>45869</v>
      </c>
      <c r="H10" s="99" t="s">
        <v>423</v>
      </c>
      <c r="I10" s="99" t="s">
        <v>428</v>
      </c>
      <c r="J10" s="99" t="s">
        <v>425</v>
      </c>
      <c r="L10">
        <f t="shared" si="0"/>
        <v>10</v>
      </c>
      <c r="M10">
        <f t="shared" si="1"/>
        <v>10</v>
      </c>
      <c r="N10">
        <f t="shared" si="2"/>
        <v>100</v>
      </c>
      <c r="O10" s="158">
        <f t="shared" si="3"/>
        <v>2.92</v>
      </c>
      <c r="P10" s="159">
        <f t="shared" si="4"/>
        <v>-14</v>
      </c>
    </row>
    <row r="11" spans="2:17" x14ac:dyDescent="0.3">
      <c r="B11" s="102" t="s">
        <v>436</v>
      </c>
      <c r="C11" s="103" t="s">
        <v>437</v>
      </c>
      <c r="D11" s="104">
        <v>44967</v>
      </c>
      <c r="E11" s="102">
        <v>160</v>
      </c>
      <c r="F11" s="105">
        <v>187</v>
      </c>
      <c r="G11" s="104">
        <v>45878</v>
      </c>
      <c r="H11" s="103" t="s">
        <v>423</v>
      </c>
      <c r="I11" s="103" t="s">
        <v>431</v>
      </c>
      <c r="J11" s="103" t="s">
        <v>425</v>
      </c>
      <c r="L11">
        <f t="shared" si="0"/>
        <v>5</v>
      </c>
      <c r="M11">
        <f t="shared" si="1"/>
        <v>15</v>
      </c>
      <c r="N11">
        <f t="shared" si="2"/>
        <v>75</v>
      </c>
      <c r="O11" s="158">
        <f t="shared" si="3"/>
        <v>2.1333333333333333</v>
      </c>
      <c r="P11" s="159">
        <f t="shared" si="4"/>
        <v>27</v>
      </c>
    </row>
    <row r="12" spans="2:17" hidden="1" x14ac:dyDescent="0.3">
      <c r="B12" s="98" t="s">
        <v>438</v>
      </c>
      <c r="C12" s="99" t="s">
        <v>439</v>
      </c>
      <c r="D12" s="100">
        <v>44956</v>
      </c>
      <c r="E12" s="98">
        <v>309</v>
      </c>
      <c r="F12" s="101">
        <v>278</v>
      </c>
      <c r="G12" s="100">
        <v>45898</v>
      </c>
      <c r="H12" s="99" t="s">
        <v>423</v>
      </c>
      <c r="I12" s="99" t="s">
        <v>428</v>
      </c>
      <c r="J12" s="99" t="s">
        <v>425</v>
      </c>
      <c r="L12">
        <f t="shared" si="0"/>
        <v>10</v>
      </c>
      <c r="M12">
        <f t="shared" si="1"/>
        <v>10</v>
      </c>
      <c r="N12">
        <f t="shared" si="2"/>
        <v>100</v>
      </c>
      <c r="O12" s="158">
        <f t="shared" si="3"/>
        <v>3.09</v>
      </c>
      <c r="P12" s="159">
        <f t="shared" si="4"/>
        <v>-31</v>
      </c>
    </row>
    <row r="13" spans="2:17" x14ac:dyDescent="0.3">
      <c r="B13" s="102" t="s">
        <v>440</v>
      </c>
      <c r="C13" s="103" t="s">
        <v>441</v>
      </c>
      <c r="D13" s="104">
        <v>45177</v>
      </c>
      <c r="E13" s="102">
        <v>136</v>
      </c>
      <c r="F13" s="105">
        <v>139</v>
      </c>
      <c r="G13" s="104">
        <v>45815</v>
      </c>
      <c r="H13" s="103" t="s">
        <v>442</v>
      </c>
      <c r="I13" s="103" t="s">
        <v>443</v>
      </c>
      <c r="J13" s="103" t="s">
        <v>425</v>
      </c>
      <c r="L13">
        <f t="shared" si="0"/>
        <v>10</v>
      </c>
      <c r="M13">
        <f t="shared" si="1"/>
        <v>5</v>
      </c>
      <c r="N13">
        <f t="shared" si="2"/>
        <v>50</v>
      </c>
      <c r="O13" s="158">
        <f t="shared" si="3"/>
        <v>2.72</v>
      </c>
      <c r="P13" s="159">
        <f t="shared" si="4"/>
        <v>3</v>
      </c>
    </row>
    <row r="14" spans="2:17" hidden="1" x14ac:dyDescent="0.3">
      <c r="B14" s="98"/>
      <c r="C14" s="99" t="s">
        <v>444</v>
      </c>
      <c r="D14" s="99"/>
      <c r="E14" s="98"/>
      <c r="F14" s="101">
        <v>187</v>
      </c>
      <c r="G14" s="99"/>
      <c r="H14" s="99" t="s">
        <v>445</v>
      </c>
      <c r="I14" s="99" t="s">
        <v>446</v>
      </c>
      <c r="J14" s="99" t="s">
        <v>425</v>
      </c>
      <c r="L14">
        <f t="shared" si="0"/>
        <v>15</v>
      </c>
      <c r="M14">
        <f t="shared" si="1"/>
        <v>5</v>
      </c>
      <c r="N14">
        <f t="shared" si="2"/>
        <v>75</v>
      </c>
    </row>
    <row r="15" spans="2:17" x14ac:dyDescent="0.3">
      <c r="B15" s="102" t="s">
        <v>447</v>
      </c>
      <c r="C15" s="103" t="s">
        <v>448</v>
      </c>
      <c r="D15" s="104">
        <v>45722</v>
      </c>
      <c r="E15" s="102">
        <v>363</v>
      </c>
      <c r="F15" s="105">
        <v>476</v>
      </c>
      <c r="G15" s="104">
        <v>45881</v>
      </c>
      <c r="H15" s="103" t="s">
        <v>423</v>
      </c>
      <c r="I15" s="103" t="s">
        <v>449</v>
      </c>
      <c r="J15" s="103" t="s">
        <v>450</v>
      </c>
      <c r="L15">
        <f t="shared" si="0"/>
        <v>20</v>
      </c>
      <c r="M15">
        <f t="shared" si="1"/>
        <v>10</v>
      </c>
      <c r="N15">
        <f t="shared" si="2"/>
        <v>200</v>
      </c>
      <c r="O15" s="158">
        <f t="shared" ref="O15:O30" si="5">E15/N15</f>
        <v>1.8149999999999999</v>
      </c>
      <c r="P15" s="159">
        <f t="shared" ref="P15:P30" si="6">F15-E15</f>
        <v>113</v>
      </c>
    </row>
    <row r="16" spans="2:17" x14ac:dyDescent="0.3">
      <c r="B16" s="98" t="s">
        <v>451</v>
      </c>
      <c r="C16" s="99" t="s">
        <v>452</v>
      </c>
      <c r="D16" s="100">
        <v>45839</v>
      </c>
      <c r="E16" s="98">
        <v>97</v>
      </c>
      <c r="F16" s="101">
        <v>187</v>
      </c>
      <c r="G16" s="100">
        <v>45869</v>
      </c>
      <c r="H16" s="99" t="s">
        <v>423</v>
      </c>
      <c r="I16" s="99" t="s">
        <v>431</v>
      </c>
      <c r="J16" s="99" t="s">
        <v>425</v>
      </c>
      <c r="L16">
        <f t="shared" si="0"/>
        <v>5</v>
      </c>
      <c r="M16">
        <f t="shared" si="1"/>
        <v>15</v>
      </c>
      <c r="N16">
        <f t="shared" si="2"/>
        <v>75</v>
      </c>
      <c r="O16" s="158">
        <f t="shared" si="5"/>
        <v>1.2933333333333332</v>
      </c>
      <c r="P16" s="159">
        <f t="shared" si="6"/>
        <v>90</v>
      </c>
    </row>
    <row r="17" spans="2:16" x14ac:dyDescent="0.3">
      <c r="B17" s="102" t="s">
        <v>453</v>
      </c>
      <c r="C17" s="103" t="s">
        <v>454</v>
      </c>
      <c r="D17" s="104">
        <v>45229</v>
      </c>
      <c r="E17" s="102">
        <v>191</v>
      </c>
      <c r="F17" s="105">
        <v>278</v>
      </c>
      <c r="G17" s="104">
        <v>45898</v>
      </c>
      <c r="H17" s="103" t="s">
        <v>423</v>
      </c>
      <c r="I17" s="103" t="s">
        <v>428</v>
      </c>
      <c r="J17" s="103" t="s">
        <v>425</v>
      </c>
      <c r="L17">
        <f t="shared" si="0"/>
        <v>10</v>
      </c>
      <c r="M17">
        <f t="shared" si="1"/>
        <v>10</v>
      </c>
      <c r="N17">
        <f t="shared" si="2"/>
        <v>100</v>
      </c>
      <c r="O17" s="158">
        <f t="shared" si="5"/>
        <v>1.91</v>
      </c>
      <c r="P17" s="159">
        <f t="shared" si="6"/>
        <v>87</v>
      </c>
    </row>
    <row r="18" spans="2:16" hidden="1" x14ac:dyDescent="0.3">
      <c r="B18" s="98" t="s">
        <v>455</v>
      </c>
      <c r="C18" s="99" t="s">
        <v>456</v>
      </c>
      <c r="D18" s="100">
        <v>45589</v>
      </c>
      <c r="E18" s="98">
        <v>264</v>
      </c>
      <c r="F18" s="101">
        <v>187</v>
      </c>
      <c r="G18" s="100">
        <v>45894</v>
      </c>
      <c r="H18" s="99" t="s">
        <v>423</v>
      </c>
      <c r="I18" s="99" t="s">
        <v>431</v>
      </c>
      <c r="J18" s="99" t="s">
        <v>425</v>
      </c>
      <c r="L18">
        <f t="shared" si="0"/>
        <v>5</v>
      </c>
      <c r="M18">
        <f t="shared" si="1"/>
        <v>15</v>
      </c>
      <c r="N18">
        <f t="shared" si="2"/>
        <v>75</v>
      </c>
      <c r="O18" s="158">
        <f t="shared" si="5"/>
        <v>3.52</v>
      </c>
      <c r="P18" s="159">
        <f t="shared" si="6"/>
        <v>-77</v>
      </c>
    </row>
    <row r="19" spans="2:16" x14ac:dyDescent="0.3">
      <c r="B19" s="102" t="s">
        <v>457</v>
      </c>
      <c r="C19" s="103" t="s">
        <v>458</v>
      </c>
      <c r="D19" s="104">
        <v>45633</v>
      </c>
      <c r="E19" s="102">
        <v>180</v>
      </c>
      <c r="F19" s="105">
        <v>187</v>
      </c>
      <c r="G19" s="104">
        <v>45875</v>
      </c>
      <c r="H19" s="103" t="s">
        <v>423</v>
      </c>
      <c r="I19" s="103" t="s">
        <v>446</v>
      </c>
      <c r="J19" s="103" t="s">
        <v>425</v>
      </c>
      <c r="L19">
        <f t="shared" si="0"/>
        <v>15</v>
      </c>
      <c r="M19">
        <f t="shared" si="1"/>
        <v>5</v>
      </c>
      <c r="N19">
        <f t="shared" si="2"/>
        <v>75</v>
      </c>
      <c r="O19" s="158">
        <f t="shared" si="5"/>
        <v>2.4</v>
      </c>
      <c r="P19" s="159">
        <f t="shared" si="6"/>
        <v>7</v>
      </c>
    </row>
    <row r="20" spans="2:16" x14ac:dyDescent="0.3">
      <c r="B20" s="98" t="s">
        <v>459</v>
      </c>
      <c r="C20" s="99" t="s">
        <v>460</v>
      </c>
      <c r="D20" s="100">
        <v>45184</v>
      </c>
      <c r="E20" s="98">
        <v>270</v>
      </c>
      <c r="F20" s="101">
        <v>278</v>
      </c>
      <c r="G20" s="100">
        <v>45883</v>
      </c>
      <c r="H20" s="99" t="s">
        <v>423</v>
      </c>
      <c r="I20" s="99" t="s">
        <v>428</v>
      </c>
      <c r="J20" s="99" t="s">
        <v>425</v>
      </c>
      <c r="L20">
        <f t="shared" si="0"/>
        <v>10</v>
      </c>
      <c r="M20">
        <f t="shared" si="1"/>
        <v>10</v>
      </c>
      <c r="N20">
        <f t="shared" si="2"/>
        <v>100</v>
      </c>
      <c r="O20" s="158">
        <f t="shared" si="5"/>
        <v>2.7</v>
      </c>
      <c r="P20" s="159">
        <f t="shared" si="6"/>
        <v>8</v>
      </c>
    </row>
    <row r="21" spans="2:16" x14ac:dyDescent="0.3">
      <c r="B21" s="102" t="s">
        <v>461</v>
      </c>
      <c r="C21" s="103" t="s">
        <v>462</v>
      </c>
      <c r="D21" s="104">
        <v>45729</v>
      </c>
      <c r="E21" s="102">
        <v>136</v>
      </c>
      <c r="F21" s="105">
        <v>139</v>
      </c>
      <c r="G21" s="104">
        <v>45881</v>
      </c>
      <c r="H21" s="103" t="s">
        <v>423</v>
      </c>
      <c r="I21" s="103" t="s">
        <v>463</v>
      </c>
      <c r="J21" s="103" t="s">
        <v>425</v>
      </c>
      <c r="L21">
        <f t="shared" si="0"/>
        <v>5</v>
      </c>
      <c r="M21">
        <f t="shared" si="1"/>
        <v>10</v>
      </c>
      <c r="N21">
        <f t="shared" si="2"/>
        <v>50</v>
      </c>
      <c r="O21" s="158">
        <f t="shared" si="5"/>
        <v>2.72</v>
      </c>
      <c r="P21" s="159">
        <f t="shared" si="6"/>
        <v>3</v>
      </c>
    </row>
    <row r="22" spans="2:16" x14ac:dyDescent="0.3">
      <c r="B22" s="98" t="s">
        <v>464</v>
      </c>
      <c r="C22" s="99" t="s">
        <v>465</v>
      </c>
      <c r="D22" s="100">
        <v>44998</v>
      </c>
      <c r="E22" s="98">
        <v>380</v>
      </c>
      <c r="F22" s="101">
        <v>476</v>
      </c>
      <c r="G22" s="100">
        <v>45881</v>
      </c>
      <c r="H22" s="99" t="s">
        <v>423</v>
      </c>
      <c r="I22" s="99" t="s">
        <v>449</v>
      </c>
      <c r="J22" s="99" t="s">
        <v>450</v>
      </c>
      <c r="L22">
        <f t="shared" si="0"/>
        <v>20</v>
      </c>
      <c r="M22">
        <f t="shared" si="1"/>
        <v>10</v>
      </c>
      <c r="N22">
        <f t="shared" si="2"/>
        <v>200</v>
      </c>
      <c r="O22" s="158">
        <f t="shared" si="5"/>
        <v>1.9</v>
      </c>
      <c r="P22" s="159">
        <f t="shared" si="6"/>
        <v>96</v>
      </c>
    </row>
    <row r="23" spans="2:16" x14ac:dyDescent="0.3">
      <c r="B23" s="102" t="s">
        <v>466</v>
      </c>
      <c r="C23" s="103" t="s">
        <v>467</v>
      </c>
      <c r="D23" s="104">
        <v>45795</v>
      </c>
      <c r="E23" s="102">
        <v>100</v>
      </c>
      <c r="F23" s="105">
        <v>139</v>
      </c>
      <c r="G23" s="104">
        <v>45886</v>
      </c>
      <c r="H23" s="103" t="s">
        <v>423</v>
      </c>
      <c r="I23" s="103" t="s">
        <v>463</v>
      </c>
      <c r="J23" s="103" t="s">
        <v>425</v>
      </c>
      <c r="L23">
        <f t="shared" si="0"/>
        <v>5</v>
      </c>
      <c r="M23">
        <f t="shared" si="1"/>
        <v>10</v>
      </c>
      <c r="N23">
        <f t="shared" si="2"/>
        <v>50</v>
      </c>
      <c r="O23" s="158">
        <f t="shared" si="5"/>
        <v>2</v>
      </c>
      <c r="P23" s="159">
        <f t="shared" si="6"/>
        <v>39</v>
      </c>
    </row>
    <row r="24" spans="2:16" hidden="1" x14ac:dyDescent="0.3">
      <c r="B24" s="98" t="s">
        <v>468</v>
      </c>
      <c r="C24" s="99" t="s">
        <v>469</v>
      </c>
      <c r="D24" s="100">
        <v>45840</v>
      </c>
      <c r="E24" s="98">
        <v>187</v>
      </c>
      <c r="F24" s="101">
        <v>187</v>
      </c>
      <c r="G24" s="100">
        <v>45870</v>
      </c>
      <c r="H24" s="99" t="s">
        <v>423</v>
      </c>
      <c r="I24" s="99" t="s">
        <v>431</v>
      </c>
      <c r="J24" s="99" t="s">
        <v>425</v>
      </c>
      <c r="L24">
        <f t="shared" si="0"/>
        <v>5</v>
      </c>
      <c r="M24">
        <f t="shared" si="1"/>
        <v>15</v>
      </c>
      <c r="N24">
        <f t="shared" si="2"/>
        <v>75</v>
      </c>
      <c r="O24" s="158">
        <f t="shared" si="5"/>
        <v>2.4933333333333332</v>
      </c>
      <c r="P24" s="159">
        <f t="shared" si="6"/>
        <v>0</v>
      </c>
    </row>
    <row r="25" spans="2:16" hidden="1" x14ac:dyDescent="0.3">
      <c r="B25" s="102" t="s">
        <v>470</v>
      </c>
      <c r="C25" s="103" t="s">
        <v>471</v>
      </c>
      <c r="D25" s="104">
        <v>45159</v>
      </c>
      <c r="E25" s="102">
        <v>230</v>
      </c>
      <c r="F25" s="105">
        <v>187</v>
      </c>
      <c r="G25" s="104">
        <v>45858</v>
      </c>
      <c r="H25" s="103" t="s">
        <v>442</v>
      </c>
      <c r="I25" s="103" t="s">
        <v>431</v>
      </c>
      <c r="J25" s="103" t="s">
        <v>425</v>
      </c>
      <c r="L25">
        <f t="shared" si="0"/>
        <v>5</v>
      </c>
      <c r="M25">
        <f t="shared" si="1"/>
        <v>15</v>
      </c>
      <c r="N25">
        <f t="shared" si="2"/>
        <v>75</v>
      </c>
      <c r="O25" s="158">
        <f t="shared" si="5"/>
        <v>3.0666666666666669</v>
      </c>
      <c r="P25" s="159">
        <f t="shared" si="6"/>
        <v>-43</v>
      </c>
    </row>
    <row r="26" spans="2:16" hidden="1" x14ac:dyDescent="0.3">
      <c r="B26" s="98" t="s">
        <v>472</v>
      </c>
      <c r="C26" s="99" t="s">
        <v>473</v>
      </c>
      <c r="D26" s="100">
        <v>45163</v>
      </c>
      <c r="E26" s="98">
        <v>311</v>
      </c>
      <c r="F26" s="101">
        <v>278</v>
      </c>
      <c r="G26" s="100">
        <v>45893</v>
      </c>
      <c r="H26" s="99" t="s">
        <v>423</v>
      </c>
      <c r="I26" s="99" t="s">
        <v>428</v>
      </c>
      <c r="J26" s="99" t="s">
        <v>425</v>
      </c>
      <c r="L26">
        <f t="shared" si="0"/>
        <v>10</v>
      </c>
      <c r="M26">
        <f t="shared" si="1"/>
        <v>10</v>
      </c>
      <c r="N26">
        <f t="shared" si="2"/>
        <v>100</v>
      </c>
      <c r="O26" s="158">
        <f t="shared" si="5"/>
        <v>3.11</v>
      </c>
      <c r="P26" s="159">
        <f t="shared" si="6"/>
        <v>-33</v>
      </c>
    </row>
    <row r="27" spans="2:16" hidden="1" x14ac:dyDescent="0.3">
      <c r="B27" s="102" t="s">
        <v>474</v>
      </c>
      <c r="C27" s="103" t="s">
        <v>475</v>
      </c>
      <c r="D27" s="104">
        <v>44974</v>
      </c>
      <c r="E27" s="102">
        <v>192</v>
      </c>
      <c r="F27" s="105">
        <v>187</v>
      </c>
      <c r="G27" s="104">
        <v>45885</v>
      </c>
      <c r="H27" s="103" t="s">
        <v>423</v>
      </c>
      <c r="I27" s="103" t="s">
        <v>446</v>
      </c>
      <c r="J27" s="103" t="s">
        <v>425</v>
      </c>
      <c r="L27">
        <f t="shared" si="0"/>
        <v>15</v>
      </c>
      <c r="M27">
        <f t="shared" si="1"/>
        <v>5</v>
      </c>
      <c r="N27">
        <f t="shared" si="2"/>
        <v>75</v>
      </c>
      <c r="O27" s="158">
        <f t="shared" si="5"/>
        <v>2.56</v>
      </c>
      <c r="P27" s="159">
        <f t="shared" si="6"/>
        <v>-5</v>
      </c>
    </row>
    <row r="28" spans="2:16" hidden="1" x14ac:dyDescent="0.3">
      <c r="B28" s="98" t="s">
        <v>476</v>
      </c>
      <c r="C28" s="99" t="s">
        <v>477</v>
      </c>
      <c r="D28" s="100">
        <v>44665</v>
      </c>
      <c r="E28" s="98">
        <v>300</v>
      </c>
      <c r="F28" s="101">
        <v>278</v>
      </c>
      <c r="G28" s="100">
        <v>45882</v>
      </c>
      <c r="H28" s="99" t="s">
        <v>423</v>
      </c>
      <c r="I28" s="99" t="s">
        <v>428</v>
      </c>
      <c r="J28" s="99" t="s">
        <v>425</v>
      </c>
      <c r="L28">
        <f t="shared" si="0"/>
        <v>10</v>
      </c>
      <c r="M28">
        <f t="shared" si="1"/>
        <v>10</v>
      </c>
      <c r="N28">
        <f t="shared" si="2"/>
        <v>100</v>
      </c>
      <c r="O28" s="158">
        <f t="shared" si="5"/>
        <v>3</v>
      </c>
      <c r="P28" s="159">
        <f t="shared" si="6"/>
        <v>-22</v>
      </c>
    </row>
    <row r="29" spans="2:16" hidden="1" x14ac:dyDescent="0.3">
      <c r="B29" s="102" t="s">
        <v>478</v>
      </c>
      <c r="C29" s="103" t="s">
        <v>479</v>
      </c>
      <c r="D29" s="104">
        <v>45126</v>
      </c>
      <c r="E29" s="102">
        <v>318</v>
      </c>
      <c r="F29" s="105">
        <v>278</v>
      </c>
      <c r="G29" s="104">
        <v>45887</v>
      </c>
      <c r="H29" s="103" t="s">
        <v>423</v>
      </c>
      <c r="I29" s="103" t="s">
        <v>428</v>
      </c>
      <c r="J29" s="103" t="s">
        <v>425</v>
      </c>
      <c r="L29">
        <f t="shared" si="0"/>
        <v>10</v>
      </c>
      <c r="M29">
        <f t="shared" si="1"/>
        <v>10</v>
      </c>
      <c r="N29">
        <f t="shared" si="2"/>
        <v>100</v>
      </c>
      <c r="O29" s="158">
        <f t="shared" si="5"/>
        <v>3.18</v>
      </c>
      <c r="P29" s="159">
        <f t="shared" si="6"/>
        <v>-40</v>
      </c>
    </row>
    <row r="30" spans="2:16" hidden="1" x14ac:dyDescent="0.3">
      <c r="B30" s="98" t="s">
        <v>480</v>
      </c>
      <c r="C30" s="99" t="s">
        <v>481</v>
      </c>
      <c r="D30" s="100">
        <v>45681</v>
      </c>
      <c r="E30" s="98">
        <v>100</v>
      </c>
      <c r="F30" s="101">
        <v>83</v>
      </c>
      <c r="G30" s="100">
        <v>45861</v>
      </c>
      <c r="H30" s="99" t="s">
        <v>442</v>
      </c>
      <c r="I30" s="99" t="s">
        <v>482</v>
      </c>
      <c r="J30" s="99" t="s">
        <v>425</v>
      </c>
      <c r="L30">
        <f t="shared" si="0"/>
        <v>5</v>
      </c>
      <c r="M30">
        <f t="shared" si="1"/>
        <v>5</v>
      </c>
      <c r="N30">
        <f t="shared" si="2"/>
        <v>25</v>
      </c>
      <c r="O30" s="158">
        <f t="shared" si="5"/>
        <v>4</v>
      </c>
      <c r="P30" s="159">
        <f t="shared" si="6"/>
        <v>-17</v>
      </c>
    </row>
    <row r="31" spans="2:16" hidden="1" x14ac:dyDescent="0.3">
      <c r="B31" s="102"/>
      <c r="C31" s="103" t="s">
        <v>483</v>
      </c>
      <c r="D31" s="103"/>
      <c r="E31" s="102"/>
      <c r="F31" s="105">
        <v>83</v>
      </c>
      <c r="G31" s="103"/>
      <c r="H31" s="103" t="s">
        <v>445</v>
      </c>
      <c r="I31" s="103" t="s">
        <v>482</v>
      </c>
      <c r="J31" s="103" t="s">
        <v>425</v>
      </c>
      <c r="L31">
        <f t="shared" si="0"/>
        <v>5</v>
      </c>
      <c r="M31">
        <f t="shared" si="1"/>
        <v>5</v>
      </c>
      <c r="N31">
        <f t="shared" si="2"/>
        <v>25</v>
      </c>
    </row>
    <row r="32" spans="2:16" hidden="1" x14ac:dyDescent="0.3">
      <c r="B32" s="98" t="s">
        <v>484</v>
      </c>
      <c r="C32" s="99" t="s">
        <v>485</v>
      </c>
      <c r="D32" s="100">
        <v>45548</v>
      </c>
      <c r="E32" s="98">
        <v>318</v>
      </c>
      <c r="F32" s="101">
        <v>278</v>
      </c>
      <c r="G32" s="100">
        <v>45882</v>
      </c>
      <c r="H32" s="99" t="s">
        <v>423</v>
      </c>
      <c r="I32" s="99" t="s">
        <v>428</v>
      </c>
      <c r="J32" s="99" t="s">
        <v>425</v>
      </c>
      <c r="L32">
        <f t="shared" si="0"/>
        <v>10</v>
      </c>
      <c r="M32">
        <f t="shared" si="1"/>
        <v>10</v>
      </c>
      <c r="N32">
        <f t="shared" si="2"/>
        <v>100</v>
      </c>
      <c r="O32" s="158">
        <f t="shared" ref="O32:O42" si="7">E32/N32</f>
        <v>3.18</v>
      </c>
      <c r="P32" s="159">
        <f t="shared" ref="P32:P42" si="8">F32-E32</f>
        <v>-40</v>
      </c>
    </row>
    <row r="33" spans="2:16" x14ac:dyDescent="0.3">
      <c r="B33" s="102" t="s">
        <v>486</v>
      </c>
      <c r="C33" s="103" t="s">
        <v>487</v>
      </c>
      <c r="D33" s="104">
        <v>45768</v>
      </c>
      <c r="E33" s="102">
        <v>178</v>
      </c>
      <c r="F33" s="105">
        <v>187</v>
      </c>
      <c r="G33" s="104">
        <v>45889</v>
      </c>
      <c r="H33" s="103" t="s">
        <v>423</v>
      </c>
      <c r="I33" s="103" t="s">
        <v>431</v>
      </c>
      <c r="J33" s="103" t="s">
        <v>425</v>
      </c>
      <c r="L33">
        <f t="shared" si="0"/>
        <v>5</v>
      </c>
      <c r="M33">
        <f t="shared" si="1"/>
        <v>15</v>
      </c>
      <c r="N33">
        <f t="shared" si="2"/>
        <v>75</v>
      </c>
      <c r="O33" s="158">
        <f t="shared" si="7"/>
        <v>2.3733333333333335</v>
      </c>
      <c r="P33" s="159">
        <f t="shared" si="8"/>
        <v>9</v>
      </c>
    </row>
    <row r="34" spans="2:16" hidden="1" x14ac:dyDescent="0.3">
      <c r="B34" s="98" t="s">
        <v>488</v>
      </c>
      <c r="C34" s="99" t="s">
        <v>489</v>
      </c>
      <c r="D34" s="100">
        <v>44971</v>
      </c>
      <c r="E34" s="98">
        <v>339</v>
      </c>
      <c r="F34" s="101">
        <v>278</v>
      </c>
      <c r="G34" s="100">
        <v>45882</v>
      </c>
      <c r="H34" s="99" t="s">
        <v>423</v>
      </c>
      <c r="I34" s="99" t="s">
        <v>428</v>
      </c>
      <c r="J34" s="99" t="s">
        <v>425</v>
      </c>
      <c r="L34">
        <f t="shared" si="0"/>
        <v>10</v>
      </c>
      <c r="M34">
        <f t="shared" si="1"/>
        <v>10</v>
      </c>
      <c r="N34">
        <f t="shared" si="2"/>
        <v>100</v>
      </c>
      <c r="O34" s="158">
        <f t="shared" si="7"/>
        <v>3.39</v>
      </c>
      <c r="P34" s="159">
        <f t="shared" si="8"/>
        <v>-61</v>
      </c>
    </row>
    <row r="35" spans="2:16" x14ac:dyDescent="0.3">
      <c r="B35" s="102" t="s">
        <v>490</v>
      </c>
      <c r="C35" s="103" t="s">
        <v>491</v>
      </c>
      <c r="D35" s="104">
        <v>45198</v>
      </c>
      <c r="E35" s="102">
        <v>151</v>
      </c>
      <c r="F35" s="105">
        <v>187</v>
      </c>
      <c r="G35" s="104">
        <v>45866</v>
      </c>
      <c r="H35" s="103" t="s">
        <v>442</v>
      </c>
      <c r="I35" s="103" t="s">
        <v>431</v>
      </c>
      <c r="J35" s="103" t="s">
        <v>425</v>
      </c>
      <c r="L35">
        <f t="shared" si="0"/>
        <v>5</v>
      </c>
      <c r="M35">
        <f t="shared" si="1"/>
        <v>15</v>
      </c>
      <c r="N35">
        <f t="shared" si="2"/>
        <v>75</v>
      </c>
      <c r="O35" s="158">
        <f t="shared" si="7"/>
        <v>2.0133333333333332</v>
      </c>
      <c r="P35" s="159">
        <f t="shared" si="8"/>
        <v>36</v>
      </c>
    </row>
    <row r="36" spans="2:16" hidden="1" x14ac:dyDescent="0.3">
      <c r="B36" s="98" t="s">
        <v>492</v>
      </c>
      <c r="C36" s="99" t="s">
        <v>493</v>
      </c>
      <c r="D36" s="100">
        <v>45800</v>
      </c>
      <c r="E36" s="98">
        <v>203</v>
      </c>
      <c r="F36" s="101">
        <v>187</v>
      </c>
      <c r="G36" s="100">
        <v>45891</v>
      </c>
      <c r="H36" s="99" t="s">
        <v>423</v>
      </c>
      <c r="I36" s="99" t="s">
        <v>431</v>
      </c>
      <c r="J36" s="99" t="s">
        <v>425</v>
      </c>
      <c r="L36">
        <f t="shared" si="0"/>
        <v>5</v>
      </c>
      <c r="M36">
        <f t="shared" si="1"/>
        <v>15</v>
      </c>
      <c r="N36">
        <f t="shared" si="2"/>
        <v>75</v>
      </c>
      <c r="O36" s="158">
        <f t="shared" si="7"/>
        <v>2.7066666666666666</v>
      </c>
      <c r="P36" s="159">
        <f t="shared" si="8"/>
        <v>-16</v>
      </c>
    </row>
    <row r="37" spans="2:16" hidden="1" x14ac:dyDescent="0.3">
      <c r="B37" s="102" t="s">
        <v>494</v>
      </c>
      <c r="C37" s="103" t="s">
        <v>495</v>
      </c>
      <c r="D37" s="104">
        <v>45230</v>
      </c>
      <c r="E37" s="102">
        <v>318</v>
      </c>
      <c r="F37" s="105">
        <v>278</v>
      </c>
      <c r="G37" s="104">
        <v>45869</v>
      </c>
      <c r="H37" s="103" t="s">
        <v>423</v>
      </c>
      <c r="I37" s="103" t="s">
        <v>428</v>
      </c>
      <c r="J37" s="103" t="s">
        <v>425</v>
      </c>
      <c r="L37">
        <f t="shared" si="0"/>
        <v>10</v>
      </c>
      <c r="M37">
        <f t="shared" si="1"/>
        <v>10</v>
      </c>
      <c r="N37">
        <f t="shared" si="2"/>
        <v>100</v>
      </c>
      <c r="O37" s="158">
        <f t="shared" si="7"/>
        <v>3.18</v>
      </c>
      <c r="P37" s="159">
        <f t="shared" si="8"/>
        <v>-40</v>
      </c>
    </row>
    <row r="38" spans="2:16" hidden="1" x14ac:dyDescent="0.3">
      <c r="B38" s="98" t="s">
        <v>496</v>
      </c>
      <c r="C38" s="99" t="s">
        <v>497</v>
      </c>
      <c r="D38" s="100">
        <v>45321</v>
      </c>
      <c r="E38" s="98">
        <v>177</v>
      </c>
      <c r="F38" s="101">
        <v>118</v>
      </c>
      <c r="G38" s="100">
        <v>45869</v>
      </c>
      <c r="H38" s="99" t="s">
        <v>423</v>
      </c>
      <c r="I38" s="99" t="s">
        <v>498</v>
      </c>
      <c r="J38" s="99" t="s">
        <v>425</v>
      </c>
      <c r="L38">
        <f t="shared" si="0"/>
        <v>10</v>
      </c>
      <c r="M38">
        <f t="shared" si="1"/>
        <v>4</v>
      </c>
      <c r="N38">
        <f t="shared" si="2"/>
        <v>40</v>
      </c>
      <c r="O38" s="158">
        <f t="shared" si="7"/>
        <v>4.4249999999999998</v>
      </c>
      <c r="P38" s="159">
        <f t="shared" si="8"/>
        <v>-59</v>
      </c>
    </row>
    <row r="39" spans="2:16" x14ac:dyDescent="0.3">
      <c r="B39" s="102" t="s">
        <v>499</v>
      </c>
      <c r="C39" s="103" t="s">
        <v>500</v>
      </c>
      <c r="D39" s="104">
        <v>45754</v>
      </c>
      <c r="E39" s="102">
        <v>383</v>
      </c>
      <c r="F39" s="105">
        <v>476</v>
      </c>
      <c r="G39" s="104">
        <v>45882</v>
      </c>
      <c r="H39" s="103" t="s">
        <v>423</v>
      </c>
      <c r="I39" s="103" t="s">
        <v>449</v>
      </c>
      <c r="J39" s="103" t="s">
        <v>450</v>
      </c>
      <c r="L39">
        <f t="shared" si="0"/>
        <v>20</v>
      </c>
      <c r="M39">
        <f t="shared" si="1"/>
        <v>10</v>
      </c>
      <c r="N39">
        <f t="shared" si="2"/>
        <v>200</v>
      </c>
      <c r="O39" s="158">
        <f t="shared" si="7"/>
        <v>1.915</v>
      </c>
      <c r="P39" s="159">
        <f t="shared" si="8"/>
        <v>93</v>
      </c>
    </row>
    <row r="40" spans="2:16" hidden="1" x14ac:dyDescent="0.3">
      <c r="B40" s="98" t="s">
        <v>501</v>
      </c>
      <c r="C40" s="99" t="s">
        <v>502</v>
      </c>
      <c r="D40" s="100">
        <v>44941</v>
      </c>
      <c r="E40" s="98">
        <v>269</v>
      </c>
      <c r="F40" s="101">
        <v>187</v>
      </c>
      <c r="G40" s="100">
        <v>45889</v>
      </c>
      <c r="H40" s="99" t="s">
        <v>423</v>
      </c>
      <c r="I40" s="99" t="s">
        <v>446</v>
      </c>
      <c r="J40" s="99" t="s">
        <v>425</v>
      </c>
      <c r="L40">
        <f t="shared" si="0"/>
        <v>15</v>
      </c>
      <c r="M40">
        <f t="shared" si="1"/>
        <v>5</v>
      </c>
      <c r="N40">
        <f t="shared" si="2"/>
        <v>75</v>
      </c>
      <c r="O40" s="158">
        <f t="shared" si="7"/>
        <v>3.5866666666666664</v>
      </c>
      <c r="P40" s="159">
        <f t="shared" si="8"/>
        <v>-82</v>
      </c>
    </row>
    <row r="41" spans="2:16" x14ac:dyDescent="0.3">
      <c r="B41" s="102" t="s">
        <v>503</v>
      </c>
      <c r="C41" s="103" t="s">
        <v>504</v>
      </c>
      <c r="D41" s="104">
        <v>45722</v>
      </c>
      <c r="E41" s="102">
        <v>146</v>
      </c>
      <c r="F41" s="105">
        <v>149</v>
      </c>
      <c r="G41" s="104">
        <v>45874</v>
      </c>
      <c r="H41" s="103" t="s">
        <v>423</v>
      </c>
      <c r="I41" s="103" t="s">
        <v>505</v>
      </c>
      <c r="J41" s="103" t="s">
        <v>425</v>
      </c>
      <c r="L41">
        <f t="shared" si="0"/>
        <v>5</v>
      </c>
      <c r="M41">
        <f t="shared" si="1"/>
        <v>11</v>
      </c>
      <c r="N41">
        <f t="shared" si="2"/>
        <v>55</v>
      </c>
      <c r="O41" s="158">
        <f t="shared" si="7"/>
        <v>2.6545454545454548</v>
      </c>
      <c r="P41" s="159">
        <f t="shared" si="8"/>
        <v>3</v>
      </c>
    </row>
    <row r="42" spans="2:16" hidden="1" x14ac:dyDescent="0.3">
      <c r="B42" s="98" t="s">
        <v>506</v>
      </c>
      <c r="C42" s="99" t="s">
        <v>507</v>
      </c>
      <c r="D42" s="100">
        <v>45817</v>
      </c>
      <c r="E42" s="98">
        <v>158</v>
      </c>
      <c r="F42" s="101">
        <v>139</v>
      </c>
      <c r="G42" s="100">
        <v>45877</v>
      </c>
      <c r="H42" s="99" t="s">
        <v>423</v>
      </c>
      <c r="I42" s="99" t="s">
        <v>463</v>
      </c>
      <c r="J42" s="99" t="s">
        <v>425</v>
      </c>
      <c r="L42">
        <f t="shared" si="0"/>
        <v>5</v>
      </c>
      <c r="M42">
        <f t="shared" si="1"/>
        <v>10</v>
      </c>
      <c r="N42">
        <f t="shared" si="2"/>
        <v>50</v>
      </c>
      <c r="O42" s="158">
        <f t="shared" si="7"/>
        <v>3.16</v>
      </c>
      <c r="P42" s="159">
        <f t="shared" si="8"/>
        <v>-19</v>
      </c>
    </row>
    <row r="43" spans="2:16" hidden="1" x14ac:dyDescent="0.3">
      <c r="B43" s="102"/>
      <c r="C43" s="103" t="s">
        <v>508</v>
      </c>
      <c r="D43" s="103"/>
      <c r="E43" s="102"/>
      <c r="F43" s="105">
        <v>187</v>
      </c>
      <c r="G43" s="103"/>
      <c r="H43" s="103" t="s">
        <v>445</v>
      </c>
      <c r="I43" s="103" t="s">
        <v>431</v>
      </c>
      <c r="J43" s="103" t="s">
        <v>425</v>
      </c>
      <c r="L43">
        <f t="shared" si="0"/>
        <v>5</v>
      </c>
      <c r="M43">
        <f t="shared" si="1"/>
        <v>15</v>
      </c>
      <c r="N43">
        <f t="shared" si="2"/>
        <v>75</v>
      </c>
    </row>
    <row r="44" spans="2:16" x14ac:dyDescent="0.3">
      <c r="B44" s="98" t="s">
        <v>509</v>
      </c>
      <c r="C44" s="99" t="s">
        <v>510</v>
      </c>
      <c r="D44" s="100">
        <v>45098</v>
      </c>
      <c r="E44" s="98">
        <v>215</v>
      </c>
      <c r="F44" s="101">
        <v>278</v>
      </c>
      <c r="G44" s="100">
        <v>45889</v>
      </c>
      <c r="H44" s="99" t="s">
        <v>423</v>
      </c>
      <c r="I44" s="99" t="s">
        <v>428</v>
      </c>
      <c r="J44" s="99" t="s">
        <v>425</v>
      </c>
      <c r="L44">
        <f t="shared" si="0"/>
        <v>10</v>
      </c>
      <c r="M44">
        <f t="shared" si="1"/>
        <v>10</v>
      </c>
      <c r="N44">
        <f t="shared" si="2"/>
        <v>100</v>
      </c>
      <c r="O44" s="158">
        <f t="shared" ref="O44:O59" si="9">E44/N44</f>
        <v>2.15</v>
      </c>
      <c r="P44" s="159">
        <f t="shared" ref="P44:P59" si="10">F44-E44</f>
        <v>63</v>
      </c>
    </row>
    <row r="45" spans="2:16" hidden="1" x14ac:dyDescent="0.3">
      <c r="B45" s="102" t="s">
        <v>511</v>
      </c>
      <c r="C45" s="103" t="s">
        <v>512</v>
      </c>
      <c r="D45" s="104">
        <v>44579</v>
      </c>
      <c r="E45" s="102">
        <v>451</v>
      </c>
      <c r="F45" s="105">
        <v>373</v>
      </c>
      <c r="G45" s="104">
        <v>45886</v>
      </c>
      <c r="H45" s="103" t="s">
        <v>423</v>
      </c>
      <c r="I45" s="103" t="s">
        <v>424</v>
      </c>
      <c r="J45" s="103" t="s">
        <v>425</v>
      </c>
      <c r="L45">
        <f t="shared" si="0"/>
        <v>10</v>
      </c>
      <c r="M45">
        <f t="shared" si="1"/>
        <v>15</v>
      </c>
      <c r="N45">
        <f t="shared" si="2"/>
        <v>150</v>
      </c>
      <c r="O45" s="158">
        <f t="shared" si="9"/>
        <v>3.0066666666666668</v>
      </c>
      <c r="P45" s="159">
        <f t="shared" si="10"/>
        <v>-78</v>
      </c>
    </row>
    <row r="46" spans="2:16" hidden="1" x14ac:dyDescent="0.3">
      <c r="B46" s="98" t="s">
        <v>513</v>
      </c>
      <c r="C46" s="99" t="s">
        <v>514</v>
      </c>
      <c r="D46" s="100">
        <v>44202</v>
      </c>
      <c r="E46" s="98">
        <v>300</v>
      </c>
      <c r="F46" s="101">
        <v>278</v>
      </c>
      <c r="G46" s="100">
        <v>45874</v>
      </c>
      <c r="H46" s="99" t="s">
        <v>423</v>
      </c>
      <c r="I46" s="99" t="s">
        <v>428</v>
      </c>
      <c r="J46" s="99" t="s">
        <v>425</v>
      </c>
      <c r="L46">
        <f t="shared" si="0"/>
        <v>10</v>
      </c>
      <c r="M46">
        <f t="shared" si="1"/>
        <v>10</v>
      </c>
      <c r="N46">
        <f t="shared" si="2"/>
        <v>100</v>
      </c>
      <c r="O46" s="158">
        <f t="shared" si="9"/>
        <v>3</v>
      </c>
      <c r="P46" s="159">
        <f t="shared" si="10"/>
        <v>-22</v>
      </c>
    </row>
    <row r="47" spans="2:16" hidden="1" x14ac:dyDescent="0.3">
      <c r="B47" s="102" t="s">
        <v>515</v>
      </c>
      <c r="C47" s="103" t="s">
        <v>516</v>
      </c>
      <c r="D47" s="104">
        <v>44821</v>
      </c>
      <c r="E47" s="102">
        <v>395</v>
      </c>
      <c r="F47" s="105">
        <v>373</v>
      </c>
      <c r="G47" s="104">
        <v>45885</v>
      </c>
      <c r="H47" s="103" t="s">
        <v>423</v>
      </c>
      <c r="I47" s="103" t="s">
        <v>424</v>
      </c>
      <c r="J47" s="103" t="s">
        <v>425</v>
      </c>
      <c r="L47">
        <f t="shared" si="0"/>
        <v>10</v>
      </c>
      <c r="M47">
        <f t="shared" si="1"/>
        <v>15</v>
      </c>
      <c r="N47">
        <f t="shared" si="2"/>
        <v>150</v>
      </c>
      <c r="O47" s="158">
        <f t="shared" si="9"/>
        <v>2.6333333333333333</v>
      </c>
      <c r="P47" s="159">
        <f t="shared" si="10"/>
        <v>-22</v>
      </c>
    </row>
    <row r="48" spans="2:16" x14ac:dyDescent="0.3">
      <c r="B48" s="98" t="s">
        <v>517</v>
      </c>
      <c r="C48" s="99" t="s">
        <v>518</v>
      </c>
      <c r="D48" s="100">
        <v>45754</v>
      </c>
      <c r="E48" s="98">
        <v>283</v>
      </c>
      <c r="F48" s="101">
        <v>476</v>
      </c>
      <c r="G48" s="100">
        <v>45875</v>
      </c>
      <c r="H48" s="99" t="s">
        <v>423</v>
      </c>
      <c r="I48" s="99" t="s">
        <v>449</v>
      </c>
      <c r="J48" s="99" t="s">
        <v>450</v>
      </c>
      <c r="L48">
        <f t="shared" si="0"/>
        <v>20</v>
      </c>
      <c r="M48">
        <f t="shared" si="1"/>
        <v>10</v>
      </c>
      <c r="N48">
        <f t="shared" si="2"/>
        <v>200</v>
      </c>
      <c r="O48" s="158">
        <f t="shared" si="9"/>
        <v>1.415</v>
      </c>
      <c r="P48" s="159">
        <f t="shared" si="10"/>
        <v>193</v>
      </c>
    </row>
    <row r="49" spans="2:16" x14ac:dyDescent="0.3">
      <c r="B49" s="102" t="s">
        <v>519</v>
      </c>
      <c r="C49" s="103" t="s">
        <v>520</v>
      </c>
      <c r="D49" s="104">
        <v>45863</v>
      </c>
      <c r="E49" s="102">
        <v>434</v>
      </c>
      <c r="F49" s="105">
        <v>641</v>
      </c>
      <c r="G49" s="104">
        <v>45893</v>
      </c>
      <c r="H49" s="103" t="s">
        <v>423</v>
      </c>
      <c r="I49" s="103" t="s">
        <v>521</v>
      </c>
      <c r="J49" s="103" t="s">
        <v>450</v>
      </c>
      <c r="L49">
        <f t="shared" si="0"/>
        <v>10</v>
      </c>
      <c r="M49">
        <f t="shared" si="1"/>
        <v>30</v>
      </c>
      <c r="N49">
        <f t="shared" si="2"/>
        <v>300</v>
      </c>
      <c r="O49" s="158">
        <f t="shared" si="9"/>
        <v>1.4466666666666668</v>
      </c>
      <c r="P49" s="159">
        <f t="shared" si="10"/>
        <v>207</v>
      </c>
    </row>
    <row r="50" spans="2:16" hidden="1" x14ac:dyDescent="0.3">
      <c r="B50" s="98" t="s">
        <v>522</v>
      </c>
      <c r="C50" s="99" t="s">
        <v>523</v>
      </c>
      <c r="D50" s="100">
        <v>45805</v>
      </c>
      <c r="E50" s="98">
        <v>290</v>
      </c>
      <c r="F50" s="101">
        <v>278</v>
      </c>
      <c r="G50" s="100">
        <v>45896</v>
      </c>
      <c r="H50" s="99" t="s">
        <v>423</v>
      </c>
      <c r="I50" s="99" t="s">
        <v>428</v>
      </c>
      <c r="J50" s="99" t="s">
        <v>425</v>
      </c>
      <c r="L50">
        <f t="shared" si="0"/>
        <v>10</v>
      </c>
      <c r="M50">
        <f t="shared" si="1"/>
        <v>10</v>
      </c>
      <c r="N50">
        <f t="shared" si="2"/>
        <v>100</v>
      </c>
      <c r="O50" s="158">
        <f t="shared" si="9"/>
        <v>2.9</v>
      </c>
      <c r="P50" s="159">
        <f t="shared" si="10"/>
        <v>-12</v>
      </c>
    </row>
    <row r="51" spans="2:16" x14ac:dyDescent="0.3">
      <c r="B51" s="102" t="s">
        <v>524</v>
      </c>
      <c r="C51" s="103" t="s">
        <v>525</v>
      </c>
      <c r="D51" s="104">
        <v>45185</v>
      </c>
      <c r="E51" s="102">
        <v>300</v>
      </c>
      <c r="F51" s="105">
        <v>373</v>
      </c>
      <c r="G51" s="104">
        <v>45884</v>
      </c>
      <c r="H51" s="103" t="s">
        <v>423</v>
      </c>
      <c r="I51" s="103" t="s">
        <v>424</v>
      </c>
      <c r="J51" s="103" t="s">
        <v>425</v>
      </c>
      <c r="L51">
        <f t="shared" si="0"/>
        <v>10</v>
      </c>
      <c r="M51">
        <f t="shared" si="1"/>
        <v>15</v>
      </c>
      <c r="N51">
        <f t="shared" si="2"/>
        <v>150</v>
      </c>
      <c r="O51" s="158">
        <f t="shared" si="9"/>
        <v>2</v>
      </c>
      <c r="P51" s="159">
        <f t="shared" si="10"/>
        <v>73</v>
      </c>
    </row>
    <row r="52" spans="2:16" hidden="1" x14ac:dyDescent="0.3">
      <c r="B52" s="98" t="s">
        <v>526</v>
      </c>
      <c r="C52" s="99" t="s">
        <v>527</v>
      </c>
      <c r="D52" s="100">
        <v>44706</v>
      </c>
      <c r="E52" s="98">
        <v>328</v>
      </c>
      <c r="F52" s="101">
        <v>278</v>
      </c>
      <c r="G52" s="100">
        <v>45893</v>
      </c>
      <c r="H52" s="99" t="s">
        <v>423</v>
      </c>
      <c r="I52" s="99" t="s">
        <v>428</v>
      </c>
      <c r="J52" s="99" t="s">
        <v>425</v>
      </c>
      <c r="L52">
        <f t="shared" si="0"/>
        <v>10</v>
      </c>
      <c r="M52">
        <f t="shared" si="1"/>
        <v>10</v>
      </c>
      <c r="N52">
        <f t="shared" si="2"/>
        <v>100</v>
      </c>
      <c r="O52" s="158">
        <f t="shared" si="9"/>
        <v>3.28</v>
      </c>
      <c r="P52" s="159">
        <f t="shared" si="10"/>
        <v>-50</v>
      </c>
    </row>
    <row r="53" spans="2:16" x14ac:dyDescent="0.3">
      <c r="B53" s="102" t="s">
        <v>528</v>
      </c>
      <c r="C53" s="103" t="s">
        <v>529</v>
      </c>
      <c r="D53" s="104">
        <v>45653</v>
      </c>
      <c r="E53" s="102">
        <v>309</v>
      </c>
      <c r="F53" s="105">
        <v>373</v>
      </c>
      <c r="G53" s="104">
        <v>45896</v>
      </c>
      <c r="H53" s="103" t="s">
        <v>423</v>
      </c>
      <c r="I53" s="103" t="s">
        <v>424</v>
      </c>
      <c r="J53" s="103" t="s">
        <v>425</v>
      </c>
      <c r="L53">
        <f t="shared" si="0"/>
        <v>10</v>
      </c>
      <c r="M53">
        <f t="shared" si="1"/>
        <v>15</v>
      </c>
      <c r="N53">
        <f t="shared" si="2"/>
        <v>150</v>
      </c>
      <c r="O53" s="158">
        <f t="shared" si="9"/>
        <v>2.06</v>
      </c>
      <c r="P53" s="159">
        <f t="shared" si="10"/>
        <v>64</v>
      </c>
    </row>
    <row r="54" spans="2:16" hidden="1" x14ac:dyDescent="0.3">
      <c r="B54" s="98" t="s">
        <v>530</v>
      </c>
      <c r="C54" s="99" t="s">
        <v>531</v>
      </c>
      <c r="D54" s="100">
        <v>44475</v>
      </c>
      <c r="E54" s="98">
        <v>339</v>
      </c>
      <c r="F54" s="101">
        <v>278</v>
      </c>
      <c r="G54" s="100">
        <v>45874</v>
      </c>
      <c r="H54" s="99" t="s">
        <v>423</v>
      </c>
      <c r="I54" s="99" t="s">
        <v>428</v>
      </c>
      <c r="J54" s="99" t="s">
        <v>425</v>
      </c>
      <c r="L54">
        <f t="shared" si="0"/>
        <v>10</v>
      </c>
      <c r="M54">
        <f t="shared" si="1"/>
        <v>10</v>
      </c>
      <c r="N54">
        <f t="shared" si="2"/>
        <v>100</v>
      </c>
      <c r="O54" s="158">
        <f t="shared" si="9"/>
        <v>3.39</v>
      </c>
      <c r="P54" s="159">
        <f t="shared" si="10"/>
        <v>-61</v>
      </c>
    </row>
    <row r="55" spans="2:16" x14ac:dyDescent="0.3">
      <c r="B55" s="102" t="s">
        <v>532</v>
      </c>
      <c r="C55" s="103" t="s">
        <v>533</v>
      </c>
      <c r="D55" s="104">
        <v>45183</v>
      </c>
      <c r="E55" s="102">
        <v>277</v>
      </c>
      <c r="F55" s="105">
        <v>373</v>
      </c>
      <c r="G55" s="104">
        <v>45890</v>
      </c>
      <c r="H55" s="103" t="s">
        <v>423</v>
      </c>
      <c r="I55" s="103" t="s">
        <v>424</v>
      </c>
      <c r="J55" s="103" t="s">
        <v>425</v>
      </c>
      <c r="L55">
        <f t="shared" si="0"/>
        <v>10</v>
      </c>
      <c r="M55">
        <f t="shared" si="1"/>
        <v>15</v>
      </c>
      <c r="N55">
        <f t="shared" si="2"/>
        <v>150</v>
      </c>
      <c r="O55" s="158">
        <f t="shared" si="9"/>
        <v>1.8466666666666667</v>
      </c>
      <c r="P55" s="159">
        <f t="shared" si="10"/>
        <v>96</v>
      </c>
    </row>
    <row r="56" spans="2:16" hidden="1" x14ac:dyDescent="0.3">
      <c r="B56" s="98" t="s">
        <v>534</v>
      </c>
      <c r="C56" s="99" t="s">
        <v>535</v>
      </c>
      <c r="D56" s="100">
        <v>45806</v>
      </c>
      <c r="E56" s="98">
        <v>290</v>
      </c>
      <c r="F56" s="101">
        <v>278</v>
      </c>
      <c r="G56" s="100">
        <v>45897</v>
      </c>
      <c r="H56" s="99" t="s">
        <v>423</v>
      </c>
      <c r="I56" s="99" t="s">
        <v>428</v>
      </c>
      <c r="J56" s="99" t="s">
        <v>425</v>
      </c>
      <c r="L56">
        <f t="shared" si="0"/>
        <v>10</v>
      </c>
      <c r="M56">
        <f t="shared" si="1"/>
        <v>10</v>
      </c>
      <c r="N56">
        <f t="shared" si="2"/>
        <v>100</v>
      </c>
      <c r="O56" s="158">
        <f t="shared" si="9"/>
        <v>2.9</v>
      </c>
      <c r="P56" s="159">
        <f t="shared" si="10"/>
        <v>-12</v>
      </c>
    </row>
    <row r="57" spans="2:16" x14ac:dyDescent="0.3">
      <c r="B57" s="102" t="s">
        <v>536</v>
      </c>
      <c r="C57" s="103" t="s">
        <v>537</v>
      </c>
      <c r="D57" s="104">
        <v>45103</v>
      </c>
      <c r="E57" s="102">
        <v>340</v>
      </c>
      <c r="F57" s="105">
        <v>373</v>
      </c>
      <c r="G57" s="104">
        <v>45894</v>
      </c>
      <c r="H57" s="103" t="s">
        <v>423</v>
      </c>
      <c r="I57" s="103" t="s">
        <v>424</v>
      </c>
      <c r="J57" s="103" t="s">
        <v>425</v>
      </c>
      <c r="L57">
        <f t="shared" si="0"/>
        <v>10</v>
      </c>
      <c r="M57">
        <f t="shared" si="1"/>
        <v>15</v>
      </c>
      <c r="N57">
        <f t="shared" si="2"/>
        <v>150</v>
      </c>
      <c r="O57" s="158">
        <f t="shared" si="9"/>
        <v>2.2666666666666666</v>
      </c>
      <c r="P57" s="159">
        <f t="shared" si="10"/>
        <v>33</v>
      </c>
    </row>
    <row r="58" spans="2:16" hidden="1" x14ac:dyDescent="0.3">
      <c r="B58" s="98" t="s">
        <v>538</v>
      </c>
      <c r="C58" s="99" t="s">
        <v>539</v>
      </c>
      <c r="D58" s="100">
        <v>44097</v>
      </c>
      <c r="E58" s="98">
        <v>334</v>
      </c>
      <c r="F58" s="101">
        <v>278</v>
      </c>
      <c r="G58" s="100">
        <v>45891</v>
      </c>
      <c r="H58" s="99" t="s">
        <v>423</v>
      </c>
      <c r="I58" s="99" t="s">
        <v>428</v>
      </c>
      <c r="J58" s="99" t="s">
        <v>425</v>
      </c>
      <c r="L58">
        <f t="shared" si="0"/>
        <v>10</v>
      </c>
      <c r="M58">
        <f t="shared" si="1"/>
        <v>10</v>
      </c>
      <c r="N58">
        <f t="shared" si="2"/>
        <v>100</v>
      </c>
      <c r="O58" s="158">
        <f t="shared" si="9"/>
        <v>3.34</v>
      </c>
      <c r="P58" s="159">
        <f t="shared" si="10"/>
        <v>-56</v>
      </c>
    </row>
    <row r="59" spans="2:16" hidden="1" x14ac:dyDescent="0.3">
      <c r="B59" s="102" t="s">
        <v>540</v>
      </c>
      <c r="C59" s="103" t="s">
        <v>541</v>
      </c>
      <c r="D59" s="104">
        <v>45245</v>
      </c>
      <c r="E59" s="102">
        <v>376</v>
      </c>
      <c r="F59" s="105">
        <v>373</v>
      </c>
      <c r="G59" s="104">
        <v>45883</v>
      </c>
      <c r="H59" s="103" t="s">
        <v>423</v>
      </c>
      <c r="I59" s="103" t="s">
        <v>424</v>
      </c>
      <c r="J59" s="103" t="s">
        <v>425</v>
      </c>
      <c r="L59">
        <f t="shared" si="0"/>
        <v>10</v>
      </c>
      <c r="M59">
        <f t="shared" si="1"/>
        <v>15</v>
      </c>
      <c r="N59">
        <f t="shared" si="2"/>
        <v>150</v>
      </c>
      <c r="O59" s="158">
        <f t="shared" si="9"/>
        <v>2.5066666666666668</v>
      </c>
      <c r="P59" s="159">
        <f t="shared" si="10"/>
        <v>-3</v>
      </c>
    </row>
    <row r="60" spans="2:16" hidden="1" x14ac:dyDescent="0.3">
      <c r="B60" s="98"/>
      <c r="C60" s="99" t="s">
        <v>542</v>
      </c>
      <c r="D60" s="99"/>
      <c r="E60" s="98"/>
      <c r="F60" s="101">
        <v>278</v>
      </c>
      <c r="G60" s="99"/>
      <c r="H60" s="99" t="s">
        <v>445</v>
      </c>
      <c r="I60" s="99" t="s">
        <v>428</v>
      </c>
      <c r="J60" s="99" t="s">
        <v>425</v>
      </c>
      <c r="L60">
        <f t="shared" si="0"/>
        <v>10</v>
      </c>
      <c r="M60">
        <f t="shared" si="1"/>
        <v>10</v>
      </c>
      <c r="N60">
        <f t="shared" si="2"/>
        <v>100</v>
      </c>
    </row>
    <row r="61" spans="2:16" x14ac:dyDescent="0.3">
      <c r="B61" s="102" t="s">
        <v>543</v>
      </c>
      <c r="C61" s="103" t="s">
        <v>544</v>
      </c>
      <c r="D61" s="104">
        <v>44984</v>
      </c>
      <c r="E61" s="102">
        <v>135</v>
      </c>
      <c r="F61" s="105">
        <v>278</v>
      </c>
      <c r="G61" s="104">
        <v>46107</v>
      </c>
      <c r="H61" s="103" t="s">
        <v>423</v>
      </c>
      <c r="I61" s="103" t="s">
        <v>428</v>
      </c>
      <c r="J61" s="103" t="s">
        <v>425</v>
      </c>
      <c r="L61">
        <f t="shared" si="0"/>
        <v>10</v>
      </c>
      <c r="M61">
        <f t="shared" si="1"/>
        <v>10</v>
      </c>
      <c r="N61">
        <f t="shared" si="2"/>
        <v>100</v>
      </c>
      <c r="O61" s="158">
        <f t="shared" ref="O61:O62" si="11">E61/N61</f>
        <v>1.35</v>
      </c>
      <c r="P61" s="159">
        <f t="shared" ref="P61:P62" si="12">F61-E61</f>
        <v>143</v>
      </c>
    </row>
    <row r="62" spans="2:16" hidden="1" x14ac:dyDescent="0.3">
      <c r="B62" s="98" t="s">
        <v>545</v>
      </c>
      <c r="C62" s="99" t="s">
        <v>546</v>
      </c>
      <c r="D62" s="100">
        <v>44022</v>
      </c>
      <c r="E62" s="98">
        <v>350</v>
      </c>
      <c r="F62" s="101">
        <v>278</v>
      </c>
      <c r="G62" s="100">
        <v>45878</v>
      </c>
      <c r="H62" s="99" t="s">
        <v>423</v>
      </c>
      <c r="I62" s="99" t="s">
        <v>428</v>
      </c>
      <c r="J62" s="99" t="s">
        <v>425</v>
      </c>
      <c r="L62">
        <f t="shared" si="0"/>
        <v>10</v>
      </c>
      <c r="M62">
        <f t="shared" si="1"/>
        <v>10</v>
      </c>
      <c r="N62">
        <f t="shared" si="2"/>
        <v>100</v>
      </c>
      <c r="O62" s="158">
        <f t="shared" si="11"/>
        <v>3.5</v>
      </c>
      <c r="P62" s="159">
        <f t="shared" si="12"/>
        <v>-72</v>
      </c>
    </row>
    <row r="63" spans="2:16" hidden="1" x14ac:dyDescent="0.3">
      <c r="B63" s="102"/>
      <c r="C63" s="103" t="s">
        <v>547</v>
      </c>
      <c r="D63" s="103"/>
      <c r="E63" s="102"/>
      <c r="F63" s="105">
        <v>641</v>
      </c>
      <c r="G63" s="103"/>
      <c r="H63" s="103" t="s">
        <v>445</v>
      </c>
      <c r="I63" s="103" t="s">
        <v>521</v>
      </c>
      <c r="J63" s="103" t="s">
        <v>450</v>
      </c>
      <c r="L63">
        <f t="shared" si="0"/>
        <v>10</v>
      </c>
      <c r="M63">
        <f t="shared" si="1"/>
        <v>30</v>
      </c>
      <c r="N63">
        <f t="shared" si="2"/>
        <v>300</v>
      </c>
    </row>
    <row r="64" spans="2:16" x14ac:dyDescent="0.3">
      <c r="B64" s="98" t="s">
        <v>548</v>
      </c>
      <c r="C64" s="99" t="s">
        <v>549</v>
      </c>
      <c r="D64" s="100">
        <v>45192</v>
      </c>
      <c r="E64" s="98">
        <v>367</v>
      </c>
      <c r="F64" s="101">
        <v>373</v>
      </c>
      <c r="G64" s="100">
        <v>45860</v>
      </c>
      <c r="H64" s="99" t="s">
        <v>442</v>
      </c>
      <c r="I64" s="99" t="s">
        <v>424</v>
      </c>
      <c r="J64" s="99" t="s">
        <v>425</v>
      </c>
      <c r="L64">
        <f t="shared" si="0"/>
        <v>10</v>
      </c>
      <c r="M64">
        <f t="shared" si="1"/>
        <v>15</v>
      </c>
      <c r="N64">
        <f t="shared" si="2"/>
        <v>150</v>
      </c>
      <c r="O64" s="158">
        <f t="shared" ref="O64:O91" si="13">E64/N64</f>
        <v>2.4466666666666668</v>
      </c>
      <c r="P64" s="159">
        <f t="shared" ref="P64:P91" si="14">F64-E64</f>
        <v>6</v>
      </c>
    </row>
    <row r="65" spans="2:16" hidden="1" x14ac:dyDescent="0.3">
      <c r="B65" s="102" t="s">
        <v>550</v>
      </c>
      <c r="C65" s="103" t="s">
        <v>551</v>
      </c>
      <c r="D65" s="104">
        <v>45120</v>
      </c>
      <c r="E65" s="102">
        <v>391</v>
      </c>
      <c r="F65" s="105">
        <v>373</v>
      </c>
      <c r="G65" s="104">
        <v>45881</v>
      </c>
      <c r="H65" s="103" t="s">
        <v>423</v>
      </c>
      <c r="I65" s="103" t="s">
        <v>424</v>
      </c>
      <c r="J65" s="103" t="s">
        <v>425</v>
      </c>
      <c r="L65">
        <f t="shared" si="0"/>
        <v>10</v>
      </c>
      <c r="M65">
        <f t="shared" si="1"/>
        <v>15</v>
      </c>
      <c r="N65">
        <f t="shared" si="2"/>
        <v>150</v>
      </c>
      <c r="O65" s="158">
        <f t="shared" si="13"/>
        <v>2.6066666666666665</v>
      </c>
      <c r="P65" s="159">
        <f t="shared" si="14"/>
        <v>-18</v>
      </c>
    </row>
    <row r="66" spans="2:16" x14ac:dyDescent="0.3">
      <c r="B66" s="98" t="s">
        <v>552</v>
      </c>
      <c r="C66" s="99" t="s">
        <v>553</v>
      </c>
      <c r="D66" s="100">
        <v>44061</v>
      </c>
      <c r="E66" s="98">
        <v>180</v>
      </c>
      <c r="F66" s="101">
        <v>187</v>
      </c>
      <c r="G66" s="100">
        <v>45886</v>
      </c>
      <c r="H66" s="99" t="s">
        <v>423</v>
      </c>
      <c r="I66" s="99" t="s">
        <v>446</v>
      </c>
      <c r="J66" s="99" t="s">
        <v>425</v>
      </c>
      <c r="L66">
        <f t="shared" si="0"/>
        <v>15</v>
      </c>
      <c r="M66">
        <f t="shared" si="1"/>
        <v>5</v>
      </c>
      <c r="N66">
        <f t="shared" si="2"/>
        <v>75</v>
      </c>
      <c r="O66" s="158">
        <f t="shared" si="13"/>
        <v>2.4</v>
      </c>
      <c r="P66" s="159">
        <f t="shared" si="14"/>
        <v>7</v>
      </c>
    </row>
    <row r="67" spans="2:16" hidden="1" x14ac:dyDescent="0.3">
      <c r="B67" s="102" t="s">
        <v>554</v>
      </c>
      <c r="C67" s="103" t="s">
        <v>555</v>
      </c>
      <c r="D67" s="104">
        <v>44874</v>
      </c>
      <c r="E67" s="102">
        <v>116</v>
      </c>
      <c r="F67" s="105">
        <v>83</v>
      </c>
      <c r="G67" s="104">
        <v>45877</v>
      </c>
      <c r="H67" s="103" t="s">
        <v>423</v>
      </c>
      <c r="I67" s="103" t="s">
        <v>482</v>
      </c>
      <c r="J67" s="103" t="s">
        <v>425</v>
      </c>
      <c r="L67">
        <f t="shared" si="0"/>
        <v>5</v>
      </c>
      <c r="M67">
        <f t="shared" si="1"/>
        <v>5</v>
      </c>
      <c r="N67">
        <f t="shared" si="2"/>
        <v>25</v>
      </c>
      <c r="O67" s="158">
        <f t="shared" si="13"/>
        <v>4.6399999999999997</v>
      </c>
      <c r="P67" s="159">
        <f t="shared" si="14"/>
        <v>-33</v>
      </c>
    </row>
    <row r="68" spans="2:16" x14ac:dyDescent="0.3">
      <c r="B68" s="98" t="s">
        <v>556</v>
      </c>
      <c r="C68" s="99" t="s">
        <v>557</v>
      </c>
      <c r="D68" s="100">
        <v>45080</v>
      </c>
      <c r="E68" s="98">
        <v>285</v>
      </c>
      <c r="F68" s="101">
        <v>373</v>
      </c>
      <c r="G68" s="100">
        <v>45871</v>
      </c>
      <c r="H68" s="99" t="s">
        <v>423</v>
      </c>
      <c r="I68" s="99" t="s">
        <v>424</v>
      </c>
      <c r="J68" s="99" t="s">
        <v>425</v>
      </c>
      <c r="L68">
        <f t="shared" si="0"/>
        <v>10</v>
      </c>
      <c r="M68">
        <f t="shared" si="1"/>
        <v>15</v>
      </c>
      <c r="N68">
        <f t="shared" si="2"/>
        <v>150</v>
      </c>
      <c r="O68" s="158">
        <f t="shared" si="13"/>
        <v>1.9</v>
      </c>
      <c r="P68" s="159">
        <f t="shared" si="14"/>
        <v>88</v>
      </c>
    </row>
    <row r="69" spans="2:16" x14ac:dyDescent="0.3">
      <c r="B69" s="102" t="s">
        <v>558</v>
      </c>
      <c r="C69" s="103" t="s">
        <v>559</v>
      </c>
      <c r="D69" s="104">
        <v>45762</v>
      </c>
      <c r="E69" s="102">
        <v>139</v>
      </c>
      <c r="F69" s="105">
        <v>278</v>
      </c>
      <c r="G69" s="104">
        <v>45890</v>
      </c>
      <c r="H69" s="103" t="s">
        <v>423</v>
      </c>
      <c r="I69" s="103" t="s">
        <v>428</v>
      </c>
      <c r="J69" s="103" t="s">
        <v>425</v>
      </c>
      <c r="L69">
        <f t="shared" si="0"/>
        <v>10</v>
      </c>
      <c r="M69">
        <f t="shared" si="1"/>
        <v>10</v>
      </c>
      <c r="N69">
        <f t="shared" si="2"/>
        <v>100</v>
      </c>
      <c r="O69" s="158">
        <f t="shared" si="13"/>
        <v>1.39</v>
      </c>
      <c r="P69" s="159">
        <f t="shared" si="14"/>
        <v>139</v>
      </c>
    </row>
    <row r="70" spans="2:16" x14ac:dyDescent="0.3">
      <c r="B70" s="98" t="s">
        <v>560</v>
      </c>
      <c r="C70" s="99" t="s">
        <v>561</v>
      </c>
      <c r="D70" s="100">
        <v>45749</v>
      </c>
      <c r="E70" s="98">
        <v>409</v>
      </c>
      <c r="F70" s="101">
        <v>641</v>
      </c>
      <c r="G70" s="100">
        <v>45877</v>
      </c>
      <c r="H70" s="99" t="s">
        <v>423</v>
      </c>
      <c r="I70" s="99" t="s">
        <v>562</v>
      </c>
      <c r="J70" s="99" t="s">
        <v>450</v>
      </c>
      <c r="L70">
        <f t="shared" si="0"/>
        <v>20</v>
      </c>
      <c r="M70">
        <f t="shared" si="1"/>
        <v>15</v>
      </c>
      <c r="N70">
        <f t="shared" si="2"/>
        <v>300</v>
      </c>
      <c r="O70" s="158">
        <f t="shared" si="13"/>
        <v>1.3633333333333333</v>
      </c>
      <c r="P70" s="159">
        <f t="shared" si="14"/>
        <v>232</v>
      </c>
    </row>
    <row r="71" spans="2:16" x14ac:dyDescent="0.3">
      <c r="B71" s="102" t="s">
        <v>563</v>
      </c>
      <c r="C71" s="103" t="s">
        <v>564</v>
      </c>
      <c r="D71" s="104">
        <v>45763</v>
      </c>
      <c r="E71" s="102">
        <v>139</v>
      </c>
      <c r="F71" s="105">
        <v>278</v>
      </c>
      <c r="G71" s="104">
        <v>45884</v>
      </c>
      <c r="H71" s="103" t="s">
        <v>423</v>
      </c>
      <c r="I71" s="103" t="s">
        <v>428</v>
      </c>
      <c r="J71" s="103" t="s">
        <v>425</v>
      </c>
      <c r="L71">
        <f t="shared" ref="L71:L134" si="15">--LEFT(I71,FIND("X",I71)-1)</f>
        <v>10</v>
      </c>
      <c r="M71">
        <f t="shared" ref="M71:M134" si="16">--RIGHT(I71,LEN(I71)-FIND("X",I71))</f>
        <v>10</v>
      </c>
      <c r="N71">
        <f t="shared" ref="N71:N134" si="17">L71*M71</f>
        <v>100</v>
      </c>
      <c r="O71" s="158">
        <f t="shared" si="13"/>
        <v>1.39</v>
      </c>
      <c r="P71" s="159">
        <f t="shared" si="14"/>
        <v>139</v>
      </c>
    </row>
    <row r="72" spans="2:16" x14ac:dyDescent="0.3">
      <c r="B72" s="98" t="s">
        <v>565</v>
      </c>
      <c r="C72" s="99" t="s">
        <v>566</v>
      </c>
      <c r="D72" s="100">
        <v>45783</v>
      </c>
      <c r="E72" s="98">
        <v>244</v>
      </c>
      <c r="F72" s="101">
        <v>278</v>
      </c>
      <c r="G72" s="100">
        <v>45881</v>
      </c>
      <c r="H72" s="99" t="s">
        <v>423</v>
      </c>
      <c r="I72" s="99" t="s">
        <v>428</v>
      </c>
      <c r="J72" s="99" t="s">
        <v>425</v>
      </c>
      <c r="L72">
        <f t="shared" si="15"/>
        <v>10</v>
      </c>
      <c r="M72">
        <f t="shared" si="16"/>
        <v>10</v>
      </c>
      <c r="N72">
        <f t="shared" si="17"/>
        <v>100</v>
      </c>
      <c r="O72" s="158">
        <f t="shared" si="13"/>
        <v>2.44</v>
      </c>
      <c r="P72" s="159">
        <f t="shared" si="14"/>
        <v>34</v>
      </c>
    </row>
    <row r="73" spans="2:16" hidden="1" x14ac:dyDescent="0.3">
      <c r="B73" s="102" t="s">
        <v>567</v>
      </c>
      <c r="C73" s="103" t="s">
        <v>568</v>
      </c>
      <c r="D73" s="104">
        <v>44369</v>
      </c>
      <c r="E73" s="102">
        <v>337</v>
      </c>
      <c r="F73" s="105">
        <v>278</v>
      </c>
      <c r="G73" s="104">
        <v>45890</v>
      </c>
      <c r="H73" s="103" t="s">
        <v>423</v>
      </c>
      <c r="I73" s="103" t="s">
        <v>428</v>
      </c>
      <c r="J73" s="103" t="s">
        <v>425</v>
      </c>
      <c r="L73">
        <f t="shared" si="15"/>
        <v>10</v>
      </c>
      <c r="M73">
        <f t="shared" si="16"/>
        <v>10</v>
      </c>
      <c r="N73">
        <f t="shared" si="17"/>
        <v>100</v>
      </c>
      <c r="O73" s="158">
        <f t="shared" si="13"/>
        <v>3.37</v>
      </c>
      <c r="P73" s="159">
        <f t="shared" si="14"/>
        <v>-59</v>
      </c>
    </row>
    <row r="74" spans="2:16" x14ac:dyDescent="0.3">
      <c r="B74" s="98" t="s">
        <v>569</v>
      </c>
      <c r="C74" s="99" t="s">
        <v>570</v>
      </c>
      <c r="D74" s="100">
        <v>44421</v>
      </c>
      <c r="E74" s="98">
        <v>259</v>
      </c>
      <c r="F74" s="101">
        <v>373</v>
      </c>
      <c r="G74" s="100">
        <v>45881</v>
      </c>
      <c r="H74" s="99" t="s">
        <v>423</v>
      </c>
      <c r="I74" s="99" t="s">
        <v>424</v>
      </c>
      <c r="J74" s="99" t="s">
        <v>425</v>
      </c>
      <c r="L74">
        <f t="shared" si="15"/>
        <v>10</v>
      </c>
      <c r="M74">
        <f t="shared" si="16"/>
        <v>15</v>
      </c>
      <c r="N74">
        <f t="shared" si="17"/>
        <v>150</v>
      </c>
      <c r="O74" s="158">
        <f t="shared" si="13"/>
        <v>1.7266666666666666</v>
      </c>
      <c r="P74" s="159">
        <f t="shared" si="14"/>
        <v>114</v>
      </c>
    </row>
    <row r="75" spans="2:16" x14ac:dyDescent="0.3">
      <c r="B75" s="102" t="s">
        <v>571</v>
      </c>
      <c r="C75" s="103" t="s">
        <v>572</v>
      </c>
      <c r="D75" s="104">
        <v>45763</v>
      </c>
      <c r="E75" s="102">
        <v>139</v>
      </c>
      <c r="F75" s="105">
        <v>278</v>
      </c>
      <c r="G75" s="104">
        <v>45884</v>
      </c>
      <c r="H75" s="103" t="s">
        <v>423</v>
      </c>
      <c r="I75" s="103" t="s">
        <v>428</v>
      </c>
      <c r="J75" s="103" t="s">
        <v>425</v>
      </c>
      <c r="L75">
        <f t="shared" si="15"/>
        <v>10</v>
      </c>
      <c r="M75">
        <f t="shared" si="16"/>
        <v>10</v>
      </c>
      <c r="N75">
        <f t="shared" si="17"/>
        <v>100</v>
      </c>
      <c r="O75" s="158">
        <f t="shared" si="13"/>
        <v>1.39</v>
      </c>
      <c r="P75" s="159">
        <f t="shared" si="14"/>
        <v>139</v>
      </c>
    </row>
    <row r="76" spans="2:16" hidden="1" x14ac:dyDescent="0.3">
      <c r="B76" s="98" t="s">
        <v>573</v>
      </c>
      <c r="C76" s="99" t="s">
        <v>574</v>
      </c>
      <c r="D76" s="100">
        <v>44678</v>
      </c>
      <c r="E76" s="98">
        <v>334</v>
      </c>
      <c r="F76" s="101">
        <v>278</v>
      </c>
      <c r="G76" s="100">
        <v>45895</v>
      </c>
      <c r="H76" s="99" t="s">
        <v>423</v>
      </c>
      <c r="I76" s="99" t="s">
        <v>428</v>
      </c>
      <c r="J76" s="99" t="s">
        <v>425</v>
      </c>
      <c r="L76">
        <f t="shared" si="15"/>
        <v>10</v>
      </c>
      <c r="M76">
        <f t="shared" si="16"/>
        <v>10</v>
      </c>
      <c r="N76">
        <f t="shared" si="17"/>
        <v>100</v>
      </c>
      <c r="O76" s="158">
        <f t="shared" si="13"/>
        <v>3.34</v>
      </c>
      <c r="P76" s="159">
        <f t="shared" si="14"/>
        <v>-56</v>
      </c>
    </row>
    <row r="77" spans="2:16" hidden="1" x14ac:dyDescent="0.3">
      <c r="B77" s="102" t="s">
        <v>575</v>
      </c>
      <c r="C77" s="103" t="s">
        <v>576</v>
      </c>
      <c r="D77" s="104">
        <v>45614</v>
      </c>
      <c r="E77" s="102">
        <v>292</v>
      </c>
      <c r="F77" s="105">
        <v>278</v>
      </c>
      <c r="G77" s="104">
        <v>45886</v>
      </c>
      <c r="H77" s="103" t="s">
        <v>423</v>
      </c>
      <c r="I77" s="103" t="s">
        <v>428</v>
      </c>
      <c r="J77" s="103" t="s">
        <v>425</v>
      </c>
      <c r="L77">
        <f t="shared" si="15"/>
        <v>10</v>
      </c>
      <c r="M77">
        <f t="shared" si="16"/>
        <v>10</v>
      </c>
      <c r="N77">
        <f t="shared" si="17"/>
        <v>100</v>
      </c>
      <c r="O77" s="158">
        <f t="shared" si="13"/>
        <v>2.92</v>
      </c>
      <c r="P77" s="159">
        <f t="shared" si="14"/>
        <v>-14</v>
      </c>
    </row>
    <row r="78" spans="2:16" x14ac:dyDescent="0.3">
      <c r="B78" s="98" t="s">
        <v>577</v>
      </c>
      <c r="C78" s="99" t="s">
        <v>578</v>
      </c>
      <c r="D78" s="100">
        <v>45780</v>
      </c>
      <c r="E78" s="98">
        <v>90</v>
      </c>
      <c r="F78" s="101">
        <v>139</v>
      </c>
      <c r="G78" s="100">
        <v>45871</v>
      </c>
      <c r="H78" s="99" t="s">
        <v>423</v>
      </c>
      <c r="I78" s="99" t="s">
        <v>463</v>
      </c>
      <c r="J78" s="99" t="s">
        <v>425</v>
      </c>
      <c r="L78">
        <f t="shared" si="15"/>
        <v>5</v>
      </c>
      <c r="M78">
        <f t="shared" si="16"/>
        <v>10</v>
      </c>
      <c r="N78">
        <f t="shared" si="17"/>
        <v>50</v>
      </c>
      <c r="O78" s="158">
        <f t="shared" si="13"/>
        <v>1.8</v>
      </c>
      <c r="P78" s="159">
        <f t="shared" si="14"/>
        <v>49</v>
      </c>
    </row>
    <row r="79" spans="2:16" x14ac:dyDescent="0.3">
      <c r="B79" s="102" t="s">
        <v>579</v>
      </c>
      <c r="C79" s="103" t="s">
        <v>580</v>
      </c>
      <c r="D79" s="104">
        <v>45755</v>
      </c>
      <c r="E79" s="102">
        <v>155</v>
      </c>
      <c r="F79" s="105">
        <v>298</v>
      </c>
      <c r="G79" s="104">
        <v>45876</v>
      </c>
      <c r="H79" s="103" t="s">
        <v>423</v>
      </c>
      <c r="I79" s="103" t="s">
        <v>581</v>
      </c>
      <c r="J79" s="103" t="s">
        <v>425</v>
      </c>
      <c r="L79">
        <f t="shared" si="15"/>
        <v>10</v>
      </c>
      <c r="M79">
        <f t="shared" si="16"/>
        <v>11</v>
      </c>
      <c r="N79">
        <f t="shared" si="17"/>
        <v>110</v>
      </c>
      <c r="O79" s="158">
        <f t="shared" si="13"/>
        <v>1.4090909090909092</v>
      </c>
      <c r="P79" s="159">
        <f t="shared" si="14"/>
        <v>143</v>
      </c>
    </row>
    <row r="80" spans="2:16" hidden="1" x14ac:dyDescent="0.3">
      <c r="B80" s="98" t="s">
        <v>582</v>
      </c>
      <c r="C80" s="99" t="s">
        <v>583</v>
      </c>
      <c r="D80" s="100">
        <v>45068</v>
      </c>
      <c r="E80" s="98">
        <v>301</v>
      </c>
      <c r="F80" s="101">
        <v>278</v>
      </c>
      <c r="G80" s="100">
        <v>45890</v>
      </c>
      <c r="H80" s="99" t="s">
        <v>423</v>
      </c>
      <c r="I80" s="99" t="s">
        <v>428</v>
      </c>
      <c r="J80" s="99" t="s">
        <v>425</v>
      </c>
      <c r="L80">
        <f t="shared" si="15"/>
        <v>10</v>
      </c>
      <c r="M80">
        <f t="shared" si="16"/>
        <v>10</v>
      </c>
      <c r="N80">
        <f t="shared" si="17"/>
        <v>100</v>
      </c>
      <c r="O80" s="158">
        <f t="shared" si="13"/>
        <v>3.01</v>
      </c>
      <c r="P80" s="159">
        <f t="shared" si="14"/>
        <v>-23</v>
      </c>
    </row>
    <row r="81" spans="2:16" hidden="1" x14ac:dyDescent="0.3">
      <c r="B81" s="102" t="s">
        <v>584</v>
      </c>
      <c r="C81" s="103" t="s">
        <v>585</v>
      </c>
      <c r="D81" s="104">
        <v>44685</v>
      </c>
      <c r="E81" s="102">
        <v>178</v>
      </c>
      <c r="F81" s="105">
        <v>139</v>
      </c>
      <c r="G81" s="104">
        <v>45872</v>
      </c>
      <c r="H81" s="103" t="s">
        <v>423</v>
      </c>
      <c r="I81" s="103" t="s">
        <v>463</v>
      </c>
      <c r="J81" s="103" t="s">
        <v>425</v>
      </c>
      <c r="L81">
        <f t="shared" si="15"/>
        <v>5</v>
      </c>
      <c r="M81">
        <f t="shared" si="16"/>
        <v>10</v>
      </c>
      <c r="N81">
        <f t="shared" si="17"/>
        <v>50</v>
      </c>
      <c r="O81" s="158">
        <f t="shared" si="13"/>
        <v>3.56</v>
      </c>
      <c r="P81" s="159">
        <f t="shared" si="14"/>
        <v>-39</v>
      </c>
    </row>
    <row r="82" spans="2:16" hidden="1" x14ac:dyDescent="0.3">
      <c r="B82" s="98" t="s">
        <v>586</v>
      </c>
      <c r="C82" s="99" t="s">
        <v>587</v>
      </c>
      <c r="D82" s="100">
        <v>45126</v>
      </c>
      <c r="E82" s="98">
        <v>112</v>
      </c>
      <c r="F82" s="101">
        <v>83</v>
      </c>
      <c r="G82" s="100">
        <v>45887</v>
      </c>
      <c r="H82" s="99" t="s">
        <v>423</v>
      </c>
      <c r="I82" s="99" t="s">
        <v>482</v>
      </c>
      <c r="J82" s="99" t="s">
        <v>425</v>
      </c>
      <c r="L82">
        <f t="shared" si="15"/>
        <v>5</v>
      </c>
      <c r="M82">
        <f t="shared" si="16"/>
        <v>5</v>
      </c>
      <c r="N82">
        <f t="shared" si="17"/>
        <v>25</v>
      </c>
      <c r="O82" s="158">
        <f t="shared" si="13"/>
        <v>4.4800000000000004</v>
      </c>
      <c r="P82" s="159">
        <f t="shared" si="14"/>
        <v>-29</v>
      </c>
    </row>
    <row r="83" spans="2:16" x14ac:dyDescent="0.3">
      <c r="B83" s="102" t="s">
        <v>588</v>
      </c>
      <c r="C83" s="103" t="s">
        <v>589</v>
      </c>
      <c r="D83" s="104">
        <v>45840</v>
      </c>
      <c r="E83" s="102">
        <v>72</v>
      </c>
      <c r="F83" s="105">
        <v>139</v>
      </c>
      <c r="G83" s="104">
        <v>45870</v>
      </c>
      <c r="H83" s="103" t="s">
        <v>423</v>
      </c>
      <c r="I83" s="103" t="s">
        <v>443</v>
      </c>
      <c r="J83" s="103" t="s">
        <v>425</v>
      </c>
      <c r="L83">
        <f t="shared" si="15"/>
        <v>10</v>
      </c>
      <c r="M83">
        <f t="shared" si="16"/>
        <v>5</v>
      </c>
      <c r="N83">
        <f t="shared" si="17"/>
        <v>50</v>
      </c>
      <c r="O83" s="158">
        <f t="shared" si="13"/>
        <v>1.44</v>
      </c>
      <c r="P83" s="159">
        <f t="shared" si="14"/>
        <v>67</v>
      </c>
    </row>
    <row r="84" spans="2:16" hidden="1" x14ac:dyDescent="0.3">
      <c r="B84" s="98" t="s">
        <v>519</v>
      </c>
      <c r="C84" s="99" t="s">
        <v>590</v>
      </c>
      <c r="D84" s="100">
        <v>45030</v>
      </c>
      <c r="E84" s="98">
        <v>186</v>
      </c>
      <c r="F84" s="101">
        <v>139</v>
      </c>
      <c r="G84" s="100">
        <v>45882</v>
      </c>
      <c r="H84" s="99" t="s">
        <v>423</v>
      </c>
      <c r="I84" s="99" t="s">
        <v>443</v>
      </c>
      <c r="J84" s="99" t="s">
        <v>425</v>
      </c>
      <c r="L84">
        <f t="shared" si="15"/>
        <v>10</v>
      </c>
      <c r="M84">
        <f t="shared" si="16"/>
        <v>5</v>
      </c>
      <c r="N84">
        <f t="shared" si="17"/>
        <v>50</v>
      </c>
      <c r="O84" s="158">
        <f t="shared" si="13"/>
        <v>3.72</v>
      </c>
      <c r="P84" s="159">
        <f t="shared" si="14"/>
        <v>-47</v>
      </c>
    </row>
    <row r="85" spans="2:16" hidden="1" x14ac:dyDescent="0.3">
      <c r="B85" s="102" t="s">
        <v>591</v>
      </c>
      <c r="C85" s="103" t="s">
        <v>592</v>
      </c>
      <c r="D85" s="104">
        <v>44927</v>
      </c>
      <c r="E85" s="102">
        <v>222</v>
      </c>
      <c r="F85" s="105">
        <v>139</v>
      </c>
      <c r="G85" s="104">
        <v>45869</v>
      </c>
      <c r="H85" s="103" t="s">
        <v>423</v>
      </c>
      <c r="I85" s="103" t="s">
        <v>443</v>
      </c>
      <c r="J85" s="103" t="s">
        <v>425</v>
      </c>
      <c r="L85">
        <f t="shared" si="15"/>
        <v>10</v>
      </c>
      <c r="M85">
        <f t="shared" si="16"/>
        <v>5</v>
      </c>
      <c r="N85">
        <f t="shared" si="17"/>
        <v>50</v>
      </c>
      <c r="O85" s="158">
        <f t="shared" si="13"/>
        <v>4.4400000000000004</v>
      </c>
      <c r="P85" s="159">
        <f t="shared" si="14"/>
        <v>-83</v>
      </c>
    </row>
    <row r="86" spans="2:16" x14ac:dyDescent="0.3">
      <c r="B86" s="98" t="s">
        <v>593</v>
      </c>
      <c r="C86" s="99" t="s">
        <v>594</v>
      </c>
      <c r="D86" s="100">
        <v>45766</v>
      </c>
      <c r="E86" s="98">
        <v>139</v>
      </c>
      <c r="F86" s="101">
        <v>278</v>
      </c>
      <c r="G86" s="100">
        <v>45887</v>
      </c>
      <c r="H86" s="99" t="s">
        <v>423</v>
      </c>
      <c r="I86" s="99" t="s">
        <v>428</v>
      </c>
      <c r="J86" s="99" t="s">
        <v>425</v>
      </c>
      <c r="L86">
        <f t="shared" si="15"/>
        <v>10</v>
      </c>
      <c r="M86">
        <f t="shared" si="16"/>
        <v>10</v>
      </c>
      <c r="N86">
        <f t="shared" si="17"/>
        <v>100</v>
      </c>
      <c r="O86" s="158">
        <f t="shared" si="13"/>
        <v>1.39</v>
      </c>
      <c r="P86" s="159">
        <f t="shared" si="14"/>
        <v>139</v>
      </c>
    </row>
    <row r="87" spans="2:16" hidden="1" x14ac:dyDescent="0.3">
      <c r="B87" s="102" t="s">
        <v>595</v>
      </c>
      <c r="C87" s="103" t="s">
        <v>596</v>
      </c>
      <c r="D87" s="104">
        <v>45849</v>
      </c>
      <c r="E87" s="102">
        <v>139</v>
      </c>
      <c r="F87" s="105">
        <v>139</v>
      </c>
      <c r="G87" s="104">
        <v>45879</v>
      </c>
      <c r="H87" s="103" t="s">
        <v>423</v>
      </c>
      <c r="I87" s="103" t="s">
        <v>443</v>
      </c>
      <c r="J87" s="103" t="s">
        <v>425</v>
      </c>
      <c r="L87">
        <f t="shared" si="15"/>
        <v>10</v>
      </c>
      <c r="M87">
        <f t="shared" si="16"/>
        <v>5</v>
      </c>
      <c r="N87">
        <f t="shared" si="17"/>
        <v>50</v>
      </c>
      <c r="O87" s="158">
        <f t="shared" si="13"/>
        <v>2.78</v>
      </c>
      <c r="P87" s="159">
        <f t="shared" si="14"/>
        <v>0</v>
      </c>
    </row>
    <row r="88" spans="2:16" hidden="1" x14ac:dyDescent="0.3">
      <c r="B88" s="98" t="s">
        <v>597</v>
      </c>
      <c r="C88" s="99" t="s">
        <v>598</v>
      </c>
      <c r="D88" s="100">
        <v>44102</v>
      </c>
      <c r="E88" s="98">
        <v>337</v>
      </c>
      <c r="F88" s="101">
        <v>278</v>
      </c>
      <c r="G88" s="100">
        <v>45896</v>
      </c>
      <c r="H88" s="99" t="s">
        <v>423</v>
      </c>
      <c r="I88" s="99" t="s">
        <v>428</v>
      </c>
      <c r="J88" s="99" t="s">
        <v>425</v>
      </c>
      <c r="L88">
        <f t="shared" si="15"/>
        <v>10</v>
      </c>
      <c r="M88">
        <f t="shared" si="16"/>
        <v>10</v>
      </c>
      <c r="N88">
        <f t="shared" si="17"/>
        <v>100</v>
      </c>
      <c r="O88" s="158">
        <f t="shared" si="13"/>
        <v>3.37</v>
      </c>
      <c r="P88" s="159">
        <f t="shared" si="14"/>
        <v>-59</v>
      </c>
    </row>
    <row r="89" spans="2:16" x14ac:dyDescent="0.3">
      <c r="B89" s="102" t="s">
        <v>599</v>
      </c>
      <c r="C89" s="103" t="s">
        <v>600</v>
      </c>
      <c r="D89" s="104">
        <v>45846</v>
      </c>
      <c r="E89" s="102">
        <v>72</v>
      </c>
      <c r="F89" s="105">
        <v>139</v>
      </c>
      <c r="G89" s="104">
        <v>45876</v>
      </c>
      <c r="H89" s="103" t="s">
        <v>423</v>
      </c>
      <c r="I89" s="103" t="s">
        <v>443</v>
      </c>
      <c r="J89" s="103" t="s">
        <v>425</v>
      </c>
      <c r="L89">
        <f t="shared" si="15"/>
        <v>10</v>
      </c>
      <c r="M89">
        <f t="shared" si="16"/>
        <v>5</v>
      </c>
      <c r="N89">
        <f t="shared" si="17"/>
        <v>50</v>
      </c>
      <c r="O89" s="158">
        <f t="shared" si="13"/>
        <v>1.44</v>
      </c>
      <c r="P89" s="159">
        <f t="shared" si="14"/>
        <v>67</v>
      </c>
    </row>
    <row r="90" spans="2:16" hidden="1" x14ac:dyDescent="0.3">
      <c r="B90" s="98" t="s">
        <v>601</v>
      </c>
      <c r="C90" s="99" t="s">
        <v>602</v>
      </c>
      <c r="D90" s="100">
        <v>44036</v>
      </c>
      <c r="E90" s="98">
        <v>352</v>
      </c>
      <c r="F90" s="101">
        <v>278</v>
      </c>
      <c r="G90" s="100">
        <v>45892</v>
      </c>
      <c r="H90" s="99" t="s">
        <v>423</v>
      </c>
      <c r="I90" s="99" t="s">
        <v>428</v>
      </c>
      <c r="J90" s="99" t="s">
        <v>425</v>
      </c>
      <c r="L90">
        <f t="shared" si="15"/>
        <v>10</v>
      </c>
      <c r="M90">
        <f t="shared" si="16"/>
        <v>10</v>
      </c>
      <c r="N90">
        <f t="shared" si="17"/>
        <v>100</v>
      </c>
      <c r="O90" s="158">
        <f t="shared" si="13"/>
        <v>3.52</v>
      </c>
      <c r="P90" s="159">
        <f t="shared" si="14"/>
        <v>-74</v>
      </c>
    </row>
    <row r="91" spans="2:16" hidden="1" x14ac:dyDescent="0.3">
      <c r="B91" s="102" t="s">
        <v>603</v>
      </c>
      <c r="C91" s="103" t="s">
        <v>604</v>
      </c>
      <c r="D91" s="104">
        <v>45179</v>
      </c>
      <c r="E91" s="102">
        <v>206</v>
      </c>
      <c r="F91" s="105">
        <v>139</v>
      </c>
      <c r="G91" s="104">
        <v>45878</v>
      </c>
      <c r="H91" s="103" t="s">
        <v>423</v>
      </c>
      <c r="I91" s="103" t="s">
        <v>443</v>
      </c>
      <c r="J91" s="103" t="s">
        <v>425</v>
      </c>
      <c r="L91">
        <f t="shared" si="15"/>
        <v>10</v>
      </c>
      <c r="M91">
        <f t="shared" si="16"/>
        <v>5</v>
      </c>
      <c r="N91">
        <f t="shared" si="17"/>
        <v>50</v>
      </c>
      <c r="O91" s="158">
        <f t="shared" si="13"/>
        <v>4.12</v>
      </c>
      <c r="P91" s="159">
        <f t="shared" si="14"/>
        <v>-67</v>
      </c>
    </row>
    <row r="92" spans="2:16" hidden="1" x14ac:dyDescent="0.3">
      <c r="B92" s="98"/>
      <c r="C92" s="99" t="s">
        <v>605</v>
      </c>
      <c r="D92" s="99"/>
      <c r="E92" s="98"/>
      <c r="F92" s="101">
        <v>278</v>
      </c>
      <c r="G92" s="99"/>
      <c r="H92" s="99" t="s">
        <v>445</v>
      </c>
      <c r="I92" s="99" t="s">
        <v>428</v>
      </c>
      <c r="J92" s="99" t="s">
        <v>425</v>
      </c>
      <c r="L92">
        <f t="shared" si="15"/>
        <v>10</v>
      </c>
      <c r="M92">
        <f t="shared" si="16"/>
        <v>10</v>
      </c>
      <c r="N92">
        <f t="shared" si="17"/>
        <v>100</v>
      </c>
    </row>
    <row r="93" spans="2:16" hidden="1" x14ac:dyDescent="0.3">
      <c r="B93" s="102" t="s">
        <v>606</v>
      </c>
      <c r="C93" s="103" t="s">
        <v>607</v>
      </c>
      <c r="D93" s="104">
        <v>44971</v>
      </c>
      <c r="E93" s="102">
        <v>178</v>
      </c>
      <c r="F93" s="105">
        <v>139</v>
      </c>
      <c r="G93" s="104">
        <v>45882</v>
      </c>
      <c r="H93" s="103" t="s">
        <v>423</v>
      </c>
      <c r="I93" s="103" t="s">
        <v>443</v>
      </c>
      <c r="J93" s="103" t="s">
        <v>425</v>
      </c>
      <c r="L93">
        <f t="shared" si="15"/>
        <v>10</v>
      </c>
      <c r="M93">
        <f t="shared" si="16"/>
        <v>5</v>
      </c>
      <c r="N93">
        <f t="shared" si="17"/>
        <v>50</v>
      </c>
      <c r="O93" s="158">
        <f t="shared" ref="O93:O94" si="18">E93/N93</f>
        <v>3.56</v>
      </c>
      <c r="P93" s="159">
        <f t="shared" ref="P93:P94" si="19">F93-E93</f>
        <v>-39</v>
      </c>
    </row>
    <row r="94" spans="2:16" hidden="1" x14ac:dyDescent="0.3">
      <c r="B94" s="98" t="s">
        <v>575</v>
      </c>
      <c r="C94" s="99" t="s">
        <v>608</v>
      </c>
      <c r="D94" s="100">
        <v>45248</v>
      </c>
      <c r="E94" s="98">
        <v>570</v>
      </c>
      <c r="F94" s="101">
        <v>476</v>
      </c>
      <c r="G94" s="100">
        <v>45886</v>
      </c>
      <c r="H94" s="99" t="s">
        <v>423</v>
      </c>
      <c r="I94" s="99" t="s">
        <v>609</v>
      </c>
      <c r="J94" s="99" t="s">
        <v>425</v>
      </c>
      <c r="L94">
        <f t="shared" si="15"/>
        <v>10</v>
      </c>
      <c r="M94">
        <f t="shared" si="16"/>
        <v>20</v>
      </c>
      <c r="N94">
        <f t="shared" si="17"/>
        <v>200</v>
      </c>
      <c r="O94" s="158">
        <f t="shared" si="18"/>
        <v>2.85</v>
      </c>
      <c r="P94" s="159">
        <f t="shared" si="19"/>
        <v>-94</v>
      </c>
    </row>
    <row r="95" spans="2:16" hidden="1" x14ac:dyDescent="0.3">
      <c r="B95" s="102"/>
      <c r="C95" s="103" t="s">
        <v>610</v>
      </c>
      <c r="D95" s="103"/>
      <c r="E95" s="102"/>
      <c r="F95" s="105">
        <v>139</v>
      </c>
      <c r="G95" s="103"/>
      <c r="H95" s="103" t="s">
        <v>445</v>
      </c>
      <c r="I95" s="103" t="s">
        <v>443</v>
      </c>
      <c r="J95" s="103" t="s">
        <v>425</v>
      </c>
      <c r="L95">
        <f t="shared" si="15"/>
        <v>10</v>
      </c>
      <c r="M95">
        <f t="shared" si="16"/>
        <v>5</v>
      </c>
      <c r="N95">
        <f t="shared" si="17"/>
        <v>50</v>
      </c>
    </row>
    <row r="96" spans="2:16" x14ac:dyDescent="0.3">
      <c r="B96" s="98" t="s">
        <v>575</v>
      </c>
      <c r="C96" s="99" t="s">
        <v>611</v>
      </c>
      <c r="D96" s="100">
        <v>45237</v>
      </c>
      <c r="E96" s="98">
        <v>474</v>
      </c>
      <c r="F96" s="101">
        <v>476</v>
      </c>
      <c r="G96" s="100">
        <v>45875</v>
      </c>
      <c r="H96" s="99" t="s">
        <v>423</v>
      </c>
      <c r="I96" s="99" t="s">
        <v>609</v>
      </c>
      <c r="J96" s="99" t="s">
        <v>425</v>
      </c>
      <c r="L96">
        <f t="shared" si="15"/>
        <v>10</v>
      </c>
      <c r="M96">
        <f t="shared" si="16"/>
        <v>20</v>
      </c>
      <c r="N96">
        <f t="shared" si="17"/>
        <v>200</v>
      </c>
      <c r="O96" s="158">
        <f t="shared" ref="O96:O101" si="20">E96/N96</f>
        <v>2.37</v>
      </c>
      <c r="P96" s="159">
        <f t="shared" ref="P96:P101" si="21">F96-E96</f>
        <v>2</v>
      </c>
    </row>
    <row r="97" spans="2:16" x14ac:dyDescent="0.3">
      <c r="B97" s="102" t="s">
        <v>612</v>
      </c>
      <c r="C97" s="103" t="s">
        <v>613</v>
      </c>
      <c r="D97" s="104">
        <v>45017</v>
      </c>
      <c r="E97" s="102">
        <v>132</v>
      </c>
      <c r="F97" s="105">
        <v>139</v>
      </c>
      <c r="G97" s="104">
        <v>45869</v>
      </c>
      <c r="H97" s="103" t="s">
        <v>423</v>
      </c>
      <c r="I97" s="103" t="s">
        <v>443</v>
      </c>
      <c r="J97" s="103" t="s">
        <v>425</v>
      </c>
      <c r="L97">
        <f t="shared" si="15"/>
        <v>10</v>
      </c>
      <c r="M97">
        <f t="shared" si="16"/>
        <v>5</v>
      </c>
      <c r="N97">
        <f t="shared" si="17"/>
        <v>50</v>
      </c>
      <c r="O97" s="158">
        <f t="shared" si="20"/>
        <v>2.64</v>
      </c>
      <c r="P97" s="159">
        <f t="shared" si="21"/>
        <v>7</v>
      </c>
    </row>
    <row r="98" spans="2:16" hidden="1" x14ac:dyDescent="0.3">
      <c r="B98" s="98" t="s">
        <v>597</v>
      </c>
      <c r="C98" s="99" t="s">
        <v>614</v>
      </c>
      <c r="D98" s="100">
        <v>44089</v>
      </c>
      <c r="E98" s="98">
        <v>517</v>
      </c>
      <c r="F98" s="101">
        <v>493</v>
      </c>
      <c r="G98" s="100">
        <v>45883</v>
      </c>
      <c r="H98" s="99" t="s">
        <v>423</v>
      </c>
      <c r="I98" s="99" t="s">
        <v>615</v>
      </c>
      <c r="J98" s="99" t="s">
        <v>425</v>
      </c>
      <c r="L98">
        <f t="shared" si="15"/>
        <v>10</v>
      </c>
      <c r="M98">
        <f t="shared" si="16"/>
        <v>21</v>
      </c>
      <c r="N98">
        <f t="shared" si="17"/>
        <v>210</v>
      </c>
      <c r="O98" s="158">
        <f t="shared" si="20"/>
        <v>2.461904761904762</v>
      </c>
      <c r="P98" s="159">
        <f t="shared" si="21"/>
        <v>-24</v>
      </c>
    </row>
    <row r="99" spans="2:16" hidden="1" x14ac:dyDescent="0.3">
      <c r="B99" s="102" t="s">
        <v>616</v>
      </c>
      <c r="C99" s="103" t="s">
        <v>617</v>
      </c>
      <c r="D99" s="104">
        <v>45716</v>
      </c>
      <c r="E99" s="102">
        <v>146</v>
      </c>
      <c r="F99" s="105">
        <v>139</v>
      </c>
      <c r="G99" s="104">
        <v>45896</v>
      </c>
      <c r="H99" s="103" t="s">
        <v>423</v>
      </c>
      <c r="I99" s="103" t="s">
        <v>443</v>
      </c>
      <c r="J99" s="103" t="s">
        <v>425</v>
      </c>
      <c r="L99">
        <f t="shared" si="15"/>
        <v>10</v>
      </c>
      <c r="M99">
        <f t="shared" si="16"/>
        <v>5</v>
      </c>
      <c r="N99">
        <f t="shared" si="17"/>
        <v>50</v>
      </c>
      <c r="O99" s="158">
        <f t="shared" si="20"/>
        <v>2.92</v>
      </c>
      <c r="P99" s="159">
        <f t="shared" si="21"/>
        <v>-7</v>
      </c>
    </row>
    <row r="100" spans="2:16" hidden="1" x14ac:dyDescent="0.3">
      <c r="B100" s="98" t="s">
        <v>618</v>
      </c>
      <c r="C100" s="99" t="s">
        <v>619</v>
      </c>
      <c r="D100" s="100">
        <v>43873</v>
      </c>
      <c r="E100" s="98">
        <v>592</v>
      </c>
      <c r="F100" s="101">
        <v>476</v>
      </c>
      <c r="G100" s="100">
        <v>45880</v>
      </c>
      <c r="H100" s="99" t="s">
        <v>423</v>
      </c>
      <c r="I100" s="99" t="s">
        <v>609</v>
      </c>
      <c r="J100" s="99" t="s">
        <v>425</v>
      </c>
      <c r="L100">
        <f t="shared" si="15"/>
        <v>10</v>
      </c>
      <c r="M100">
        <f t="shared" si="16"/>
        <v>20</v>
      </c>
      <c r="N100">
        <f t="shared" si="17"/>
        <v>200</v>
      </c>
      <c r="O100" s="158">
        <f t="shared" si="20"/>
        <v>2.96</v>
      </c>
      <c r="P100" s="159">
        <f t="shared" si="21"/>
        <v>-116</v>
      </c>
    </row>
    <row r="101" spans="2:16" hidden="1" x14ac:dyDescent="0.3">
      <c r="B101" s="102" t="s">
        <v>620</v>
      </c>
      <c r="C101" s="103" t="s">
        <v>621</v>
      </c>
      <c r="D101" s="104">
        <v>45166</v>
      </c>
      <c r="E101" s="102">
        <v>114</v>
      </c>
      <c r="F101" s="105">
        <v>83</v>
      </c>
      <c r="G101" s="104">
        <v>45896</v>
      </c>
      <c r="H101" s="103" t="s">
        <v>423</v>
      </c>
      <c r="I101" s="103" t="s">
        <v>482</v>
      </c>
      <c r="J101" s="103" t="s">
        <v>425</v>
      </c>
      <c r="L101">
        <f t="shared" si="15"/>
        <v>5</v>
      </c>
      <c r="M101">
        <f t="shared" si="16"/>
        <v>5</v>
      </c>
      <c r="N101">
        <f t="shared" si="17"/>
        <v>25</v>
      </c>
      <c r="O101" s="158">
        <f t="shared" si="20"/>
        <v>4.5599999999999996</v>
      </c>
      <c r="P101" s="159">
        <f t="shared" si="21"/>
        <v>-31</v>
      </c>
    </row>
    <row r="102" spans="2:16" hidden="1" x14ac:dyDescent="0.3">
      <c r="B102" s="98"/>
      <c r="C102" s="99" t="s">
        <v>622</v>
      </c>
      <c r="D102" s="99"/>
      <c r="E102" s="98"/>
      <c r="F102" s="101">
        <v>83</v>
      </c>
      <c r="G102" s="99"/>
      <c r="H102" s="99" t="s">
        <v>445</v>
      </c>
      <c r="I102" s="99" t="s">
        <v>482</v>
      </c>
      <c r="J102" s="99" t="s">
        <v>425</v>
      </c>
      <c r="L102">
        <f t="shared" si="15"/>
        <v>5</v>
      </c>
      <c r="M102">
        <f t="shared" si="16"/>
        <v>5</v>
      </c>
      <c r="N102">
        <f t="shared" si="17"/>
        <v>25</v>
      </c>
    </row>
    <row r="103" spans="2:16" hidden="1" x14ac:dyDescent="0.3">
      <c r="B103" s="102" t="s">
        <v>623</v>
      </c>
      <c r="C103" s="103" t="s">
        <v>624</v>
      </c>
      <c r="D103" s="104">
        <v>45549</v>
      </c>
      <c r="E103" s="102">
        <v>128</v>
      </c>
      <c r="F103" s="105">
        <v>83</v>
      </c>
      <c r="G103" s="104">
        <v>45882</v>
      </c>
      <c r="H103" s="103" t="s">
        <v>423</v>
      </c>
      <c r="I103" s="103" t="s">
        <v>482</v>
      </c>
      <c r="J103" s="103" t="s">
        <v>425</v>
      </c>
      <c r="L103">
        <f t="shared" si="15"/>
        <v>5</v>
      </c>
      <c r="M103">
        <f t="shared" si="16"/>
        <v>5</v>
      </c>
      <c r="N103">
        <f t="shared" si="17"/>
        <v>25</v>
      </c>
      <c r="O103" s="158">
        <f t="shared" ref="O103:O166" si="22">E103/N103</f>
        <v>5.12</v>
      </c>
      <c r="P103" s="159">
        <f t="shared" ref="P103:P166" si="23">F103-E103</f>
        <v>-45</v>
      </c>
    </row>
    <row r="104" spans="2:16" hidden="1" x14ac:dyDescent="0.3">
      <c r="B104" s="98" t="s">
        <v>625</v>
      </c>
      <c r="C104" s="99" t="s">
        <v>626</v>
      </c>
      <c r="D104" s="100">
        <v>44274</v>
      </c>
      <c r="E104" s="98">
        <v>139</v>
      </c>
      <c r="F104" s="101">
        <v>95</v>
      </c>
      <c r="G104" s="100">
        <v>45887</v>
      </c>
      <c r="H104" s="99" t="s">
        <v>423</v>
      </c>
      <c r="I104" s="99" t="s">
        <v>627</v>
      </c>
      <c r="J104" s="99" t="s">
        <v>425</v>
      </c>
      <c r="L104">
        <f t="shared" si="15"/>
        <v>6</v>
      </c>
      <c r="M104">
        <f t="shared" si="16"/>
        <v>5</v>
      </c>
      <c r="N104">
        <f t="shared" si="17"/>
        <v>30</v>
      </c>
      <c r="O104" s="158">
        <f t="shared" si="22"/>
        <v>4.6333333333333337</v>
      </c>
      <c r="P104" s="159">
        <f t="shared" si="23"/>
        <v>-44</v>
      </c>
    </row>
    <row r="105" spans="2:16" hidden="1" x14ac:dyDescent="0.3">
      <c r="B105" s="102" t="s">
        <v>628</v>
      </c>
      <c r="C105" s="103" t="s">
        <v>629</v>
      </c>
      <c r="D105" s="104">
        <v>44770</v>
      </c>
      <c r="E105" s="102">
        <v>183</v>
      </c>
      <c r="F105" s="105">
        <v>149</v>
      </c>
      <c r="G105" s="104">
        <v>45774</v>
      </c>
      <c r="H105" s="103" t="s">
        <v>442</v>
      </c>
      <c r="I105" s="103" t="s">
        <v>630</v>
      </c>
      <c r="J105" s="103" t="s">
        <v>425</v>
      </c>
      <c r="L105">
        <f t="shared" si="15"/>
        <v>11</v>
      </c>
      <c r="M105">
        <f t="shared" si="16"/>
        <v>5</v>
      </c>
      <c r="N105">
        <f t="shared" si="17"/>
        <v>55</v>
      </c>
      <c r="O105" s="158">
        <f t="shared" si="22"/>
        <v>3.3272727272727272</v>
      </c>
      <c r="P105" s="159">
        <f t="shared" si="23"/>
        <v>-34</v>
      </c>
    </row>
    <row r="106" spans="2:16" hidden="1" x14ac:dyDescent="0.3">
      <c r="B106" s="98" t="s">
        <v>631</v>
      </c>
      <c r="C106" s="99" t="s">
        <v>632</v>
      </c>
      <c r="D106" s="100">
        <v>44262</v>
      </c>
      <c r="E106" s="98">
        <v>359</v>
      </c>
      <c r="F106" s="101">
        <v>298</v>
      </c>
      <c r="G106" s="100">
        <v>45875</v>
      </c>
      <c r="H106" s="99" t="s">
        <v>423</v>
      </c>
      <c r="I106" s="99" t="s">
        <v>633</v>
      </c>
      <c r="J106" s="99" t="s">
        <v>425</v>
      </c>
      <c r="L106">
        <f t="shared" si="15"/>
        <v>11</v>
      </c>
      <c r="M106">
        <f t="shared" si="16"/>
        <v>10</v>
      </c>
      <c r="N106">
        <f t="shared" si="17"/>
        <v>110</v>
      </c>
      <c r="O106" s="158">
        <f t="shared" si="22"/>
        <v>3.2636363636363637</v>
      </c>
      <c r="P106" s="159">
        <f t="shared" si="23"/>
        <v>-61</v>
      </c>
    </row>
    <row r="107" spans="2:16" hidden="1" x14ac:dyDescent="0.3">
      <c r="B107" s="102" t="s">
        <v>634</v>
      </c>
      <c r="C107" s="103" t="s">
        <v>635</v>
      </c>
      <c r="D107" s="104">
        <v>44730</v>
      </c>
      <c r="E107" s="102">
        <v>186</v>
      </c>
      <c r="F107" s="105">
        <v>139</v>
      </c>
      <c r="G107" s="104">
        <v>45886</v>
      </c>
      <c r="H107" s="103" t="s">
        <v>423</v>
      </c>
      <c r="I107" s="103" t="s">
        <v>443</v>
      </c>
      <c r="J107" s="103" t="s">
        <v>425</v>
      </c>
      <c r="L107">
        <f t="shared" si="15"/>
        <v>10</v>
      </c>
      <c r="M107">
        <f t="shared" si="16"/>
        <v>5</v>
      </c>
      <c r="N107">
        <f t="shared" si="17"/>
        <v>50</v>
      </c>
      <c r="O107" s="158">
        <f t="shared" si="22"/>
        <v>3.72</v>
      </c>
      <c r="P107" s="159">
        <f t="shared" si="23"/>
        <v>-47</v>
      </c>
    </row>
    <row r="108" spans="2:16" hidden="1" x14ac:dyDescent="0.3">
      <c r="B108" s="98" t="s">
        <v>636</v>
      </c>
      <c r="C108" s="99" t="s">
        <v>637</v>
      </c>
      <c r="D108" s="100">
        <v>45080</v>
      </c>
      <c r="E108" s="98">
        <v>318</v>
      </c>
      <c r="F108" s="101">
        <v>278</v>
      </c>
      <c r="G108" s="100">
        <v>45871</v>
      </c>
      <c r="H108" s="99" t="s">
        <v>423</v>
      </c>
      <c r="I108" s="99" t="s">
        <v>428</v>
      </c>
      <c r="J108" s="99" t="s">
        <v>425</v>
      </c>
      <c r="L108">
        <f t="shared" si="15"/>
        <v>10</v>
      </c>
      <c r="M108">
        <f t="shared" si="16"/>
        <v>10</v>
      </c>
      <c r="N108">
        <f t="shared" si="17"/>
        <v>100</v>
      </c>
      <c r="O108" s="158">
        <f t="shared" si="22"/>
        <v>3.18</v>
      </c>
      <c r="P108" s="159">
        <f t="shared" si="23"/>
        <v>-40</v>
      </c>
    </row>
    <row r="109" spans="2:16" x14ac:dyDescent="0.3">
      <c r="B109" s="102" t="s">
        <v>638</v>
      </c>
      <c r="C109" s="103" t="s">
        <v>639</v>
      </c>
      <c r="D109" s="104">
        <v>45859</v>
      </c>
      <c r="E109" s="102">
        <v>72</v>
      </c>
      <c r="F109" s="105">
        <v>139</v>
      </c>
      <c r="G109" s="104">
        <v>45889</v>
      </c>
      <c r="H109" s="103" t="s">
        <v>423</v>
      </c>
      <c r="I109" s="103" t="s">
        <v>443</v>
      </c>
      <c r="J109" s="103" t="s">
        <v>425</v>
      </c>
      <c r="L109">
        <f t="shared" si="15"/>
        <v>10</v>
      </c>
      <c r="M109">
        <f t="shared" si="16"/>
        <v>5</v>
      </c>
      <c r="N109">
        <f t="shared" si="17"/>
        <v>50</v>
      </c>
      <c r="O109" s="158">
        <f t="shared" si="22"/>
        <v>1.44</v>
      </c>
      <c r="P109" s="159">
        <f t="shared" si="23"/>
        <v>67</v>
      </c>
    </row>
    <row r="110" spans="2:16" x14ac:dyDescent="0.3">
      <c r="B110" s="98" t="s">
        <v>640</v>
      </c>
      <c r="C110" s="99" t="s">
        <v>641</v>
      </c>
      <c r="D110" s="100">
        <v>45860</v>
      </c>
      <c r="E110" s="98">
        <v>72</v>
      </c>
      <c r="F110" s="101">
        <v>139</v>
      </c>
      <c r="G110" s="100">
        <v>45890</v>
      </c>
      <c r="H110" s="99" t="s">
        <v>423</v>
      </c>
      <c r="I110" s="99" t="s">
        <v>443</v>
      </c>
      <c r="J110" s="99" t="s">
        <v>425</v>
      </c>
      <c r="L110">
        <f t="shared" si="15"/>
        <v>10</v>
      </c>
      <c r="M110">
        <f t="shared" si="16"/>
        <v>5</v>
      </c>
      <c r="N110">
        <f t="shared" si="17"/>
        <v>50</v>
      </c>
      <c r="O110" s="158">
        <f t="shared" si="22"/>
        <v>1.44</v>
      </c>
      <c r="P110" s="159">
        <f t="shared" si="23"/>
        <v>67</v>
      </c>
    </row>
    <row r="111" spans="2:16" hidden="1" x14ac:dyDescent="0.3">
      <c r="B111" s="102" t="s">
        <v>642</v>
      </c>
      <c r="C111" s="103" t="s">
        <v>643</v>
      </c>
      <c r="D111" s="104">
        <v>45694</v>
      </c>
      <c r="E111" s="102">
        <v>146</v>
      </c>
      <c r="F111" s="105">
        <v>139</v>
      </c>
      <c r="G111" s="104">
        <v>45874</v>
      </c>
      <c r="H111" s="103" t="s">
        <v>423</v>
      </c>
      <c r="I111" s="103" t="s">
        <v>443</v>
      </c>
      <c r="J111" s="103" t="s">
        <v>425</v>
      </c>
      <c r="L111">
        <f t="shared" si="15"/>
        <v>10</v>
      </c>
      <c r="M111">
        <f t="shared" si="16"/>
        <v>5</v>
      </c>
      <c r="N111">
        <f t="shared" si="17"/>
        <v>50</v>
      </c>
      <c r="O111" s="158">
        <f t="shared" si="22"/>
        <v>2.92</v>
      </c>
      <c r="P111" s="159">
        <f t="shared" si="23"/>
        <v>-7</v>
      </c>
    </row>
    <row r="112" spans="2:16" hidden="1" x14ac:dyDescent="0.3">
      <c r="B112" s="98" t="s">
        <v>644</v>
      </c>
      <c r="C112" s="99" t="s">
        <v>645</v>
      </c>
      <c r="D112" s="100">
        <v>43816</v>
      </c>
      <c r="E112" s="98">
        <v>330</v>
      </c>
      <c r="F112" s="101">
        <v>278</v>
      </c>
      <c r="G112" s="100">
        <v>45885</v>
      </c>
      <c r="H112" s="99" t="s">
        <v>423</v>
      </c>
      <c r="I112" s="99" t="s">
        <v>428</v>
      </c>
      <c r="J112" s="99" t="s">
        <v>425</v>
      </c>
      <c r="L112">
        <f t="shared" si="15"/>
        <v>10</v>
      </c>
      <c r="M112">
        <f t="shared" si="16"/>
        <v>10</v>
      </c>
      <c r="N112">
        <f t="shared" si="17"/>
        <v>100</v>
      </c>
      <c r="O112" s="158">
        <f t="shared" si="22"/>
        <v>3.3</v>
      </c>
      <c r="P112" s="159">
        <f t="shared" si="23"/>
        <v>-52</v>
      </c>
    </row>
    <row r="113" spans="2:16" x14ac:dyDescent="0.3">
      <c r="B113" s="102" t="s">
        <v>646</v>
      </c>
      <c r="C113" s="103" t="s">
        <v>647</v>
      </c>
      <c r="D113" s="104">
        <v>45769</v>
      </c>
      <c r="E113" s="102">
        <v>68</v>
      </c>
      <c r="F113" s="105">
        <v>139</v>
      </c>
      <c r="G113" s="104">
        <v>45892</v>
      </c>
      <c r="H113" s="103" t="s">
        <v>423</v>
      </c>
      <c r="I113" s="103" t="s">
        <v>443</v>
      </c>
      <c r="J113" s="103" t="s">
        <v>425</v>
      </c>
      <c r="L113">
        <f t="shared" si="15"/>
        <v>10</v>
      </c>
      <c r="M113">
        <f t="shared" si="16"/>
        <v>5</v>
      </c>
      <c r="N113">
        <f t="shared" si="17"/>
        <v>50</v>
      </c>
      <c r="O113" s="158">
        <f t="shared" si="22"/>
        <v>1.36</v>
      </c>
      <c r="P113" s="159">
        <f t="shared" si="23"/>
        <v>71</v>
      </c>
    </row>
    <row r="114" spans="2:16" hidden="1" x14ac:dyDescent="0.3">
      <c r="B114" s="98" t="s">
        <v>648</v>
      </c>
      <c r="C114" s="99" t="s">
        <v>649</v>
      </c>
      <c r="D114" s="100">
        <v>44966</v>
      </c>
      <c r="E114" s="98">
        <v>340</v>
      </c>
      <c r="F114" s="101">
        <v>278</v>
      </c>
      <c r="G114" s="100">
        <v>45877</v>
      </c>
      <c r="H114" s="99" t="s">
        <v>423</v>
      </c>
      <c r="I114" s="99" t="s">
        <v>428</v>
      </c>
      <c r="J114" s="99" t="s">
        <v>425</v>
      </c>
      <c r="L114">
        <f t="shared" si="15"/>
        <v>10</v>
      </c>
      <c r="M114">
        <f t="shared" si="16"/>
        <v>10</v>
      </c>
      <c r="N114">
        <f t="shared" si="17"/>
        <v>100</v>
      </c>
      <c r="O114" s="158">
        <f t="shared" si="22"/>
        <v>3.4</v>
      </c>
      <c r="P114" s="159">
        <f t="shared" si="23"/>
        <v>-62</v>
      </c>
    </row>
    <row r="115" spans="2:16" hidden="1" x14ac:dyDescent="0.3">
      <c r="B115" s="102" t="s">
        <v>650</v>
      </c>
      <c r="C115" s="103" t="s">
        <v>651</v>
      </c>
      <c r="D115" s="104">
        <v>44306</v>
      </c>
      <c r="E115" s="102">
        <v>186</v>
      </c>
      <c r="F115" s="105">
        <v>139</v>
      </c>
      <c r="G115" s="104">
        <v>45888</v>
      </c>
      <c r="H115" s="103" t="s">
        <v>423</v>
      </c>
      <c r="I115" s="103" t="s">
        <v>443</v>
      </c>
      <c r="J115" s="103" t="s">
        <v>425</v>
      </c>
      <c r="L115">
        <f t="shared" si="15"/>
        <v>10</v>
      </c>
      <c r="M115">
        <f t="shared" si="16"/>
        <v>5</v>
      </c>
      <c r="N115">
        <f t="shared" si="17"/>
        <v>50</v>
      </c>
      <c r="O115" s="158">
        <f t="shared" si="22"/>
        <v>3.72</v>
      </c>
      <c r="P115" s="159">
        <f t="shared" si="23"/>
        <v>-47</v>
      </c>
    </row>
    <row r="116" spans="2:16" hidden="1" x14ac:dyDescent="0.3">
      <c r="B116" s="98" t="s">
        <v>652</v>
      </c>
      <c r="C116" s="99" t="s">
        <v>653</v>
      </c>
      <c r="D116" s="100">
        <v>43832</v>
      </c>
      <c r="E116" s="98">
        <v>334</v>
      </c>
      <c r="F116" s="101">
        <v>278</v>
      </c>
      <c r="G116" s="100">
        <v>45870</v>
      </c>
      <c r="H116" s="99" t="s">
        <v>423</v>
      </c>
      <c r="I116" s="99" t="s">
        <v>428</v>
      </c>
      <c r="J116" s="99" t="s">
        <v>425</v>
      </c>
      <c r="L116">
        <f t="shared" si="15"/>
        <v>10</v>
      </c>
      <c r="M116">
        <f t="shared" si="16"/>
        <v>10</v>
      </c>
      <c r="N116">
        <f t="shared" si="17"/>
        <v>100</v>
      </c>
      <c r="O116" s="158">
        <f t="shared" si="22"/>
        <v>3.34</v>
      </c>
      <c r="P116" s="159">
        <f t="shared" si="23"/>
        <v>-56</v>
      </c>
    </row>
    <row r="117" spans="2:16" hidden="1" x14ac:dyDescent="0.3">
      <c r="B117" s="102" t="s">
        <v>648</v>
      </c>
      <c r="C117" s="103" t="s">
        <v>654</v>
      </c>
      <c r="D117" s="104">
        <v>45583</v>
      </c>
      <c r="E117" s="102">
        <v>186</v>
      </c>
      <c r="F117" s="105">
        <v>139</v>
      </c>
      <c r="G117" s="104">
        <v>45886</v>
      </c>
      <c r="H117" s="103" t="s">
        <v>423</v>
      </c>
      <c r="I117" s="103" t="s">
        <v>443</v>
      </c>
      <c r="J117" s="103" t="s">
        <v>425</v>
      </c>
      <c r="L117">
        <f t="shared" si="15"/>
        <v>10</v>
      </c>
      <c r="M117">
        <f t="shared" si="16"/>
        <v>5</v>
      </c>
      <c r="N117">
        <f t="shared" si="17"/>
        <v>50</v>
      </c>
      <c r="O117" s="158">
        <f t="shared" si="22"/>
        <v>3.72</v>
      </c>
      <c r="P117" s="159">
        <f t="shared" si="23"/>
        <v>-47</v>
      </c>
    </row>
    <row r="118" spans="2:16" x14ac:dyDescent="0.3">
      <c r="B118" s="98" t="s">
        <v>655</v>
      </c>
      <c r="C118" s="99" t="s">
        <v>656</v>
      </c>
      <c r="D118" s="100">
        <v>45775</v>
      </c>
      <c r="E118" s="98">
        <v>132</v>
      </c>
      <c r="F118" s="101">
        <v>139</v>
      </c>
      <c r="G118" s="100">
        <v>45865</v>
      </c>
      <c r="H118" s="99" t="s">
        <v>442</v>
      </c>
      <c r="I118" s="99" t="s">
        <v>443</v>
      </c>
      <c r="J118" s="99" t="s">
        <v>425</v>
      </c>
      <c r="L118">
        <f t="shared" si="15"/>
        <v>10</v>
      </c>
      <c r="M118">
        <f t="shared" si="16"/>
        <v>5</v>
      </c>
      <c r="N118">
        <f t="shared" si="17"/>
        <v>50</v>
      </c>
      <c r="O118" s="158">
        <f t="shared" si="22"/>
        <v>2.64</v>
      </c>
      <c r="P118" s="159">
        <f t="shared" si="23"/>
        <v>7</v>
      </c>
    </row>
    <row r="119" spans="2:16" hidden="1" x14ac:dyDescent="0.3">
      <c r="B119" s="102" t="s">
        <v>657</v>
      </c>
      <c r="C119" s="103" t="s">
        <v>658</v>
      </c>
      <c r="D119" s="104">
        <v>45237</v>
      </c>
      <c r="E119" s="102">
        <v>301</v>
      </c>
      <c r="F119" s="105">
        <v>278</v>
      </c>
      <c r="G119" s="104">
        <v>45876</v>
      </c>
      <c r="H119" s="103" t="s">
        <v>423</v>
      </c>
      <c r="I119" s="103" t="s">
        <v>428</v>
      </c>
      <c r="J119" s="103" t="s">
        <v>425</v>
      </c>
      <c r="L119">
        <f t="shared" si="15"/>
        <v>10</v>
      </c>
      <c r="M119">
        <f t="shared" si="16"/>
        <v>10</v>
      </c>
      <c r="N119">
        <f t="shared" si="17"/>
        <v>100</v>
      </c>
      <c r="O119" s="158">
        <f t="shared" si="22"/>
        <v>3.01</v>
      </c>
      <c r="P119" s="159">
        <f t="shared" si="23"/>
        <v>-23</v>
      </c>
    </row>
    <row r="120" spans="2:16" hidden="1" x14ac:dyDescent="0.3">
      <c r="B120" s="98" t="s">
        <v>659</v>
      </c>
      <c r="C120" s="99" t="s">
        <v>660</v>
      </c>
      <c r="D120" s="100">
        <v>45706</v>
      </c>
      <c r="E120" s="98">
        <v>146</v>
      </c>
      <c r="F120" s="101">
        <v>139</v>
      </c>
      <c r="G120" s="100">
        <v>45886</v>
      </c>
      <c r="H120" s="99" t="s">
        <v>423</v>
      </c>
      <c r="I120" s="99" t="s">
        <v>443</v>
      </c>
      <c r="J120" s="99" t="s">
        <v>425</v>
      </c>
      <c r="L120">
        <f t="shared" si="15"/>
        <v>10</v>
      </c>
      <c r="M120">
        <f t="shared" si="16"/>
        <v>5</v>
      </c>
      <c r="N120">
        <f t="shared" si="17"/>
        <v>50</v>
      </c>
      <c r="O120" s="158">
        <f t="shared" si="22"/>
        <v>2.92</v>
      </c>
      <c r="P120" s="159">
        <f t="shared" si="23"/>
        <v>-7</v>
      </c>
    </row>
    <row r="121" spans="2:16" x14ac:dyDescent="0.3">
      <c r="B121" s="102" t="s">
        <v>661</v>
      </c>
      <c r="C121" s="103" t="s">
        <v>662</v>
      </c>
      <c r="D121" s="104">
        <v>45783</v>
      </c>
      <c r="E121" s="102">
        <v>153</v>
      </c>
      <c r="F121" s="105">
        <v>278</v>
      </c>
      <c r="G121" s="104">
        <v>45878</v>
      </c>
      <c r="H121" s="103" t="s">
        <v>423</v>
      </c>
      <c r="I121" s="103" t="s">
        <v>428</v>
      </c>
      <c r="J121" s="103" t="s">
        <v>425</v>
      </c>
      <c r="L121">
        <f t="shared" si="15"/>
        <v>10</v>
      </c>
      <c r="M121">
        <f t="shared" si="16"/>
        <v>10</v>
      </c>
      <c r="N121">
        <f t="shared" si="17"/>
        <v>100</v>
      </c>
      <c r="O121" s="158">
        <f t="shared" si="22"/>
        <v>1.53</v>
      </c>
      <c r="P121" s="159">
        <f t="shared" si="23"/>
        <v>125</v>
      </c>
    </row>
    <row r="122" spans="2:16" x14ac:dyDescent="0.3">
      <c r="B122" s="98" t="s">
        <v>663</v>
      </c>
      <c r="C122" s="99" t="s">
        <v>664</v>
      </c>
      <c r="D122" s="100">
        <v>45864</v>
      </c>
      <c r="E122" s="98">
        <v>72</v>
      </c>
      <c r="F122" s="101">
        <v>139</v>
      </c>
      <c r="G122" s="100">
        <v>45894</v>
      </c>
      <c r="H122" s="99" t="s">
        <v>423</v>
      </c>
      <c r="I122" s="99" t="s">
        <v>443</v>
      </c>
      <c r="J122" s="99" t="s">
        <v>425</v>
      </c>
      <c r="L122">
        <f t="shared" si="15"/>
        <v>10</v>
      </c>
      <c r="M122">
        <f t="shared" si="16"/>
        <v>5</v>
      </c>
      <c r="N122">
        <f t="shared" si="17"/>
        <v>50</v>
      </c>
      <c r="O122" s="158">
        <f t="shared" si="22"/>
        <v>1.44</v>
      </c>
      <c r="P122" s="159">
        <f t="shared" si="23"/>
        <v>67</v>
      </c>
    </row>
    <row r="123" spans="2:16" hidden="1" x14ac:dyDescent="0.3">
      <c r="B123" s="102" t="s">
        <v>665</v>
      </c>
      <c r="C123" s="103" t="s">
        <v>666</v>
      </c>
      <c r="D123" s="104">
        <v>44885</v>
      </c>
      <c r="E123" s="102">
        <v>305</v>
      </c>
      <c r="F123" s="105">
        <v>278</v>
      </c>
      <c r="G123" s="104">
        <v>45889</v>
      </c>
      <c r="H123" s="103" t="s">
        <v>423</v>
      </c>
      <c r="I123" s="103" t="s">
        <v>428</v>
      </c>
      <c r="J123" s="103" t="s">
        <v>425</v>
      </c>
      <c r="L123">
        <f t="shared" si="15"/>
        <v>10</v>
      </c>
      <c r="M123">
        <f t="shared" si="16"/>
        <v>10</v>
      </c>
      <c r="N123">
        <f t="shared" si="17"/>
        <v>100</v>
      </c>
      <c r="O123" s="158">
        <f t="shared" si="22"/>
        <v>3.05</v>
      </c>
      <c r="P123" s="159">
        <f t="shared" si="23"/>
        <v>-27</v>
      </c>
    </row>
    <row r="124" spans="2:16" x14ac:dyDescent="0.3">
      <c r="B124" s="98" t="s">
        <v>667</v>
      </c>
      <c r="C124" s="99" t="s">
        <v>668</v>
      </c>
      <c r="D124" s="100">
        <v>45773</v>
      </c>
      <c r="E124" s="98">
        <v>68</v>
      </c>
      <c r="F124" s="101">
        <v>139</v>
      </c>
      <c r="G124" s="100">
        <v>45894</v>
      </c>
      <c r="H124" s="99" t="s">
        <v>423</v>
      </c>
      <c r="I124" s="99" t="s">
        <v>443</v>
      </c>
      <c r="J124" s="99" t="s">
        <v>425</v>
      </c>
      <c r="L124">
        <f t="shared" si="15"/>
        <v>10</v>
      </c>
      <c r="M124">
        <f t="shared" si="16"/>
        <v>5</v>
      </c>
      <c r="N124">
        <f t="shared" si="17"/>
        <v>50</v>
      </c>
      <c r="O124" s="158">
        <f t="shared" si="22"/>
        <v>1.36</v>
      </c>
      <c r="P124" s="159">
        <f t="shared" si="23"/>
        <v>71</v>
      </c>
    </row>
    <row r="125" spans="2:16" x14ac:dyDescent="0.3">
      <c r="B125" s="102" t="s">
        <v>669</v>
      </c>
      <c r="C125" s="103" t="s">
        <v>670</v>
      </c>
      <c r="D125" s="104">
        <v>45239</v>
      </c>
      <c r="E125" s="102">
        <v>170</v>
      </c>
      <c r="F125" s="105">
        <v>278</v>
      </c>
      <c r="G125" s="104">
        <v>45877</v>
      </c>
      <c r="H125" s="103" t="s">
        <v>423</v>
      </c>
      <c r="I125" s="103" t="s">
        <v>428</v>
      </c>
      <c r="J125" s="103" t="s">
        <v>425</v>
      </c>
      <c r="L125">
        <f t="shared" si="15"/>
        <v>10</v>
      </c>
      <c r="M125">
        <f t="shared" si="16"/>
        <v>10</v>
      </c>
      <c r="N125">
        <f t="shared" si="17"/>
        <v>100</v>
      </c>
      <c r="O125" s="158">
        <f t="shared" si="22"/>
        <v>1.7</v>
      </c>
      <c r="P125" s="159">
        <f t="shared" si="23"/>
        <v>108</v>
      </c>
    </row>
    <row r="126" spans="2:16" x14ac:dyDescent="0.3">
      <c r="B126" s="98" t="s">
        <v>671</v>
      </c>
      <c r="C126" s="99" t="s">
        <v>672</v>
      </c>
      <c r="D126" s="100">
        <v>45215</v>
      </c>
      <c r="E126" s="98">
        <v>46</v>
      </c>
      <c r="F126" s="101">
        <v>83</v>
      </c>
      <c r="G126" s="100">
        <v>45884</v>
      </c>
      <c r="H126" s="99" t="s">
        <v>423</v>
      </c>
      <c r="I126" s="99" t="s">
        <v>482</v>
      </c>
      <c r="J126" s="99" t="s">
        <v>425</v>
      </c>
      <c r="L126">
        <f t="shared" si="15"/>
        <v>5</v>
      </c>
      <c r="M126">
        <f t="shared" si="16"/>
        <v>5</v>
      </c>
      <c r="N126">
        <f t="shared" si="17"/>
        <v>25</v>
      </c>
      <c r="O126" s="158">
        <f t="shared" si="22"/>
        <v>1.84</v>
      </c>
      <c r="P126" s="159">
        <f t="shared" si="23"/>
        <v>37</v>
      </c>
    </row>
    <row r="127" spans="2:16" x14ac:dyDescent="0.3">
      <c r="B127" s="102" t="s">
        <v>673</v>
      </c>
      <c r="C127" s="103" t="s">
        <v>674</v>
      </c>
      <c r="D127" s="104">
        <v>45847</v>
      </c>
      <c r="E127" s="102">
        <v>72</v>
      </c>
      <c r="F127" s="105">
        <v>139</v>
      </c>
      <c r="G127" s="104">
        <v>45877</v>
      </c>
      <c r="H127" s="103" t="s">
        <v>423</v>
      </c>
      <c r="I127" s="103" t="s">
        <v>463</v>
      </c>
      <c r="J127" s="103" t="s">
        <v>425</v>
      </c>
      <c r="L127">
        <f t="shared" si="15"/>
        <v>5</v>
      </c>
      <c r="M127">
        <f t="shared" si="16"/>
        <v>10</v>
      </c>
      <c r="N127">
        <f t="shared" si="17"/>
        <v>50</v>
      </c>
      <c r="O127" s="158">
        <f t="shared" si="22"/>
        <v>1.44</v>
      </c>
      <c r="P127" s="159">
        <f t="shared" si="23"/>
        <v>67</v>
      </c>
    </row>
    <row r="128" spans="2:16" hidden="1" x14ac:dyDescent="0.3">
      <c r="B128" s="98" t="s">
        <v>675</v>
      </c>
      <c r="C128" s="99" t="s">
        <v>676</v>
      </c>
      <c r="D128" s="100">
        <v>44624</v>
      </c>
      <c r="E128" s="98">
        <v>199</v>
      </c>
      <c r="F128" s="101">
        <v>149</v>
      </c>
      <c r="G128" s="100">
        <v>45872</v>
      </c>
      <c r="H128" s="99" t="s">
        <v>423</v>
      </c>
      <c r="I128" s="99" t="s">
        <v>505</v>
      </c>
      <c r="J128" s="99" t="s">
        <v>425</v>
      </c>
      <c r="L128">
        <f t="shared" si="15"/>
        <v>5</v>
      </c>
      <c r="M128">
        <f t="shared" si="16"/>
        <v>11</v>
      </c>
      <c r="N128">
        <f t="shared" si="17"/>
        <v>55</v>
      </c>
      <c r="O128" s="158">
        <f t="shared" si="22"/>
        <v>3.6181818181818182</v>
      </c>
      <c r="P128" s="159">
        <f t="shared" si="23"/>
        <v>-50</v>
      </c>
    </row>
    <row r="129" spans="2:16" x14ac:dyDescent="0.3">
      <c r="B129" s="102" t="s">
        <v>677</v>
      </c>
      <c r="C129" s="103" t="s">
        <v>678</v>
      </c>
      <c r="D129" s="104">
        <v>45784</v>
      </c>
      <c r="E129" s="102">
        <v>82</v>
      </c>
      <c r="F129" s="105">
        <v>83</v>
      </c>
      <c r="G129" s="104">
        <v>45875</v>
      </c>
      <c r="H129" s="103" t="s">
        <v>423</v>
      </c>
      <c r="I129" s="103" t="s">
        <v>482</v>
      </c>
      <c r="J129" s="103" t="s">
        <v>425</v>
      </c>
      <c r="L129">
        <f t="shared" si="15"/>
        <v>5</v>
      </c>
      <c r="M129">
        <f t="shared" si="16"/>
        <v>5</v>
      </c>
      <c r="N129">
        <f t="shared" si="17"/>
        <v>25</v>
      </c>
      <c r="O129" s="158">
        <f t="shared" si="22"/>
        <v>3.28</v>
      </c>
      <c r="P129" s="159">
        <f t="shared" si="23"/>
        <v>1</v>
      </c>
    </row>
    <row r="130" spans="2:16" x14ac:dyDescent="0.3">
      <c r="B130" s="98" t="s">
        <v>679</v>
      </c>
      <c r="C130" s="99" t="s">
        <v>680</v>
      </c>
      <c r="D130" s="100">
        <v>45173</v>
      </c>
      <c r="E130" s="98">
        <v>132</v>
      </c>
      <c r="F130" s="101">
        <v>139</v>
      </c>
      <c r="G130" s="100">
        <v>45873</v>
      </c>
      <c r="H130" s="99" t="s">
        <v>423</v>
      </c>
      <c r="I130" s="99" t="s">
        <v>443</v>
      </c>
      <c r="J130" s="99" t="s">
        <v>425</v>
      </c>
      <c r="L130">
        <f t="shared" si="15"/>
        <v>10</v>
      </c>
      <c r="M130">
        <f t="shared" si="16"/>
        <v>5</v>
      </c>
      <c r="N130">
        <f t="shared" si="17"/>
        <v>50</v>
      </c>
      <c r="O130" s="158">
        <f t="shared" si="22"/>
        <v>2.64</v>
      </c>
      <c r="P130" s="159">
        <f t="shared" si="23"/>
        <v>7</v>
      </c>
    </row>
    <row r="131" spans="2:16" hidden="1" x14ac:dyDescent="0.3">
      <c r="B131" s="102" t="s">
        <v>681</v>
      </c>
      <c r="C131" s="103" t="s">
        <v>682</v>
      </c>
      <c r="D131" s="104">
        <v>44277</v>
      </c>
      <c r="E131" s="102">
        <v>243</v>
      </c>
      <c r="F131" s="105">
        <v>187</v>
      </c>
      <c r="G131" s="104">
        <v>45890</v>
      </c>
      <c r="H131" s="103" t="s">
        <v>423</v>
      </c>
      <c r="I131" s="103" t="s">
        <v>446</v>
      </c>
      <c r="J131" s="103" t="s">
        <v>425</v>
      </c>
      <c r="L131">
        <f t="shared" si="15"/>
        <v>15</v>
      </c>
      <c r="M131">
        <f t="shared" si="16"/>
        <v>5</v>
      </c>
      <c r="N131">
        <f t="shared" si="17"/>
        <v>75</v>
      </c>
      <c r="O131" s="158">
        <f t="shared" si="22"/>
        <v>3.24</v>
      </c>
      <c r="P131" s="159">
        <f t="shared" si="23"/>
        <v>-56</v>
      </c>
    </row>
    <row r="132" spans="2:16" hidden="1" x14ac:dyDescent="0.3">
      <c r="B132" s="98" t="s">
        <v>683</v>
      </c>
      <c r="C132" s="99" t="s">
        <v>684</v>
      </c>
      <c r="D132" s="100">
        <v>44818</v>
      </c>
      <c r="E132" s="98">
        <v>391</v>
      </c>
      <c r="F132" s="101">
        <v>373</v>
      </c>
      <c r="G132" s="100">
        <v>45882</v>
      </c>
      <c r="H132" s="99" t="s">
        <v>423</v>
      </c>
      <c r="I132" s="99" t="s">
        <v>424</v>
      </c>
      <c r="J132" s="99" t="s">
        <v>425</v>
      </c>
      <c r="L132">
        <f t="shared" si="15"/>
        <v>10</v>
      </c>
      <c r="M132">
        <f t="shared" si="16"/>
        <v>15</v>
      </c>
      <c r="N132">
        <f t="shared" si="17"/>
        <v>150</v>
      </c>
      <c r="O132" s="158">
        <f t="shared" si="22"/>
        <v>2.6066666666666665</v>
      </c>
      <c r="P132" s="159">
        <f t="shared" si="23"/>
        <v>-18</v>
      </c>
    </row>
    <row r="133" spans="2:16" hidden="1" x14ac:dyDescent="0.3">
      <c r="B133" s="102" t="s">
        <v>685</v>
      </c>
      <c r="C133" s="103" t="s">
        <v>686</v>
      </c>
      <c r="D133" s="104">
        <v>45203</v>
      </c>
      <c r="E133" s="102">
        <v>384</v>
      </c>
      <c r="F133" s="105">
        <v>373</v>
      </c>
      <c r="G133" s="104">
        <v>45872</v>
      </c>
      <c r="H133" s="103" t="s">
        <v>423</v>
      </c>
      <c r="I133" s="103" t="s">
        <v>424</v>
      </c>
      <c r="J133" s="103" t="s">
        <v>425</v>
      </c>
      <c r="L133">
        <f t="shared" si="15"/>
        <v>10</v>
      </c>
      <c r="M133">
        <f t="shared" si="16"/>
        <v>15</v>
      </c>
      <c r="N133">
        <f t="shared" si="17"/>
        <v>150</v>
      </c>
      <c r="O133" s="158">
        <f t="shared" si="22"/>
        <v>2.56</v>
      </c>
      <c r="P133" s="159">
        <f t="shared" si="23"/>
        <v>-11</v>
      </c>
    </row>
    <row r="134" spans="2:16" hidden="1" x14ac:dyDescent="0.3">
      <c r="B134" s="98" t="s">
        <v>687</v>
      </c>
      <c r="C134" s="99" t="s">
        <v>688</v>
      </c>
      <c r="D134" s="100">
        <v>43862</v>
      </c>
      <c r="E134" s="98">
        <v>451</v>
      </c>
      <c r="F134" s="101">
        <v>373</v>
      </c>
      <c r="G134" s="100">
        <v>45869</v>
      </c>
      <c r="H134" s="99" t="s">
        <v>423</v>
      </c>
      <c r="I134" s="99" t="s">
        <v>424</v>
      </c>
      <c r="J134" s="99" t="s">
        <v>425</v>
      </c>
      <c r="L134">
        <f t="shared" si="15"/>
        <v>10</v>
      </c>
      <c r="M134">
        <f t="shared" si="16"/>
        <v>15</v>
      </c>
      <c r="N134">
        <f t="shared" si="17"/>
        <v>150</v>
      </c>
      <c r="O134" s="158">
        <f t="shared" si="22"/>
        <v>3.0066666666666668</v>
      </c>
      <c r="P134" s="159">
        <f t="shared" si="23"/>
        <v>-78</v>
      </c>
    </row>
    <row r="135" spans="2:16" x14ac:dyDescent="0.3">
      <c r="B135" s="102" t="s">
        <v>689</v>
      </c>
      <c r="C135" s="103" t="s">
        <v>690</v>
      </c>
      <c r="D135" s="104">
        <v>44988</v>
      </c>
      <c r="E135" s="102">
        <v>303</v>
      </c>
      <c r="F135" s="105">
        <v>373</v>
      </c>
      <c r="G135" s="104">
        <v>45902</v>
      </c>
      <c r="H135" s="103" t="s">
        <v>423</v>
      </c>
      <c r="I135" s="103" t="s">
        <v>424</v>
      </c>
      <c r="J135" s="103" t="s">
        <v>425</v>
      </c>
      <c r="L135">
        <f t="shared" ref="L135:L198" si="24">--LEFT(I135,FIND("X",I135)-1)</f>
        <v>10</v>
      </c>
      <c r="M135">
        <f t="shared" ref="M135:M198" si="25">--RIGHT(I135,LEN(I135)-FIND("X",I135))</f>
        <v>15</v>
      </c>
      <c r="N135">
        <f t="shared" ref="N135:N198" si="26">L135*M135</f>
        <v>150</v>
      </c>
      <c r="O135" s="158">
        <f t="shared" si="22"/>
        <v>2.02</v>
      </c>
      <c r="P135" s="159">
        <f t="shared" si="23"/>
        <v>70</v>
      </c>
    </row>
    <row r="136" spans="2:16" x14ac:dyDescent="0.3">
      <c r="B136" s="98" t="s">
        <v>691</v>
      </c>
      <c r="C136" s="99" t="s">
        <v>692</v>
      </c>
      <c r="D136" s="100">
        <v>45660</v>
      </c>
      <c r="E136" s="98">
        <v>338</v>
      </c>
      <c r="F136" s="101">
        <v>373</v>
      </c>
      <c r="G136" s="100">
        <v>45871</v>
      </c>
      <c r="H136" s="99" t="s">
        <v>423</v>
      </c>
      <c r="I136" s="99" t="s">
        <v>424</v>
      </c>
      <c r="J136" s="99" t="s">
        <v>425</v>
      </c>
      <c r="L136">
        <f t="shared" si="24"/>
        <v>10</v>
      </c>
      <c r="M136">
        <f t="shared" si="25"/>
        <v>15</v>
      </c>
      <c r="N136">
        <f t="shared" si="26"/>
        <v>150</v>
      </c>
      <c r="O136" s="158">
        <f t="shared" si="22"/>
        <v>2.2533333333333334</v>
      </c>
      <c r="P136" s="159">
        <f t="shared" si="23"/>
        <v>35</v>
      </c>
    </row>
    <row r="137" spans="2:16" hidden="1" x14ac:dyDescent="0.3">
      <c r="B137" s="102" t="s">
        <v>693</v>
      </c>
      <c r="C137" s="103" t="s">
        <v>694</v>
      </c>
      <c r="D137" s="104">
        <v>45595</v>
      </c>
      <c r="E137" s="102">
        <v>115</v>
      </c>
      <c r="F137" s="105">
        <v>83</v>
      </c>
      <c r="G137" s="104">
        <v>45898</v>
      </c>
      <c r="H137" s="103" t="s">
        <v>423</v>
      </c>
      <c r="I137" s="103" t="s">
        <v>482</v>
      </c>
      <c r="J137" s="103" t="s">
        <v>425</v>
      </c>
      <c r="L137">
        <f t="shared" si="24"/>
        <v>5</v>
      </c>
      <c r="M137">
        <f t="shared" si="25"/>
        <v>5</v>
      </c>
      <c r="N137">
        <f t="shared" si="26"/>
        <v>25</v>
      </c>
      <c r="O137" s="158">
        <f t="shared" si="22"/>
        <v>4.5999999999999996</v>
      </c>
      <c r="P137" s="159">
        <f t="shared" si="23"/>
        <v>-32</v>
      </c>
    </row>
    <row r="138" spans="2:16" hidden="1" x14ac:dyDescent="0.3">
      <c r="B138" s="98" t="s">
        <v>695</v>
      </c>
      <c r="C138" s="99" t="s">
        <v>696</v>
      </c>
      <c r="D138" s="100">
        <v>44130</v>
      </c>
      <c r="E138" s="98">
        <v>122</v>
      </c>
      <c r="F138" s="101">
        <v>83</v>
      </c>
      <c r="G138" s="100">
        <v>45894</v>
      </c>
      <c r="H138" s="99" t="s">
        <v>423</v>
      </c>
      <c r="I138" s="99" t="s">
        <v>482</v>
      </c>
      <c r="J138" s="99" t="s">
        <v>425</v>
      </c>
      <c r="L138">
        <f t="shared" si="24"/>
        <v>5</v>
      </c>
      <c r="M138">
        <f t="shared" si="25"/>
        <v>5</v>
      </c>
      <c r="N138">
        <f t="shared" si="26"/>
        <v>25</v>
      </c>
      <c r="O138" s="158">
        <f t="shared" si="22"/>
        <v>4.88</v>
      </c>
      <c r="P138" s="159">
        <f t="shared" si="23"/>
        <v>-39</v>
      </c>
    </row>
    <row r="139" spans="2:16" x14ac:dyDescent="0.3">
      <c r="B139" s="102" t="s">
        <v>697</v>
      </c>
      <c r="C139" s="103" t="s">
        <v>698</v>
      </c>
      <c r="D139" s="104">
        <v>45732</v>
      </c>
      <c r="E139" s="102">
        <v>70</v>
      </c>
      <c r="F139" s="105">
        <v>71</v>
      </c>
      <c r="G139" s="104">
        <v>45886</v>
      </c>
      <c r="H139" s="103" t="s">
        <v>423</v>
      </c>
      <c r="I139" s="103" t="s">
        <v>699</v>
      </c>
      <c r="J139" s="103" t="s">
        <v>425</v>
      </c>
      <c r="L139">
        <f t="shared" si="24"/>
        <v>5</v>
      </c>
      <c r="M139">
        <f t="shared" si="25"/>
        <v>4</v>
      </c>
      <c r="N139">
        <f t="shared" si="26"/>
        <v>20</v>
      </c>
      <c r="O139" s="158">
        <f t="shared" si="22"/>
        <v>3.5</v>
      </c>
      <c r="P139" s="159">
        <f t="shared" si="23"/>
        <v>1</v>
      </c>
    </row>
    <row r="140" spans="2:16" hidden="1" x14ac:dyDescent="0.3">
      <c r="B140" s="98" t="s">
        <v>700</v>
      </c>
      <c r="C140" s="99" t="s">
        <v>701</v>
      </c>
      <c r="D140" s="100">
        <v>43991</v>
      </c>
      <c r="E140" s="98">
        <v>318</v>
      </c>
      <c r="F140" s="101">
        <v>278</v>
      </c>
      <c r="G140" s="100">
        <v>45872</v>
      </c>
      <c r="H140" s="99" t="s">
        <v>423</v>
      </c>
      <c r="I140" s="99" t="s">
        <v>428</v>
      </c>
      <c r="J140" s="99" t="s">
        <v>425</v>
      </c>
      <c r="L140">
        <f t="shared" si="24"/>
        <v>10</v>
      </c>
      <c r="M140">
        <f t="shared" si="25"/>
        <v>10</v>
      </c>
      <c r="N140">
        <f t="shared" si="26"/>
        <v>100</v>
      </c>
      <c r="O140" s="158">
        <f t="shared" si="22"/>
        <v>3.18</v>
      </c>
      <c r="P140" s="159">
        <f t="shared" si="23"/>
        <v>-40</v>
      </c>
    </row>
    <row r="141" spans="2:16" hidden="1" x14ac:dyDescent="0.3">
      <c r="B141" s="102" t="s">
        <v>702</v>
      </c>
      <c r="C141" s="103" t="s">
        <v>703</v>
      </c>
      <c r="D141" s="104">
        <v>45663</v>
      </c>
      <c r="E141" s="102">
        <v>113</v>
      </c>
      <c r="F141" s="105">
        <v>83</v>
      </c>
      <c r="G141" s="104">
        <v>45874</v>
      </c>
      <c r="H141" s="103" t="s">
        <v>423</v>
      </c>
      <c r="I141" s="103" t="s">
        <v>482</v>
      </c>
      <c r="J141" s="103" t="s">
        <v>425</v>
      </c>
      <c r="L141">
        <f t="shared" si="24"/>
        <v>5</v>
      </c>
      <c r="M141">
        <f t="shared" si="25"/>
        <v>5</v>
      </c>
      <c r="N141">
        <f t="shared" si="26"/>
        <v>25</v>
      </c>
      <c r="O141" s="158">
        <f t="shared" si="22"/>
        <v>4.5199999999999996</v>
      </c>
      <c r="P141" s="159">
        <f t="shared" si="23"/>
        <v>-30</v>
      </c>
    </row>
    <row r="142" spans="2:16" hidden="1" x14ac:dyDescent="0.3">
      <c r="B142" s="98" t="s">
        <v>704</v>
      </c>
      <c r="C142" s="99" t="s">
        <v>705</v>
      </c>
      <c r="D142" s="100">
        <v>44507</v>
      </c>
      <c r="E142" s="98">
        <v>106</v>
      </c>
      <c r="F142" s="101">
        <v>71</v>
      </c>
      <c r="G142" s="100">
        <v>45875</v>
      </c>
      <c r="H142" s="99" t="s">
        <v>423</v>
      </c>
      <c r="I142" s="99" t="s">
        <v>699</v>
      </c>
      <c r="J142" s="99" t="s">
        <v>425</v>
      </c>
      <c r="L142">
        <f t="shared" si="24"/>
        <v>5</v>
      </c>
      <c r="M142">
        <f t="shared" si="25"/>
        <v>4</v>
      </c>
      <c r="N142">
        <f t="shared" si="26"/>
        <v>20</v>
      </c>
      <c r="O142" s="158">
        <f t="shared" si="22"/>
        <v>5.3</v>
      </c>
      <c r="P142" s="159">
        <f t="shared" si="23"/>
        <v>-35</v>
      </c>
    </row>
    <row r="143" spans="2:16" hidden="1" x14ac:dyDescent="0.3">
      <c r="B143" s="102" t="s">
        <v>706</v>
      </c>
      <c r="C143" s="103" t="s">
        <v>707</v>
      </c>
      <c r="D143" s="104">
        <v>44899</v>
      </c>
      <c r="E143" s="102">
        <v>108</v>
      </c>
      <c r="F143" s="105">
        <v>83</v>
      </c>
      <c r="G143" s="104">
        <v>45872</v>
      </c>
      <c r="H143" s="103" t="s">
        <v>423</v>
      </c>
      <c r="I143" s="103" t="s">
        <v>482</v>
      </c>
      <c r="J143" s="103" t="s">
        <v>425</v>
      </c>
      <c r="L143">
        <f t="shared" si="24"/>
        <v>5</v>
      </c>
      <c r="M143">
        <f t="shared" si="25"/>
        <v>5</v>
      </c>
      <c r="N143">
        <f t="shared" si="26"/>
        <v>25</v>
      </c>
      <c r="O143" s="158">
        <f t="shared" si="22"/>
        <v>4.32</v>
      </c>
      <c r="P143" s="159">
        <f t="shared" si="23"/>
        <v>-25</v>
      </c>
    </row>
    <row r="144" spans="2:16" hidden="1" x14ac:dyDescent="0.3">
      <c r="B144" s="98" t="s">
        <v>708</v>
      </c>
      <c r="C144" s="99" t="s">
        <v>709</v>
      </c>
      <c r="D144" s="100">
        <v>44455</v>
      </c>
      <c r="E144" s="98">
        <v>300</v>
      </c>
      <c r="F144" s="101">
        <v>298</v>
      </c>
      <c r="G144" s="100">
        <v>45884</v>
      </c>
      <c r="H144" s="99" t="s">
        <v>423</v>
      </c>
      <c r="I144" s="99" t="s">
        <v>581</v>
      </c>
      <c r="J144" s="99" t="s">
        <v>425</v>
      </c>
      <c r="L144">
        <f t="shared" si="24"/>
        <v>10</v>
      </c>
      <c r="M144">
        <f t="shared" si="25"/>
        <v>11</v>
      </c>
      <c r="N144">
        <f t="shared" si="26"/>
        <v>110</v>
      </c>
      <c r="O144" s="158">
        <f t="shared" si="22"/>
        <v>2.7272727272727271</v>
      </c>
      <c r="P144" s="159">
        <f t="shared" si="23"/>
        <v>-2</v>
      </c>
    </row>
    <row r="145" spans="2:16" hidden="1" x14ac:dyDescent="0.3">
      <c r="B145" s="102" t="s">
        <v>710</v>
      </c>
      <c r="C145" s="103" t="s">
        <v>711</v>
      </c>
      <c r="D145" s="104">
        <v>45054</v>
      </c>
      <c r="E145" s="102">
        <v>104</v>
      </c>
      <c r="F145" s="105">
        <v>71</v>
      </c>
      <c r="G145" s="104">
        <v>45876</v>
      </c>
      <c r="H145" s="103" t="s">
        <v>423</v>
      </c>
      <c r="I145" s="103" t="s">
        <v>699</v>
      </c>
      <c r="J145" s="103" t="s">
        <v>425</v>
      </c>
      <c r="L145">
        <f t="shared" si="24"/>
        <v>5</v>
      </c>
      <c r="M145">
        <f t="shared" si="25"/>
        <v>4</v>
      </c>
      <c r="N145">
        <f t="shared" si="26"/>
        <v>20</v>
      </c>
      <c r="O145" s="158">
        <f t="shared" si="22"/>
        <v>5.2</v>
      </c>
      <c r="P145" s="159">
        <f t="shared" si="23"/>
        <v>-33</v>
      </c>
    </row>
    <row r="146" spans="2:16" x14ac:dyDescent="0.3">
      <c r="B146" s="98" t="s">
        <v>712</v>
      </c>
      <c r="C146" s="99" t="s">
        <v>713</v>
      </c>
      <c r="D146" s="100">
        <v>45817</v>
      </c>
      <c r="E146" s="98">
        <v>55</v>
      </c>
      <c r="F146" s="101">
        <v>83</v>
      </c>
      <c r="G146" s="100">
        <v>45877</v>
      </c>
      <c r="H146" s="99" t="s">
        <v>423</v>
      </c>
      <c r="I146" s="99" t="s">
        <v>482</v>
      </c>
      <c r="J146" s="99" t="s">
        <v>425</v>
      </c>
      <c r="L146">
        <f t="shared" si="24"/>
        <v>5</v>
      </c>
      <c r="M146">
        <f t="shared" si="25"/>
        <v>5</v>
      </c>
      <c r="N146">
        <f t="shared" si="26"/>
        <v>25</v>
      </c>
      <c r="O146" s="158">
        <f t="shared" si="22"/>
        <v>2.2000000000000002</v>
      </c>
      <c r="P146" s="159">
        <f t="shared" si="23"/>
        <v>28</v>
      </c>
    </row>
    <row r="147" spans="2:16" x14ac:dyDescent="0.3">
      <c r="B147" s="102" t="s">
        <v>714</v>
      </c>
      <c r="C147" s="103" t="s">
        <v>715</v>
      </c>
      <c r="D147" s="104">
        <v>44974</v>
      </c>
      <c r="E147" s="102">
        <v>82</v>
      </c>
      <c r="F147" s="105">
        <v>83</v>
      </c>
      <c r="G147" s="104">
        <v>45916</v>
      </c>
      <c r="H147" s="103" t="s">
        <v>423</v>
      </c>
      <c r="I147" s="103" t="s">
        <v>482</v>
      </c>
      <c r="J147" s="103" t="s">
        <v>425</v>
      </c>
      <c r="L147">
        <f t="shared" si="24"/>
        <v>5</v>
      </c>
      <c r="M147">
        <f t="shared" si="25"/>
        <v>5</v>
      </c>
      <c r="N147">
        <f t="shared" si="26"/>
        <v>25</v>
      </c>
      <c r="O147" s="158">
        <f t="shared" si="22"/>
        <v>3.28</v>
      </c>
      <c r="P147" s="159">
        <f t="shared" si="23"/>
        <v>1</v>
      </c>
    </row>
    <row r="148" spans="2:16" x14ac:dyDescent="0.3">
      <c r="B148" s="98" t="s">
        <v>716</v>
      </c>
      <c r="C148" s="99" t="s">
        <v>717</v>
      </c>
      <c r="D148" s="100">
        <v>45001</v>
      </c>
      <c r="E148" s="98">
        <v>73</v>
      </c>
      <c r="F148" s="101">
        <v>83</v>
      </c>
      <c r="G148" s="100">
        <v>45884</v>
      </c>
      <c r="H148" s="99" t="s">
        <v>423</v>
      </c>
      <c r="I148" s="99" t="s">
        <v>482</v>
      </c>
      <c r="J148" s="99" t="s">
        <v>425</v>
      </c>
      <c r="L148">
        <f t="shared" si="24"/>
        <v>5</v>
      </c>
      <c r="M148">
        <f t="shared" si="25"/>
        <v>5</v>
      </c>
      <c r="N148">
        <f t="shared" si="26"/>
        <v>25</v>
      </c>
      <c r="O148" s="158">
        <f t="shared" si="22"/>
        <v>2.92</v>
      </c>
      <c r="P148" s="159">
        <f t="shared" si="23"/>
        <v>10</v>
      </c>
    </row>
    <row r="149" spans="2:16" x14ac:dyDescent="0.3">
      <c r="B149" s="102" t="s">
        <v>718</v>
      </c>
      <c r="C149" s="103" t="s">
        <v>719</v>
      </c>
      <c r="D149" s="104">
        <v>45757</v>
      </c>
      <c r="E149" s="102">
        <v>41</v>
      </c>
      <c r="F149" s="105">
        <v>83</v>
      </c>
      <c r="G149" s="104">
        <v>45878</v>
      </c>
      <c r="H149" s="103" t="s">
        <v>423</v>
      </c>
      <c r="I149" s="103" t="s">
        <v>482</v>
      </c>
      <c r="J149" s="103" t="s">
        <v>425</v>
      </c>
      <c r="L149">
        <f t="shared" si="24"/>
        <v>5</v>
      </c>
      <c r="M149">
        <f t="shared" si="25"/>
        <v>5</v>
      </c>
      <c r="N149">
        <f t="shared" si="26"/>
        <v>25</v>
      </c>
      <c r="O149" s="158">
        <f t="shared" si="22"/>
        <v>1.64</v>
      </c>
      <c r="P149" s="159">
        <f t="shared" si="23"/>
        <v>42</v>
      </c>
    </row>
    <row r="150" spans="2:16" hidden="1" x14ac:dyDescent="0.3">
      <c r="B150" s="98" t="s">
        <v>720</v>
      </c>
      <c r="C150" s="99" t="s">
        <v>721</v>
      </c>
      <c r="D150" s="100">
        <v>44078</v>
      </c>
      <c r="E150" s="98">
        <v>95</v>
      </c>
      <c r="F150" s="101">
        <v>83</v>
      </c>
      <c r="G150" s="100">
        <v>45872</v>
      </c>
      <c r="H150" s="99" t="s">
        <v>423</v>
      </c>
      <c r="I150" s="99" t="s">
        <v>482</v>
      </c>
      <c r="J150" s="99" t="s">
        <v>425</v>
      </c>
      <c r="L150">
        <f t="shared" si="24"/>
        <v>5</v>
      </c>
      <c r="M150">
        <f t="shared" si="25"/>
        <v>5</v>
      </c>
      <c r="N150">
        <f t="shared" si="26"/>
        <v>25</v>
      </c>
      <c r="O150" s="158">
        <f t="shared" si="22"/>
        <v>3.8</v>
      </c>
      <c r="P150" s="159">
        <f t="shared" si="23"/>
        <v>-12</v>
      </c>
    </row>
    <row r="151" spans="2:16" hidden="1" x14ac:dyDescent="0.3">
      <c r="B151" s="102" t="s">
        <v>722</v>
      </c>
      <c r="C151" s="103" t="s">
        <v>723</v>
      </c>
      <c r="D151" s="104">
        <v>45590</v>
      </c>
      <c r="E151" s="102">
        <v>113</v>
      </c>
      <c r="F151" s="105">
        <v>83</v>
      </c>
      <c r="G151" s="104">
        <v>45893</v>
      </c>
      <c r="H151" s="103" t="s">
        <v>423</v>
      </c>
      <c r="I151" s="103" t="s">
        <v>482</v>
      </c>
      <c r="J151" s="103" t="s">
        <v>425</v>
      </c>
      <c r="L151">
        <f t="shared" si="24"/>
        <v>5</v>
      </c>
      <c r="M151">
        <f t="shared" si="25"/>
        <v>5</v>
      </c>
      <c r="N151">
        <f t="shared" si="26"/>
        <v>25</v>
      </c>
      <c r="O151" s="158">
        <f t="shared" si="22"/>
        <v>4.5199999999999996</v>
      </c>
      <c r="P151" s="159">
        <f t="shared" si="23"/>
        <v>-30</v>
      </c>
    </row>
    <row r="152" spans="2:16" x14ac:dyDescent="0.3">
      <c r="B152" s="98" t="s">
        <v>724</v>
      </c>
      <c r="C152" s="99" t="s">
        <v>725</v>
      </c>
      <c r="D152" s="100">
        <v>45768</v>
      </c>
      <c r="E152" s="98">
        <v>79</v>
      </c>
      <c r="F152" s="101">
        <v>83</v>
      </c>
      <c r="G152" s="100">
        <v>45889</v>
      </c>
      <c r="H152" s="99" t="s">
        <v>423</v>
      </c>
      <c r="I152" s="99" t="s">
        <v>482</v>
      </c>
      <c r="J152" s="99" t="s">
        <v>425</v>
      </c>
      <c r="L152">
        <f t="shared" si="24"/>
        <v>5</v>
      </c>
      <c r="M152">
        <f t="shared" si="25"/>
        <v>5</v>
      </c>
      <c r="N152">
        <f t="shared" si="26"/>
        <v>25</v>
      </c>
      <c r="O152" s="158">
        <f t="shared" si="22"/>
        <v>3.16</v>
      </c>
      <c r="P152" s="159">
        <f t="shared" si="23"/>
        <v>4</v>
      </c>
    </row>
    <row r="153" spans="2:16" hidden="1" x14ac:dyDescent="0.3">
      <c r="B153" s="102" t="s">
        <v>726</v>
      </c>
      <c r="C153" s="103" t="s">
        <v>727</v>
      </c>
      <c r="D153" s="104">
        <v>44076</v>
      </c>
      <c r="E153" s="102">
        <v>272</v>
      </c>
      <c r="F153" s="105">
        <v>187</v>
      </c>
      <c r="G153" s="104">
        <v>45870</v>
      </c>
      <c r="H153" s="103" t="s">
        <v>423</v>
      </c>
      <c r="I153" s="103" t="s">
        <v>446</v>
      </c>
      <c r="J153" s="103" t="s">
        <v>425</v>
      </c>
      <c r="L153">
        <f t="shared" si="24"/>
        <v>15</v>
      </c>
      <c r="M153">
        <f t="shared" si="25"/>
        <v>5</v>
      </c>
      <c r="N153">
        <f t="shared" si="26"/>
        <v>75</v>
      </c>
      <c r="O153" s="158">
        <f t="shared" si="22"/>
        <v>3.6266666666666665</v>
      </c>
      <c r="P153" s="159">
        <f t="shared" si="23"/>
        <v>-85</v>
      </c>
    </row>
    <row r="154" spans="2:16" hidden="1" x14ac:dyDescent="0.3">
      <c r="B154" s="98" t="s">
        <v>728</v>
      </c>
      <c r="C154" s="99" t="s">
        <v>729</v>
      </c>
      <c r="D154" s="100">
        <v>44998</v>
      </c>
      <c r="E154" s="98">
        <v>311</v>
      </c>
      <c r="F154" s="101">
        <v>298</v>
      </c>
      <c r="G154" s="100">
        <v>45881</v>
      </c>
      <c r="H154" s="99" t="s">
        <v>423</v>
      </c>
      <c r="I154" s="99" t="s">
        <v>581</v>
      </c>
      <c r="J154" s="99" t="s">
        <v>425</v>
      </c>
      <c r="L154">
        <f t="shared" si="24"/>
        <v>10</v>
      </c>
      <c r="M154">
        <f t="shared" si="25"/>
        <v>11</v>
      </c>
      <c r="N154">
        <f t="shared" si="26"/>
        <v>110</v>
      </c>
      <c r="O154" s="158">
        <f t="shared" si="22"/>
        <v>2.8272727272727272</v>
      </c>
      <c r="P154" s="159">
        <f t="shared" si="23"/>
        <v>-13</v>
      </c>
    </row>
    <row r="155" spans="2:16" x14ac:dyDescent="0.3">
      <c r="B155" s="102" t="s">
        <v>730</v>
      </c>
      <c r="C155" s="103" t="s">
        <v>731</v>
      </c>
      <c r="D155" s="104">
        <v>45779</v>
      </c>
      <c r="E155" s="102">
        <v>68</v>
      </c>
      <c r="F155" s="105">
        <v>139</v>
      </c>
      <c r="G155" s="104">
        <v>45870</v>
      </c>
      <c r="H155" s="103" t="s">
        <v>423</v>
      </c>
      <c r="I155" s="103" t="s">
        <v>443</v>
      </c>
      <c r="J155" s="103" t="s">
        <v>425</v>
      </c>
      <c r="L155">
        <f t="shared" si="24"/>
        <v>10</v>
      </c>
      <c r="M155">
        <f t="shared" si="25"/>
        <v>5</v>
      </c>
      <c r="N155">
        <f t="shared" si="26"/>
        <v>50</v>
      </c>
      <c r="O155" s="158">
        <f t="shared" si="22"/>
        <v>1.36</v>
      </c>
      <c r="P155" s="159">
        <f t="shared" si="23"/>
        <v>71</v>
      </c>
    </row>
    <row r="156" spans="2:16" hidden="1" x14ac:dyDescent="0.3">
      <c r="B156" s="98" t="s">
        <v>732</v>
      </c>
      <c r="C156" s="99" t="s">
        <v>733</v>
      </c>
      <c r="D156" s="100">
        <v>44039</v>
      </c>
      <c r="E156" s="98">
        <v>303</v>
      </c>
      <c r="F156" s="101">
        <v>278</v>
      </c>
      <c r="G156" s="100">
        <v>45895</v>
      </c>
      <c r="H156" s="99" t="s">
        <v>423</v>
      </c>
      <c r="I156" s="99" t="s">
        <v>428</v>
      </c>
      <c r="J156" s="99" t="s">
        <v>425</v>
      </c>
      <c r="L156">
        <f t="shared" si="24"/>
        <v>10</v>
      </c>
      <c r="M156">
        <f t="shared" si="25"/>
        <v>10</v>
      </c>
      <c r="N156">
        <f t="shared" si="26"/>
        <v>100</v>
      </c>
      <c r="O156" s="158">
        <f t="shared" si="22"/>
        <v>3.03</v>
      </c>
      <c r="P156" s="159">
        <f t="shared" si="23"/>
        <v>-25</v>
      </c>
    </row>
    <row r="157" spans="2:16" x14ac:dyDescent="0.3">
      <c r="B157" s="102" t="s">
        <v>734</v>
      </c>
      <c r="C157" s="103" t="s">
        <v>735</v>
      </c>
      <c r="D157" s="104">
        <v>45779</v>
      </c>
      <c r="E157" s="102">
        <v>68</v>
      </c>
      <c r="F157" s="105">
        <v>139</v>
      </c>
      <c r="G157" s="104">
        <v>45876</v>
      </c>
      <c r="H157" s="103" t="s">
        <v>423</v>
      </c>
      <c r="I157" s="103" t="s">
        <v>443</v>
      </c>
      <c r="J157" s="103" t="s">
        <v>425</v>
      </c>
      <c r="L157">
        <f t="shared" si="24"/>
        <v>10</v>
      </c>
      <c r="M157">
        <f t="shared" si="25"/>
        <v>5</v>
      </c>
      <c r="N157">
        <f t="shared" si="26"/>
        <v>50</v>
      </c>
      <c r="O157" s="158">
        <f t="shared" si="22"/>
        <v>1.36</v>
      </c>
      <c r="P157" s="159">
        <f t="shared" si="23"/>
        <v>71</v>
      </c>
    </row>
    <row r="158" spans="2:16" x14ac:dyDescent="0.3">
      <c r="B158" s="98" t="s">
        <v>736</v>
      </c>
      <c r="C158" s="99" t="s">
        <v>737</v>
      </c>
      <c r="D158" s="100">
        <v>45726</v>
      </c>
      <c r="E158" s="98">
        <v>188</v>
      </c>
      <c r="F158" s="101">
        <v>278</v>
      </c>
      <c r="G158" s="100">
        <v>45878</v>
      </c>
      <c r="H158" s="99" t="s">
        <v>423</v>
      </c>
      <c r="I158" s="99" t="s">
        <v>428</v>
      </c>
      <c r="J158" s="99" t="s">
        <v>425</v>
      </c>
      <c r="L158">
        <f t="shared" si="24"/>
        <v>10</v>
      </c>
      <c r="M158">
        <f t="shared" si="25"/>
        <v>10</v>
      </c>
      <c r="N158">
        <f t="shared" si="26"/>
        <v>100</v>
      </c>
      <c r="O158" s="158">
        <f t="shared" si="22"/>
        <v>1.88</v>
      </c>
      <c r="P158" s="159">
        <f t="shared" si="23"/>
        <v>90</v>
      </c>
    </row>
    <row r="159" spans="2:16" hidden="1" x14ac:dyDescent="0.3">
      <c r="B159" s="102" t="s">
        <v>738</v>
      </c>
      <c r="C159" s="103" t="s">
        <v>739</v>
      </c>
      <c r="D159" s="104">
        <v>45183</v>
      </c>
      <c r="E159" s="102">
        <v>206</v>
      </c>
      <c r="F159" s="105">
        <v>139</v>
      </c>
      <c r="G159" s="104">
        <v>45884</v>
      </c>
      <c r="H159" s="103" t="s">
        <v>423</v>
      </c>
      <c r="I159" s="103" t="s">
        <v>443</v>
      </c>
      <c r="J159" s="103" t="s">
        <v>425</v>
      </c>
      <c r="L159">
        <f t="shared" si="24"/>
        <v>10</v>
      </c>
      <c r="M159">
        <f t="shared" si="25"/>
        <v>5</v>
      </c>
      <c r="N159">
        <f t="shared" si="26"/>
        <v>50</v>
      </c>
      <c r="O159" s="158">
        <f t="shared" si="22"/>
        <v>4.12</v>
      </c>
      <c r="P159" s="159">
        <f t="shared" si="23"/>
        <v>-67</v>
      </c>
    </row>
    <row r="160" spans="2:16" x14ac:dyDescent="0.3">
      <c r="B160" s="98" t="s">
        <v>740</v>
      </c>
      <c r="C160" s="99" t="s">
        <v>741</v>
      </c>
      <c r="D160" s="100">
        <v>44287</v>
      </c>
      <c r="E160" s="98">
        <v>125</v>
      </c>
      <c r="F160" s="101">
        <v>278</v>
      </c>
      <c r="G160" s="100">
        <v>45869</v>
      </c>
      <c r="H160" s="99" t="s">
        <v>423</v>
      </c>
      <c r="I160" s="99" t="s">
        <v>428</v>
      </c>
      <c r="J160" s="99" t="s">
        <v>425</v>
      </c>
      <c r="L160">
        <f t="shared" si="24"/>
        <v>10</v>
      </c>
      <c r="M160">
        <f t="shared" si="25"/>
        <v>10</v>
      </c>
      <c r="N160">
        <f t="shared" si="26"/>
        <v>100</v>
      </c>
      <c r="O160" s="158">
        <f t="shared" si="22"/>
        <v>1.25</v>
      </c>
      <c r="P160" s="159">
        <f t="shared" si="23"/>
        <v>153</v>
      </c>
    </row>
    <row r="161" spans="2:16" x14ac:dyDescent="0.3">
      <c r="B161" s="102" t="s">
        <v>742</v>
      </c>
      <c r="C161" s="103" t="s">
        <v>743</v>
      </c>
      <c r="D161" s="104">
        <v>45796</v>
      </c>
      <c r="E161" s="102">
        <v>94</v>
      </c>
      <c r="F161" s="105">
        <v>139</v>
      </c>
      <c r="G161" s="104">
        <v>45887</v>
      </c>
      <c r="H161" s="103" t="s">
        <v>423</v>
      </c>
      <c r="I161" s="103" t="s">
        <v>443</v>
      </c>
      <c r="J161" s="103" t="s">
        <v>425</v>
      </c>
      <c r="L161">
        <f t="shared" si="24"/>
        <v>10</v>
      </c>
      <c r="M161">
        <f t="shared" si="25"/>
        <v>5</v>
      </c>
      <c r="N161">
        <f t="shared" si="26"/>
        <v>50</v>
      </c>
      <c r="O161" s="158">
        <f t="shared" si="22"/>
        <v>1.88</v>
      </c>
      <c r="P161" s="159">
        <f t="shared" si="23"/>
        <v>45</v>
      </c>
    </row>
    <row r="162" spans="2:16" hidden="1" x14ac:dyDescent="0.3">
      <c r="B162" s="98" t="s">
        <v>744</v>
      </c>
      <c r="C162" s="99" t="s">
        <v>745</v>
      </c>
      <c r="D162" s="100">
        <v>45841</v>
      </c>
      <c r="E162" s="98">
        <v>139</v>
      </c>
      <c r="F162" s="101">
        <v>139</v>
      </c>
      <c r="G162" s="100">
        <v>45871</v>
      </c>
      <c r="H162" s="99" t="s">
        <v>423</v>
      </c>
      <c r="I162" s="99" t="s">
        <v>443</v>
      </c>
      <c r="J162" s="99" t="s">
        <v>425</v>
      </c>
      <c r="L162">
        <f t="shared" si="24"/>
        <v>10</v>
      </c>
      <c r="M162">
        <f t="shared" si="25"/>
        <v>5</v>
      </c>
      <c r="N162">
        <f t="shared" si="26"/>
        <v>50</v>
      </c>
      <c r="O162" s="158">
        <f t="shared" si="22"/>
        <v>2.78</v>
      </c>
      <c r="P162" s="159">
        <f t="shared" si="23"/>
        <v>0</v>
      </c>
    </row>
    <row r="163" spans="2:16" hidden="1" x14ac:dyDescent="0.3">
      <c r="B163" s="102" t="s">
        <v>746</v>
      </c>
      <c r="C163" s="103" t="s">
        <v>747</v>
      </c>
      <c r="D163" s="104">
        <v>43981</v>
      </c>
      <c r="E163" s="102">
        <v>186</v>
      </c>
      <c r="F163" s="105">
        <v>139</v>
      </c>
      <c r="G163" s="104">
        <v>45897</v>
      </c>
      <c r="H163" s="103" t="s">
        <v>423</v>
      </c>
      <c r="I163" s="103" t="s">
        <v>443</v>
      </c>
      <c r="J163" s="103" t="s">
        <v>425</v>
      </c>
      <c r="L163">
        <f t="shared" si="24"/>
        <v>10</v>
      </c>
      <c r="M163">
        <f t="shared" si="25"/>
        <v>5</v>
      </c>
      <c r="N163">
        <f t="shared" si="26"/>
        <v>50</v>
      </c>
      <c r="O163" s="158">
        <f t="shared" si="22"/>
        <v>3.72</v>
      </c>
      <c r="P163" s="159">
        <f t="shared" si="23"/>
        <v>-47</v>
      </c>
    </row>
    <row r="164" spans="2:16" hidden="1" x14ac:dyDescent="0.3">
      <c r="B164" s="98" t="s">
        <v>708</v>
      </c>
      <c r="C164" s="99" t="s">
        <v>748</v>
      </c>
      <c r="D164" s="100">
        <v>45614</v>
      </c>
      <c r="E164" s="98">
        <v>292</v>
      </c>
      <c r="F164" s="101">
        <v>278</v>
      </c>
      <c r="G164" s="100">
        <v>45886</v>
      </c>
      <c r="H164" s="99" t="s">
        <v>423</v>
      </c>
      <c r="I164" s="99" t="s">
        <v>428</v>
      </c>
      <c r="J164" s="99" t="s">
        <v>425</v>
      </c>
      <c r="L164">
        <f t="shared" si="24"/>
        <v>10</v>
      </c>
      <c r="M164">
        <f t="shared" si="25"/>
        <v>10</v>
      </c>
      <c r="N164">
        <f t="shared" si="26"/>
        <v>100</v>
      </c>
      <c r="O164" s="158">
        <f t="shared" si="22"/>
        <v>2.92</v>
      </c>
      <c r="P164" s="159">
        <f t="shared" si="23"/>
        <v>-14</v>
      </c>
    </row>
    <row r="165" spans="2:16" hidden="1" x14ac:dyDescent="0.3">
      <c r="B165" s="102" t="s">
        <v>749</v>
      </c>
      <c r="C165" s="103" t="s">
        <v>750</v>
      </c>
      <c r="D165" s="104">
        <v>45688</v>
      </c>
      <c r="E165" s="102">
        <v>146</v>
      </c>
      <c r="F165" s="105">
        <v>139</v>
      </c>
      <c r="G165" s="104">
        <v>45869</v>
      </c>
      <c r="H165" s="103" t="s">
        <v>423</v>
      </c>
      <c r="I165" s="103" t="s">
        <v>443</v>
      </c>
      <c r="J165" s="103" t="s">
        <v>425</v>
      </c>
      <c r="L165">
        <f t="shared" si="24"/>
        <v>10</v>
      </c>
      <c r="M165">
        <f t="shared" si="25"/>
        <v>5</v>
      </c>
      <c r="N165">
        <f t="shared" si="26"/>
        <v>50</v>
      </c>
      <c r="O165" s="158">
        <f t="shared" si="22"/>
        <v>2.92</v>
      </c>
      <c r="P165" s="159">
        <f t="shared" si="23"/>
        <v>-7</v>
      </c>
    </row>
    <row r="166" spans="2:16" hidden="1" x14ac:dyDescent="0.3">
      <c r="B166" s="98" t="s">
        <v>708</v>
      </c>
      <c r="C166" s="99" t="s">
        <v>751</v>
      </c>
      <c r="D166" s="100">
        <v>45363</v>
      </c>
      <c r="E166" s="98">
        <v>300</v>
      </c>
      <c r="F166" s="101">
        <v>278</v>
      </c>
      <c r="G166" s="100">
        <v>45880</v>
      </c>
      <c r="H166" s="99" t="s">
        <v>423</v>
      </c>
      <c r="I166" s="99" t="s">
        <v>428</v>
      </c>
      <c r="J166" s="99" t="s">
        <v>425</v>
      </c>
      <c r="L166">
        <f t="shared" si="24"/>
        <v>10</v>
      </c>
      <c r="M166">
        <f t="shared" si="25"/>
        <v>10</v>
      </c>
      <c r="N166">
        <f t="shared" si="26"/>
        <v>100</v>
      </c>
      <c r="O166" s="158">
        <f t="shared" si="22"/>
        <v>3</v>
      </c>
      <c r="P166" s="159">
        <f t="shared" si="23"/>
        <v>-22</v>
      </c>
    </row>
    <row r="167" spans="2:16" x14ac:dyDescent="0.3">
      <c r="B167" s="102" t="s">
        <v>522</v>
      </c>
      <c r="C167" s="103" t="s">
        <v>752</v>
      </c>
      <c r="D167" s="104">
        <v>45762</v>
      </c>
      <c r="E167" s="102">
        <v>283</v>
      </c>
      <c r="F167" s="105">
        <v>476</v>
      </c>
      <c r="G167" s="104">
        <v>45888</v>
      </c>
      <c r="H167" s="103" t="s">
        <v>423</v>
      </c>
      <c r="I167" s="103" t="s">
        <v>449</v>
      </c>
      <c r="J167" s="103" t="s">
        <v>450</v>
      </c>
      <c r="L167">
        <f t="shared" si="24"/>
        <v>20</v>
      </c>
      <c r="M167">
        <f t="shared" si="25"/>
        <v>10</v>
      </c>
      <c r="N167">
        <f t="shared" si="26"/>
        <v>200</v>
      </c>
      <c r="O167" s="158">
        <f t="shared" ref="O167:O173" si="27">E167/N167</f>
        <v>1.415</v>
      </c>
      <c r="P167" s="159">
        <f t="shared" ref="P167:P173" si="28">F167-E167</f>
        <v>193</v>
      </c>
    </row>
    <row r="168" spans="2:16" hidden="1" x14ac:dyDescent="0.3">
      <c r="B168" s="98" t="s">
        <v>720</v>
      </c>
      <c r="C168" s="99" t="s">
        <v>753</v>
      </c>
      <c r="D168" s="100">
        <v>45843</v>
      </c>
      <c r="E168" s="98">
        <v>139</v>
      </c>
      <c r="F168" s="101">
        <v>139</v>
      </c>
      <c r="G168" s="100">
        <v>45873</v>
      </c>
      <c r="H168" s="99" t="s">
        <v>423</v>
      </c>
      <c r="I168" s="99" t="s">
        <v>443</v>
      </c>
      <c r="J168" s="99" t="s">
        <v>425</v>
      </c>
      <c r="L168">
        <f t="shared" si="24"/>
        <v>10</v>
      </c>
      <c r="M168">
        <f t="shared" si="25"/>
        <v>5</v>
      </c>
      <c r="N168">
        <f t="shared" si="26"/>
        <v>50</v>
      </c>
      <c r="O168" s="158">
        <f t="shared" si="27"/>
        <v>2.78</v>
      </c>
      <c r="P168" s="159">
        <f t="shared" si="28"/>
        <v>0</v>
      </c>
    </row>
    <row r="169" spans="2:16" hidden="1" x14ac:dyDescent="0.3">
      <c r="B169" s="102" t="s">
        <v>754</v>
      </c>
      <c r="C169" s="103" t="s">
        <v>755</v>
      </c>
      <c r="D169" s="104">
        <v>44461</v>
      </c>
      <c r="E169" s="102">
        <v>186</v>
      </c>
      <c r="F169" s="105">
        <v>139</v>
      </c>
      <c r="G169" s="104">
        <v>45898</v>
      </c>
      <c r="H169" s="103" t="s">
        <v>423</v>
      </c>
      <c r="I169" s="103" t="s">
        <v>443</v>
      </c>
      <c r="J169" s="103" t="s">
        <v>425</v>
      </c>
      <c r="L169">
        <f t="shared" si="24"/>
        <v>10</v>
      </c>
      <c r="M169">
        <f t="shared" si="25"/>
        <v>5</v>
      </c>
      <c r="N169">
        <f t="shared" si="26"/>
        <v>50</v>
      </c>
      <c r="O169" s="158">
        <f t="shared" si="27"/>
        <v>3.72</v>
      </c>
      <c r="P169" s="159">
        <f t="shared" si="28"/>
        <v>-47</v>
      </c>
    </row>
    <row r="170" spans="2:16" x14ac:dyDescent="0.3">
      <c r="B170" s="98" t="s">
        <v>756</v>
      </c>
      <c r="C170" s="99" t="s">
        <v>757</v>
      </c>
      <c r="D170" s="100">
        <v>45783</v>
      </c>
      <c r="E170" s="98">
        <v>153</v>
      </c>
      <c r="F170" s="101">
        <v>278</v>
      </c>
      <c r="G170" s="100">
        <v>45878</v>
      </c>
      <c r="H170" s="99" t="s">
        <v>423</v>
      </c>
      <c r="I170" s="99" t="s">
        <v>428</v>
      </c>
      <c r="J170" s="99" t="s">
        <v>425</v>
      </c>
      <c r="L170">
        <f t="shared" si="24"/>
        <v>10</v>
      </c>
      <c r="M170">
        <f t="shared" si="25"/>
        <v>10</v>
      </c>
      <c r="N170">
        <f t="shared" si="26"/>
        <v>100</v>
      </c>
      <c r="O170" s="158">
        <f t="shared" si="27"/>
        <v>1.53</v>
      </c>
      <c r="P170" s="159">
        <f t="shared" si="28"/>
        <v>125</v>
      </c>
    </row>
    <row r="171" spans="2:16" x14ac:dyDescent="0.3">
      <c r="B171" s="102" t="s">
        <v>758</v>
      </c>
      <c r="C171" s="103" t="s">
        <v>759</v>
      </c>
      <c r="D171" s="104">
        <v>45712</v>
      </c>
      <c r="E171" s="102">
        <v>73</v>
      </c>
      <c r="F171" s="105">
        <v>139</v>
      </c>
      <c r="G171" s="104">
        <v>45892</v>
      </c>
      <c r="H171" s="103" t="s">
        <v>423</v>
      </c>
      <c r="I171" s="103" t="s">
        <v>443</v>
      </c>
      <c r="J171" s="103" t="s">
        <v>425</v>
      </c>
      <c r="L171">
        <f t="shared" si="24"/>
        <v>10</v>
      </c>
      <c r="M171">
        <f t="shared" si="25"/>
        <v>5</v>
      </c>
      <c r="N171">
        <f t="shared" si="26"/>
        <v>50</v>
      </c>
      <c r="O171" s="158">
        <f t="shared" si="27"/>
        <v>1.46</v>
      </c>
      <c r="P171" s="159">
        <f t="shared" si="28"/>
        <v>66</v>
      </c>
    </row>
    <row r="172" spans="2:16" hidden="1" x14ac:dyDescent="0.3">
      <c r="B172" s="98" t="s">
        <v>584</v>
      </c>
      <c r="C172" s="99" t="s">
        <v>760</v>
      </c>
      <c r="D172" s="100">
        <v>44695</v>
      </c>
      <c r="E172" s="98">
        <v>178</v>
      </c>
      <c r="F172" s="101">
        <v>139</v>
      </c>
      <c r="G172" s="100">
        <v>45882</v>
      </c>
      <c r="H172" s="99" t="s">
        <v>423</v>
      </c>
      <c r="I172" s="99" t="s">
        <v>463</v>
      </c>
      <c r="J172" s="99" t="s">
        <v>425</v>
      </c>
      <c r="L172">
        <f t="shared" si="24"/>
        <v>5</v>
      </c>
      <c r="M172">
        <f t="shared" si="25"/>
        <v>10</v>
      </c>
      <c r="N172">
        <f t="shared" si="26"/>
        <v>50</v>
      </c>
      <c r="O172" s="158">
        <f t="shared" si="27"/>
        <v>3.56</v>
      </c>
      <c r="P172" s="159">
        <f t="shared" si="28"/>
        <v>-39</v>
      </c>
    </row>
    <row r="173" spans="2:16" hidden="1" x14ac:dyDescent="0.3">
      <c r="B173" s="102" t="s">
        <v>761</v>
      </c>
      <c r="C173" s="103" t="s">
        <v>762</v>
      </c>
      <c r="D173" s="104">
        <v>44797</v>
      </c>
      <c r="E173" s="102">
        <v>109</v>
      </c>
      <c r="F173" s="105">
        <v>83</v>
      </c>
      <c r="G173" s="104">
        <v>45869</v>
      </c>
      <c r="H173" s="103" t="s">
        <v>423</v>
      </c>
      <c r="I173" s="103" t="s">
        <v>482</v>
      </c>
      <c r="J173" s="103" t="s">
        <v>425</v>
      </c>
      <c r="L173">
        <f t="shared" si="24"/>
        <v>5</v>
      </c>
      <c r="M173">
        <f t="shared" si="25"/>
        <v>5</v>
      </c>
      <c r="N173">
        <f t="shared" si="26"/>
        <v>25</v>
      </c>
      <c r="O173" s="158">
        <f t="shared" si="27"/>
        <v>4.3600000000000003</v>
      </c>
      <c r="P173" s="159">
        <f t="shared" si="28"/>
        <v>-26</v>
      </c>
    </row>
    <row r="174" spans="2:16" hidden="1" x14ac:dyDescent="0.3">
      <c r="B174" s="98"/>
      <c r="C174" s="99" t="s">
        <v>763</v>
      </c>
      <c r="D174" s="99"/>
      <c r="E174" s="98"/>
      <c r="F174" s="101">
        <v>187</v>
      </c>
      <c r="G174" s="99"/>
      <c r="H174" s="99" t="s">
        <v>445</v>
      </c>
      <c r="I174" s="99" t="s">
        <v>431</v>
      </c>
      <c r="J174" s="99" t="s">
        <v>425</v>
      </c>
      <c r="L174">
        <f t="shared" si="24"/>
        <v>5</v>
      </c>
      <c r="M174">
        <f t="shared" si="25"/>
        <v>15</v>
      </c>
      <c r="N174">
        <f t="shared" si="26"/>
        <v>75</v>
      </c>
    </row>
    <row r="175" spans="2:16" x14ac:dyDescent="0.3">
      <c r="B175" s="102" t="s">
        <v>764</v>
      </c>
      <c r="C175" s="103" t="s">
        <v>765</v>
      </c>
      <c r="D175" s="104">
        <v>45724</v>
      </c>
      <c r="E175" s="102">
        <v>82</v>
      </c>
      <c r="F175" s="105">
        <v>83</v>
      </c>
      <c r="G175" s="104">
        <v>45876</v>
      </c>
      <c r="H175" s="103" t="s">
        <v>423</v>
      </c>
      <c r="I175" s="103" t="s">
        <v>482</v>
      </c>
      <c r="J175" s="103" t="s">
        <v>425</v>
      </c>
      <c r="L175">
        <f t="shared" si="24"/>
        <v>5</v>
      </c>
      <c r="M175">
        <f t="shared" si="25"/>
        <v>5</v>
      </c>
      <c r="N175">
        <f t="shared" si="26"/>
        <v>25</v>
      </c>
      <c r="O175" s="158">
        <f t="shared" ref="O175:O227" si="29">E175/N175</f>
        <v>3.28</v>
      </c>
      <c r="P175" s="159">
        <f t="shared" ref="P175:P227" si="30">F175-E175</f>
        <v>1</v>
      </c>
    </row>
    <row r="176" spans="2:16" x14ac:dyDescent="0.3">
      <c r="B176" s="98" t="s">
        <v>766</v>
      </c>
      <c r="C176" s="99" t="s">
        <v>767</v>
      </c>
      <c r="D176" s="100">
        <v>44856</v>
      </c>
      <c r="E176" s="98">
        <v>390</v>
      </c>
      <c r="F176" s="101">
        <v>476</v>
      </c>
      <c r="G176" s="100">
        <v>45890</v>
      </c>
      <c r="H176" s="99" t="s">
        <v>423</v>
      </c>
      <c r="I176" s="99" t="s">
        <v>609</v>
      </c>
      <c r="J176" s="99" t="s">
        <v>425</v>
      </c>
      <c r="L176">
        <f t="shared" si="24"/>
        <v>10</v>
      </c>
      <c r="M176">
        <f t="shared" si="25"/>
        <v>20</v>
      </c>
      <c r="N176">
        <f t="shared" si="26"/>
        <v>200</v>
      </c>
      <c r="O176" s="158">
        <f t="shared" si="29"/>
        <v>1.95</v>
      </c>
      <c r="P176" s="159">
        <f t="shared" si="30"/>
        <v>86</v>
      </c>
    </row>
    <row r="177" spans="2:16" x14ac:dyDescent="0.3">
      <c r="B177" s="102" t="s">
        <v>768</v>
      </c>
      <c r="C177" s="103" t="s">
        <v>769</v>
      </c>
      <c r="D177" s="104">
        <v>45825</v>
      </c>
      <c r="E177" s="102">
        <v>91</v>
      </c>
      <c r="F177" s="105">
        <v>139</v>
      </c>
      <c r="G177" s="104">
        <v>45885</v>
      </c>
      <c r="H177" s="103" t="s">
        <v>423</v>
      </c>
      <c r="I177" s="103" t="s">
        <v>443</v>
      </c>
      <c r="J177" s="103" t="s">
        <v>425</v>
      </c>
      <c r="L177">
        <f t="shared" si="24"/>
        <v>10</v>
      </c>
      <c r="M177">
        <f t="shared" si="25"/>
        <v>5</v>
      </c>
      <c r="N177">
        <f t="shared" si="26"/>
        <v>50</v>
      </c>
      <c r="O177" s="158">
        <f t="shared" si="29"/>
        <v>1.82</v>
      </c>
      <c r="P177" s="159">
        <f t="shared" si="30"/>
        <v>48</v>
      </c>
    </row>
    <row r="178" spans="2:16" x14ac:dyDescent="0.3">
      <c r="B178" s="98" t="s">
        <v>770</v>
      </c>
      <c r="C178" s="99" t="s">
        <v>771</v>
      </c>
      <c r="D178" s="100">
        <v>45136</v>
      </c>
      <c r="E178" s="98">
        <v>630</v>
      </c>
      <c r="F178" s="101">
        <v>791</v>
      </c>
      <c r="G178" s="100">
        <v>45897</v>
      </c>
      <c r="H178" s="99" t="s">
        <v>423</v>
      </c>
      <c r="I178" s="99" t="s">
        <v>772</v>
      </c>
      <c r="J178" s="99" t="s">
        <v>450</v>
      </c>
      <c r="L178">
        <f t="shared" si="24"/>
        <v>20</v>
      </c>
      <c r="M178">
        <f t="shared" si="25"/>
        <v>20</v>
      </c>
      <c r="N178">
        <f t="shared" si="26"/>
        <v>400</v>
      </c>
      <c r="O178" s="158">
        <f t="shared" si="29"/>
        <v>1.575</v>
      </c>
      <c r="P178" s="159">
        <f t="shared" si="30"/>
        <v>161</v>
      </c>
    </row>
    <row r="179" spans="2:16" x14ac:dyDescent="0.3">
      <c r="B179" s="102" t="s">
        <v>708</v>
      </c>
      <c r="C179" s="103" t="s">
        <v>773</v>
      </c>
      <c r="D179" s="104">
        <v>44228</v>
      </c>
      <c r="E179" s="102">
        <v>464</v>
      </c>
      <c r="F179" s="105">
        <v>476</v>
      </c>
      <c r="G179" s="104">
        <v>45869</v>
      </c>
      <c r="H179" s="103" t="s">
        <v>423</v>
      </c>
      <c r="I179" s="103" t="s">
        <v>609</v>
      </c>
      <c r="J179" s="103" t="s">
        <v>425</v>
      </c>
      <c r="L179">
        <f t="shared" si="24"/>
        <v>10</v>
      </c>
      <c r="M179">
        <f t="shared" si="25"/>
        <v>20</v>
      </c>
      <c r="N179">
        <f t="shared" si="26"/>
        <v>200</v>
      </c>
      <c r="O179" s="158">
        <f t="shared" si="29"/>
        <v>2.3199999999999998</v>
      </c>
      <c r="P179" s="159">
        <f t="shared" si="30"/>
        <v>12</v>
      </c>
    </row>
    <row r="180" spans="2:16" x14ac:dyDescent="0.3">
      <c r="B180" s="98" t="s">
        <v>708</v>
      </c>
      <c r="C180" s="99" t="s">
        <v>774</v>
      </c>
      <c r="D180" s="100">
        <v>44274</v>
      </c>
      <c r="E180" s="98">
        <v>464</v>
      </c>
      <c r="F180" s="101">
        <v>476</v>
      </c>
      <c r="G180" s="100">
        <v>45887</v>
      </c>
      <c r="H180" s="99" t="s">
        <v>423</v>
      </c>
      <c r="I180" s="99" t="s">
        <v>609</v>
      </c>
      <c r="J180" s="99" t="s">
        <v>425</v>
      </c>
      <c r="L180">
        <f t="shared" si="24"/>
        <v>10</v>
      </c>
      <c r="M180">
        <f t="shared" si="25"/>
        <v>20</v>
      </c>
      <c r="N180">
        <f t="shared" si="26"/>
        <v>200</v>
      </c>
      <c r="O180" s="158">
        <f t="shared" si="29"/>
        <v>2.3199999999999998</v>
      </c>
      <c r="P180" s="159">
        <f t="shared" si="30"/>
        <v>12</v>
      </c>
    </row>
    <row r="181" spans="2:16" hidden="1" x14ac:dyDescent="0.3">
      <c r="B181" s="102" t="s">
        <v>775</v>
      </c>
      <c r="C181" s="103" t="s">
        <v>776</v>
      </c>
      <c r="D181" s="104">
        <v>44823</v>
      </c>
      <c r="E181" s="102">
        <v>188</v>
      </c>
      <c r="F181" s="105">
        <v>139</v>
      </c>
      <c r="G181" s="104">
        <v>45894</v>
      </c>
      <c r="H181" s="103" t="s">
        <v>423</v>
      </c>
      <c r="I181" s="103" t="s">
        <v>443</v>
      </c>
      <c r="J181" s="103" t="s">
        <v>425</v>
      </c>
      <c r="L181">
        <f t="shared" si="24"/>
        <v>10</v>
      </c>
      <c r="M181">
        <f t="shared" si="25"/>
        <v>5</v>
      </c>
      <c r="N181">
        <f t="shared" si="26"/>
        <v>50</v>
      </c>
      <c r="O181" s="158">
        <f t="shared" si="29"/>
        <v>3.76</v>
      </c>
      <c r="P181" s="159">
        <f t="shared" si="30"/>
        <v>-49</v>
      </c>
    </row>
    <row r="182" spans="2:16" hidden="1" x14ac:dyDescent="0.3">
      <c r="B182" s="98" t="s">
        <v>540</v>
      </c>
      <c r="C182" s="99" t="s">
        <v>777</v>
      </c>
      <c r="D182" s="100">
        <v>44425</v>
      </c>
      <c r="E182" s="98">
        <v>592</v>
      </c>
      <c r="F182" s="101">
        <v>476</v>
      </c>
      <c r="G182" s="100">
        <v>45883</v>
      </c>
      <c r="H182" s="99" t="s">
        <v>423</v>
      </c>
      <c r="I182" s="99" t="s">
        <v>609</v>
      </c>
      <c r="J182" s="99" t="s">
        <v>425</v>
      </c>
      <c r="L182">
        <f t="shared" si="24"/>
        <v>10</v>
      </c>
      <c r="M182">
        <f t="shared" si="25"/>
        <v>20</v>
      </c>
      <c r="N182">
        <f t="shared" si="26"/>
        <v>200</v>
      </c>
      <c r="O182" s="158">
        <f t="shared" si="29"/>
        <v>2.96</v>
      </c>
      <c r="P182" s="159">
        <f t="shared" si="30"/>
        <v>-116</v>
      </c>
    </row>
    <row r="183" spans="2:16" hidden="1" x14ac:dyDescent="0.3">
      <c r="B183" s="102" t="s">
        <v>778</v>
      </c>
      <c r="C183" s="103" t="s">
        <v>779</v>
      </c>
      <c r="D183" s="104">
        <v>44054</v>
      </c>
      <c r="E183" s="102">
        <v>186</v>
      </c>
      <c r="F183" s="105">
        <v>139</v>
      </c>
      <c r="G183" s="104">
        <v>45879</v>
      </c>
      <c r="H183" s="103" t="s">
        <v>423</v>
      </c>
      <c r="I183" s="103" t="s">
        <v>443</v>
      </c>
      <c r="J183" s="103" t="s">
        <v>425</v>
      </c>
      <c r="L183">
        <f t="shared" si="24"/>
        <v>10</v>
      </c>
      <c r="M183">
        <f t="shared" si="25"/>
        <v>5</v>
      </c>
      <c r="N183">
        <f t="shared" si="26"/>
        <v>50</v>
      </c>
      <c r="O183" s="158">
        <f t="shared" si="29"/>
        <v>3.72</v>
      </c>
      <c r="P183" s="159">
        <f t="shared" si="30"/>
        <v>-47</v>
      </c>
    </row>
    <row r="184" spans="2:16" hidden="1" x14ac:dyDescent="0.3">
      <c r="B184" s="98" t="s">
        <v>780</v>
      </c>
      <c r="C184" s="99" t="s">
        <v>781</v>
      </c>
      <c r="D184" s="100">
        <v>44690</v>
      </c>
      <c r="E184" s="98">
        <v>539</v>
      </c>
      <c r="F184" s="101">
        <v>476</v>
      </c>
      <c r="G184" s="100">
        <v>45877</v>
      </c>
      <c r="H184" s="99" t="s">
        <v>423</v>
      </c>
      <c r="I184" s="99" t="s">
        <v>609</v>
      </c>
      <c r="J184" s="99" t="s">
        <v>425</v>
      </c>
      <c r="L184">
        <f t="shared" si="24"/>
        <v>10</v>
      </c>
      <c r="M184">
        <f t="shared" si="25"/>
        <v>20</v>
      </c>
      <c r="N184">
        <f t="shared" si="26"/>
        <v>200</v>
      </c>
      <c r="O184" s="158">
        <f t="shared" si="29"/>
        <v>2.6949999999999998</v>
      </c>
      <c r="P184" s="159">
        <f t="shared" si="30"/>
        <v>-63</v>
      </c>
    </row>
    <row r="185" spans="2:16" hidden="1" x14ac:dyDescent="0.3">
      <c r="B185" s="102" t="s">
        <v>782</v>
      </c>
      <c r="C185" s="103" t="s">
        <v>783</v>
      </c>
      <c r="D185" s="104">
        <v>45202</v>
      </c>
      <c r="E185" s="102">
        <v>210</v>
      </c>
      <c r="F185" s="105">
        <v>139</v>
      </c>
      <c r="G185" s="104">
        <v>45871</v>
      </c>
      <c r="H185" s="103" t="s">
        <v>423</v>
      </c>
      <c r="I185" s="103" t="s">
        <v>443</v>
      </c>
      <c r="J185" s="103" t="s">
        <v>425</v>
      </c>
      <c r="L185">
        <f t="shared" si="24"/>
        <v>10</v>
      </c>
      <c r="M185">
        <f t="shared" si="25"/>
        <v>5</v>
      </c>
      <c r="N185">
        <f t="shared" si="26"/>
        <v>50</v>
      </c>
      <c r="O185" s="158">
        <f t="shared" si="29"/>
        <v>4.2</v>
      </c>
      <c r="P185" s="159">
        <f t="shared" si="30"/>
        <v>-71</v>
      </c>
    </row>
    <row r="186" spans="2:16" x14ac:dyDescent="0.3">
      <c r="B186" s="98" t="s">
        <v>784</v>
      </c>
      <c r="C186" s="99" t="s">
        <v>785</v>
      </c>
      <c r="D186" s="100">
        <v>45015</v>
      </c>
      <c r="E186" s="98">
        <v>465</v>
      </c>
      <c r="F186" s="101">
        <v>476</v>
      </c>
      <c r="G186" s="100">
        <v>45898</v>
      </c>
      <c r="H186" s="99" t="s">
        <v>423</v>
      </c>
      <c r="I186" s="99" t="s">
        <v>609</v>
      </c>
      <c r="J186" s="99" t="s">
        <v>425</v>
      </c>
      <c r="L186">
        <f t="shared" si="24"/>
        <v>10</v>
      </c>
      <c r="M186">
        <f t="shared" si="25"/>
        <v>20</v>
      </c>
      <c r="N186">
        <f t="shared" si="26"/>
        <v>200</v>
      </c>
      <c r="O186" s="158">
        <f t="shared" si="29"/>
        <v>2.3250000000000002</v>
      </c>
      <c r="P186" s="159">
        <f t="shared" si="30"/>
        <v>11</v>
      </c>
    </row>
    <row r="187" spans="2:16" x14ac:dyDescent="0.3">
      <c r="B187" s="102" t="s">
        <v>786</v>
      </c>
      <c r="C187" s="103" t="s">
        <v>787</v>
      </c>
      <c r="D187" s="104">
        <v>45238</v>
      </c>
      <c r="E187" s="102">
        <v>68</v>
      </c>
      <c r="F187" s="105">
        <v>139</v>
      </c>
      <c r="G187" s="104">
        <v>45876</v>
      </c>
      <c r="H187" s="103" t="s">
        <v>423</v>
      </c>
      <c r="I187" s="103" t="s">
        <v>443</v>
      </c>
      <c r="J187" s="103" t="s">
        <v>425</v>
      </c>
      <c r="L187">
        <f t="shared" si="24"/>
        <v>10</v>
      </c>
      <c r="M187">
        <f t="shared" si="25"/>
        <v>5</v>
      </c>
      <c r="N187">
        <f t="shared" si="26"/>
        <v>50</v>
      </c>
      <c r="O187" s="158">
        <f t="shared" si="29"/>
        <v>1.36</v>
      </c>
      <c r="P187" s="159">
        <f t="shared" si="30"/>
        <v>71</v>
      </c>
    </row>
    <row r="188" spans="2:16" x14ac:dyDescent="0.3">
      <c r="B188" s="98" t="s">
        <v>788</v>
      </c>
      <c r="C188" s="99" t="s">
        <v>789</v>
      </c>
      <c r="D188" s="100">
        <v>45743</v>
      </c>
      <c r="E188" s="98">
        <v>283</v>
      </c>
      <c r="F188" s="101">
        <v>476</v>
      </c>
      <c r="G188" s="100">
        <v>46114</v>
      </c>
      <c r="H188" s="99" t="s">
        <v>423</v>
      </c>
      <c r="I188" s="99" t="s">
        <v>609</v>
      </c>
      <c r="J188" s="99" t="s">
        <v>425</v>
      </c>
      <c r="L188">
        <f t="shared" si="24"/>
        <v>10</v>
      </c>
      <c r="M188">
        <f t="shared" si="25"/>
        <v>20</v>
      </c>
      <c r="N188">
        <f t="shared" si="26"/>
        <v>200</v>
      </c>
      <c r="O188" s="158">
        <f t="shared" si="29"/>
        <v>1.415</v>
      </c>
      <c r="P188" s="159">
        <f t="shared" si="30"/>
        <v>193</v>
      </c>
    </row>
    <row r="189" spans="2:16" hidden="1" x14ac:dyDescent="0.3">
      <c r="B189" s="102" t="s">
        <v>790</v>
      </c>
      <c r="C189" s="103" t="s">
        <v>791</v>
      </c>
      <c r="D189" s="104">
        <v>44956</v>
      </c>
      <c r="E189" s="102">
        <v>140</v>
      </c>
      <c r="F189" s="105">
        <v>139</v>
      </c>
      <c r="G189" s="104">
        <v>45898</v>
      </c>
      <c r="H189" s="103" t="s">
        <v>423</v>
      </c>
      <c r="I189" s="103" t="s">
        <v>443</v>
      </c>
      <c r="J189" s="103" t="s">
        <v>425</v>
      </c>
      <c r="L189">
        <f t="shared" si="24"/>
        <v>10</v>
      </c>
      <c r="M189">
        <f t="shared" si="25"/>
        <v>5</v>
      </c>
      <c r="N189">
        <f t="shared" si="26"/>
        <v>50</v>
      </c>
      <c r="O189" s="158">
        <f t="shared" si="29"/>
        <v>2.8</v>
      </c>
      <c r="P189" s="159">
        <f t="shared" si="30"/>
        <v>-1</v>
      </c>
    </row>
    <row r="190" spans="2:16" x14ac:dyDescent="0.3">
      <c r="B190" s="98" t="s">
        <v>792</v>
      </c>
      <c r="C190" s="99" t="s">
        <v>793</v>
      </c>
      <c r="D190" s="100">
        <v>43979</v>
      </c>
      <c r="E190" s="98">
        <v>410</v>
      </c>
      <c r="F190" s="101">
        <v>476</v>
      </c>
      <c r="G190" s="100">
        <v>45865</v>
      </c>
      <c r="H190" s="99" t="s">
        <v>442</v>
      </c>
      <c r="I190" s="99" t="s">
        <v>609</v>
      </c>
      <c r="J190" s="99" t="s">
        <v>425</v>
      </c>
      <c r="L190">
        <f t="shared" si="24"/>
        <v>10</v>
      </c>
      <c r="M190">
        <f t="shared" si="25"/>
        <v>20</v>
      </c>
      <c r="N190">
        <f t="shared" si="26"/>
        <v>200</v>
      </c>
      <c r="O190" s="158">
        <f t="shared" si="29"/>
        <v>2.0499999999999998</v>
      </c>
      <c r="P190" s="159">
        <f t="shared" si="30"/>
        <v>66</v>
      </c>
    </row>
    <row r="191" spans="2:16" x14ac:dyDescent="0.3">
      <c r="B191" s="102" t="s">
        <v>794</v>
      </c>
      <c r="C191" s="103" t="s">
        <v>795</v>
      </c>
      <c r="D191" s="104">
        <v>45731</v>
      </c>
      <c r="E191" s="102">
        <v>294</v>
      </c>
      <c r="F191" s="105">
        <v>373</v>
      </c>
      <c r="G191" s="104">
        <v>45883</v>
      </c>
      <c r="H191" s="103" t="s">
        <v>423</v>
      </c>
      <c r="I191" s="103" t="s">
        <v>424</v>
      </c>
      <c r="J191" s="103" t="s">
        <v>425</v>
      </c>
      <c r="L191">
        <f t="shared" si="24"/>
        <v>10</v>
      </c>
      <c r="M191">
        <f t="shared" si="25"/>
        <v>15</v>
      </c>
      <c r="N191">
        <f t="shared" si="26"/>
        <v>150</v>
      </c>
      <c r="O191" s="158">
        <f t="shared" si="29"/>
        <v>1.96</v>
      </c>
      <c r="P191" s="159">
        <f t="shared" si="30"/>
        <v>79</v>
      </c>
    </row>
    <row r="192" spans="2:16" hidden="1" x14ac:dyDescent="0.3">
      <c r="B192" s="98" t="s">
        <v>796</v>
      </c>
      <c r="C192" s="99" t="s">
        <v>797</v>
      </c>
      <c r="D192" s="100">
        <v>45173</v>
      </c>
      <c r="E192" s="98">
        <v>477</v>
      </c>
      <c r="F192" s="101">
        <v>476</v>
      </c>
      <c r="G192" s="100">
        <v>45872</v>
      </c>
      <c r="H192" s="99" t="s">
        <v>423</v>
      </c>
      <c r="I192" s="99" t="s">
        <v>609</v>
      </c>
      <c r="J192" s="99" t="s">
        <v>425</v>
      </c>
      <c r="L192">
        <f t="shared" si="24"/>
        <v>10</v>
      </c>
      <c r="M192">
        <f t="shared" si="25"/>
        <v>20</v>
      </c>
      <c r="N192">
        <f t="shared" si="26"/>
        <v>200</v>
      </c>
      <c r="O192" s="158">
        <f t="shared" si="29"/>
        <v>2.3849999999999998</v>
      </c>
      <c r="P192" s="159">
        <f t="shared" si="30"/>
        <v>-1</v>
      </c>
    </row>
    <row r="193" spans="2:16" x14ac:dyDescent="0.3">
      <c r="B193" s="102" t="s">
        <v>798</v>
      </c>
      <c r="C193" s="103" t="s">
        <v>799</v>
      </c>
      <c r="D193" s="104">
        <v>45852</v>
      </c>
      <c r="E193" s="102">
        <v>325</v>
      </c>
      <c r="F193" s="105">
        <v>373</v>
      </c>
      <c r="G193" s="104">
        <v>45882</v>
      </c>
      <c r="H193" s="103" t="s">
        <v>423</v>
      </c>
      <c r="I193" s="103" t="s">
        <v>424</v>
      </c>
      <c r="J193" s="103" t="s">
        <v>425</v>
      </c>
      <c r="L193">
        <f t="shared" si="24"/>
        <v>10</v>
      </c>
      <c r="M193">
        <f t="shared" si="25"/>
        <v>15</v>
      </c>
      <c r="N193">
        <f t="shared" si="26"/>
        <v>150</v>
      </c>
      <c r="O193" s="158">
        <f t="shared" si="29"/>
        <v>2.1666666666666665</v>
      </c>
      <c r="P193" s="159">
        <f t="shared" si="30"/>
        <v>48</v>
      </c>
    </row>
    <row r="194" spans="2:16" hidden="1" x14ac:dyDescent="0.3">
      <c r="B194" s="98" t="s">
        <v>800</v>
      </c>
      <c r="C194" s="99" t="s">
        <v>801</v>
      </c>
      <c r="D194" s="100">
        <v>43810</v>
      </c>
      <c r="E194" s="98">
        <v>487.5</v>
      </c>
      <c r="F194" s="101">
        <v>476</v>
      </c>
      <c r="G194" s="100">
        <v>45879</v>
      </c>
      <c r="H194" s="99" t="s">
        <v>423</v>
      </c>
      <c r="I194" s="99" t="s">
        <v>609</v>
      </c>
      <c r="J194" s="99" t="s">
        <v>425</v>
      </c>
      <c r="L194">
        <f t="shared" si="24"/>
        <v>10</v>
      </c>
      <c r="M194">
        <f t="shared" si="25"/>
        <v>20</v>
      </c>
      <c r="N194">
        <f t="shared" si="26"/>
        <v>200</v>
      </c>
      <c r="O194" s="158">
        <f t="shared" si="29"/>
        <v>2.4375</v>
      </c>
      <c r="P194" s="159">
        <f t="shared" si="30"/>
        <v>-11.5</v>
      </c>
    </row>
    <row r="195" spans="2:16" x14ac:dyDescent="0.3">
      <c r="B195" s="102" t="s">
        <v>802</v>
      </c>
      <c r="C195" s="103" t="s">
        <v>803</v>
      </c>
      <c r="D195" s="104">
        <v>44781</v>
      </c>
      <c r="E195" s="102">
        <v>444</v>
      </c>
      <c r="F195" s="105">
        <v>641</v>
      </c>
      <c r="G195" s="104">
        <v>45876</v>
      </c>
      <c r="H195" s="103" t="s">
        <v>423</v>
      </c>
      <c r="I195" s="103" t="s">
        <v>521</v>
      </c>
      <c r="J195" s="103" t="s">
        <v>450</v>
      </c>
      <c r="L195">
        <f t="shared" si="24"/>
        <v>10</v>
      </c>
      <c r="M195">
        <f t="shared" si="25"/>
        <v>30</v>
      </c>
      <c r="N195">
        <f t="shared" si="26"/>
        <v>300</v>
      </c>
      <c r="O195" s="158">
        <f t="shared" si="29"/>
        <v>1.48</v>
      </c>
      <c r="P195" s="159">
        <f t="shared" si="30"/>
        <v>197</v>
      </c>
    </row>
    <row r="196" spans="2:16" hidden="1" x14ac:dyDescent="0.3">
      <c r="B196" s="98" t="s">
        <v>804</v>
      </c>
      <c r="C196" s="99" t="s">
        <v>805</v>
      </c>
      <c r="D196" s="100">
        <v>43810</v>
      </c>
      <c r="E196" s="98">
        <v>592</v>
      </c>
      <c r="F196" s="101">
        <v>476</v>
      </c>
      <c r="G196" s="100">
        <v>45879</v>
      </c>
      <c r="H196" s="99" t="s">
        <v>423</v>
      </c>
      <c r="I196" s="99" t="s">
        <v>609</v>
      </c>
      <c r="J196" s="99" t="s">
        <v>425</v>
      </c>
      <c r="L196">
        <f t="shared" si="24"/>
        <v>10</v>
      </c>
      <c r="M196">
        <f t="shared" si="25"/>
        <v>20</v>
      </c>
      <c r="N196">
        <f t="shared" si="26"/>
        <v>200</v>
      </c>
      <c r="O196" s="158">
        <f t="shared" si="29"/>
        <v>2.96</v>
      </c>
      <c r="P196" s="159">
        <f t="shared" si="30"/>
        <v>-116</v>
      </c>
    </row>
    <row r="197" spans="2:16" hidden="1" x14ac:dyDescent="0.3">
      <c r="B197" s="102" t="s">
        <v>806</v>
      </c>
      <c r="C197" s="103" t="s">
        <v>807</v>
      </c>
      <c r="D197" s="104">
        <v>43810</v>
      </c>
      <c r="E197" s="102">
        <v>487.5</v>
      </c>
      <c r="F197" s="105">
        <v>476</v>
      </c>
      <c r="G197" s="104">
        <v>45879</v>
      </c>
      <c r="H197" s="103" t="s">
        <v>423</v>
      </c>
      <c r="I197" s="103" t="s">
        <v>609</v>
      </c>
      <c r="J197" s="103" t="s">
        <v>425</v>
      </c>
      <c r="L197">
        <f t="shared" si="24"/>
        <v>10</v>
      </c>
      <c r="M197">
        <f t="shared" si="25"/>
        <v>20</v>
      </c>
      <c r="N197">
        <f t="shared" si="26"/>
        <v>200</v>
      </c>
      <c r="O197" s="158">
        <f t="shared" si="29"/>
        <v>2.4375</v>
      </c>
      <c r="P197" s="159">
        <f t="shared" si="30"/>
        <v>-11.5</v>
      </c>
    </row>
    <row r="198" spans="2:16" hidden="1" x14ac:dyDescent="0.3">
      <c r="B198" s="98" t="s">
        <v>808</v>
      </c>
      <c r="C198" s="99" t="s">
        <v>809</v>
      </c>
      <c r="D198" s="100">
        <v>44735</v>
      </c>
      <c r="E198" s="98">
        <v>397</v>
      </c>
      <c r="F198" s="101">
        <v>373</v>
      </c>
      <c r="G198" s="100">
        <v>45891</v>
      </c>
      <c r="H198" s="99" t="s">
        <v>423</v>
      </c>
      <c r="I198" s="99" t="s">
        <v>424</v>
      </c>
      <c r="J198" s="99" t="s">
        <v>425</v>
      </c>
      <c r="L198">
        <f t="shared" si="24"/>
        <v>10</v>
      </c>
      <c r="M198">
        <f t="shared" si="25"/>
        <v>15</v>
      </c>
      <c r="N198">
        <f t="shared" si="26"/>
        <v>150</v>
      </c>
      <c r="O198" s="158">
        <f t="shared" si="29"/>
        <v>2.6466666666666665</v>
      </c>
      <c r="P198" s="159">
        <f t="shared" si="30"/>
        <v>-24</v>
      </c>
    </row>
    <row r="199" spans="2:16" hidden="1" x14ac:dyDescent="0.3">
      <c r="B199" s="102" t="s">
        <v>810</v>
      </c>
      <c r="C199" s="103" t="s">
        <v>811</v>
      </c>
      <c r="D199" s="104">
        <v>45714</v>
      </c>
      <c r="E199" s="102">
        <v>791</v>
      </c>
      <c r="F199" s="105">
        <v>791</v>
      </c>
      <c r="G199" s="104">
        <v>45894</v>
      </c>
      <c r="H199" s="103" t="s">
        <v>423</v>
      </c>
      <c r="I199" s="103" t="s">
        <v>772</v>
      </c>
      <c r="J199" s="103" t="s">
        <v>450</v>
      </c>
      <c r="L199">
        <f t="shared" ref="L199:L262" si="31">--LEFT(I199,FIND("X",I199)-1)</f>
        <v>20</v>
      </c>
      <c r="M199">
        <f t="shared" ref="M199:M262" si="32">--RIGHT(I199,LEN(I199)-FIND("X",I199))</f>
        <v>20</v>
      </c>
      <c r="N199">
        <f t="shared" ref="N199:N262" si="33">L199*M199</f>
        <v>400</v>
      </c>
      <c r="O199" s="158">
        <f t="shared" si="29"/>
        <v>1.9775</v>
      </c>
      <c r="P199" s="159">
        <f t="shared" si="30"/>
        <v>0</v>
      </c>
    </row>
    <row r="200" spans="2:16" hidden="1" x14ac:dyDescent="0.3">
      <c r="B200" s="98" t="s">
        <v>812</v>
      </c>
      <c r="C200" s="99" t="s">
        <v>813</v>
      </c>
      <c r="D200" s="100">
        <v>44376</v>
      </c>
      <c r="E200" s="98">
        <v>592</v>
      </c>
      <c r="F200" s="101">
        <v>476</v>
      </c>
      <c r="G200" s="100">
        <v>45897</v>
      </c>
      <c r="H200" s="99" t="s">
        <v>423</v>
      </c>
      <c r="I200" s="99" t="s">
        <v>609</v>
      </c>
      <c r="J200" s="99" t="s">
        <v>425</v>
      </c>
      <c r="L200">
        <f t="shared" si="31"/>
        <v>10</v>
      </c>
      <c r="M200">
        <f t="shared" si="32"/>
        <v>20</v>
      </c>
      <c r="N200">
        <f t="shared" si="33"/>
        <v>200</v>
      </c>
      <c r="O200" s="158">
        <f t="shared" si="29"/>
        <v>2.96</v>
      </c>
      <c r="P200" s="159">
        <f t="shared" si="30"/>
        <v>-116</v>
      </c>
    </row>
    <row r="201" spans="2:16" x14ac:dyDescent="0.3">
      <c r="B201" s="102" t="s">
        <v>814</v>
      </c>
      <c r="C201" s="103" t="s">
        <v>815</v>
      </c>
      <c r="D201" s="104">
        <v>44953</v>
      </c>
      <c r="E201" s="102">
        <v>100</v>
      </c>
      <c r="F201" s="105">
        <v>139</v>
      </c>
      <c r="G201" s="104">
        <v>45895</v>
      </c>
      <c r="H201" s="103" t="s">
        <v>423</v>
      </c>
      <c r="I201" s="103" t="s">
        <v>443</v>
      </c>
      <c r="J201" s="103" t="s">
        <v>425</v>
      </c>
      <c r="L201">
        <f t="shared" si="31"/>
        <v>10</v>
      </c>
      <c r="M201">
        <f t="shared" si="32"/>
        <v>5</v>
      </c>
      <c r="N201">
        <f t="shared" si="33"/>
        <v>50</v>
      </c>
      <c r="O201" s="158">
        <f t="shared" si="29"/>
        <v>2</v>
      </c>
      <c r="P201" s="159">
        <f t="shared" si="30"/>
        <v>39</v>
      </c>
    </row>
    <row r="202" spans="2:16" hidden="1" x14ac:dyDescent="0.3">
      <c r="B202" s="98" t="s">
        <v>816</v>
      </c>
      <c r="C202" s="99" t="s">
        <v>817</v>
      </c>
      <c r="D202" s="100">
        <v>44565</v>
      </c>
      <c r="E202" s="98">
        <v>592</v>
      </c>
      <c r="F202" s="101">
        <v>476</v>
      </c>
      <c r="G202" s="100">
        <v>45872</v>
      </c>
      <c r="H202" s="99" t="s">
        <v>423</v>
      </c>
      <c r="I202" s="99" t="s">
        <v>609</v>
      </c>
      <c r="J202" s="99" t="s">
        <v>425</v>
      </c>
      <c r="L202">
        <f t="shared" si="31"/>
        <v>10</v>
      </c>
      <c r="M202">
        <f t="shared" si="32"/>
        <v>20</v>
      </c>
      <c r="N202">
        <f t="shared" si="33"/>
        <v>200</v>
      </c>
      <c r="O202" s="158">
        <f t="shared" si="29"/>
        <v>2.96</v>
      </c>
      <c r="P202" s="159">
        <f t="shared" si="30"/>
        <v>-116</v>
      </c>
    </row>
    <row r="203" spans="2:16" x14ac:dyDescent="0.3">
      <c r="B203" s="102" t="s">
        <v>818</v>
      </c>
      <c r="C203" s="103" t="s">
        <v>819</v>
      </c>
      <c r="D203" s="104">
        <v>45730</v>
      </c>
      <c r="E203" s="102">
        <v>136</v>
      </c>
      <c r="F203" s="105">
        <v>139</v>
      </c>
      <c r="G203" s="104">
        <v>45883</v>
      </c>
      <c r="H203" s="103" t="s">
        <v>423</v>
      </c>
      <c r="I203" s="103" t="s">
        <v>443</v>
      </c>
      <c r="J203" s="103" t="s">
        <v>425</v>
      </c>
      <c r="L203">
        <f t="shared" si="31"/>
        <v>10</v>
      </c>
      <c r="M203">
        <f t="shared" si="32"/>
        <v>5</v>
      </c>
      <c r="N203">
        <f t="shared" si="33"/>
        <v>50</v>
      </c>
      <c r="O203" s="158">
        <f t="shared" si="29"/>
        <v>2.72</v>
      </c>
      <c r="P203" s="159">
        <f t="shared" si="30"/>
        <v>3</v>
      </c>
    </row>
    <row r="204" spans="2:16" x14ac:dyDescent="0.3">
      <c r="B204" s="98" t="s">
        <v>820</v>
      </c>
      <c r="C204" s="99" t="s">
        <v>821</v>
      </c>
      <c r="D204" s="100">
        <v>45230</v>
      </c>
      <c r="E204" s="98">
        <v>741</v>
      </c>
      <c r="F204" s="101">
        <v>791</v>
      </c>
      <c r="G204" s="100">
        <v>45869</v>
      </c>
      <c r="H204" s="99" t="s">
        <v>423</v>
      </c>
      <c r="I204" s="99" t="s">
        <v>772</v>
      </c>
      <c r="J204" s="99" t="s">
        <v>450</v>
      </c>
      <c r="L204">
        <f t="shared" si="31"/>
        <v>20</v>
      </c>
      <c r="M204">
        <f t="shared" si="32"/>
        <v>20</v>
      </c>
      <c r="N204">
        <f t="shared" si="33"/>
        <v>400</v>
      </c>
      <c r="O204" s="158">
        <f t="shared" si="29"/>
        <v>1.8525</v>
      </c>
      <c r="P204" s="159">
        <f t="shared" si="30"/>
        <v>50</v>
      </c>
    </row>
    <row r="205" spans="2:16" x14ac:dyDescent="0.3">
      <c r="B205" s="102" t="s">
        <v>822</v>
      </c>
      <c r="C205" s="103" t="s">
        <v>823</v>
      </c>
      <c r="D205" s="104">
        <v>45866</v>
      </c>
      <c r="E205" s="102">
        <v>72</v>
      </c>
      <c r="F205" s="105">
        <v>139</v>
      </c>
      <c r="G205" s="104">
        <v>45896</v>
      </c>
      <c r="H205" s="103" t="s">
        <v>423</v>
      </c>
      <c r="I205" s="103" t="s">
        <v>443</v>
      </c>
      <c r="J205" s="103" t="s">
        <v>425</v>
      </c>
      <c r="L205">
        <f t="shared" si="31"/>
        <v>10</v>
      </c>
      <c r="M205">
        <f t="shared" si="32"/>
        <v>5</v>
      </c>
      <c r="N205">
        <f t="shared" si="33"/>
        <v>50</v>
      </c>
      <c r="O205" s="158">
        <f t="shared" si="29"/>
        <v>1.44</v>
      </c>
      <c r="P205" s="159">
        <f t="shared" si="30"/>
        <v>67</v>
      </c>
    </row>
    <row r="206" spans="2:16" hidden="1" x14ac:dyDescent="0.3">
      <c r="B206" s="98" t="s">
        <v>824</v>
      </c>
      <c r="C206" s="99" t="s">
        <v>825</v>
      </c>
      <c r="D206" s="100">
        <v>44098</v>
      </c>
      <c r="E206" s="98">
        <v>876</v>
      </c>
      <c r="F206" s="101">
        <v>798</v>
      </c>
      <c r="G206" s="100">
        <v>45892</v>
      </c>
      <c r="H206" s="99" t="s">
        <v>423</v>
      </c>
      <c r="I206" s="99" t="s">
        <v>826</v>
      </c>
      <c r="J206" s="99" t="s">
        <v>450</v>
      </c>
      <c r="L206">
        <f t="shared" si="31"/>
        <v>20</v>
      </c>
      <c r="M206">
        <f t="shared" si="32"/>
        <v>21</v>
      </c>
      <c r="N206">
        <f t="shared" si="33"/>
        <v>420</v>
      </c>
      <c r="O206" s="158">
        <f t="shared" si="29"/>
        <v>2.0857142857142859</v>
      </c>
      <c r="P206" s="159">
        <f t="shared" si="30"/>
        <v>-78</v>
      </c>
    </row>
    <row r="207" spans="2:16" hidden="1" x14ac:dyDescent="0.3">
      <c r="B207" s="102" t="s">
        <v>827</v>
      </c>
      <c r="C207" s="103" t="s">
        <v>828</v>
      </c>
      <c r="D207" s="104">
        <v>45714</v>
      </c>
      <c r="E207" s="102">
        <v>146</v>
      </c>
      <c r="F207" s="105">
        <v>139</v>
      </c>
      <c r="G207" s="104">
        <v>45895</v>
      </c>
      <c r="H207" s="103" t="s">
        <v>423</v>
      </c>
      <c r="I207" s="103" t="s">
        <v>443</v>
      </c>
      <c r="J207" s="103" t="s">
        <v>425</v>
      </c>
      <c r="L207">
        <f t="shared" si="31"/>
        <v>10</v>
      </c>
      <c r="M207">
        <f t="shared" si="32"/>
        <v>5</v>
      </c>
      <c r="N207">
        <f t="shared" si="33"/>
        <v>50</v>
      </c>
      <c r="O207" s="158">
        <f t="shared" si="29"/>
        <v>2.92</v>
      </c>
      <c r="P207" s="159">
        <f t="shared" si="30"/>
        <v>-7</v>
      </c>
    </row>
    <row r="208" spans="2:16" hidden="1" x14ac:dyDescent="0.3">
      <c r="B208" s="98" t="s">
        <v>829</v>
      </c>
      <c r="C208" s="99" t="s">
        <v>830</v>
      </c>
      <c r="D208" s="100">
        <v>44095</v>
      </c>
      <c r="E208" s="98">
        <v>882</v>
      </c>
      <c r="F208" s="101">
        <v>798</v>
      </c>
      <c r="G208" s="100">
        <v>45889</v>
      </c>
      <c r="H208" s="99" t="s">
        <v>423</v>
      </c>
      <c r="I208" s="99" t="s">
        <v>826</v>
      </c>
      <c r="J208" s="99" t="s">
        <v>450</v>
      </c>
      <c r="L208">
        <f t="shared" si="31"/>
        <v>20</v>
      </c>
      <c r="M208">
        <f t="shared" si="32"/>
        <v>21</v>
      </c>
      <c r="N208">
        <f t="shared" si="33"/>
        <v>420</v>
      </c>
      <c r="O208" s="158">
        <f t="shared" si="29"/>
        <v>2.1</v>
      </c>
      <c r="P208" s="159">
        <f t="shared" si="30"/>
        <v>-84</v>
      </c>
    </row>
    <row r="209" spans="2:16" hidden="1" x14ac:dyDescent="0.3">
      <c r="B209" s="102" t="s">
        <v>831</v>
      </c>
      <c r="C209" s="103" t="s">
        <v>832</v>
      </c>
      <c r="D209" s="104">
        <v>45840</v>
      </c>
      <c r="E209" s="102">
        <v>139</v>
      </c>
      <c r="F209" s="105">
        <v>139</v>
      </c>
      <c r="G209" s="104">
        <v>45870</v>
      </c>
      <c r="H209" s="103" t="s">
        <v>423</v>
      </c>
      <c r="I209" s="103" t="s">
        <v>443</v>
      </c>
      <c r="J209" s="103" t="s">
        <v>425</v>
      </c>
      <c r="L209">
        <f t="shared" si="31"/>
        <v>10</v>
      </c>
      <c r="M209">
        <f t="shared" si="32"/>
        <v>5</v>
      </c>
      <c r="N209">
        <f t="shared" si="33"/>
        <v>50</v>
      </c>
      <c r="O209" s="158">
        <f t="shared" si="29"/>
        <v>2.78</v>
      </c>
      <c r="P209" s="159">
        <f t="shared" si="30"/>
        <v>0</v>
      </c>
    </row>
    <row r="210" spans="2:16" hidden="1" x14ac:dyDescent="0.3">
      <c r="B210" s="98" t="s">
        <v>833</v>
      </c>
      <c r="C210" s="99" t="s">
        <v>834</v>
      </c>
      <c r="D210" s="100">
        <v>44724</v>
      </c>
      <c r="E210" s="98">
        <v>186</v>
      </c>
      <c r="F210" s="101">
        <v>139</v>
      </c>
      <c r="G210" s="100">
        <v>45880</v>
      </c>
      <c r="H210" s="99" t="s">
        <v>423</v>
      </c>
      <c r="I210" s="99" t="s">
        <v>443</v>
      </c>
      <c r="J210" s="99" t="s">
        <v>425</v>
      </c>
      <c r="L210">
        <f t="shared" si="31"/>
        <v>10</v>
      </c>
      <c r="M210">
        <f t="shared" si="32"/>
        <v>5</v>
      </c>
      <c r="N210">
        <f t="shared" si="33"/>
        <v>50</v>
      </c>
      <c r="O210" s="158">
        <f t="shared" si="29"/>
        <v>3.72</v>
      </c>
      <c r="P210" s="159">
        <f t="shared" si="30"/>
        <v>-47</v>
      </c>
    </row>
    <row r="211" spans="2:16" hidden="1" x14ac:dyDescent="0.3">
      <c r="B211" s="102" t="s">
        <v>835</v>
      </c>
      <c r="C211" s="103" t="s">
        <v>836</v>
      </c>
      <c r="D211" s="104">
        <v>44911</v>
      </c>
      <c r="E211" s="102">
        <v>99</v>
      </c>
      <c r="F211" s="105">
        <v>71</v>
      </c>
      <c r="G211" s="104">
        <v>45884</v>
      </c>
      <c r="H211" s="103" t="s">
        <v>423</v>
      </c>
      <c r="I211" s="103" t="s">
        <v>699</v>
      </c>
      <c r="J211" s="103" t="s">
        <v>425</v>
      </c>
      <c r="L211">
        <f t="shared" si="31"/>
        <v>5</v>
      </c>
      <c r="M211">
        <f t="shared" si="32"/>
        <v>4</v>
      </c>
      <c r="N211">
        <f t="shared" si="33"/>
        <v>20</v>
      </c>
      <c r="O211" s="158">
        <f t="shared" si="29"/>
        <v>4.95</v>
      </c>
      <c r="P211" s="159">
        <f t="shared" si="30"/>
        <v>-28</v>
      </c>
    </row>
    <row r="212" spans="2:16" x14ac:dyDescent="0.3">
      <c r="B212" s="98" t="s">
        <v>532</v>
      </c>
      <c r="C212" s="99" t="s">
        <v>837</v>
      </c>
      <c r="D212" s="100">
        <v>45202</v>
      </c>
      <c r="E212" s="98">
        <v>96</v>
      </c>
      <c r="F212" s="101">
        <v>139</v>
      </c>
      <c r="G212" s="100">
        <v>45871</v>
      </c>
      <c r="H212" s="99" t="s">
        <v>423</v>
      </c>
      <c r="I212" s="99" t="s">
        <v>463</v>
      </c>
      <c r="J212" s="99" t="s">
        <v>425</v>
      </c>
      <c r="L212">
        <f t="shared" si="31"/>
        <v>5</v>
      </c>
      <c r="M212">
        <f t="shared" si="32"/>
        <v>10</v>
      </c>
      <c r="N212">
        <f t="shared" si="33"/>
        <v>50</v>
      </c>
      <c r="O212" s="158">
        <f t="shared" si="29"/>
        <v>1.92</v>
      </c>
      <c r="P212" s="159">
        <f t="shared" si="30"/>
        <v>43</v>
      </c>
    </row>
    <row r="213" spans="2:16" x14ac:dyDescent="0.3">
      <c r="B213" s="102" t="s">
        <v>788</v>
      </c>
      <c r="C213" s="103" t="s">
        <v>838</v>
      </c>
      <c r="D213" s="104">
        <v>45751</v>
      </c>
      <c r="E213" s="102">
        <v>139</v>
      </c>
      <c r="F213" s="105">
        <v>278</v>
      </c>
      <c r="G213" s="104">
        <v>46115</v>
      </c>
      <c r="H213" s="103" t="s">
        <v>423</v>
      </c>
      <c r="I213" s="103" t="s">
        <v>428</v>
      </c>
      <c r="J213" s="103" t="s">
        <v>425</v>
      </c>
      <c r="L213">
        <f t="shared" si="31"/>
        <v>10</v>
      </c>
      <c r="M213">
        <f t="shared" si="32"/>
        <v>10</v>
      </c>
      <c r="N213">
        <f t="shared" si="33"/>
        <v>100</v>
      </c>
      <c r="O213" s="158">
        <f t="shared" si="29"/>
        <v>1.39</v>
      </c>
      <c r="P213" s="159">
        <f t="shared" si="30"/>
        <v>139</v>
      </c>
    </row>
    <row r="214" spans="2:16" x14ac:dyDescent="0.3">
      <c r="B214" s="98" t="s">
        <v>839</v>
      </c>
      <c r="C214" s="99" t="s">
        <v>840</v>
      </c>
      <c r="D214" s="100">
        <v>45736</v>
      </c>
      <c r="E214" s="98">
        <v>70</v>
      </c>
      <c r="F214" s="101">
        <v>71</v>
      </c>
      <c r="G214" s="100">
        <v>45888</v>
      </c>
      <c r="H214" s="99" t="s">
        <v>423</v>
      </c>
      <c r="I214" s="99" t="s">
        <v>699</v>
      </c>
      <c r="J214" s="99" t="s">
        <v>425</v>
      </c>
      <c r="L214">
        <f t="shared" si="31"/>
        <v>5</v>
      </c>
      <c r="M214">
        <f t="shared" si="32"/>
        <v>4</v>
      </c>
      <c r="N214">
        <f t="shared" si="33"/>
        <v>20</v>
      </c>
      <c r="O214" s="158">
        <f t="shared" si="29"/>
        <v>3.5</v>
      </c>
      <c r="P214" s="159">
        <f t="shared" si="30"/>
        <v>1</v>
      </c>
    </row>
    <row r="215" spans="2:16" x14ac:dyDescent="0.3">
      <c r="B215" s="102" t="s">
        <v>841</v>
      </c>
      <c r="C215" s="103" t="s">
        <v>842</v>
      </c>
      <c r="D215" s="104">
        <v>45787</v>
      </c>
      <c r="E215" s="102">
        <v>49</v>
      </c>
      <c r="F215" s="105">
        <v>71</v>
      </c>
      <c r="G215" s="104">
        <v>45878</v>
      </c>
      <c r="H215" s="103" t="s">
        <v>423</v>
      </c>
      <c r="I215" s="103" t="s">
        <v>699</v>
      </c>
      <c r="J215" s="103" t="s">
        <v>425</v>
      </c>
      <c r="L215">
        <f t="shared" si="31"/>
        <v>5</v>
      </c>
      <c r="M215">
        <f t="shared" si="32"/>
        <v>4</v>
      </c>
      <c r="N215">
        <f t="shared" si="33"/>
        <v>20</v>
      </c>
      <c r="O215" s="158">
        <f t="shared" si="29"/>
        <v>2.4500000000000002</v>
      </c>
      <c r="P215" s="159">
        <f t="shared" si="30"/>
        <v>22</v>
      </c>
    </row>
    <row r="216" spans="2:16" hidden="1" x14ac:dyDescent="0.3">
      <c r="B216" s="98" t="s">
        <v>843</v>
      </c>
      <c r="C216" s="99" t="s">
        <v>844</v>
      </c>
      <c r="D216" s="100">
        <v>44210</v>
      </c>
      <c r="E216" s="98">
        <v>110</v>
      </c>
      <c r="F216" s="101">
        <v>71</v>
      </c>
      <c r="G216" s="100">
        <v>45882</v>
      </c>
      <c r="H216" s="99" t="s">
        <v>423</v>
      </c>
      <c r="I216" s="99" t="s">
        <v>699</v>
      </c>
      <c r="J216" s="99" t="s">
        <v>425</v>
      </c>
      <c r="L216">
        <f t="shared" si="31"/>
        <v>5</v>
      </c>
      <c r="M216">
        <f t="shared" si="32"/>
        <v>4</v>
      </c>
      <c r="N216">
        <f t="shared" si="33"/>
        <v>20</v>
      </c>
      <c r="O216" s="158">
        <f t="shared" si="29"/>
        <v>5.5</v>
      </c>
      <c r="P216" s="159">
        <f t="shared" si="30"/>
        <v>-39</v>
      </c>
    </row>
    <row r="217" spans="2:16" hidden="1" x14ac:dyDescent="0.3">
      <c r="B217" s="102" t="s">
        <v>845</v>
      </c>
      <c r="C217" s="103" t="s">
        <v>846</v>
      </c>
      <c r="D217" s="104">
        <v>44604</v>
      </c>
      <c r="E217" s="102">
        <v>339</v>
      </c>
      <c r="F217" s="105">
        <v>278</v>
      </c>
      <c r="G217" s="104">
        <v>45880</v>
      </c>
      <c r="H217" s="103" t="s">
        <v>423</v>
      </c>
      <c r="I217" s="103" t="s">
        <v>428</v>
      </c>
      <c r="J217" s="103" t="s">
        <v>425</v>
      </c>
      <c r="L217">
        <f t="shared" si="31"/>
        <v>10</v>
      </c>
      <c r="M217">
        <f t="shared" si="32"/>
        <v>10</v>
      </c>
      <c r="N217">
        <f t="shared" si="33"/>
        <v>100</v>
      </c>
      <c r="O217" s="158">
        <f t="shared" si="29"/>
        <v>3.39</v>
      </c>
      <c r="P217" s="159">
        <f t="shared" si="30"/>
        <v>-61</v>
      </c>
    </row>
    <row r="218" spans="2:16" x14ac:dyDescent="0.3">
      <c r="B218" s="98" t="s">
        <v>847</v>
      </c>
      <c r="C218" s="99" t="s">
        <v>848</v>
      </c>
      <c r="D218" s="100">
        <v>45725</v>
      </c>
      <c r="E218" s="98">
        <v>57.75</v>
      </c>
      <c r="F218" s="101">
        <v>71</v>
      </c>
      <c r="G218" s="100">
        <v>45883</v>
      </c>
      <c r="H218" s="99" t="s">
        <v>423</v>
      </c>
      <c r="I218" s="99" t="s">
        <v>699</v>
      </c>
      <c r="J218" s="99" t="s">
        <v>425</v>
      </c>
      <c r="L218">
        <f t="shared" si="31"/>
        <v>5</v>
      </c>
      <c r="M218">
        <f t="shared" si="32"/>
        <v>4</v>
      </c>
      <c r="N218">
        <f t="shared" si="33"/>
        <v>20</v>
      </c>
      <c r="O218" s="158">
        <f t="shared" si="29"/>
        <v>2.8875000000000002</v>
      </c>
      <c r="P218" s="159">
        <f t="shared" si="30"/>
        <v>13.25</v>
      </c>
    </row>
    <row r="219" spans="2:16" hidden="1" x14ac:dyDescent="0.3">
      <c r="B219" s="102" t="s">
        <v>849</v>
      </c>
      <c r="C219" s="103" t="s">
        <v>850</v>
      </c>
      <c r="D219" s="104">
        <v>45841</v>
      </c>
      <c r="E219" s="102">
        <v>187</v>
      </c>
      <c r="F219" s="105">
        <v>187</v>
      </c>
      <c r="G219" s="104">
        <v>45871</v>
      </c>
      <c r="H219" s="103" t="s">
        <v>423</v>
      </c>
      <c r="I219" s="103" t="s">
        <v>431</v>
      </c>
      <c r="J219" s="103" t="s">
        <v>425</v>
      </c>
      <c r="L219">
        <f t="shared" si="31"/>
        <v>5</v>
      </c>
      <c r="M219">
        <f t="shared" si="32"/>
        <v>15</v>
      </c>
      <c r="N219">
        <f t="shared" si="33"/>
        <v>75</v>
      </c>
      <c r="O219" s="158">
        <f t="shared" si="29"/>
        <v>2.4933333333333332</v>
      </c>
      <c r="P219" s="159">
        <f t="shared" si="30"/>
        <v>0</v>
      </c>
    </row>
    <row r="220" spans="2:16" hidden="1" x14ac:dyDescent="0.3">
      <c r="B220" s="98" t="s">
        <v>851</v>
      </c>
      <c r="C220" s="99" t="s">
        <v>852</v>
      </c>
      <c r="D220" s="100">
        <v>45105</v>
      </c>
      <c r="E220" s="98">
        <v>303</v>
      </c>
      <c r="F220" s="101">
        <v>278</v>
      </c>
      <c r="G220" s="100">
        <v>45898</v>
      </c>
      <c r="H220" s="99" t="s">
        <v>423</v>
      </c>
      <c r="I220" s="99" t="s">
        <v>428</v>
      </c>
      <c r="J220" s="99" t="s">
        <v>425</v>
      </c>
      <c r="L220">
        <f t="shared" si="31"/>
        <v>10</v>
      </c>
      <c r="M220">
        <f t="shared" si="32"/>
        <v>10</v>
      </c>
      <c r="N220">
        <f t="shared" si="33"/>
        <v>100</v>
      </c>
      <c r="O220" s="158">
        <f t="shared" si="29"/>
        <v>3.03</v>
      </c>
      <c r="P220" s="159">
        <f t="shared" si="30"/>
        <v>-25</v>
      </c>
    </row>
    <row r="221" spans="2:16" hidden="1" x14ac:dyDescent="0.3">
      <c r="B221" s="102" t="s">
        <v>853</v>
      </c>
      <c r="C221" s="103" t="s">
        <v>854</v>
      </c>
      <c r="D221" s="104">
        <v>45671</v>
      </c>
      <c r="E221" s="102">
        <v>100</v>
      </c>
      <c r="F221" s="105">
        <v>83</v>
      </c>
      <c r="G221" s="104">
        <v>45882</v>
      </c>
      <c r="H221" s="103" t="s">
        <v>423</v>
      </c>
      <c r="I221" s="103" t="s">
        <v>482</v>
      </c>
      <c r="J221" s="103" t="s">
        <v>425</v>
      </c>
      <c r="L221">
        <f t="shared" si="31"/>
        <v>5</v>
      </c>
      <c r="M221">
        <f t="shared" si="32"/>
        <v>5</v>
      </c>
      <c r="N221">
        <f t="shared" si="33"/>
        <v>25</v>
      </c>
      <c r="O221" s="158">
        <f t="shared" si="29"/>
        <v>4</v>
      </c>
      <c r="P221" s="159">
        <f t="shared" si="30"/>
        <v>-17</v>
      </c>
    </row>
    <row r="222" spans="2:16" hidden="1" x14ac:dyDescent="0.3">
      <c r="B222" s="98" t="s">
        <v>855</v>
      </c>
      <c r="C222" s="99" t="s">
        <v>856</v>
      </c>
      <c r="D222" s="100">
        <v>45180</v>
      </c>
      <c r="E222" s="98">
        <v>300</v>
      </c>
      <c r="F222" s="101">
        <v>278</v>
      </c>
      <c r="G222" s="100">
        <v>45879</v>
      </c>
      <c r="H222" s="99" t="s">
        <v>423</v>
      </c>
      <c r="I222" s="99" t="s">
        <v>428</v>
      </c>
      <c r="J222" s="99" t="s">
        <v>425</v>
      </c>
      <c r="L222">
        <f t="shared" si="31"/>
        <v>10</v>
      </c>
      <c r="M222">
        <f t="shared" si="32"/>
        <v>10</v>
      </c>
      <c r="N222">
        <f t="shared" si="33"/>
        <v>100</v>
      </c>
      <c r="O222" s="158">
        <f t="shared" si="29"/>
        <v>3</v>
      </c>
      <c r="P222" s="159">
        <f t="shared" si="30"/>
        <v>-22</v>
      </c>
    </row>
    <row r="223" spans="2:16" x14ac:dyDescent="0.3">
      <c r="B223" s="102" t="s">
        <v>857</v>
      </c>
      <c r="C223" s="103" t="s">
        <v>858</v>
      </c>
      <c r="D223" s="104">
        <v>45015</v>
      </c>
      <c r="E223" s="102">
        <v>465</v>
      </c>
      <c r="F223" s="105">
        <v>476</v>
      </c>
      <c r="G223" s="104">
        <v>45898</v>
      </c>
      <c r="H223" s="103" t="s">
        <v>423</v>
      </c>
      <c r="I223" s="103" t="s">
        <v>609</v>
      </c>
      <c r="J223" s="103" t="s">
        <v>450</v>
      </c>
      <c r="L223">
        <f t="shared" si="31"/>
        <v>10</v>
      </c>
      <c r="M223">
        <f t="shared" si="32"/>
        <v>20</v>
      </c>
      <c r="N223">
        <f t="shared" si="33"/>
        <v>200</v>
      </c>
      <c r="O223" s="158">
        <f t="shared" si="29"/>
        <v>2.3250000000000002</v>
      </c>
      <c r="P223" s="159">
        <f t="shared" si="30"/>
        <v>11</v>
      </c>
    </row>
    <row r="224" spans="2:16" x14ac:dyDescent="0.3">
      <c r="B224" s="98" t="s">
        <v>859</v>
      </c>
      <c r="C224" s="99" t="s">
        <v>860</v>
      </c>
      <c r="D224" s="100">
        <v>44960</v>
      </c>
      <c r="E224" s="98">
        <v>446</v>
      </c>
      <c r="F224" s="101">
        <v>476</v>
      </c>
      <c r="G224" s="100">
        <v>45871</v>
      </c>
      <c r="H224" s="99" t="s">
        <v>423</v>
      </c>
      <c r="I224" s="99" t="s">
        <v>609</v>
      </c>
      <c r="J224" s="99" t="s">
        <v>450</v>
      </c>
      <c r="L224">
        <f t="shared" si="31"/>
        <v>10</v>
      </c>
      <c r="M224">
        <f t="shared" si="32"/>
        <v>20</v>
      </c>
      <c r="N224">
        <f t="shared" si="33"/>
        <v>200</v>
      </c>
      <c r="O224" s="158">
        <f t="shared" si="29"/>
        <v>2.23</v>
      </c>
      <c r="P224" s="159">
        <f t="shared" si="30"/>
        <v>30</v>
      </c>
    </row>
    <row r="225" spans="2:16" x14ac:dyDescent="0.3">
      <c r="B225" s="102" t="s">
        <v>861</v>
      </c>
      <c r="C225" s="103" t="s">
        <v>862</v>
      </c>
      <c r="D225" s="104">
        <v>45009</v>
      </c>
      <c r="E225" s="102">
        <v>80</v>
      </c>
      <c r="F225" s="105">
        <v>83</v>
      </c>
      <c r="G225" s="104">
        <v>45892</v>
      </c>
      <c r="H225" s="103" t="s">
        <v>423</v>
      </c>
      <c r="I225" s="103" t="s">
        <v>482</v>
      </c>
      <c r="J225" s="103" t="s">
        <v>425</v>
      </c>
      <c r="L225">
        <f t="shared" si="31"/>
        <v>5</v>
      </c>
      <c r="M225">
        <f t="shared" si="32"/>
        <v>5</v>
      </c>
      <c r="N225">
        <f t="shared" si="33"/>
        <v>25</v>
      </c>
      <c r="O225" s="158">
        <f t="shared" si="29"/>
        <v>3.2</v>
      </c>
      <c r="P225" s="159">
        <f t="shared" si="30"/>
        <v>3</v>
      </c>
    </row>
    <row r="226" spans="2:16" x14ac:dyDescent="0.3">
      <c r="B226" s="98" t="s">
        <v>863</v>
      </c>
      <c r="C226" s="99" t="s">
        <v>864</v>
      </c>
      <c r="D226" s="100">
        <v>45746</v>
      </c>
      <c r="E226" s="98">
        <v>203</v>
      </c>
      <c r="F226" s="101">
        <v>258</v>
      </c>
      <c r="G226" s="100">
        <v>45898</v>
      </c>
      <c r="H226" s="99" t="s">
        <v>423</v>
      </c>
      <c r="I226" s="99" t="s">
        <v>865</v>
      </c>
      <c r="J226" s="99" t="s">
        <v>425</v>
      </c>
      <c r="L226">
        <f t="shared" si="31"/>
        <v>9</v>
      </c>
      <c r="M226">
        <f t="shared" si="32"/>
        <v>10</v>
      </c>
      <c r="N226">
        <f t="shared" si="33"/>
        <v>90</v>
      </c>
      <c r="O226" s="158">
        <f t="shared" si="29"/>
        <v>2.2555555555555555</v>
      </c>
      <c r="P226" s="159">
        <f t="shared" si="30"/>
        <v>55</v>
      </c>
    </row>
    <row r="227" spans="2:16" hidden="1" x14ac:dyDescent="0.3">
      <c r="B227" s="102" t="s">
        <v>866</v>
      </c>
      <c r="C227" s="103" t="s">
        <v>867</v>
      </c>
      <c r="D227" s="104">
        <v>44971</v>
      </c>
      <c r="E227" s="102">
        <v>311</v>
      </c>
      <c r="F227" s="105">
        <v>278</v>
      </c>
      <c r="G227" s="104">
        <v>45882</v>
      </c>
      <c r="H227" s="103" t="s">
        <v>423</v>
      </c>
      <c r="I227" s="103" t="s">
        <v>428</v>
      </c>
      <c r="J227" s="103" t="s">
        <v>425</v>
      </c>
      <c r="L227">
        <f t="shared" si="31"/>
        <v>10</v>
      </c>
      <c r="M227">
        <f t="shared" si="32"/>
        <v>10</v>
      </c>
      <c r="N227">
        <f t="shared" si="33"/>
        <v>100</v>
      </c>
      <c r="O227" s="158">
        <f t="shared" si="29"/>
        <v>3.11</v>
      </c>
      <c r="P227" s="159">
        <f t="shared" si="30"/>
        <v>-33</v>
      </c>
    </row>
    <row r="228" spans="2:16" hidden="1" x14ac:dyDescent="0.3">
      <c r="B228" s="98"/>
      <c r="C228" s="99" t="s">
        <v>868</v>
      </c>
      <c r="D228" s="99"/>
      <c r="E228" s="98"/>
      <c r="F228" s="101">
        <v>139</v>
      </c>
      <c r="G228" s="99"/>
      <c r="H228" s="99" t="s">
        <v>445</v>
      </c>
      <c r="I228" s="99" t="s">
        <v>443</v>
      </c>
      <c r="J228" s="99" t="s">
        <v>425</v>
      </c>
      <c r="L228">
        <f t="shared" si="31"/>
        <v>10</v>
      </c>
      <c r="M228">
        <f t="shared" si="32"/>
        <v>5</v>
      </c>
      <c r="N228">
        <f t="shared" si="33"/>
        <v>50</v>
      </c>
    </row>
    <row r="229" spans="2:16" hidden="1" x14ac:dyDescent="0.3">
      <c r="B229" s="102" t="s">
        <v>869</v>
      </c>
      <c r="C229" s="103" t="s">
        <v>870</v>
      </c>
      <c r="D229" s="104">
        <v>44869</v>
      </c>
      <c r="E229" s="102">
        <v>288</v>
      </c>
      <c r="F229" s="105">
        <v>278</v>
      </c>
      <c r="G229" s="104">
        <v>45883</v>
      </c>
      <c r="H229" s="103" t="s">
        <v>423</v>
      </c>
      <c r="I229" s="103" t="s">
        <v>428</v>
      </c>
      <c r="J229" s="103" t="s">
        <v>425</v>
      </c>
      <c r="L229">
        <f t="shared" si="31"/>
        <v>10</v>
      </c>
      <c r="M229">
        <f t="shared" si="32"/>
        <v>10</v>
      </c>
      <c r="N229">
        <f t="shared" si="33"/>
        <v>100</v>
      </c>
      <c r="O229" s="158">
        <f>E229/N229</f>
        <v>2.88</v>
      </c>
      <c r="P229" s="159">
        <f>F229-E229</f>
        <v>-10</v>
      </c>
    </row>
    <row r="230" spans="2:16" hidden="1" x14ac:dyDescent="0.3">
      <c r="B230" s="98"/>
      <c r="C230" s="99" t="s">
        <v>871</v>
      </c>
      <c r="D230" s="99"/>
      <c r="E230" s="98"/>
      <c r="F230" s="101">
        <v>278</v>
      </c>
      <c r="G230" s="99"/>
      <c r="H230" s="99" t="s">
        <v>445</v>
      </c>
      <c r="I230" s="99" t="s">
        <v>428</v>
      </c>
      <c r="J230" s="99" t="s">
        <v>425</v>
      </c>
      <c r="L230">
        <f t="shared" si="31"/>
        <v>10</v>
      </c>
      <c r="M230">
        <f t="shared" si="32"/>
        <v>10</v>
      </c>
      <c r="N230">
        <f t="shared" si="33"/>
        <v>100</v>
      </c>
    </row>
    <row r="231" spans="2:16" hidden="1" x14ac:dyDescent="0.3">
      <c r="B231" s="102" t="s">
        <v>872</v>
      </c>
      <c r="C231" s="103" t="s">
        <v>873</v>
      </c>
      <c r="D231" s="104">
        <v>45192</v>
      </c>
      <c r="E231" s="102">
        <v>301</v>
      </c>
      <c r="F231" s="105">
        <v>278</v>
      </c>
      <c r="G231" s="104">
        <v>45799</v>
      </c>
      <c r="H231" s="103" t="s">
        <v>442</v>
      </c>
      <c r="I231" s="103" t="s">
        <v>428</v>
      </c>
      <c r="J231" s="103" t="s">
        <v>425</v>
      </c>
      <c r="L231">
        <f t="shared" si="31"/>
        <v>10</v>
      </c>
      <c r="M231">
        <f t="shared" si="32"/>
        <v>10</v>
      </c>
      <c r="N231">
        <f t="shared" si="33"/>
        <v>100</v>
      </c>
      <c r="O231" s="158">
        <f>E231/N231</f>
        <v>3.01</v>
      </c>
      <c r="P231" s="159">
        <f>F231-E231</f>
        <v>-23</v>
      </c>
    </row>
    <row r="232" spans="2:16" hidden="1" x14ac:dyDescent="0.3">
      <c r="B232" s="98"/>
      <c r="C232" s="99" t="s">
        <v>874</v>
      </c>
      <c r="D232" s="99"/>
      <c r="E232" s="98"/>
      <c r="F232" s="101">
        <v>139</v>
      </c>
      <c r="G232" s="99"/>
      <c r="H232" s="99" t="s">
        <v>445</v>
      </c>
      <c r="I232" s="99" t="s">
        <v>443</v>
      </c>
      <c r="J232" s="99" t="s">
        <v>425</v>
      </c>
      <c r="L232">
        <f t="shared" si="31"/>
        <v>10</v>
      </c>
      <c r="M232">
        <f t="shared" si="32"/>
        <v>5</v>
      </c>
      <c r="N232">
        <f t="shared" si="33"/>
        <v>50</v>
      </c>
    </row>
    <row r="233" spans="2:16" x14ac:dyDescent="0.3">
      <c r="B233" s="102" t="s">
        <v>875</v>
      </c>
      <c r="C233" s="103" t="s">
        <v>876</v>
      </c>
      <c r="D233" s="104">
        <v>45754</v>
      </c>
      <c r="E233" s="102">
        <v>283</v>
      </c>
      <c r="F233" s="105">
        <v>476</v>
      </c>
      <c r="G233" s="104">
        <v>45882</v>
      </c>
      <c r="H233" s="103" t="s">
        <v>423</v>
      </c>
      <c r="I233" s="103" t="s">
        <v>449</v>
      </c>
      <c r="J233" s="103" t="s">
        <v>450</v>
      </c>
      <c r="L233">
        <f t="shared" si="31"/>
        <v>20</v>
      </c>
      <c r="M233">
        <f t="shared" si="32"/>
        <v>10</v>
      </c>
      <c r="N233">
        <f t="shared" si="33"/>
        <v>200</v>
      </c>
      <c r="O233" s="158">
        <f t="shared" ref="O233:O246" si="34">E233/N233</f>
        <v>1.415</v>
      </c>
      <c r="P233" s="159">
        <f t="shared" ref="P233:P246" si="35">F233-E233</f>
        <v>193</v>
      </c>
    </row>
    <row r="234" spans="2:16" x14ac:dyDescent="0.3">
      <c r="B234" s="98" t="s">
        <v>877</v>
      </c>
      <c r="C234" s="99" t="s">
        <v>878</v>
      </c>
      <c r="D234" s="100">
        <v>45211</v>
      </c>
      <c r="E234" s="98">
        <v>170</v>
      </c>
      <c r="F234" s="101">
        <v>187</v>
      </c>
      <c r="G234" s="100">
        <v>45880</v>
      </c>
      <c r="H234" s="99" t="s">
        <v>423</v>
      </c>
      <c r="I234" s="99" t="s">
        <v>431</v>
      </c>
      <c r="J234" s="99" t="s">
        <v>425</v>
      </c>
      <c r="L234">
        <f t="shared" si="31"/>
        <v>5</v>
      </c>
      <c r="M234">
        <f t="shared" si="32"/>
        <v>15</v>
      </c>
      <c r="N234">
        <f t="shared" si="33"/>
        <v>75</v>
      </c>
      <c r="O234" s="158">
        <f t="shared" si="34"/>
        <v>2.2666666666666666</v>
      </c>
      <c r="P234" s="159">
        <f t="shared" si="35"/>
        <v>17</v>
      </c>
    </row>
    <row r="235" spans="2:16" hidden="1" x14ac:dyDescent="0.3">
      <c r="B235" s="102" t="s">
        <v>879</v>
      </c>
      <c r="C235" s="103" t="s">
        <v>880</v>
      </c>
      <c r="D235" s="104">
        <v>44590</v>
      </c>
      <c r="E235" s="102">
        <v>109</v>
      </c>
      <c r="F235" s="105">
        <v>83</v>
      </c>
      <c r="G235" s="104">
        <v>45897</v>
      </c>
      <c r="H235" s="103" t="s">
        <v>423</v>
      </c>
      <c r="I235" s="103" t="s">
        <v>482</v>
      </c>
      <c r="J235" s="103" t="s">
        <v>425</v>
      </c>
      <c r="L235">
        <f t="shared" si="31"/>
        <v>5</v>
      </c>
      <c r="M235">
        <f t="shared" si="32"/>
        <v>5</v>
      </c>
      <c r="N235">
        <f t="shared" si="33"/>
        <v>25</v>
      </c>
      <c r="O235" s="158">
        <f t="shared" si="34"/>
        <v>4.3600000000000003</v>
      </c>
      <c r="P235" s="159">
        <f t="shared" si="35"/>
        <v>-26</v>
      </c>
    </row>
    <row r="236" spans="2:16" x14ac:dyDescent="0.3">
      <c r="B236" s="98" t="s">
        <v>881</v>
      </c>
      <c r="C236" s="99" t="s">
        <v>882</v>
      </c>
      <c r="D236" s="100">
        <v>44777</v>
      </c>
      <c r="E236" s="98">
        <v>219</v>
      </c>
      <c r="F236" s="101">
        <v>278</v>
      </c>
      <c r="G236" s="100">
        <v>45872</v>
      </c>
      <c r="H236" s="99" t="s">
        <v>423</v>
      </c>
      <c r="I236" s="99" t="s">
        <v>428</v>
      </c>
      <c r="J236" s="99" t="s">
        <v>425</v>
      </c>
      <c r="L236">
        <f t="shared" si="31"/>
        <v>10</v>
      </c>
      <c r="M236">
        <f t="shared" si="32"/>
        <v>10</v>
      </c>
      <c r="N236">
        <f t="shared" si="33"/>
        <v>100</v>
      </c>
      <c r="O236" s="158">
        <f t="shared" si="34"/>
        <v>2.19</v>
      </c>
      <c r="P236" s="159">
        <f t="shared" si="35"/>
        <v>59</v>
      </c>
    </row>
    <row r="237" spans="2:16" x14ac:dyDescent="0.3">
      <c r="B237" s="102" t="s">
        <v>883</v>
      </c>
      <c r="C237" s="103" t="s">
        <v>884</v>
      </c>
      <c r="D237" s="104">
        <v>45783</v>
      </c>
      <c r="E237" s="102">
        <v>153</v>
      </c>
      <c r="F237" s="105">
        <v>278</v>
      </c>
      <c r="G237" s="104">
        <v>45874</v>
      </c>
      <c r="H237" s="103" t="s">
        <v>423</v>
      </c>
      <c r="I237" s="103" t="s">
        <v>428</v>
      </c>
      <c r="J237" s="103" t="s">
        <v>425</v>
      </c>
      <c r="L237">
        <f t="shared" si="31"/>
        <v>10</v>
      </c>
      <c r="M237">
        <f t="shared" si="32"/>
        <v>10</v>
      </c>
      <c r="N237">
        <f t="shared" si="33"/>
        <v>100</v>
      </c>
      <c r="O237" s="158">
        <f t="shared" si="34"/>
        <v>1.53</v>
      </c>
      <c r="P237" s="159">
        <f t="shared" si="35"/>
        <v>125</v>
      </c>
    </row>
    <row r="238" spans="2:16" hidden="1" x14ac:dyDescent="0.3">
      <c r="B238" s="98" t="s">
        <v>885</v>
      </c>
      <c r="C238" s="99" t="s">
        <v>886</v>
      </c>
      <c r="D238" s="100">
        <v>45226</v>
      </c>
      <c r="E238" s="98">
        <v>303</v>
      </c>
      <c r="F238" s="101">
        <v>278</v>
      </c>
      <c r="G238" s="100">
        <v>45895</v>
      </c>
      <c r="H238" s="99" t="s">
        <v>423</v>
      </c>
      <c r="I238" s="99" t="s">
        <v>428</v>
      </c>
      <c r="J238" s="99" t="s">
        <v>425</v>
      </c>
      <c r="L238">
        <f t="shared" si="31"/>
        <v>10</v>
      </c>
      <c r="M238">
        <f t="shared" si="32"/>
        <v>10</v>
      </c>
      <c r="N238">
        <f t="shared" si="33"/>
        <v>100</v>
      </c>
      <c r="O238" s="158">
        <f t="shared" si="34"/>
        <v>3.03</v>
      </c>
      <c r="P238" s="159">
        <f t="shared" si="35"/>
        <v>-25</v>
      </c>
    </row>
    <row r="239" spans="2:16" x14ac:dyDescent="0.3">
      <c r="B239" s="102" t="s">
        <v>849</v>
      </c>
      <c r="C239" s="103" t="s">
        <v>887</v>
      </c>
      <c r="D239" s="104">
        <v>44901</v>
      </c>
      <c r="E239" s="102">
        <v>332</v>
      </c>
      <c r="F239" s="105">
        <v>476</v>
      </c>
      <c r="G239" s="104">
        <v>45874</v>
      </c>
      <c r="H239" s="103" t="s">
        <v>423</v>
      </c>
      <c r="I239" s="103" t="s">
        <v>449</v>
      </c>
      <c r="J239" s="103" t="s">
        <v>450</v>
      </c>
      <c r="L239">
        <f t="shared" si="31"/>
        <v>20</v>
      </c>
      <c r="M239">
        <f t="shared" si="32"/>
        <v>10</v>
      </c>
      <c r="N239">
        <f t="shared" si="33"/>
        <v>200</v>
      </c>
      <c r="O239" s="158">
        <f t="shared" si="34"/>
        <v>1.66</v>
      </c>
      <c r="P239" s="159">
        <f t="shared" si="35"/>
        <v>144</v>
      </c>
    </row>
    <row r="240" spans="2:16" hidden="1" x14ac:dyDescent="0.3">
      <c r="B240" s="98" t="s">
        <v>888</v>
      </c>
      <c r="C240" s="99" t="s">
        <v>889</v>
      </c>
      <c r="D240" s="100">
        <v>44595</v>
      </c>
      <c r="E240" s="98">
        <v>186</v>
      </c>
      <c r="F240" s="101">
        <v>139</v>
      </c>
      <c r="G240" s="100">
        <v>45871</v>
      </c>
      <c r="H240" s="99" t="s">
        <v>423</v>
      </c>
      <c r="I240" s="99" t="s">
        <v>443</v>
      </c>
      <c r="J240" s="99" t="s">
        <v>425</v>
      </c>
      <c r="L240">
        <f t="shared" si="31"/>
        <v>10</v>
      </c>
      <c r="M240">
        <f t="shared" si="32"/>
        <v>5</v>
      </c>
      <c r="N240">
        <f t="shared" si="33"/>
        <v>50</v>
      </c>
      <c r="O240" s="158">
        <f t="shared" si="34"/>
        <v>3.72</v>
      </c>
      <c r="P240" s="159">
        <f t="shared" si="35"/>
        <v>-47</v>
      </c>
    </row>
    <row r="241" spans="2:16" hidden="1" x14ac:dyDescent="0.3">
      <c r="B241" s="102" t="s">
        <v>890</v>
      </c>
      <c r="C241" s="103" t="s">
        <v>891</v>
      </c>
      <c r="D241" s="104">
        <v>44668</v>
      </c>
      <c r="E241" s="102">
        <v>189</v>
      </c>
      <c r="F241" s="105">
        <v>126</v>
      </c>
      <c r="G241" s="104">
        <v>45886</v>
      </c>
      <c r="H241" s="103" t="s">
        <v>423</v>
      </c>
      <c r="I241" s="103" t="s">
        <v>892</v>
      </c>
      <c r="J241" s="103" t="s">
        <v>425</v>
      </c>
      <c r="L241">
        <f t="shared" si="31"/>
        <v>11</v>
      </c>
      <c r="M241">
        <f t="shared" si="32"/>
        <v>4</v>
      </c>
      <c r="N241">
        <f t="shared" si="33"/>
        <v>44</v>
      </c>
      <c r="O241" s="158">
        <f t="shared" si="34"/>
        <v>4.2954545454545459</v>
      </c>
      <c r="P241" s="159">
        <f t="shared" si="35"/>
        <v>-63</v>
      </c>
    </row>
    <row r="242" spans="2:16" x14ac:dyDescent="0.3">
      <c r="B242" s="98" t="s">
        <v>893</v>
      </c>
      <c r="C242" s="99" t="s">
        <v>894</v>
      </c>
      <c r="D242" s="100">
        <v>45181</v>
      </c>
      <c r="E242" s="98">
        <v>242</v>
      </c>
      <c r="F242" s="101">
        <v>278</v>
      </c>
      <c r="G242" s="100">
        <v>45881</v>
      </c>
      <c r="H242" s="99" t="s">
        <v>423</v>
      </c>
      <c r="I242" s="99" t="s">
        <v>428</v>
      </c>
      <c r="J242" s="99" t="s">
        <v>425</v>
      </c>
      <c r="L242">
        <f t="shared" si="31"/>
        <v>10</v>
      </c>
      <c r="M242">
        <f t="shared" si="32"/>
        <v>10</v>
      </c>
      <c r="N242">
        <f t="shared" si="33"/>
        <v>100</v>
      </c>
      <c r="O242" s="158">
        <f t="shared" si="34"/>
        <v>2.42</v>
      </c>
      <c r="P242" s="159">
        <f t="shared" si="35"/>
        <v>36</v>
      </c>
    </row>
    <row r="243" spans="2:16" hidden="1" x14ac:dyDescent="0.3">
      <c r="B243" s="102" t="s">
        <v>895</v>
      </c>
      <c r="C243" s="103" t="s">
        <v>896</v>
      </c>
      <c r="D243" s="104">
        <v>45204</v>
      </c>
      <c r="E243" s="102">
        <v>150</v>
      </c>
      <c r="F243" s="105">
        <v>139</v>
      </c>
      <c r="G243" s="104">
        <v>45873</v>
      </c>
      <c r="H243" s="103" t="s">
        <v>423</v>
      </c>
      <c r="I243" s="103" t="s">
        <v>463</v>
      </c>
      <c r="J243" s="103" t="s">
        <v>425</v>
      </c>
      <c r="L243">
        <f t="shared" si="31"/>
        <v>5</v>
      </c>
      <c r="M243">
        <f t="shared" si="32"/>
        <v>10</v>
      </c>
      <c r="N243">
        <f t="shared" si="33"/>
        <v>50</v>
      </c>
      <c r="O243" s="158">
        <f t="shared" si="34"/>
        <v>3</v>
      </c>
      <c r="P243" s="159">
        <f t="shared" si="35"/>
        <v>-11</v>
      </c>
    </row>
    <row r="244" spans="2:16" x14ac:dyDescent="0.3">
      <c r="B244" s="98" t="s">
        <v>897</v>
      </c>
      <c r="C244" s="99" t="s">
        <v>898</v>
      </c>
      <c r="D244" s="100">
        <v>45008</v>
      </c>
      <c r="E244" s="98">
        <v>182</v>
      </c>
      <c r="F244" s="101">
        <v>187</v>
      </c>
      <c r="G244" s="100">
        <v>45830</v>
      </c>
      <c r="H244" s="99" t="s">
        <v>442</v>
      </c>
      <c r="I244" s="99" t="s">
        <v>431</v>
      </c>
      <c r="J244" s="99" t="s">
        <v>425</v>
      </c>
      <c r="L244">
        <f t="shared" si="31"/>
        <v>5</v>
      </c>
      <c r="M244">
        <f t="shared" si="32"/>
        <v>15</v>
      </c>
      <c r="N244">
        <f t="shared" si="33"/>
        <v>75</v>
      </c>
      <c r="O244" s="158">
        <f t="shared" si="34"/>
        <v>2.4266666666666667</v>
      </c>
      <c r="P244" s="159">
        <f t="shared" si="35"/>
        <v>5</v>
      </c>
    </row>
    <row r="245" spans="2:16" x14ac:dyDescent="0.3">
      <c r="B245" s="102" t="s">
        <v>899</v>
      </c>
      <c r="C245" s="103" t="s">
        <v>900</v>
      </c>
      <c r="D245" s="104">
        <v>44740</v>
      </c>
      <c r="E245" s="102">
        <v>140</v>
      </c>
      <c r="F245" s="105">
        <v>187</v>
      </c>
      <c r="G245" s="104">
        <v>45896</v>
      </c>
      <c r="H245" s="103" t="s">
        <v>423</v>
      </c>
      <c r="I245" s="103" t="s">
        <v>431</v>
      </c>
      <c r="J245" s="103" t="s">
        <v>425</v>
      </c>
      <c r="L245">
        <f t="shared" si="31"/>
        <v>5</v>
      </c>
      <c r="M245">
        <f t="shared" si="32"/>
        <v>15</v>
      </c>
      <c r="N245">
        <f t="shared" si="33"/>
        <v>75</v>
      </c>
      <c r="O245" s="158">
        <f t="shared" si="34"/>
        <v>1.8666666666666667</v>
      </c>
      <c r="P245" s="159">
        <f t="shared" si="35"/>
        <v>47</v>
      </c>
    </row>
    <row r="246" spans="2:16" hidden="1" x14ac:dyDescent="0.3">
      <c r="B246" s="98" t="s">
        <v>901</v>
      </c>
      <c r="C246" s="99" t="s">
        <v>902</v>
      </c>
      <c r="D246" s="100">
        <v>44036</v>
      </c>
      <c r="E246" s="98">
        <v>197</v>
      </c>
      <c r="F246" s="101">
        <v>187</v>
      </c>
      <c r="G246" s="100">
        <v>45892</v>
      </c>
      <c r="H246" s="99" t="s">
        <v>423</v>
      </c>
      <c r="I246" s="99" t="s">
        <v>431</v>
      </c>
      <c r="J246" s="99" t="s">
        <v>425</v>
      </c>
      <c r="L246">
        <f t="shared" si="31"/>
        <v>5</v>
      </c>
      <c r="M246">
        <f t="shared" si="32"/>
        <v>15</v>
      </c>
      <c r="N246">
        <f t="shared" si="33"/>
        <v>75</v>
      </c>
      <c r="O246" s="158">
        <f t="shared" si="34"/>
        <v>2.6266666666666665</v>
      </c>
      <c r="P246" s="159">
        <f t="shared" si="35"/>
        <v>-10</v>
      </c>
    </row>
    <row r="247" spans="2:16" hidden="1" x14ac:dyDescent="0.3">
      <c r="B247" s="102"/>
      <c r="C247" s="103" t="s">
        <v>903</v>
      </c>
      <c r="D247" s="103"/>
      <c r="E247" s="102"/>
      <c r="F247" s="105">
        <v>187</v>
      </c>
      <c r="G247" s="103"/>
      <c r="H247" s="103" t="s">
        <v>445</v>
      </c>
      <c r="I247" s="103" t="s">
        <v>431</v>
      </c>
      <c r="J247" s="103" t="s">
        <v>425</v>
      </c>
      <c r="L247">
        <f t="shared" si="31"/>
        <v>5</v>
      </c>
      <c r="M247">
        <f t="shared" si="32"/>
        <v>15</v>
      </c>
      <c r="N247">
        <f t="shared" si="33"/>
        <v>75</v>
      </c>
    </row>
    <row r="248" spans="2:16" hidden="1" x14ac:dyDescent="0.3">
      <c r="B248" s="98"/>
      <c r="C248" s="99" t="s">
        <v>904</v>
      </c>
      <c r="D248" s="99"/>
      <c r="E248" s="98"/>
      <c r="F248" s="101">
        <v>187</v>
      </c>
      <c r="G248" s="99"/>
      <c r="H248" s="99" t="s">
        <v>445</v>
      </c>
      <c r="I248" s="99" t="s">
        <v>431</v>
      </c>
      <c r="J248" s="99" t="s">
        <v>425</v>
      </c>
      <c r="L248">
        <f t="shared" si="31"/>
        <v>5</v>
      </c>
      <c r="M248">
        <f t="shared" si="32"/>
        <v>15</v>
      </c>
      <c r="N248">
        <f t="shared" si="33"/>
        <v>75</v>
      </c>
    </row>
    <row r="249" spans="2:16" x14ac:dyDescent="0.3">
      <c r="B249" s="102" t="s">
        <v>905</v>
      </c>
      <c r="C249" s="103" t="s">
        <v>906</v>
      </c>
      <c r="D249" s="104">
        <v>44911</v>
      </c>
      <c r="E249" s="102">
        <v>321</v>
      </c>
      <c r="F249" s="105">
        <v>501</v>
      </c>
      <c r="G249" s="104">
        <v>45884</v>
      </c>
      <c r="H249" s="103" t="s">
        <v>423</v>
      </c>
      <c r="I249" s="103" t="s">
        <v>907</v>
      </c>
      <c r="J249" s="103" t="s">
        <v>450</v>
      </c>
      <c r="L249">
        <f t="shared" si="31"/>
        <v>15</v>
      </c>
      <c r="M249">
        <f t="shared" si="32"/>
        <v>15</v>
      </c>
      <c r="N249">
        <f t="shared" si="33"/>
        <v>225</v>
      </c>
      <c r="O249" s="158">
        <f t="shared" ref="O249:O250" si="36">E249/N249</f>
        <v>1.4266666666666667</v>
      </c>
      <c r="P249" s="159">
        <f t="shared" ref="P249:P250" si="37">F249-E249</f>
        <v>180</v>
      </c>
    </row>
    <row r="250" spans="2:16" hidden="1" x14ac:dyDescent="0.3">
      <c r="B250" s="98" t="s">
        <v>908</v>
      </c>
      <c r="C250" s="99" t="s">
        <v>909</v>
      </c>
      <c r="D250" s="100">
        <v>45737</v>
      </c>
      <c r="E250" s="98">
        <v>109</v>
      </c>
      <c r="F250" s="101">
        <v>83</v>
      </c>
      <c r="G250" s="100">
        <v>45889</v>
      </c>
      <c r="H250" s="99" t="s">
        <v>423</v>
      </c>
      <c r="I250" s="99" t="s">
        <v>482</v>
      </c>
      <c r="J250" s="99" t="s">
        <v>425</v>
      </c>
      <c r="L250">
        <f t="shared" si="31"/>
        <v>5</v>
      </c>
      <c r="M250">
        <f t="shared" si="32"/>
        <v>5</v>
      </c>
      <c r="N250">
        <f t="shared" si="33"/>
        <v>25</v>
      </c>
      <c r="O250" s="158">
        <f t="shared" si="36"/>
        <v>4.3600000000000003</v>
      </c>
      <c r="P250" s="159">
        <f t="shared" si="37"/>
        <v>-26</v>
      </c>
    </row>
    <row r="251" spans="2:16" hidden="1" x14ac:dyDescent="0.3">
      <c r="B251" s="102"/>
      <c r="C251" s="103" t="s">
        <v>910</v>
      </c>
      <c r="D251" s="103"/>
      <c r="E251" s="102"/>
      <c r="F251" s="105">
        <v>83</v>
      </c>
      <c r="G251" s="103"/>
      <c r="H251" s="103" t="s">
        <v>445</v>
      </c>
      <c r="I251" s="103" t="s">
        <v>482</v>
      </c>
      <c r="J251" s="103" t="s">
        <v>425</v>
      </c>
      <c r="L251">
        <f t="shared" si="31"/>
        <v>5</v>
      </c>
      <c r="M251">
        <f t="shared" si="32"/>
        <v>5</v>
      </c>
      <c r="N251">
        <f t="shared" si="33"/>
        <v>25</v>
      </c>
    </row>
    <row r="252" spans="2:16" hidden="1" x14ac:dyDescent="0.3">
      <c r="B252" s="98" t="s">
        <v>911</v>
      </c>
      <c r="C252" s="99" t="s">
        <v>912</v>
      </c>
      <c r="D252" s="100">
        <v>45831</v>
      </c>
      <c r="E252" s="98">
        <v>139</v>
      </c>
      <c r="F252" s="101">
        <v>124</v>
      </c>
      <c r="G252" s="100">
        <v>45891</v>
      </c>
      <c r="H252" s="99" t="s">
        <v>423</v>
      </c>
      <c r="I252" s="99" t="s">
        <v>463</v>
      </c>
      <c r="J252" s="99" t="s">
        <v>913</v>
      </c>
      <c r="L252">
        <f t="shared" si="31"/>
        <v>5</v>
      </c>
      <c r="M252">
        <f t="shared" si="32"/>
        <v>10</v>
      </c>
      <c r="N252">
        <f t="shared" si="33"/>
        <v>50</v>
      </c>
      <c r="O252" s="158">
        <f t="shared" ref="O252:O315" si="38">E252/N252</f>
        <v>2.78</v>
      </c>
      <c r="P252" s="159">
        <f t="shared" ref="P252:P315" si="39">F252-E252</f>
        <v>-15</v>
      </c>
    </row>
    <row r="253" spans="2:16" hidden="1" x14ac:dyDescent="0.3">
      <c r="B253" s="102" t="s">
        <v>914</v>
      </c>
      <c r="C253" s="103" t="s">
        <v>915</v>
      </c>
      <c r="D253" s="104">
        <v>44428</v>
      </c>
      <c r="E253" s="102">
        <v>92</v>
      </c>
      <c r="F253" s="105">
        <v>57</v>
      </c>
      <c r="G253" s="104">
        <v>45888</v>
      </c>
      <c r="H253" s="103" t="s">
        <v>423</v>
      </c>
      <c r="I253" s="103" t="s">
        <v>699</v>
      </c>
      <c r="J253" s="103" t="s">
        <v>913</v>
      </c>
      <c r="L253">
        <f t="shared" si="31"/>
        <v>5</v>
      </c>
      <c r="M253">
        <f t="shared" si="32"/>
        <v>4</v>
      </c>
      <c r="N253">
        <f t="shared" si="33"/>
        <v>20</v>
      </c>
      <c r="O253" s="158">
        <f t="shared" si="38"/>
        <v>4.5999999999999996</v>
      </c>
      <c r="P253" s="159">
        <f t="shared" si="39"/>
        <v>-35</v>
      </c>
    </row>
    <row r="254" spans="2:16" hidden="1" x14ac:dyDescent="0.3">
      <c r="B254" s="98" t="s">
        <v>916</v>
      </c>
      <c r="C254" s="99" t="s">
        <v>917</v>
      </c>
      <c r="D254" s="100">
        <v>43985</v>
      </c>
      <c r="E254" s="98">
        <v>111</v>
      </c>
      <c r="F254" s="101">
        <v>57</v>
      </c>
      <c r="G254" s="100">
        <v>45871</v>
      </c>
      <c r="H254" s="99" t="s">
        <v>423</v>
      </c>
      <c r="I254" s="99" t="s">
        <v>699</v>
      </c>
      <c r="J254" s="99" t="s">
        <v>913</v>
      </c>
      <c r="L254">
        <f t="shared" si="31"/>
        <v>5</v>
      </c>
      <c r="M254">
        <f t="shared" si="32"/>
        <v>4</v>
      </c>
      <c r="N254">
        <f t="shared" si="33"/>
        <v>20</v>
      </c>
      <c r="O254" s="158">
        <f t="shared" si="38"/>
        <v>5.55</v>
      </c>
      <c r="P254" s="159">
        <f t="shared" si="39"/>
        <v>-54</v>
      </c>
    </row>
    <row r="255" spans="2:16" hidden="1" x14ac:dyDescent="0.3">
      <c r="B255" s="102" t="s">
        <v>918</v>
      </c>
      <c r="C255" s="103" t="s">
        <v>919</v>
      </c>
      <c r="D255" s="104">
        <v>45197</v>
      </c>
      <c r="E255" s="102">
        <v>251</v>
      </c>
      <c r="F255" s="105">
        <v>168</v>
      </c>
      <c r="G255" s="104">
        <v>45896</v>
      </c>
      <c r="H255" s="103" t="s">
        <v>423</v>
      </c>
      <c r="I255" s="103" t="s">
        <v>431</v>
      </c>
      <c r="J255" s="103" t="s">
        <v>913</v>
      </c>
      <c r="L255">
        <f t="shared" si="31"/>
        <v>5</v>
      </c>
      <c r="M255">
        <f t="shared" si="32"/>
        <v>15</v>
      </c>
      <c r="N255">
        <f t="shared" si="33"/>
        <v>75</v>
      </c>
      <c r="O255" s="158">
        <f t="shared" si="38"/>
        <v>3.3466666666666667</v>
      </c>
      <c r="P255" s="159">
        <f t="shared" si="39"/>
        <v>-83</v>
      </c>
    </row>
    <row r="256" spans="2:16" hidden="1" x14ac:dyDescent="0.3">
      <c r="B256" s="98" t="s">
        <v>920</v>
      </c>
      <c r="C256" s="99" t="s">
        <v>921</v>
      </c>
      <c r="D256" s="100">
        <v>43958</v>
      </c>
      <c r="E256" s="98">
        <v>267</v>
      </c>
      <c r="F256" s="101">
        <v>218</v>
      </c>
      <c r="G256" s="100">
        <v>45875</v>
      </c>
      <c r="H256" s="99" t="s">
        <v>423</v>
      </c>
      <c r="I256" s="99" t="s">
        <v>428</v>
      </c>
      <c r="J256" s="99" t="s">
        <v>913</v>
      </c>
      <c r="L256">
        <f t="shared" si="31"/>
        <v>10</v>
      </c>
      <c r="M256">
        <f t="shared" si="32"/>
        <v>10</v>
      </c>
      <c r="N256">
        <f t="shared" si="33"/>
        <v>100</v>
      </c>
      <c r="O256" s="158">
        <f t="shared" si="38"/>
        <v>2.67</v>
      </c>
      <c r="P256" s="159">
        <f t="shared" si="39"/>
        <v>-49</v>
      </c>
    </row>
    <row r="257" spans="2:16" hidden="1" x14ac:dyDescent="0.3">
      <c r="B257" s="102" t="s">
        <v>918</v>
      </c>
      <c r="C257" s="103" t="s">
        <v>922</v>
      </c>
      <c r="D257" s="104">
        <v>44510</v>
      </c>
      <c r="E257" s="102">
        <v>240</v>
      </c>
      <c r="F257" s="105">
        <v>168</v>
      </c>
      <c r="G257" s="104">
        <v>45878</v>
      </c>
      <c r="H257" s="103" t="s">
        <v>423</v>
      </c>
      <c r="I257" s="103" t="s">
        <v>431</v>
      </c>
      <c r="J257" s="103" t="s">
        <v>913</v>
      </c>
      <c r="L257">
        <f t="shared" si="31"/>
        <v>5</v>
      </c>
      <c r="M257">
        <f t="shared" si="32"/>
        <v>15</v>
      </c>
      <c r="N257">
        <f t="shared" si="33"/>
        <v>75</v>
      </c>
      <c r="O257" s="158">
        <f t="shared" si="38"/>
        <v>3.2</v>
      </c>
      <c r="P257" s="159">
        <f t="shared" si="39"/>
        <v>-72</v>
      </c>
    </row>
    <row r="258" spans="2:16" hidden="1" x14ac:dyDescent="0.3">
      <c r="B258" s="98" t="s">
        <v>923</v>
      </c>
      <c r="C258" s="99" t="s">
        <v>924</v>
      </c>
      <c r="D258" s="100">
        <v>44194</v>
      </c>
      <c r="E258" s="98">
        <v>293</v>
      </c>
      <c r="F258" s="101">
        <v>218</v>
      </c>
      <c r="G258" s="100">
        <v>45897</v>
      </c>
      <c r="H258" s="99" t="s">
        <v>423</v>
      </c>
      <c r="I258" s="99" t="s">
        <v>428</v>
      </c>
      <c r="J258" s="99" t="s">
        <v>913</v>
      </c>
      <c r="L258">
        <f t="shared" si="31"/>
        <v>10</v>
      </c>
      <c r="M258">
        <f t="shared" si="32"/>
        <v>10</v>
      </c>
      <c r="N258">
        <f t="shared" si="33"/>
        <v>100</v>
      </c>
      <c r="O258" s="158">
        <f t="shared" si="38"/>
        <v>2.93</v>
      </c>
      <c r="P258" s="159">
        <f t="shared" si="39"/>
        <v>-75</v>
      </c>
    </row>
    <row r="259" spans="2:16" hidden="1" x14ac:dyDescent="0.3">
      <c r="B259" s="102" t="s">
        <v>925</v>
      </c>
      <c r="C259" s="103" t="s">
        <v>926</v>
      </c>
      <c r="D259" s="104">
        <v>45709</v>
      </c>
      <c r="E259" s="102">
        <v>107</v>
      </c>
      <c r="F259" s="105">
        <v>75</v>
      </c>
      <c r="G259" s="104">
        <v>45863</v>
      </c>
      <c r="H259" s="103" t="s">
        <v>442</v>
      </c>
      <c r="I259" s="103" t="s">
        <v>482</v>
      </c>
      <c r="J259" s="103" t="s">
        <v>913</v>
      </c>
      <c r="L259">
        <f t="shared" si="31"/>
        <v>5</v>
      </c>
      <c r="M259">
        <f t="shared" si="32"/>
        <v>5</v>
      </c>
      <c r="N259">
        <f t="shared" si="33"/>
        <v>25</v>
      </c>
      <c r="O259" s="158">
        <f t="shared" si="38"/>
        <v>4.28</v>
      </c>
      <c r="P259" s="159">
        <f t="shared" si="39"/>
        <v>-32</v>
      </c>
    </row>
    <row r="260" spans="2:16" hidden="1" x14ac:dyDescent="0.3">
      <c r="B260" s="98" t="s">
        <v>927</v>
      </c>
      <c r="C260" s="99" t="s">
        <v>928</v>
      </c>
      <c r="D260" s="100">
        <v>43927</v>
      </c>
      <c r="E260" s="98">
        <v>293</v>
      </c>
      <c r="F260" s="101">
        <v>218</v>
      </c>
      <c r="G260" s="100">
        <v>45843</v>
      </c>
      <c r="H260" s="99" t="s">
        <v>442</v>
      </c>
      <c r="I260" s="99" t="s">
        <v>428</v>
      </c>
      <c r="J260" s="99" t="s">
        <v>913</v>
      </c>
      <c r="L260">
        <f t="shared" si="31"/>
        <v>10</v>
      </c>
      <c r="M260">
        <f t="shared" si="32"/>
        <v>10</v>
      </c>
      <c r="N260">
        <f t="shared" si="33"/>
        <v>100</v>
      </c>
      <c r="O260" s="158">
        <f t="shared" si="38"/>
        <v>2.93</v>
      </c>
      <c r="P260" s="159">
        <f t="shared" si="39"/>
        <v>-75</v>
      </c>
    </row>
    <row r="261" spans="2:16" x14ac:dyDescent="0.3">
      <c r="B261" s="102" t="s">
        <v>929</v>
      </c>
      <c r="C261" s="103" t="s">
        <v>930</v>
      </c>
      <c r="D261" s="104">
        <v>45734</v>
      </c>
      <c r="E261" s="102">
        <v>74</v>
      </c>
      <c r="F261" s="105">
        <v>75</v>
      </c>
      <c r="G261" s="104">
        <v>45886</v>
      </c>
      <c r="H261" s="103" t="s">
        <v>423</v>
      </c>
      <c r="I261" s="103" t="s">
        <v>482</v>
      </c>
      <c r="J261" s="103" t="s">
        <v>913</v>
      </c>
      <c r="L261">
        <f t="shared" si="31"/>
        <v>5</v>
      </c>
      <c r="M261">
        <f t="shared" si="32"/>
        <v>5</v>
      </c>
      <c r="N261">
        <f t="shared" si="33"/>
        <v>25</v>
      </c>
      <c r="O261" s="158">
        <f t="shared" si="38"/>
        <v>2.96</v>
      </c>
      <c r="P261" s="159">
        <f t="shared" si="39"/>
        <v>1</v>
      </c>
    </row>
    <row r="262" spans="2:16" hidden="1" x14ac:dyDescent="0.3">
      <c r="B262" s="98" t="s">
        <v>931</v>
      </c>
      <c r="C262" s="99" t="s">
        <v>932</v>
      </c>
      <c r="D262" s="100">
        <v>45189</v>
      </c>
      <c r="E262" s="98">
        <v>267</v>
      </c>
      <c r="F262" s="101">
        <v>218</v>
      </c>
      <c r="G262" s="100">
        <v>45888</v>
      </c>
      <c r="H262" s="99" t="s">
        <v>423</v>
      </c>
      <c r="I262" s="99" t="s">
        <v>428</v>
      </c>
      <c r="J262" s="99" t="s">
        <v>913</v>
      </c>
      <c r="L262">
        <f t="shared" si="31"/>
        <v>10</v>
      </c>
      <c r="M262">
        <f t="shared" si="32"/>
        <v>10</v>
      </c>
      <c r="N262">
        <f t="shared" si="33"/>
        <v>100</v>
      </c>
      <c r="O262" s="158">
        <f t="shared" si="38"/>
        <v>2.67</v>
      </c>
      <c r="P262" s="159">
        <f t="shared" si="39"/>
        <v>-49</v>
      </c>
    </row>
    <row r="263" spans="2:16" hidden="1" x14ac:dyDescent="0.3">
      <c r="B263" s="102" t="s">
        <v>933</v>
      </c>
      <c r="C263" s="103" t="s">
        <v>934</v>
      </c>
      <c r="D263" s="104">
        <v>44664</v>
      </c>
      <c r="E263" s="102">
        <v>186.45</v>
      </c>
      <c r="F263" s="105">
        <v>168</v>
      </c>
      <c r="G263" s="104">
        <v>45881</v>
      </c>
      <c r="H263" s="103" t="s">
        <v>423</v>
      </c>
      <c r="I263" s="103" t="s">
        <v>431</v>
      </c>
      <c r="J263" s="103" t="s">
        <v>913</v>
      </c>
      <c r="L263">
        <f t="shared" ref="L263:L326" si="40">--LEFT(I263,FIND("X",I263)-1)</f>
        <v>5</v>
      </c>
      <c r="M263">
        <f t="shared" ref="M263:M326" si="41">--RIGHT(I263,LEN(I263)-FIND("X",I263))</f>
        <v>15</v>
      </c>
      <c r="N263">
        <f t="shared" ref="N263:N326" si="42">L263*M263</f>
        <v>75</v>
      </c>
      <c r="O263" s="158">
        <f t="shared" si="38"/>
        <v>2.4859999999999998</v>
      </c>
      <c r="P263" s="159">
        <f t="shared" si="39"/>
        <v>-18.449999999999989</v>
      </c>
    </row>
    <row r="264" spans="2:16" hidden="1" x14ac:dyDescent="0.3">
      <c r="B264" s="98" t="s">
        <v>935</v>
      </c>
      <c r="C264" s="99" t="s">
        <v>936</v>
      </c>
      <c r="D264" s="100">
        <v>44828</v>
      </c>
      <c r="E264" s="98">
        <v>508</v>
      </c>
      <c r="F264" s="101">
        <v>361</v>
      </c>
      <c r="G264" s="100">
        <v>45861</v>
      </c>
      <c r="H264" s="99" t="s">
        <v>442</v>
      </c>
      <c r="I264" s="99" t="s">
        <v>449</v>
      </c>
      <c r="J264" s="99" t="s">
        <v>913</v>
      </c>
      <c r="L264">
        <f t="shared" si="40"/>
        <v>20</v>
      </c>
      <c r="M264">
        <f t="shared" si="41"/>
        <v>10</v>
      </c>
      <c r="N264">
        <f t="shared" si="42"/>
        <v>200</v>
      </c>
      <c r="O264" s="158">
        <f t="shared" si="38"/>
        <v>2.54</v>
      </c>
      <c r="P264" s="159">
        <f t="shared" si="39"/>
        <v>-147</v>
      </c>
    </row>
    <row r="265" spans="2:16" hidden="1" x14ac:dyDescent="0.3">
      <c r="B265" s="102" t="s">
        <v>937</v>
      </c>
      <c r="C265" s="103" t="s">
        <v>938</v>
      </c>
      <c r="D265" s="104">
        <v>45628</v>
      </c>
      <c r="E265" s="102">
        <v>206</v>
      </c>
      <c r="F265" s="105">
        <v>168</v>
      </c>
      <c r="G265" s="104">
        <v>45870</v>
      </c>
      <c r="H265" s="103" t="s">
        <v>423</v>
      </c>
      <c r="I265" s="103" t="s">
        <v>431</v>
      </c>
      <c r="J265" s="103" t="s">
        <v>913</v>
      </c>
      <c r="L265">
        <f t="shared" si="40"/>
        <v>5</v>
      </c>
      <c r="M265">
        <f t="shared" si="41"/>
        <v>15</v>
      </c>
      <c r="N265">
        <f t="shared" si="42"/>
        <v>75</v>
      </c>
      <c r="O265" s="158">
        <f t="shared" si="38"/>
        <v>2.7466666666666666</v>
      </c>
      <c r="P265" s="159">
        <f t="shared" si="39"/>
        <v>-38</v>
      </c>
    </row>
    <row r="266" spans="2:16" x14ac:dyDescent="0.3">
      <c r="B266" s="98" t="s">
        <v>939</v>
      </c>
      <c r="C266" s="99" t="s">
        <v>940</v>
      </c>
      <c r="D266" s="100">
        <v>45738</v>
      </c>
      <c r="E266" s="98">
        <v>193</v>
      </c>
      <c r="F266" s="101">
        <v>218</v>
      </c>
      <c r="G266" s="100">
        <v>45890</v>
      </c>
      <c r="H266" s="99" t="s">
        <v>423</v>
      </c>
      <c r="I266" s="99" t="s">
        <v>428</v>
      </c>
      <c r="J266" s="99" t="s">
        <v>913</v>
      </c>
      <c r="L266">
        <f t="shared" si="40"/>
        <v>10</v>
      </c>
      <c r="M266">
        <f t="shared" si="41"/>
        <v>10</v>
      </c>
      <c r="N266">
        <f t="shared" si="42"/>
        <v>100</v>
      </c>
      <c r="O266" s="158">
        <f t="shared" si="38"/>
        <v>1.93</v>
      </c>
      <c r="P266" s="159">
        <f t="shared" si="39"/>
        <v>25</v>
      </c>
    </row>
    <row r="267" spans="2:16" x14ac:dyDescent="0.3">
      <c r="B267" s="102" t="s">
        <v>941</v>
      </c>
      <c r="C267" s="103" t="s">
        <v>942</v>
      </c>
      <c r="D267" s="104">
        <v>43976</v>
      </c>
      <c r="E267" s="102">
        <v>160</v>
      </c>
      <c r="F267" s="105">
        <v>218</v>
      </c>
      <c r="G267" s="104">
        <v>45893</v>
      </c>
      <c r="H267" s="103" t="s">
        <v>423</v>
      </c>
      <c r="I267" s="103" t="s">
        <v>428</v>
      </c>
      <c r="J267" s="103" t="s">
        <v>913</v>
      </c>
      <c r="L267">
        <f t="shared" si="40"/>
        <v>10</v>
      </c>
      <c r="M267">
        <f t="shared" si="41"/>
        <v>10</v>
      </c>
      <c r="N267">
        <f t="shared" si="42"/>
        <v>100</v>
      </c>
      <c r="O267" s="158">
        <f t="shared" si="38"/>
        <v>1.6</v>
      </c>
      <c r="P267" s="159">
        <f t="shared" si="39"/>
        <v>58</v>
      </c>
    </row>
    <row r="268" spans="2:16" x14ac:dyDescent="0.3">
      <c r="B268" s="98" t="s">
        <v>943</v>
      </c>
      <c r="C268" s="99" t="s">
        <v>944</v>
      </c>
      <c r="D268" s="100">
        <v>45827</v>
      </c>
      <c r="E268" s="98">
        <v>44</v>
      </c>
      <c r="F268" s="101">
        <v>75</v>
      </c>
      <c r="G268" s="100">
        <v>45887</v>
      </c>
      <c r="H268" s="99" t="s">
        <v>423</v>
      </c>
      <c r="I268" s="99" t="s">
        <v>482</v>
      </c>
      <c r="J268" s="99" t="s">
        <v>913</v>
      </c>
      <c r="L268">
        <f t="shared" si="40"/>
        <v>5</v>
      </c>
      <c r="M268">
        <f t="shared" si="41"/>
        <v>5</v>
      </c>
      <c r="N268">
        <f t="shared" si="42"/>
        <v>25</v>
      </c>
      <c r="O268" s="158">
        <f t="shared" si="38"/>
        <v>1.76</v>
      </c>
      <c r="P268" s="159">
        <f t="shared" si="39"/>
        <v>31</v>
      </c>
    </row>
    <row r="269" spans="2:16" hidden="1" x14ac:dyDescent="0.3">
      <c r="B269" s="102" t="s">
        <v>945</v>
      </c>
      <c r="C269" s="103" t="s">
        <v>946</v>
      </c>
      <c r="D269" s="104">
        <v>43987</v>
      </c>
      <c r="E269" s="102">
        <v>108</v>
      </c>
      <c r="F269" s="105">
        <v>75</v>
      </c>
      <c r="G269" s="104">
        <v>45873</v>
      </c>
      <c r="H269" s="103" t="s">
        <v>423</v>
      </c>
      <c r="I269" s="103" t="s">
        <v>482</v>
      </c>
      <c r="J269" s="103" t="s">
        <v>913</v>
      </c>
      <c r="L269">
        <f t="shared" si="40"/>
        <v>5</v>
      </c>
      <c r="M269">
        <f t="shared" si="41"/>
        <v>5</v>
      </c>
      <c r="N269">
        <f t="shared" si="42"/>
        <v>25</v>
      </c>
      <c r="O269" s="158">
        <f t="shared" si="38"/>
        <v>4.32</v>
      </c>
      <c r="P269" s="159">
        <f t="shared" si="39"/>
        <v>-33</v>
      </c>
    </row>
    <row r="270" spans="2:16" hidden="1" x14ac:dyDescent="0.3">
      <c r="B270" s="98" t="s">
        <v>947</v>
      </c>
      <c r="C270" s="99" t="s">
        <v>948</v>
      </c>
      <c r="D270" s="100">
        <v>45104</v>
      </c>
      <c r="E270" s="98">
        <v>210</v>
      </c>
      <c r="F270" s="101">
        <v>168</v>
      </c>
      <c r="G270" s="100">
        <v>45897</v>
      </c>
      <c r="H270" s="99" t="s">
        <v>423</v>
      </c>
      <c r="I270" s="99" t="s">
        <v>446</v>
      </c>
      <c r="J270" s="99" t="s">
        <v>913</v>
      </c>
      <c r="L270">
        <f t="shared" si="40"/>
        <v>15</v>
      </c>
      <c r="M270">
        <f t="shared" si="41"/>
        <v>5</v>
      </c>
      <c r="N270">
        <f t="shared" si="42"/>
        <v>75</v>
      </c>
      <c r="O270" s="158">
        <f t="shared" si="38"/>
        <v>2.8</v>
      </c>
      <c r="P270" s="159">
        <f t="shared" si="39"/>
        <v>-42</v>
      </c>
    </row>
    <row r="271" spans="2:16" x14ac:dyDescent="0.3">
      <c r="B271" s="102" t="s">
        <v>949</v>
      </c>
      <c r="C271" s="103" t="s">
        <v>950</v>
      </c>
      <c r="D271" s="104">
        <v>45834</v>
      </c>
      <c r="E271" s="102">
        <v>87</v>
      </c>
      <c r="F271" s="105">
        <v>168</v>
      </c>
      <c r="G271" s="104">
        <v>45894</v>
      </c>
      <c r="H271" s="103" t="s">
        <v>423</v>
      </c>
      <c r="I271" s="103" t="s">
        <v>446</v>
      </c>
      <c r="J271" s="103" t="s">
        <v>913</v>
      </c>
      <c r="L271">
        <f t="shared" si="40"/>
        <v>15</v>
      </c>
      <c r="M271">
        <f t="shared" si="41"/>
        <v>5</v>
      </c>
      <c r="N271">
        <f t="shared" si="42"/>
        <v>75</v>
      </c>
      <c r="O271" s="158">
        <f t="shared" si="38"/>
        <v>1.1599999999999999</v>
      </c>
      <c r="P271" s="159">
        <f t="shared" si="39"/>
        <v>81</v>
      </c>
    </row>
    <row r="272" spans="2:16" x14ac:dyDescent="0.3">
      <c r="B272" s="98" t="s">
        <v>951</v>
      </c>
      <c r="C272" s="99" t="s">
        <v>952</v>
      </c>
      <c r="D272" s="100">
        <v>45753</v>
      </c>
      <c r="E272" s="98">
        <v>83</v>
      </c>
      <c r="F272" s="101">
        <v>168</v>
      </c>
      <c r="G272" s="100">
        <v>45874</v>
      </c>
      <c r="H272" s="99" t="s">
        <v>423</v>
      </c>
      <c r="I272" s="99" t="s">
        <v>446</v>
      </c>
      <c r="J272" s="99" t="s">
        <v>913</v>
      </c>
      <c r="L272">
        <f t="shared" si="40"/>
        <v>15</v>
      </c>
      <c r="M272">
        <f t="shared" si="41"/>
        <v>5</v>
      </c>
      <c r="N272">
        <f t="shared" si="42"/>
        <v>75</v>
      </c>
      <c r="O272" s="158">
        <f t="shared" si="38"/>
        <v>1.1066666666666667</v>
      </c>
      <c r="P272" s="159">
        <f t="shared" si="39"/>
        <v>85</v>
      </c>
    </row>
    <row r="273" spans="2:16" hidden="1" x14ac:dyDescent="0.3">
      <c r="B273" s="102" t="s">
        <v>953</v>
      </c>
      <c r="C273" s="103" t="s">
        <v>954</v>
      </c>
      <c r="D273" s="104">
        <v>44845</v>
      </c>
      <c r="E273" s="102">
        <v>250</v>
      </c>
      <c r="F273" s="105">
        <v>218</v>
      </c>
      <c r="G273" s="104">
        <v>45879</v>
      </c>
      <c r="H273" s="103" t="s">
        <v>423</v>
      </c>
      <c r="I273" s="103" t="s">
        <v>428</v>
      </c>
      <c r="J273" s="103" t="s">
        <v>913</v>
      </c>
      <c r="L273">
        <f t="shared" si="40"/>
        <v>10</v>
      </c>
      <c r="M273">
        <f t="shared" si="41"/>
        <v>10</v>
      </c>
      <c r="N273">
        <f t="shared" si="42"/>
        <v>100</v>
      </c>
      <c r="O273" s="158">
        <f t="shared" si="38"/>
        <v>2.5</v>
      </c>
      <c r="P273" s="159">
        <f t="shared" si="39"/>
        <v>-32</v>
      </c>
    </row>
    <row r="274" spans="2:16" hidden="1" x14ac:dyDescent="0.3">
      <c r="B274" s="98" t="s">
        <v>955</v>
      </c>
      <c r="C274" s="99" t="s">
        <v>956</v>
      </c>
      <c r="D274" s="100">
        <v>45621</v>
      </c>
      <c r="E274" s="98">
        <v>227</v>
      </c>
      <c r="F274" s="101">
        <v>218</v>
      </c>
      <c r="G274" s="100">
        <v>45897</v>
      </c>
      <c r="H274" s="99" t="s">
        <v>423</v>
      </c>
      <c r="I274" s="99" t="s">
        <v>428</v>
      </c>
      <c r="J274" s="99" t="s">
        <v>913</v>
      </c>
      <c r="L274">
        <f t="shared" si="40"/>
        <v>10</v>
      </c>
      <c r="M274">
        <f t="shared" si="41"/>
        <v>10</v>
      </c>
      <c r="N274">
        <f t="shared" si="42"/>
        <v>100</v>
      </c>
      <c r="O274" s="158">
        <f t="shared" si="38"/>
        <v>2.27</v>
      </c>
      <c r="P274" s="159">
        <f t="shared" si="39"/>
        <v>-9</v>
      </c>
    </row>
    <row r="275" spans="2:16" hidden="1" x14ac:dyDescent="0.3">
      <c r="B275" s="102" t="s">
        <v>957</v>
      </c>
      <c r="C275" s="103" t="s">
        <v>958</v>
      </c>
      <c r="D275" s="104">
        <v>45668</v>
      </c>
      <c r="E275" s="102">
        <v>98</v>
      </c>
      <c r="F275" s="105">
        <v>75</v>
      </c>
      <c r="G275" s="104">
        <v>45879</v>
      </c>
      <c r="H275" s="103" t="s">
        <v>423</v>
      </c>
      <c r="I275" s="103" t="s">
        <v>482</v>
      </c>
      <c r="J275" s="103" t="s">
        <v>913</v>
      </c>
      <c r="L275">
        <f t="shared" si="40"/>
        <v>5</v>
      </c>
      <c r="M275">
        <f t="shared" si="41"/>
        <v>5</v>
      </c>
      <c r="N275">
        <f t="shared" si="42"/>
        <v>25</v>
      </c>
      <c r="O275" s="158">
        <f t="shared" si="38"/>
        <v>3.92</v>
      </c>
      <c r="P275" s="159">
        <f t="shared" si="39"/>
        <v>-23</v>
      </c>
    </row>
    <row r="276" spans="2:16" x14ac:dyDescent="0.3">
      <c r="B276" s="98"/>
      <c r="C276" s="99" t="s">
        <v>959</v>
      </c>
      <c r="D276" s="99"/>
      <c r="E276" s="98"/>
      <c r="F276" s="101">
        <v>75</v>
      </c>
      <c r="G276" s="99"/>
      <c r="H276" s="99" t="s">
        <v>960</v>
      </c>
      <c r="I276" s="99" t="s">
        <v>482</v>
      </c>
      <c r="J276" s="99" t="s">
        <v>913</v>
      </c>
      <c r="L276">
        <f t="shared" si="40"/>
        <v>5</v>
      </c>
      <c r="M276">
        <f t="shared" si="41"/>
        <v>5</v>
      </c>
      <c r="N276">
        <f t="shared" si="42"/>
        <v>25</v>
      </c>
      <c r="O276" s="158">
        <f t="shared" si="38"/>
        <v>0</v>
      </c>
      <c r="P276" s="159">
        <f t="shared" si="39"/>
        <v>75</v>
      </c>
    </row>
    <row r="277" spans="2:16" hidden="1" x14ac:dyDescent="0.3">
      <c r="B277" s="102" t="s">
        <v>961</v>
      </c>
      <c r="C277" s="103" t="s">
        <v>962</v>
      </c>
      <c r="D277" s="104">
        <v>44497</v>
      </c>
      <c r="E277" s="102">
        <v>240</v>
      </c>
      <c r="F277" s="105">
        <v>168</v>
      </c>
      <c r="G277" s="104">
        <v>45865</v>
      </c>
      <c r="H277" s="103" t="s">
        <v>442</v>
      </c>
      <c r="I277" s="103" t="s">
        <v>431</v>
      </c>
      <c r="J277" s="103" t="s">
        <v>913</v>
      </c>
      <c r="L277">
        <f t="shared" si="40"/>
        <v>5</v>
      </c>
      <c r="M277">
        <f t="shared" si="41"/>
        <v>15</v>
      </c>
      <c r="N277">
        <f t="shared" si="42"/>
        <v>75</v>
      </c>
      <c r="O277" s="158">
        <f t="shared" si="38"/>
        <v>3.2</v>
      </c>
      <c r="P277" s="159">
        <f t="shared" si="39"/>
        <v>-72</v>
      </c>
    </row>
    <row r="278" spans="2:16" hidden="1" x14ac:dyDescent="0.3">
      <c r="B278" s="98" t="s">
        <v>963</v>
      </c>
      <c r="C278" s="99" t="s">
        <v>964</v>
      </c>
      <c r="D278" s="100">
        <v>44865</v>
      </c>
      <c r="E278" s="98">
        <v>267</v>
      </c>
      <c r="F278" s="101">
        <v>218</v>
      </c>
      <c r="G278" s="100">
        <v>45900</v>
      </c>
      <c r="H278" s="99" t="s">
        <v>423</v>
      </c>
      <c r="I278" s="99" t="s">
        <v>428</v>
      </c>
      <c r="J278" s="99" t="s">
        <v>913</v>
      </c>
      <c r="L278">
        <f t="shared" si="40"/>
        <v>10</v>
      </c>
      <c r="M278">
        <f t="shared" si="41"/>
        <v>10</v>
      </c>
      <c r="N278">
        <f t="shared" si="42"/>
        <v>100</v>
      </c>
      <c r="O278" s="158">
        <f t="shared" si="38"/>
        <v>2.67</v>
      </c>
      <c r="P278" s="159">
        <f t="shared" si="39"/>
        <v>-49</v>
      </c>
    </row>
    <row r="279" spans="2:16" hidden="1" x14ac:dyDescent="0.3">
      <c r="B279" s="102" t="s">
        <v>965</v>
      </c>
      <c r="C279" s="103" t="s">
        <v>966</v>
      </c>
      <c r="D279" s="104">
        <v>45647</v>
      </c>
      <c r="E279" s="102">
        <v>247</v>
      </c>
      <c r="F279" s="105">
        <v>218</v>
      </c>
      <c r="G279" s="104">
        <v>45889</v>
      </c>
      <c r="H279" s="103" t="s">
        <v>423</v>
      </c>
      <c r="I279" s="103" t="s">
        <v>428</v>
      </c>
      <c r="J279" s="103" t="s">
        <v>913</v>
      </c>
      <c r="L279">
        <f t="shared" si="40"/>
        <v>10</v>
      </c>
      <c r="M279">
        <f t="shared" si="41"/>
        <v>10</v>
      </c>
      <c r="N279">
        <f t="shared" si="42"/>
        <v>100</v>
      </c>
      <c r="O279" s="158">
        <f t="shared" si="38"/>
        <v>2.4700000000000002</v>
      </c>
      <c r="P279" s="159">
        <f t="shared" si="39"/>
        <v>-29</v>
      </c>
    </row>
    <row r="280" spans="2:16" hidden="1" x14ac:dyDescent="0.3">
      <c r="B280" s="98" t="s">
        <v>967</v>
      </c>
      <c r="C280" s="99" t="s">
        <v>968</v>
      </c>
      <c r="D280" s="100">
        <v>45072</v>
      </c>
      <c r="E280" s="98">
        <v>187</v>
      </c>
      <c r="F280" s="101">
        <v>168</v>
      </c>
      <c r="G280" s="100">
        <v>45894</v>
      </c>
      <c r="H280" s="99" t="s">
        <v>423</v>
      </c>
      <c r="I280" s="99" t="s">
        <v>431</v>
      </c>
      <c r="J280" s="99" t="s">
        <v>913</v>
      </c>
      <c r="L280">
        <f t="shared" si="40"/>
        <v>5</v>
      </c>
      <c r="M280">
        <f t="shared" si="41"/>
        <v>15</v>
      </c>
      <c r="N280">
        <f t="shared" si="42"/>
        <v>75</v>
      </c>
      <c r="O280" s="158">
        <f t="shared" si="38"/>
        <v>2.4933333333333332</v>
      </c>
      <c r="P280" s="159">
        <f t="shared" si="39"/>
        <v>-19</v>
      </c>
    </row>
    <row r="281" spans="2:16" x14ac:dyDescent="0.3">
      <c r="B281" s="102" t="s">
        <v>969</v>
      </c>
      <c r="C281" s="103" t="s">
        <v>970</v>
      </c>
      <c r="D281" s="104">
        <v>45700</v>
      </c>
      <c r="E281" s="102">
        <v>184</v>
      </c>
      <c r="F281" s="105">
        <v>218</v>
      </c>
      <c r="G281" s="104">
        <v>45883</v>
      </c>
      <c r="H281" s="103" t="s">
        <v>423</v>
      </c>
      <c r="I281" s="103" t="s">
        <v>428</v>
      </c>
      <c r="J281" s="103" t="s">
        <v>913</v>
      </c>
      <c r="L281">
        <f t="shared" si="40"/>
        <v>10</v>
      </c>
      <c r="M281">
        <f t="shared" si="41"/>
        <v>10</v>
      </c>
      <c r="N281">
        <f t="shared" si="42"/>
        <v>100</v>
      </c>
      <c r="O281" s="158">
        <f t="shared" si="38"/>
        <v>1.84</v>
      </c>
      <c r="P281" s="159">
        <f t="shared" si="39"/>
        <v>34</v>
      </c>
    </row>
    <row r="282" spans="2:16" hidden="1" x14ac:dyDescent="0.3">
      <c r="B282" s="98" t="s">
        <v>971</v>
      </c>
      <c r="C282" s="99" t="s">
        <v>972</v>
      </c>
      <c r="D282" s="100">
        <v>44889</v>
      </c>
      <c r="E282" s="98">
        <v>190</v>
      </c>
      <c r="F282" s="101">
        <v>124</v>
      </c>
      <c r="G282" s="100">
        <v>45893</v>
      </c>
      <c r="H282" s="99" t="s">
        <v>423</v>
      </c>
      <c r="I282" s="99" t="s">
        <v>443</v>
      </c>
      <c r="J282" s="99" t="s">
        <v>913</v>
      </c>
      <c r="L282">
        <f t="shared" si="40"/>
        <v>10</v>
      </c>
      <c r="M282">
        <f t="shared" si="41"/>
        <v>5</v>
      </c>
      <c r="N282">
        <f t="shared" si="42"/>
        <v>50</v>
      </c>
      <c r="O282" s="158">
        <f t="shared" si="38"/>
        <v>3.8</v>
      </c>
      <c r="P282" s="159">
        <f t="shared" si="39"/>
        <v>-66</v>
      </c>
    </row>
    <row r="283" spans="2:16" hidden="1" x14ac:dyDescent="0.3">
      <c r="B283" s="102" t="s">
        <v>973</v>
      </c>
      <c r="C283" s="103" t="s">
        <v>974</v>
      </c>
      <c r="D283" s="104">
        <v>44181</v>
      </c>
      <c r="E283" s="102">
        <v>236</v>
      </c>
      <c r="F283" s="105">
        <v>168</v>
      </c>
      <c r="G283" s="104">
        <v>45884</v>
      </c>
      <c r="H283" s="103" t="s">
        <v>423</v>
      </c>
      <c r="I283" s="103" t="s">
        <v>446</v>
      </c>
      <c r="J283" s="103" t="s">
        <v>913</v>
      </c>
      <c r="L283">
        <f t="shared" si="40"/>
        <v>15</v>
      </c>
      <c r="M283">
        <f t="shared" si="41"/>
        <v>5</v>
      </c>
      <c r="N283">
        <f t="shared" si="42"/>
        <v>75</v>
      </c>
      <c r="O283" s="158">
        <f t="shared" si="38"/>
        <v>3.1466666666666665</v>
      </c>
      <c r="P283" s="159">
        <f t="shared" si="39"/>
        <v>-68</v>
      </c>
    </row>
    <row r="284" spans="2:16" hidden="1" x14ac:dyDescent="0.3">
      <c r="B284" s="98" t="s">
        <v>975</v>
      </c>
      <c r="C284" s="99" t="s">
        <v>976</v>
      </c>
      <c r="D284" s="100">
        <v>44499</v>
      </c>
      <c r="E284" s="98">
        <v>227</v>
      </c>
      <c r="F284" s="101">
        <v>218</v>
      </c>
      <c r="G284" s="100">
        <v>45867</v>
      </c>
      <c r="H284" s="99" t="s">
        <v>442</v>
      </c>
      <c r="I284" s="99" t="s">
        <v>428</v>
      </c>
      <c r="J284" s="99" t="s">
        <v>913</v>
      </c>
      <c r="L284">
        <f t="shared" si="40"/>
        <v>10</v>
      </c>
      <c r="M284">
        <f t="shared" si="41"/>
        <v>10</v>
      </c>
      <c r="N284">
        <f t="shared" si="42"/>
        <v>100</v>
      </c>
      <c r="O284" s="158">
        <f t="shared" si="38"/>
        <v>2.27</v>
      </c>
      <c r="P284" s="159">
        <f t="shared" si="39"/>
        <v>-9</v>
      </c>
    </row>
    <row r="285" spans="2:16" hidden="1" x14ac:dyDescent="0.3">
      <c r="B285" s="102" t="s">
        <v>977</v>
      </c>
      <c r="C285" s="103" t="s">
        <v>978</v>
      </c>
      <c r="D285" s="104">
        <v>44517</v>
      </c>
      <c r="E285" s="102">
        <v>240</v>
      </c>
      <c r="F285" s="105">
        <v>168</v>
      </c>
      <c r="G285" s="104">
        <v>45885</v>
      </c>
      <c r="H285" s="103" t="s">
        <v>423</v>
      </c>
      <c r="I285" s="103" t="s">
        <v>431</v>
      </c>
      <c r="J285" s="103" t="s">
        <v>913</v>
      </c>
      <c r="L285">
        <f t="shared" si="40"/>
        <v>5</v>
      </c>
      <c r="M285">
        <f t="shared" si="41"/>
        <v>15</v>
      </c>
      <c r="N285">
        <f t="shared" si="42"/>
        <v>75</v>
      </c>
      <c r="O285" s="158">
        <f t="shared" si="38"/>
        <v>3.2</v>
      </c>
      <c r="P285" s="159">
        <f t="shared" si="39"/>
        <v>-72</v>
      </c>
    </row>
    <row r="286" spans="2:16" hidden="1" x14ac:dyDescent="0.3">
      <c r="B286" s="98" t="s">
        <v>979</v>
      </c>
      <c r="C286" s="99" t="s">
        <v>980</v>
      </c>
      <c r="D286" s="100">
        <v>44149</v>
      </c>
      <c r="E286" s="98">
        <v>177.4</v>
      </c>
      <c r="F286" s="101">
        <v>142</v>
      </c>
      <c r="G286" s="100">
        <v>45882</v>
      </c>
      <c r="H286" s="99" t="s">
        <v>423</v>
      </c>
      <c r="I286" s="99" t="s">
        <v>981</v>
      </c>
      <c r="J286" s="99" t="s">
        <v>913</v>
      </c>
      <c r="L286">
        <f t="shared" si="40"/>
        <v>15</v>
      </c>
      <c r="M286">
        <f t="shared" si="41"/>
        <v>4</v>
      </c>
      <c r="N286">
        <f t="shared" si="42"/>
        <v>60</v>
      </c>
      <c r="O286" s="158">
        <f t="shared" si="38"/>
        <v>2.9566666666666666</v>
      </c>
      <c r="P286" s="159">
        <f t="shared" si="39"/>
        <v>-35.400000000000006</v>
      </c>
    </row>
    <row r="287" spans="2:16" hidden="1" x14ac:dyDescent="0.3">
      <c r="B287" s="102" t="s">
        <v>982</v>
      </c>
      <c r="C287" s="103" t="s">
        <v>983</v>
      </c>
      <c r="D287" s="104">
        <v>44254</v>
      </c>
      <c r="E287" s="102">
        <v>278</v>
      </c>
      <c r="F287" s="105">
        <v>218</v>
      </c>
      <c r="G287" s="104">
        <v>45834</v>
      </c>
      <c r="H287" s="103" t="s">
        <v>442</v>
      </c>
      <c r="I287" s="103" t="s">
        <v>428</v>
      </c>
      <c r="J287" s="103" t="s">
        <v>913</v>
      </c>
      <c r="L287">
        <f t="shared" si="40"/>
        <v>10</v>
      </c>
      <c r="M287">
        <f t="shared" si="41"/>
        <v>10</v>
      </c>
      <c r="N287">
        <f t="shared" si="42"/>
        <v>100</v>
      </c>
      <c r="O287" s="158">
        <f t="shared" si="38"/>
        <v>2.78</v>
      </c>
      <c r="P287" s="159">
        <f t="shared" si="39"/>
        <v>-60</v>
      </c>
    </row>
    <row r="288" spans="2:16" hidden="1" x14ac:dyDescent="0.3">
      <c r="B288" s="98" t="s">
        <v>984</v>
      </c>
      <c r="C288" s="99" t="s">
        <v>985</v>
      </c>
      <c r="D288" s="100">
        <v>44023</v>
      </c>
      <c r="E288" s="98">
        <v>92</v>
      </c>
      <c r="F288" s="101">
        <v>57</v>
      </c>
      <c r="G288" s="100">
        <v>45879</v>
      </c>
      <c r="H288" s="99" t="s">
        <v>423</v>
      </c>
      <c r="I288" s="99" t="s">
        <v>699</v>
      </c>
      <c r="J288" s="99" t="s">
        <v>913</v>
      </c>
      <c r="L288">
        <f t="shared" si="40"/>
        <v>5</v>
      </c>
      <c r="M288">
        <f t="shared" si="41"/>
        <v>4</v>
      </c>
      <c r="N288">
        <f t="shared" si="42"/>
        <v>20</v>
      </c>
      <c r="O288" s="158">
        <f t="shared" si="38"/>
        <v>4.5999999999999996</v>
      </c>
      <c r="P288" s="159">
        <f t="shared" si="39"/>
        <v>-35</v>
      </c>
    </row>
    <row r="289" spans="2:16" x14ac:dyDescent="0.3">
      <c r="B289" s="102" t="s">
        <v>986</v>
      </c>
      <c r="C289" s="103" t="s">
        <v>987</v>
      </c>
      <c r="D289" s="104">
        <v>45835</v>
      </c>
      <c r="E289" s="102">
        <v>64</v>
      </c>
      <c r="F289" s="105">
        <v>124</v>
      </c>
      <c r="G289" s="104">
        <v>45895</v>
      </c>
      <c r="H289" s="103" t="s">
        <v>423</v>
      </c>
      <c r="I289" s="103" t="s">
        <v>463</v>
      </c>
      <c r="J289" s="103" t="s">
        <v>913</v>
      </c>
      <c r="L289">
        <f t="shared" si="40"/>
        <v>5</v>
      </c>
      <c r="M289">
        <f t="shared" si="41"/>
        <v>10</v>
      </c>
      <c r="N289">
        <f t="shared" si="42"/>
        <v>50</v>
      </c>
      <c r="O289" s="158">
        <f t="shared" si="38"/>
        <v>1.28</v>
      </c>
      <c r="P289" s="159">
        <f t="shared" si="39"/>
        <v>60</v>
      </c>
    </row>
    <row r="290" spans="2:16" hidden="1" x14ac:dyDescent="0.3">
      <c r="B290" s="98" t="s">
        <v>988</v>
      </c>
      <c r="C290" s="99" t="s">
        <v>989</v>
      </c>
      <c r="D290" s="100">
        <v>43859</v>
      </c>
      <c r="E290" s="98">
        <v>106</v>
      </c>
      <c r="F290" s="101">
        <v>57</v>
      </c>
      <c r="G290" s="100">
        <v>45897</v>
      </c>
      <c r="H290" s="99" t="s">
        <v>423</v>
      </c>
      <c r="I290" s="99" t="s">
        <v>699</v>
      </c>
      <c r="J290" s="99" t="s">
        <v>913</v>
      </c>
      <c r="L290">
        <f t="shared" si="40"/>
        <v>5</v>
      </c>
      <c r="M290">
        <f t="shared" si="41"/>
        <v>4</v>
      </c>
      <c r="N290">
        <f t="shared" si="42"/>
        <v>20</v>
      </c>
      <c r="O290" s="158">
        <f t="shared" si="38"/>
        <v>5.3</v>
      </c>
      <c r="P290" s="159">
        <f t="shared" si="39"/>
        <v>-49</v>
      </c>
    </row>
    <row r="291" spans="2:16" hidden="1" x14ac:dyDescent="0.3">
      <c r="B291" s="102" t="s">
        <v>990</v>
      </c>
      <c r="C291" s="103" t="s">
        <v>991</v>
      </c>
      <c r="D291" s="104">
        <v>44215</v>
      </c>
      <c r="E291" s="102">
        <v>108</v>
      </c>
      <c r="F291" s="105">
        <v>75</v>
      </c>
      <c r="G291" s="104">
        <v>45887</v>
      </c>
      <c r="H291" s="103" t="s">
        <v>423</v>
      </c>
      <c r="I291" s="103" t="s">
        <v>482</v>
      </c>
      <c r="J291" s="103" t="s">
        <v>913</v>
      </c>
      <c r="L291">
        <f t="shared" si="40"/>
        <v>5</v>
      </c>
      <c r="M291">
        <f t="shared" si="41"/>
        <v>5</v>
      </c>
      <c r="N291">
        <f t="shared" si="42"/>
        <v>25</v>
      </c>
      <c r="O291" s="158">
        <f t="shared" si="38"/>
        <v>4.32</v>
      </c>
      <c r="P291" s="159">
        <f t="shared" si="39"/>
        <v>-33</v>
      </c>
    </row>
    <row r="292" spans="2:16" hidden="1" x14ac:dyDescent="0.3">
      <c r="B292" s="98" t="s">
        <v>992</v>
      </c>
      <c r="C292" s="99" t="s">
        <v>993</v>
      </c>
      <c r="D292" s="100">
        <v>45656</v>
      </c>
      <c r="E292" s="98">
        <v>103</v>
      </c>
      <c r="F292" s="101">
        <v>75</v>
      </c>
      <c r="G292" s="100">
        <v>45898</v>
      </c>
      <c r="H292" s="99" t="s">
        <v>423</v>
      </c>
      <c r="I292" s="99" t="s">
        <v>482</v>
      </c>
      <c r="J292" s="99" t="s">
        <v>913</v>
      </c>
      <c r="L292">
        <f t="shared" si="40"/>
        <v>5</v>
      </c>
      <c r="M292">
        <f t="shared" si="41"/>
        <v>5</v>
      </c>
      <c r="N292">
        <f t="shared" si="42"/>
        <v>25</v>
      </c>
      <c r="O292" s="158">
        <f t="shared" si="38"/>
        <v>4.12</v>
      </c>
      <c r="P292" s="159">
        <f t="shared" si="39"/>
        <v>-28</v>
      </c>
    </row>
    <row r="293" spans="2:16" x14ac:dyDescent="0.3">
      <c r="B293" s="102" t="s">
        <v>994</v>
      </c>
      <c r="C293" s="103" t="s">
        <v>995</v>
      </c>
      <c r="D293" s="104">
        <v>45773</v>
      </c>
      <c r="E293" s="102">
        <v>37</v>
      </c>
      <c r="F293" s="105">
        <v>75</v>
      </c>
      <c r="G293" s="104">
        <v>45894</v>
      </c>
      <c r="H293" s="103" t="s">
        <v>423</v>
      </c>
      <c r="I293" s="103" t="s">
        <v>482</v>
      </c>
      <c r="J293" s="103" t="s">
        <v>913</v>
      </c>
      <c r="L293">
        <f t="shared" si="40"/>
        <v>5</v>
      </c>
      <c r="M293">
        <f t="shared" si="41"/>
        <v>5</v>
      </c>
      <c r="N293">
        <f t="shared" si="42"/>
        <v>25</v>
      </c>
      <c r="O293" s="158">
        <f t="shared" si="38"/>
        <v>1.48</v>
      </c>
      <c r="P293" s="159">
        <f t="shared" si="39"/>
        <v>38</v>
      </c>
    </row>
    <row r="294" spans="2:16" x14ac:dyDescent="0.3">
      <c r="B294" s="98" t="s">
        <v>996</v>
      </c>
      <c r="C294" s="99" t="s">
        <v>997</v>
      </c>
      <c r="D294" s="100">
        <v>45807</v>
      </c>
      <c r="E294" s="98">
        <v>64</v>
      </c>
      <c r="F294" s="101">
        <v>124</v>
      </c>
      <c r="G294" s="100">
        <v>45872</v>
      </c>
      <c r="H294" s="99" t="s">
        <v>423</v>
      </c>
      <c r="I294" s="99" t="s">
        <v>463</v>
      </c>
      <c r="J294" s="99" t="s">
        <v>913</v>
      </c>
      <c r="L294">
        <f t="shared" si="40"/>
        <v>5</v>
      </c>
      <c r="M294">
        <f t="shared" si="41"/>
        <v>10</v>
      </c>
      <c r="N294">
        <f t="shared" si="42"/>
        <v>50</v>
      </c>
      <c r="O294" s="158">
        <f t="shared" si="38"/>
        <v>1.28</v>
      </c>
      <c r="P294" s="159">
        <f t="shared" si="39"/>
        <v>60</v>
      </c>
    </row>
    <row r="295" spans="2:16" x14ac:dyDescent="0.3">
      <c r="B295" s="102" t="s">
        <v>998</v>
      </c>
      <c r="C295" s="103" t="s">
        <v>999</v>
      </c>
      <c r="D295" s="104">
        <v>45775</v>
      </c>
      <c r="E295" s="102">
        <v>61</v>
      </c>
      <c r="F295" s="105">
        <v>124</v>
      </c>
      <c r="G295" s="104">
        <v>45896</v>
      </c>
      <c r="H295" s="103" t="s">
        <v>423</v>
      </c>
      <c r="I295" s="103" t="s">
        <v>443</v>
      </c>
      <c r="J295" s="103" t="s">
        <v>913</v>
      </c>
      <c r="L295">
        <f t="shared" si="40"/>
        <v>10</v>
      </c>
      <c r="M295">
        <f t="shared" si="41"/>
        <v>5</v>
      </c>
      <c r="N295">
        <f t="shared" si="42"/>
        <v>50</v>
      </c>
      <c r="O295" s="158">
        <f t="shared" si="38"/>
        <v>1.22</v>
      </c>
      <c r="P295" s="159">
        <f t="shared" si="39"/>
        <v>63</v>
      </c>
    </row>
    <row r="296" spans="2:16" x14ac:dyDescent="0.3">
      <c r="B296" s="98" t="s">
        <v>1000</v>
      </c>
      <c r="C296" s="99" t="s">
        <v>1001</v>
      </c>
      <c r="D296" s="100">
        <v>45770</v>
      </c>
      <c r="E296" s="98">
        <v>344</v>
      </c>
      <c r="F296" s="101">
        <v>361</v>
      </c>
      <c r="G296" s="100">
        <v>45893</v>
      </c>
      <c r="H296" s="99" t="s">
        <v>423</v>
      </c>
      <c r="I296" s="99" t="s">
        <v>609</v>
      </c>
      <c r="J296" s="99" t="s">
        <v>913</v>
      </c>
      <c r="L296">
        <f t="shared" si="40"/>
        <v>10</v>
      </c>
      <c r="M296">
        <f t="shared" si="41"/>
        <v>20</v>
      </c>
      <c r="N296">
        <f t="shared" si="42"/>
        <v>200</v>
      </c>
      <c r="O296" s="158">
        <f t="shared" si="38"/>
        <v>1.72</v>
      </c>
      <c r="P296" s="159">
        <f t="shared" si="39"/>
        <v>17</v>
      </c>
    </row>
    <row r="297" spans="2:16" hidden="1" x14ac:dyDescent="0.3">
      <c r="B297" s="102" t="s">
        <v>1002</v>
      </c>
      <c r="C297" s="103" t="s">
        <v>1003</v>
      </c>
      <c r="D297" s="104">
        <v>45562</v>
      </c>
      <c r="E297" s="102">
        <v>178</v>
      </c>
      <c r="F297" s="105">
        <v>124</v>
      </c>
      <c r="G297" s="104">
        <v>45895</v>
      </c>
      <c r="H297" s="103" t="s">
        <v>423</v>
      </c>
      <c r="I297" s="103" t="s">
        <v>443</v>
      </c>
      <c r="J297" s="103" t="s">
        <v>913</v>
      </c>
      <c r="L297">
        <f t="shared" si="40"/>
        <v>10</v>
      </c>
      <c r="M297">
        <f t="shared" si="41"/>
        <v>5</v>
      </c>
      <c r="N297">
        <f t="shared" si="42"/>
        <v>50</v>
      </c>
      <c r="O297" s="158">
        <f t="shared" si="38"/>
        <v>3.56</v>
      </c>
      <c r="P297" s="159">
        <f t="shared" si="39"/>
        <v>-54</v>
      </c>
    </row>
    <row r="298" spans="2:16" x14ac:dyDescent="0.3">
      <c r="B298" s="98" t="s">
        <v>1004</v>
      </c>
      <c r="C298" s="99" t="s">
        <v>1005</v>
      </c>
      <c r="D298" s="100">
        <v>45863</v>
      </c>
      <c r="E298" s="98">
        <v>64</v>
      </c>
      <c r="F298" s="101">
        <v>124</v>
      </c>
      <c r="G298" s="100">
        <v>45924</v>
      </c>
      <c r="H298" s="99" t="s">
        <v>423</v>
      </c>
      <c r="I298" s="99" t="s">
        <v>443</v>
      </c>
      <c r="J298" s="99" t="s">
        <v>913</v>
      </c>
      <c r="L298">
        <f t="shared" si="40"/>
        <v>10</v>
      </c>
      <c r="M298">
        <f t="shared" si="41"/>
        <v>5</v>
      </c>
      <c r="N298">
        <f t="shared" si="42"/>
        <v>50</v>
      </c>
      <c r="O298" s="158">
        <f t="shared" si="38"/>
        <v>1.28</v>
      </c>
      <c r="P298" s="159">
        <f t="shared" si="39"/>
        <v>60</v>
      </c>
    </row>
    <row r="299" spans="2:16" hidden="1" x14ac:dyDescent="0.3">
      <c r="B299" s="102" t="s">
        <v>1006</v>
      </c>
      <c r="C299" s="103" t="s">
        <v>1007</v>
      </c>
      <c r="D299" s="104">
        <v>44344</v>
      </c>
      <c r="E299" s="102">
        <v>403.8</v>
      </c>
      <c r="F299" s="105">
        <v>361</v>
      </c>
      <c r="G299" s="104">
        <v>45865</v>
      </c>
      <c r="H299" s="103" t="s">
        <v>442</v>
      </c>
      <c r="I299" s="103" t="s">
        <v>609</v>
      </c>
      <c r="J299" s="103" t="s">
        <v>913</v>
      </c>
      <c r="L299">
        <f t="shared" si="40"/>
        <v>10</v>
      </c>
      <c r="M299">
        <f t="shared" si="41"/>
        <v>20</v>
      </c>
      <c r="N299">
        <f t="shared" si="42"/>
        <v>200</v>
      </c>
      <c r="O299" s="158">
        <f t="shared" si="38"/>
        <v>2.0190000000000001</v>
      </c>
      <c r="P299" s="159">
        <f t="shared" si="39"/>
        <v>-42.800000000000011</v>
      </c>
    </row>
    <row r="300" spans="2:16" hidden="1" x14ac:dyDescent="0.3">
      <c r="B300" s="98" t="s">
        <v>1008</v>
      </c>
      <c r="C300" s="99" t="s">
        <v>1009</v>
      </c>
      <c r="D300" s="100">
        <v>44841</v>
      </c>
      <c r="E300" s="98">
        <v>172</v>
      </c>
      <c r="F300" s="101">
        <v>124</v>
      </c>
      <c r="G300" s="100">
        <v>45875</v>
      </c>
      <c r="H300" s="99" t="s">
        <v>423</v>
      </c>
      <c r="I300" s="99" t="s">
        <v>443</v>
      </c>
      <c r="J300" s="99" t="s">
        <v>913</v>
      </c>
      <c r="L300">
        <f t="shared" si="40"/>
        <v>10</v>
      </c>
      <c r="M300">
        <f t="shared" si="41"/>
        <v>5</v>
      </c>
      <c r="N300">
        <f t="shared" si="42"/>
        <v>50</v>
      </c>
      <c r="O300" s="158">
        <f t="shared" si="38"/>
        <v>3.44</v>
      </c>
      <c r="P300" s="159">
        <f t="shared" si="39"/>
        <v>-48</v>
      </c>
    </row>
    <row r="301" spans="2:16" hidden="1" x14ac:dyDescent="0.3">
      <c r="B301" s="102" t="s">
        <v>1010</v>
      </c>
      <c r="C301" s="103" t="s">
        <v>1011</v>
      </c>
      <c r="D301" s="104">
        <v>44360</v>
      </c>
      <c r="E301" s="102">
        <v>508</v>
      </c>
      <c r="F301" s="105">
        <v>361</v>
      </c>
      <c r="G301" s="104">
        <v>45881</v>
      </c>
      <c r="H301" s="103" t="s">
        <v>423</v>
      </c>
      <c r="I301" s="103" t="s">
        <v>609</v>
      </c>
      <c r="J301" s="103" t="s">
        <v>913</v>
      </c>
      <c r="L301">
        <f t="shared" si="40"/>
        <v>10</v>
      </c>
      <c r="M301">
        <f t="shared" si="41"/>
        <v>20</v>
      </c>
      <c r="N301">
        <f t="shared" si="42"/>
        <v>200</v>
      </c>
      <c r="O301" s="158">
        <f t="shared" si="38"/>
        <v>2.54</v>
      </c>
      <c r="P301" s="159">
        <f t="shared" si="39"/>
        <v>-147</v>
      </c>
    </row>
    <row r="302" spans="2:16" hidden="1" x14ac:dyDescent="0.3">
      <c r="B302" s="98" t="s">
        <v>1012</v>
      </c>
      <c r="C302" s="99" t="s">
        <v>1013</v>
      </c>
      <c r="D302" s="100">
        <v>43999</v>
      </c>
      <c r="E302" s="98">
        <v>175</v>
      </c>
      <c r="F302" s="101">
        <v>124</v>
      </c>
      <c r="G302" s="100">
        <v>45885</v>
      </c>
      <c r="H302" s="99" t="s">
        <v>423</v>
      </c>
      <c r="I302" s="99" t="s">
        <v>443</v>
      </c>
      <c r="J302" s="99" t="s">
        <v>913</v>
      </c>
      <c r="L302">
        <f t="shared" si="40"/>
        <v>10</v>
      </c>
      <c r="M302">
        <f t="shared" si="41"/>
        <v>5</v>
      </c>
      <c r="N302">
        <f t="shared" si="42"/>
        <v>50</v>
      </c>
      <c r="O302" s="158">
        <f t="shared" si="38"/>
        <v>3.5</v>
      </c>
      <c r="P302" s="159">
        <f t="shared" si="39"/>
        <v>-51</v>
      </c>
    </row>
    <row r="303" spans="2:16" hidden="1" x14ac:dyDescent="0.3">
      <c r="B303" s="102" t="s">
        <v>1014</v>
      </c>
      <c r="C303" s="103" t="s">
        <v>1015</v>
      </c>
      <c r="D303" s="104">
        <v>45059</v>
      </c>
      <c r="E303" s="102">
        <v>422</v>
      </c>
      <c r="F303" s="105">
        <v>361</v>
      </c>
      <c r="G303" s="104">
        <v>45881</v>
      </c>
      <c r="H303" s="103" t="s">
        <v>423</v>
      </c>
      <c r="I303" s="103" t="s">
        <v>609</v>
      </c>
      <c r="J303" s="103" t="s">
        <v>913</v>
      </c>
      <c r="L303">
        <f t="shared" si="40"/>
        <v>10</v>
      </c>
      <c r="M303">
        <f t="shared" si="41"/>
        <v>20</v>
      </c>
      <c r="N303">
        <f t="shared" si="42"/>
        <v>200</v>
      </c>
      <c r="O303" s="158">
        <f t="shared" si="38"/>
        <v>2.11</v>
      </c>
      <c r="P303" s="159">
        <f t="shared" si="39"/>
        <v>-61</v>
      </c>
    </row>
    <row r="304" spans="2:16" hidden="1" x14ac:dyDescent="0.3">
      <c r="B304" s="98" t="s">
        <v>1016</v>
      </c>
      <c r="C304" s="99" t="s">
        <v>1017</v>
      </c>
      <c r="D304" s="100">
        <v>45625</v>
      </c>
      <c r="E304" s="98">
        <v>181</v>
      </c>
      <c r="F304" s="101">
        <v>124</v>
      </c>
      <c r="G304" s="100">
        <v>45775</v>
      </c>
      <c r="H304" s="99" t="s">
        <v>442</v>
      </c>
      <c r="I304" s="99" t="s">
        <v>443</v>
      </c>
      <c r="J304" s="99" t="s">
        <v>913</v>
      </c>
      <c r="L304">
        <f t="shared" si="40"/>
        <v>10</v>
      </c>
      <c r="M304">
        <f t="shared" si="41"/>
        <v>5</v>
      </c>
      <c r="N304">
        <f t="shared" si="42"/>
        <v>50</v>
      </c>
      <c r="O304" s="158">
        <f t="shared" si="38"/>
        <v>3.62</v>
      </c>
      <c r="P304" s="159">
        <f t="shared" si="39"/>
        <v>-57</v>
      </c>
    </row>
    <row r="305" spans="2:16" hidden="1" x14ac:dyDescent="0.3">
      <c r="B305" s="102" t="s">
        <v>1018</v>
      </c>
      <c r="C305" s="103" t="s">
        <v>1019</v>
      </c>
      <c r="D305" s="104">
        <v>45226</v>
      </c>
      <c r="E305" s="102">
        <v>374</v>
      </c>
      <c r="F305" s="105">
        <v>361</v>
      </c>
      <c r="G305" s="104">
        <v>45895</v>
      </c>
      <c r="H305" s="103" t="s">
        <v>423</v>
      </c>
      <c r="I305" s="103" t="s">
        <v>609</v>
      </c>
      <c r="J305" s="103" t="s">
        <v>913</v>
      </c>
      <c r="L305">
        <f t="shared" si="40"/>
        <v>10</v>
      </c>
      <c r="M305">
        <f t="shared" si="41"/>
        <v>20</v>
      </c>
      <c r="N305">
        <f t="shared" si="42"/>
        <v>200</v>
      </c>
      <c r="O305" s="158">
        <f t="shared" si="38"/>
        <v>1.87</v>
      </c>
      <c r="P305" s="159">
        <f t="shared" si="39"/>
        <v>-13</v>
      </c>
    </row>
    <row r="306" spans="2:16" hidden="1" x14ac:dyDescent="0.3">
      <c r="B306" s="98" t="s">
        <v>1020</v>
      </c>
      <c r="C306" s="99" t="s">
        <v>1021</v>
      </c>
      <c r="D306" s="100">
        <v>45270</v>
      </c>
      <c r="E306" s="98">
        <v>203</v>
      </c>
      <c r="F306" s="101">
        <v>124</v>
      </c>
      <c r="G306" s="100">
        <v>45883</v>
      </c>
      <c r="H306" s="99" t="s">
        <v>423</v>
      </c>
      <c r="I306" s="99" t="s">
        <v>443</v>
      </c>
      <c r="J306" s="99" t="s">
        <v>913</v>
      </c>
      <c r="L306">
        <f t="shared" si="40"/>
        <v>10</v>
      </c>
      <c r="M306">
        <f t="shared" si="41"/>
        <v>5</v>
      </c>
      <c r="N306">
        <f t="shared" si="42"/>
        <v>50</v>
      </c>
      <c r="O306" s="158">
        <f t="shared" si="38"/>
        <v>4.0599999999999996</v>
      </c>
      <c r="P306" s="159">
        <f t="shared" si="39"/>
        <v>-79</v>
      </c>
    </row>
    <row r="307" spans="2:16" hidden="1" x14ac:dyDescent="0.3">
      <c r="B307" s="102" t="s">
        <v>1022</v>
      </c>
      <c r="C307" s="103" t="s">
        <v>1023</v>
      </c>
      <c r="D307" s="104">
        <v>45341</v>
      </c>
      <c r="E307" s="102">
        <v>365</v>
      </c>
      <c r="F307" s="105">
        <v>361</v>
      </c>
      <c r="G307" s="104">
        <v>45795</v>
      </c>
      <c r="H307" s="103" t="s">
        <v>442</v>
      </c>
      <c r="I307" s="103" t="s">
        <v>609</v>
      </c>
      <c r="J307" s="103" t="s">
        <v>913</v>
      </c>
      <c r="L307">
        <f t="shared" si="40"/>
        <v>10</v>
      </c>
      <c r="M307">
        <f t="shared" si="41"/>
        <v>20</v>
      </c>
      <c r="N307">
        <f t="shared" si="42"/>
        <v>200</v>
      </c>
      <c r="O307" s="158">
        <f t="shared" si="38"/>
        <v>1.825</v>
      </c>
      <c r="P307" s="159">
        <f t="shared" si="39"/>
        <v>-4</v>
      </c>
    </row>
    <row r="308" spans="2:16" hidden="1" x14ac:dyDescent="0.3">
      <c r="B308" s="98" t="s">
        <v>1024</v>
      </c>
      <c r="C308" s="99" t="s">
        <v>1025</v>
      </c>
      <c r="D308" s="100">
        <v>43953</v>
      </c>
      <c r="E308" s="98">
        <v>138</v>
      </c>
      <c r="F308" s="101">
        <v>124</v>
      </c>
      <c r="G308" s="100">
        <v>45870</v>
      </c>
      <c r="H308" s="99" t="s">
        <v>423</v>
      </c>
      <c r="I308" s="99" t="s">
        <v>443</v>
      </c>
      <c r="J308" s="99" t="s">
        <v>913</v>
      </c>
      <c r="L308">
        <f t="shared" si="40"/>
        <v>10</v>
      </c>
      <c r="M308">
        <f t="shared" si="41"/>
        <v>5</v>
      </c>
      <c r="N308">
        <f t="shared" si="42"/>
        <v>50</v>
      </c>
      <c r="O308" s="158">
        <f t="shared" si="38"/>
        <v>2.76</v>
      </c>
      <c r="P308" s="159">
        <f t="shared" si="39"/>
        <v>-14</v>
      </c>
    </row>
    <row r="309" spans="2:16" hidden="1" x14ac:dyDescent="0.3">
      <c r="B309" s="102" t="s">
        <v>534</v>
      </c>
      <c r="C309" s="103" t="s">
        <v>1026</v>
      </c>
      <c r="D309" s="104">
        <v>45806</v>
      </c>
      <c r="E309" s="102">
        <v>410</v>
      </c>
      <c r="F309" s="105">
        <v>361</v>
      </c>
      <c r="G309" s="104">
        <v>45897</v>
      </c>
      <c r="H309" s="103" t="s">
        <v>423</v>
      </c>
      <c r="I309" s="103" t="s">
        <v>609</v>
      </c>
      <c r="J309" s="103" t="s">
        <v>913</v>
      </c>
      <c r="L309">
        <f t="shared" si="40"/>
        <v>10</v>
      </c>
      <c r="M309">
        <f t="shared" si="41"/>
        <v>20</v>
      </c>
      <c r="N309">
        <f t="shared" si="42"/>
        <v>200</v>
      </c>
      <c r="O309" s="158">
        <f t="shared" si="38"/>
        <v>2.0499999999999998</v>
      </c>
      <c r="P309" s="159">
        <f t="shared" si="39"/>
        <v>-49</v>
      </c>
    </row>
    <row r="310" spans="2:16" hidden="1" x14ac:dyDescent="0.3">
      <c r="B310" s="98" t="s">
        <v>1027</v>
      </c>
      <c r="C310" s="99" t="s">
        <v>1028</v>
      </c>
      <c r="D310" s="100">
        <v>43890</v>
      </c>
      <c r="E310" s="98">
        <v>139</v>
      </c>
      <c r="F310" s="101">
        <v>124</v>
      </c>
      <c r="G310" s="100">
        <v>45897</v>
      </c>
      <c r="H310" s="99" t="s">
        <v>423</v>
      </c>
      <c r="I310" s="99" t="s">
        <v>443</v>
      </c>
      <c r="J310" s="99" t="s">
        <v>913</v>
      </c>
      <c r="L310">
        <f t="shared" si="40"/>
        <v>10</v>
      </c>
      <c r="M310">
        <f t="shared" si="41"/>
        <v>5</v>
      </c>
      <c r="N310">
        <f t="shared" si="42"/>
        <v>50</v>
      </c>
      <c r="O310" s="158">
        <f t="shared" si="38"/>
        <v>2.78</v>
      </c>
      <c r="P310" s="159">
        <f t="shared" si="39"/>
        <v>-15</v>
      </c>
    </row>
    <row r="311" spans="2:16" x14ac:dyDescent="0.3">
      <c r="B311" s="102" t="s">
        <v>1029</v>
      </c>
      <c r="C311" s="103" t="s">
        <v>1030</v>
      </c>
      <c r="D311" s="104">
        <v>45853</v>
      </c>
      <c r="E311" s="102">
        <v>263</v>
      </c>
      <c r="F311" s="105">
        <v>361</v>
      </c>
      <c r="G311" s="104">
        <v>45884</v>
      </c>
      <c r="H311" s="103" t="s">
        <v>423</v>
      </c>
      <c r="I311" s="103" t="s">
        <v>609</v>
      </c>
      <c r="J311" s="103" t="s">
        <v>913</v>
      </c>
      <c r="L311">
        <f t="shared" si="40"/>
        <v>10</v>
      </c>
      <c r="M311">
        <f t="shared" si="41"/>
        <v>20</v>
      </c>
      <c r="N311">
        <f t="shared" si="42"/>
        <v>200</v>
      </c>
      <c r="O311" s="158">
        <f t="shared" si="38"/>
        <v>1.3149999999999999</v>
      </c>
      <c r="P311" s="159">
        <f t="shared" si="39"/>
        <v>98</v>
      </c>
    </row>
    <row r="312" spans="2:16" hidden="1" x14ac:dyDescent="0.3">
      <c r="B312" s="98" t="s">
        <v>1031</v>
      </c>
      <c r="C312" s="99" t="s">
        <v>1032</v>
      </c>
      <c r="D312" s="100">
        <v>44399</v>
      </c>
      <c r="E312" s="98">
        <v>508</v>
      </c>
      <c r="F312" s="101">
        <v>361</v>
      </c>
      <c r="G312" s="100">
        <v>45890</v>
      </c>
      <c r="H312" s="99" t="s">
        <v>423</v>
      </c>
      <c r="I312" s="99" t="s">
        <v>609</v>
      </c>
      <c r="J312" s="99" t="s">
        <v>913</v>
      </c>
      <c r="L312">
        <f t="shared" si="40"/>
        <v>10</v>
      </c>
      <c r="M312">
        <f t="shared" si="41"/>
        <v>20</v>
      </c>
      <c r="N312">
        <f t="shared" si="42"/>
        <v>200</v>
      </c>
      <c r="O312" s="158">
        <f t="shared" si="38"/>
        <v>2.54</v>
      </c>
      <c r="P312" s="159">
        <f t="shared" si="39"/>
        <v>-147</v>
      </c>
    </row>
    <row r="313" spans="2:16" hidden="1" x14ac:dyDescent="0.3">
      <c r="B313" s="102" t="s">
        <v>1033</v>
      </c>
      <c r="C313" s="103" t="s">
        <v>1034</v>
      </c>
      <c r="D313" s="104">
        <v>44397</v>
      </c>
      <c r="E313" s="102">
        <v>508</v>
      </c>
      <c r="F313" s="105">
        <v>361</v>
      </c>
      <c r="G313" s="104">
        <v>45888</v>
      </c>
      <c r="H313" s="103" t="s">
        <v>423</v>
      </c>
      <c r="I313" s="103" t="s">
        <v>609</v>
      </c>
      <c r="J313" s="103" t="s">
        <v>913</v>
      </c>
      <c r="L313">
        <f t="shared" si="40"/>
        <v>10</v>
      </c>
      <c r="M313">
        <f t="shared" si="41"/>
        <v>20</v>
      </c>
      <c r="N313">
        <f t="shared" si="42"/>
        <v>200</v>
      </c>
      <c r="O313" s="158">
        <f t="shared" si="38"/>
        <v>2.54</v>
      </c>
      <c r="P313" s="159">
        <f t="shared" si="39"/>
        <v>-147</v>
      </c>
    </row>
    <row r="314" spans="2:16" hidden="1" x14ac:dyDescent="0.3">
      <c r="B314" s="98" t="s">
        <v>1035</v>
      </c>
      <c r="C314" s="99" t="s">
        <v>1036</v>
      </c>
      <c r="D314" s="100">
        <v>45164</v>
      </c>
      <c r="E314" s="98">
        <v>107</v>
      </c>
      <c r="F314" s="101">
        <v>75</v>
      </c>
      <c r="G314" s="100">
        <v>45894</v>
      </c>
      <c r="H314" s="99" t="s">
        <v>423</v>
      </c>
      <c r="I314" s="99" t="s">
        <v>482</v>
      </c>
      <c r="J314" s="99" t="s">
        <v>913</v>
      </c>
      <c r="L314">
        <f t="shared" si="40"/>
        <v>5</v>
      </c>
      <c r="M314">
        <f t="shared" si="41"/>
        <v>5</v>
      </c>
      <c r="N314">
        <f t="shared" si="42"/>
        <v>25</v>
      </c>
      <c r="O314" s="158">
        <f t="shared" si="38"/>
        <v>4.28</v>
      </c>
      <c r="P314" s="159">
        <f t="shared" si="39"/>
        <v>-32</v>
      </c>
    </row>
    <row r="315" spans="2:16" hidden="1" x14ac:dyDescent="0.3">
      <c r="B315" s="102" t="s">
        <v>1037</v>
      </c>
      <c r="C315" s="103" t="s">
        <v>1038</v>
      </c>
      <c r="D315" s="104">
        <v>44110</v>
      </c>
      <c r="E315" s="102">
        <v>122</v>
      </c>
      <c r="F315" s="105">
        <v>75</v>
      </c>
      <c r="G315" s="104">
        <v>45874</v>
      </c>
      <c r="H315" s="103" t="s">
        <v>423</v>
      </c>
      <c r="I315" s="103" t="s">
        <v>482</v>
      </c>
      <c r="J315" s="103" t="s">
        <v>913</v>
      </c>
      <c r="L315">
        <f t="shared" si="40"/>
        <v>5</v>
      </c>
      <c r="M315">
        <f t="shared" si="41"/>
        <v>5</v>
      </c>
      <c r="N315">
        <f t="shared" si="42"/>
        <v>25</v>
      </c>
      <c r="O315" s="158">
        <f t="shared" si="38"/>
        <v>4.88</v>
      </c>
      <c r="P315" s="159">
        <f t="shared" si="39"/>
        <v>-47</v>
      </c>
    </row>
    <row r="316" spans="2:16" hidden="1" x14ac:dyDescent="0.3">
      <c r="B316" s="98" t="s">
        <v>1039</v>
      </c>
      <c r="C316" s="99" t="s">
        <v>1040</v>
      </c>
      <c r="D316" s="100">
        <v>45031</v>
      </c>
      <c r="E316" s="98">
        <v>106</v>
      </c>
      <c r="F316" s="101">
        <v>75</v>
      </c>
      <c r="G316" s="100">
        <v>45884</v>
      </c>
      <c r="H316" s="99" t="s">
        <v>423</v>
      </c>
      <c r="I316" s="99" t="s">
        <v>482</v>
      </c>
      <c r="J316" s="99" t="s">
        <v>913</v>
      </c>
      <c r="L316">
        <f t="shared" si="40"/>
        <v>5</v>
      </c>
      <c r="M316">
        <f t="shared" si="41"/>
        <v>5</v>
      </c>
      <c r="N316">
        <f t="shared" si="42"/>
        <v>25</v>
      </c>
      <c r="O316" s="158">
        <f t="shared" ref="O316:O339" si="43">E316/N316</f>
        <v>4.24</v>
      </c>
      <c r="P316" s="159">
        <f t="shared" ref="P316:P339" si="44">F316-E316</f>
        <v>-31</v>
      </c>
    </row>
    <row r="317" spans="2:16" hidden="1" x14ac:dyDescent="0.3">
      <c r="B317" s="102" t="s">
        <v>1041</v>
      </c>
      <c r="C317" s="103" t="s">
        <v>1042</v>
      </c>
      <c r="D317" s="104">
        <v>44928</v>
      </c>
      <c r="E317" s="102">
        <v>103</v>
      </c>
      <c r="F317" s="105">
        <v>75</v>
      </c>
      <c r="G317" s="104">
        <v>45870</v>
      </c>
      <c r="H317" s="103" t="s">
        <v>423</v>
      </c>
      <c r="I317" s="103" t="s">
        <v>482</v>
      </c>
      <c r="J317" s="103" t="s">
        <v>913</v>
      </c>
      <c r="L317">
        <f t="shared" si="40"/>
        <v>5</v>
      </c>
      <c r="M317">
        <f t="shared" si="41"/>
        <v>5</v>
      </c>
      <c r="N317">
        <f t="shared" si="42"/>
        <v>25</v>
      </c>
      <c r="O317" s="158">
        <f t="shared" si="43"/>
        <v>4.12</v>
      </c>
      <c r="P317" s="159">
        <f t="shared" si="44"/>
        <v>-28</v>
      </c>
    </row>
    <row r="318" spans="2:16" hidden="1" x14ac:dyDescent="0.3">
      <c r="B318" s="98" t="s">
        <v>1043</v>
      </c>
      <c r="C318" s="99" t="s">
        <v>1044</v>
      </c>
      <c r="D318" s="100">
        <v>44970</v>
      </c>
      <c r="E318" s="98">
        <v>79.2</v>
      </c>
      <c r="F318" s="101">
        <v>75</v>
      </c>
      <c r="G318" s="100">
        <v>45912</v>
      </c>
      <c r="H318" s="99" t="s">
        <v>423</v>
      </c>
      <c r="I318" s="99" t="s">
        <v>482</v>
      </c>
      <c r="J318" s="99" t="s">
        <v>913</v>
      </c>
      <c r="L318">
        <f t="shared" si="40"/>
        <v>5</v>
      </c>
      <c r="M318">
        <f t="shared" si="41"/>
        <v>5</v>
      </c>
      <c r="N318">
        <f t="shared" si="42"/>
        <v>25</v>
      </c>
      <c r="O318" s="158">
        <f t="shared" si="43"/>
        <v>3.1680000000000001</v>
      </c>
      <c r="P318" s="159">
        <f t="shared" si="44"/>
        <v>-4.2000000000000028</v>
      </c>
    </row>
    <row r="319" spans="2:16" x14ac:dyDescent="0.3">
      <c r="B319" s="102" t="s">
        <v>1045</v>
      </c>
      <c r="C319" s="103" t="s">
        <v>1046</v>
      </c>
      <c r="D319" s="104">
        <v>43963</v>
      </c>
      <c r="E319" s="102">
        <v>208</v>
      </c>
      <c r="F319" s="105">
        <v>292</v>
      </c>
      <c r="G319" s="104">
        <v>45880</v>
      </c>
      <c r="H319" s="103" t="s">
        <v>423</v>
      </c>
      <c r="I319" s="103" t="s">
        <v>424</v>
      </c>
      <c r="J319" s="103" t="s">
        <v>913</v>
      </c>
      <c r="L319">
        <f t="shared" si="40"/>
        <v>10</v>
      </c>
      <c r="M319">
        <f t="shared" si="41"/>
        <v>15</v>
      </c>
      <c r="N319">
        <f t="shared" si="42"/>
        <v>150</v>
      </c>
      <c r="O319" s="158">
        <f t="shared" si="43"/>
        <v>1.3866666666666667</v>
      </c>
      <c r="P319" s="159">
        <f t="shared" si="44"/>
        <v>84</v>
      </c>
    </row>
    <row r="320" spans="2:16" hidden="1" x14ac:dyDescent="0.3">
      <c r="B320" s="98" t="s">
        <v>808</v>
      </c>
      <c r="C320" s="99" t="s">
        <v>1047</v>
      </c>
      <c r="D320" s="100">
        <v>45854</v>
      </c>
      <c r="E320" s="98">
        <v>292</v>
      </c>
      <c r="F320" s="101">
        <v>292</v>
      </c>
      <c r="G320" s="100">
        <v>45884</v>
      </c>
      <c r="H320" s="99" t="s">
        <v>423</v>
      </c>
      <c r="I320" s="99" t="s">
        <v>424</v>
      </c>
      <c r="J320" s="99" t="s">
        <v>913</v>
      </c>
      <c r="L320">
        <f t="shared" si="40"/>
        <v>10</v>
      </c>
      <c r="M320">
        <f t="shared" si="41"/>
        <v>15</v>
      </c>
      <c r="N320">
        <f t="shared" si="42"/>
        <v>150</v>
      </c>
      <c r="O320" s="158">
        <f t="shared" si="43"/>
        <v>1.9466666666666668</v>
      </c>
      <c r="P320" s="159">
        <f t="shared" si="44"/>
        <v>0</v>
      </c>
    </row>
    <row r="321" spans="2:16" x14ac:dyDescent="0.3">
      <c r="B321" s="102" t="s">
        <v>1048</v>
      </c>
      <c r="C321" s="103" t="s">
        <v>1049</v>
      </c>
      <c r="D321" s="104">
        <v>45019</v>
      </c>
      <c r="E321" s="102">
        <v>358</v>
      </c>
      <c r="F321" s="105">
        <v>361</v>
      </c>
      <c r="G321" s="104">
        <v>45872</v>
      </c>
      <c r="H321" s="103" t="s">
        <v>423</v>
      </c>
      <c r="I321" s="103" t="s">
        <v>609</v>
      </c>
      <c r="J321" s="103" t="s">
        <v>913</v>
      </c>
      <c r="L321">
        <f t="shared" si="40"/>
        <v>10</v>
      </c>
      <c r="M321">
        <f t="shared" si="41"/>
        <v>20</v>
      </c>
      <c r="N321">
        <f t="shared" si="42"/>
        <v>200</v>
      </c>
      <c r="O321" s="158">
        <f t="shared" si="43"/>
        <v>1.79</v>
      </c>
      <c r="P321" s="159">
        <f t="shared" si="44"/>
        <v>3</v>
      </c>
    </row>
    <row r="322" spans="2:16" x14ac:dyDescent="0.3">
      <c r="B322" s="98" t="s">
        <v>1050</v>
      </c>
      <c r="C322" s="99" t="s">
        <v>1051</v>
      </c>
      <c r="D322" s="100">
        <v>45668</v>
      </c>
      <c r="E322" s="98">
        <v>241</v>
      </c>
      <c r="F322" s="101">
        <v>278</v>
      </c>
      <c r="G322" s="100">
        <v>45879</v>
      </c>
      <c r="H322" s="99" t="s">
        <v>423</v>
      </c>
      <c r="I322" s="99" t="s">
        <v>1052</v>
      </c>
      <c r="J322" s="99" t="s">
        <v>913</v>
      </c>
      <c r="L322">
        <f t="shared" si="40"/>
        <v>10</v>
      </c>
      <c r="M322">
        <f t="shared" si="41"/>
        <v>14</v>
      </c>
      <c r="N322">
        <f t="shared" si="42"/>
        <v>140</v>
      </c>
      <c r="O322" s="158">
        <f t="shared" si="43"/>
        <v>1.7214285714285715</v>
      </c>
      <c r="P322" s="159">
        <f t="shared" si="44"/>
        <v>37</v>
      </c>
    </row>
    <row r="323" spans="2:16" hidden="1" x14ac:dyDescent="0.3">
      <c r="B323" s="102" t="s">
        <v>1053</v>
      </c>
      <c r="C323" s="103" t="s">
        <v>1054</v>
      </c>
      <c r="D323" s="104">
        <v>43944</v>
      </c>
      <c r="E323" s="102">
        <v>573</v>
      </c>
      <c r="F323" s="105">
        <v>361</v>
      </c>
      <c r="G323" s="104">
        <v>45891</v>
      </c>
      <c r="H323" s="103" t="s">
        <v>423</v>
      </c>
      <c r="I323" s="103" t="s">
        <v>609</v>
      </c>
      <c r="J323" s="103" t="s">
        <v>913</v>
      </c>
      <c r="L323">
        <f t="shared" si="40"/>
        <v>10</v>
      </c>
      <c r="M323">
        <f t="shared" si="41"/>
        <v>20</v>
      </c>
      <c r="N323">
        <f t="shared" si="42"/>
        <v>200</v>
      </c>
      <c r="O323" s="158">
        <f t="shared" si="43"/>
        <v>2.8650000000000002</v>
      </c>
      <c r="P323" s="159">
        <f t="shared" si="44"/>
        <v>-212</v>
      </c>
    </row>
    <row r="324" spans="2:16" hidden="1" x14ac:dyDescent="0.3">
      <c r="B324" s="98" t="s">
        <v>1055</v>
      </c>
      <c r="C324" s="99" t="s">
        <v>1056</v>
      </c>
      <c r="D324" s="100">
        <v>45176</v>
      </c>
      <c r="E324" s="98">
        <v>296</v>
      </c>
      <c r="F324" s="101">
        <v>278</v>
      </c>
      <c r="G324" s="100">
        <v>45876</v>
      </c>
      <c r="H324" s="99" t="s">
        <v>423</v>
      </c>
      <c r="I324" s="99" t="s">
        <v>1052</v>
      </c>
      <c r="J324" s="99" t="s">
        <v>913</v>
      </c>
      <c r="L324">
        <f t="shared" si="40"/>
        <v>10</v>
      </c>
      <c r="M324">
        <f t="shared" si="41"/>
        <v>14</v>
      </c>
      <c r="N324">
        <f t="shared" si="42"/>
        <v>140</v>
      </c>
      <c r="O324" s="158">
        <f t="shared" si="43"/>
        <v>2.1142857142857143</v>
      </c>
      <c r="P324" s="159">
        <f t="shared" si="44"/>
        <v>-18</v>
      </c>
    </row>
    <row r="325" spans="2:16" hidden="1" x14ac:dyDescent="0.3">
      <c r="B325" s="102" t="s">
        <v>1006</v>
      </c>
      <c r="C325" s="103" t="s">
        <v>1057</v>
      </c>
      <c r="D325" s="104">
        <v>44530</v>
      </c>
      <c r="E325" s="102">
        <v>240</v>
      </c>
      <c r="F325" s="105">
        <v>168</v>
      </c>
      <c r="G325" s="104">
        <v>45867</v>
      </c>
      <c r="H325" s="103" t="s">
        <v>442</v>
      </c>
      <c r="I325" s="103" t="s">
        <v>431</v>
      </c>
      <c r="J325" s="103" t="s">
        <v>913</v>
      </c>
      <c r="L325">
        <f t="shared" si="40"/>
        <v>5</v>
      </c>
      <c r="M325">
        <f t="shared" si="41"/>
        <v>15</v>
      </c>
      <c r="N325">
        <f t="shared" si="42"/>
        <v>75</v>
      </c>
      <c r="O325" s="158">
        <f t="shared" si="43"/>
        <v>3.2</v>
      </c>
      <c r="P325" s="159">
        <f t="shared" si="44"/>
        <v>-72</v>
      </c>
    </row>
    <row r="326" spans="2:16" x14ac:dyDescent="0.3">
      <c r="B326" s="98" t="s">
        <v>1018</v>
      </c>
      <c r="C326" s="99" t="s">
        <v>1058</v>
      </c>
      <c r="D326" s="100">
        <v>44944</v>
      </c>
      <c r="E326" s="98">
        <v>354</v>
      </c>
      <c r="F326" s="101">
        <v>361</v>
      </c>
      <c r="G326" s="100">
        <v>45886</v>
      </c>
      <c r="H326" s="99" t="s">
        <v>423</v>
      </c>
      <c r="I326" s="99" t="s">
        <v>609</v>
      </c>
      <c r="J326" s="99" t="s">
        <v>913</v>
      </c>
      <c r="L326">
        <f t="shared" si="40"/>
        <v>10</v>
      </c>
      <c r="M326">
        <f t="shared" si="41"/>
        <v>20</v>
      </c>
      <c r="N326">
        <f t="shared" si="42"/>
        <v>200</v>
      </c>
      <c r="O326" s="158">
        <f t="shared" si="43"/>
        <v>1.77</v>
      </c>
      <c r="P326" s="159">
        <f t="shared" si="44"/>
        <v>7</v>
      </c>
    </row>
    <row r="327" spans="2:16" hidden="1" x14ac:dyDescent="0.3">
      <c r="B327" s="102" t="s">
        <v>1059</v>
      </c>
      <c r="C327" s="103" t="s">
        <v>1060</v>
      </c>
      <c r="D327" s="104">
        <v>44471</v>
      </c>
      <c r="E327" s="102">
        <v>452</v>
      </c>
      <c r="F327" s="105">
        <v>361</v>
      </c>
      <c r="G327" s="104">
        <v>45962</v>
      </c>
      <c r="H327" s="103" t="s">
        <v>423</v>
      </c>
      <c r="I327" s="103" t="s">
        <v>609</v>
      </c>
      <c r="J327" s="103" t="s">
        <v>913</v>
      </c>
      <c r="L327">
        <f t="shared" ref="L327:L390" si="45">--LEFT(I327,FIND("X",I327)-1)</f>
        <v>10</v>
      </c>
      <c r="M327">
        <f t="shared" ref="M327:M390" si="46">--RIGHT(I327,LEN(I327)-FIND("X",I327))</f>
        <v>20</v>
      </c>
      <c r="N327">
        <f t="shared" ref="N327:N390" si="47">L327*M327</f>
        <v>200</v>
      </c>
      <c r="O327" s="158">
        <f t="shared" si="43"/>
        <v>2.2599999999999998</v>
      </c>
      <c r="P327" s="159">
        <f t="shared" si="44"/>
        <v>-91</v>
      </c>
    </row>
    <row r="328" spans="2:16" x14ac:dyDescent="0.3">
      <c r="B328" s="98" t="s">
        <v>1061</v>
      </c>
      <c r="C328" s="99" t="s">
        <v>1062</v>
      </c>
      <c r="D328" s="100">
        <v>44984</v>
      </c>
      <c r="E328" s="98">
        <v>105</v>
      </c>
      <c r="F328" s="101">
        <v>168</v>
      </c>
      <c r="G328" s="100">
        <v>45895</v>
      </c>
      <c r="H328" s="99" t="s">
        <v>423</v>
      </c>
      <c r="I328" s="99" t="s">
        <v>446</v>
      </c>
      <c r="J328" s="99" t="s">
        <v>913</v>
      </c>
      <c r="L328">
        <f t="shared" si="45"/>
        <v>15</v>
      </c>
      <c r="M328">
        <f t="shared" si="46"/>
        <v>5</v>
      </c>
      <c r="N328">
        <f t="shared" si="47"/>
        <v>75</v>
      </c>
      <c r="O328" s="158">
        <f t="shared" si="43"/>
        <v>1.4</v>
      </c>
      <c r="P328" s="159">
        <f t="shared" si="44"/>
        <v>63</v>
      </c>
    </row>
    <row r="329" spans="2:16" hidden="1" x14ac:dyDescent="0.3">
      <c r="B329" s="102" t="s">
        <v>1063</v>
      </c>
      <c r="C329" s="103" t="s">
        <v>1064</v>
      </c>
      <c r="D329" s="104">
        <v>45336</v>
      </c>
      <c r="E329" s="102">
        <v>447</v>
      </c>
      <c r="F329" s="105">
        <v>361</v>
      </c>
      <c r="G329" s="104">
        <v>45882</v>
      </c>
      <c r="H329" s="103" t="s">
        <v>423</v>
      </c>
      <c r="I329" s="103" t="s">
        <v>609</v>
      </c>
      <c r="J329" s="103" t="s">
        <v>913</v>
      </c>
      <c r="L329">
        <f t="shared" si="45"/>
        <v>10</v>
      </c>
      <c r="M329">
        <f t="shared" si="46"/>
        <v>20</v>
      </c>
      <c r="N329">
        <f t="shared" si="47"/>
        <v>200</v>
      </c>
      <c r="O329" s="158">
        <f t="shared" si="43"/>
        <v>2.2349999999999999</v>
      </c>
      <c r="P329" s="159">
        <f t="shared" si="44"/>
        <v>-86</v>
      </c>
    </row>
    <row r="330" spans="2:16" hidden="1" x14ac:dyDescent="0.3">
      <c r="B330" s="98" t="s">
        <v>1065</v>
      </c>
      <c r="C330" s="99" t="s">
        <v>1066</v>
      </c>
      <c r="D330" s="100">
        <v>45353</v>
      </c>
      <c r="E330" s="98">
        <v>251</v>
      </c>
      <c r="F330" s="101">
        <v>168</v>
      </c>
      <c r="G330" s="100">
        <v>45870</v>
      </c>
      <c r="H330" s="99" t="s">
        <v>423</v>
      </c>
      <c r="I330" s="99" t="s">
        <v>431</v>
      </c>
      <c r="J330" s="99" t="s">
        <v>913</v>
      </c>
      <c r="L330">
        <f t="shared" si="45"/>
        <v>5</v>
      </c>
      <c r="M330">
        <f t="shared" si="46"/>
        <v>15</v>
      </c>
      <c r="N330">
        <f t="shared" si="47"/>
        <v>75</v>
      </c>
      <c r="O330" s="158">
        <f t="shared" si="43"/>
        <v>3.3466666666666667</v>
      </c>
      <c r="P330" s="159">
        <f t="shared" si="44"/>
        <v>-83</v>
      </c>
    </row>
    <row r="331" spans="2:16" x14ac:dyDescent="0.3">
      <c r="B331" s="102" t="s">
        <v>1067</v>
      </c>
      <c r="C331" s="103" t="s">
        <v>1068</v>
      </c>
      <c r="D331" s="104">
        <v>45296</v>
      </c>
      <c r="E331" s="102">
        <v>346</v>
      </c>
      <c r="F331" s="105">
        <v>361</v>
      </c>
      <c r="G331" s="104">
        <v>45873</v>
      </c>
      <c r="H331" s="103" t="s">
        <v>423</v>
      </c>
      <c r="I331" s="103" t="s">
        <v>609</v>
      </c>
      <c r="J331" s="103" t="s">
        <v>913</v>
      </c>
      <c r="L331">
        <f t="shared" si="45"/>
        <v>10</v>
      </c>
      <c r="M331">
        <f t="shared" si="46"/>
        <v>20</v>
      </c>
      <c r="N331">
        <f t="shared" si="47"/>
        <v>200</v>
      </c>
      <c r="O331" s="158">
        <f t="shared" si="43"/>
        <v>1.73</v>
      </c>
      <c r="P331" s="159">
        <f t="shared" si="44"/>
        <v>15</v>
      </c>
    </row>
    <row r="332" spans="2:16" hidden="1" x14ac:dyDescent="0.3">
      <c r="B332" s="98" t="s">
        <v>1069</v>
      </c>
      <c r="C332" s="99" t="s">
        <v>1070</v>
      </c>
      <c r="D332" s="100">
        <v>45320</v>
      </c>
      <c r="E332" s="98">
        <v>430</v>
      </c>
      <c r="F332" s="101">
        <v>361</v>
      </c>
      <c r="G332" s="100">
        <v>45897</v>
      </c>
      <c r="H332" s="99" t="s">
        <v>423</v>
      </c>
      <c r="I332" s="99" t="s">
        <v>609</v>
      </c>
      <c r="J332" s="99" t="s">
        <v>913</v>
      </c>
      <c r="L332">
        <f t="shared" si="45"/>
        <v>10</v>
      </c>
      <c r="M332">
        <f t="shared" si="46"/>
        <v>20</v>
      </c>
      <c r="N332">
        <f t="shared" si="47"/>
        <v>200</v>
      </c>
      <c r="O332" s="158">
        <f t="shared" si="43"/>
        <v>2.15</v>
      </c>
      <c r="P332" s="159">
        <f t="shared" si="44"/>
        <v>-69</v>
      </c>
    </row>
    <row r="333" spans="2:16" hidden="1" x14ac:dyDescent="0.3">
      <c r="B333" s="102" t="s">
        <v>1071</v>
      </c>
      <c r="C333" s="103" t="s">
        <v>1072</v>
      </c>
      <c r="D333" s="104">
        <v>44005</v>
      </c>
      <c r="E333" s="102">
        <v>204</v>
      </c>
      <c r="F333" s="105">
        <v>168</v>
      </c>
      <c r="G333" s="104">
        <v>45891</v>
      </c>
      <c r="H333" s="103" t="s">
        <v>423</v>
      </c>
      <c r="I333" s="103" t="s">
        <v>446</v>
      </c>
      <c r="J333" s="103" t="s">
        <v>913</v>
      </c>
      <c r="L333">
        <f t="shared" si="45"/>
        <v>15</v>
      </c>
      <c r="M333">
        <f t="shared" si="46"/>
        <v>5</v>
      </c>
      <c r="N333">
        <f t="shared" si="47"/>
        <v>75</v>
      </c>
      <c r="O333" s="158">
        <f t="shared" si="43"/>
        <v>2.72</v>
      </c>
      <c r="P333" s="159">
        <f t="shared" si="44"/>
        <v>-36</v>
      </c>
    </row>
    <row r="334" spans="2:16" x14ac:dyDescent="0.3">
      <c r="B334" s="98" t="s">
        <v>1073</v>
      </c>
      <c r="C334" s="99" t="s">
        <v>1074</v>
      </c>
      <c r="D334" s="100">
        <v>44359</v>
      </c>
      <c r="E334" s="98">
        <v>146</v>
      </c>
      <c r="F334" s="101">
        <v>168</v>
      </c>
      <c r="G334" s="100">
        <v>45880</v>
      </c>
      <c r="H334" s="99" t="s">
        <v>423</v>
      </c>
      <c r="I334" s="99" t="s">
        <v>431</v>
      </c>
      <c r="J334" s="99" t="s">
        <v>913</v>
      </c>
      <c r="L334">
        <f t="shared" si="45"/>
        <v>5</v>
      </c>
      <c r="M334">
        <f t="shared" si="46"/>
        <v>15</v>
      </c>
      <c r="N334">
        <f t="shared" si="47"/>
        <v>75</v>
      </c>
      <c r="O334" s="158">
        <f t="shared" si="43"/>
        <v>1.9466666666666668</v>
      </c>
      <c r="P334" s="159">
        <f t="shared" si="44"/>
        <v>22</v>
      </c>
    </row>
    <row r="335" spans="2:16" x14ac:dyDescent="0.3">
      <c r="B335" s="102" t="s">
        <v>1075</v>
      </c>
      <c r="C335" s="103" t="s">
        <v>1076</v>
      </c>
      <c r="D335" s="104">
        <v>45785</v>
      </c>
      <c r="E335" s="102">
        <v>83</v>
      </c>
      <c r="F335" s="105">
        <v>168</v>
      </c>
      <c r="G335" s="104">
        <v>45878</v>
      </c>
      <c r="H335" s="103" t="s">
        <v>423</v>
      </c>
      <c r="I335" s="103" t="s">
        <v>431</v>
      </c>
      <c r="J335" s="103" t="s">
        <v>913</v>
      </c>
      <c r="L335">
        <f t="shared" si="45"/>
        <v>5</v>
      </c>
      <c r="M335">
        <f t="shared" si="46"/>
        <v>15</v>
      </c>
      <c r="N335">
        <f t="shared" si="47"/>
        <v>75</v>
      </c>
      <c r="O335" s="158">
        <f t="shared" si="43"/>
        <v>1.1066666666666667</v>
      </c>
      <c r="P335" s="159">
        <f t="shared" si="44"/>
        <v>85</v>
      </c>
    </row>
    <row r="336" spans="2:16" x14ac:dyDescent="0.3">
      <c r="B336" s="98" t="s">
        <v>1077</v>
      </c>
      <c r="C336" s="99" t="s">
        <v>1078</v>
      </c>
      <c r="D336" s="100">
        <v>44981</v>
      </c>
      <c r="E336" s="98">
        <v>135</v>
      </c>
      <c r="F336" s="101">
        <v>168</v>
      </c>
      <c r="G336" s="100">
        <v>45893</v>
      </c>
      <c r="H336" s="99" t="s">
        <v>423</v>
      </c>
      <c r="I336" s="99" t="s">
        <v>431</v>
      </c>
      <c r="J336" s="99" t="s">
        <v>913</v>
      </c>
      <c r="L336">
        <f t="shared" si="45"/>
        <v>5</v>
      </c>
      <c r="M336">
        <f t="shared" si="46"/>
        <v>15</v>
      </c>
      <c r="N336">
        <f t="shared" si="47"/>
        <v>75</v>
      </c>
      <c r="O336" s="158">
        <f t="shared" si="43"/>
        <v>1.8</v>
      </c>
      <c r="P336" s="159">
        <f t="shared" si="44"/>
        <v>33</v>
      </c>
    </row>
    <row r="337" spans="2:16" hidden="1" x14ac:dyDescent="0.3">
      <c r="B337" s="102" t="s">
        <v>1079</v>
      </c>
      <c r="C337" s="103" t="s">
        <v>1080</v>
      </c>
      <c r="D337" s="104">
        <v>45230</v>
      </c>
      <c r="E337" s="102">
        <v>682</v>
      </c>
      <c r="F337" s="105">
        <v>600</v>
      </c>
      <c r="G337" s="104">
        <v>45869</v>
      </c>
      <c r="H337" s="103" t="s">
        <v>423</v>
      </c>
      <c r="I337" s="103" t="s">
        <v>772</v>
      </c>
      <c r="J337" s="103" t="s">
        <v>1081</v>
      </c>
      <c r="L337">
        <f t="shared" si="45"/>
        <v>20</v>
      </c>
      <c r="M337">
        <f t="shared" si="46"/>
        <v>20</v>
      </c>
      <c r="N337">
        <f t="shared" si="47"/>
        <v>400</v>
      </c>
      <c r="O337" s="158">
        <f t="shared" si="43"/>
        <v>1.7050000000000001</v>
      </c>
      <c r="P337" s="159">
        <f t="shared" si="44"/>
        <v>-82</v>
      </c>
    </row>
    <row r="338" spans="2:16" x14ac:dyDescent="0.3">
      <c r="B338" s="98" t="s">
        <v>1082</v>
      </c>
      <c r="C338" s="99" t="s">
        <v>1083</v>
      </c>
      <c r="D338" s="100">
        <v>45765</v>
      </c>
      <c r="E338" s="98">
        <v>66</v>
      </c>
      <c r="F338" s="101">
        <v>168</v>
      </c>
      <c r="G338" s="100">
        <v>45892</v>
      </c>
      <c r="H338" s="99" t="s">
        <v>423</v>
      </c>
      <c r="I338" s="99" t="s">
        <v>431</v>
      </c>
      <c r="J338" s="99" t="s">
        <v>913</v>
      </c>
      <c r="L338">
        <f t="shared" si="45"/>
        <v>5</v>
      </c>
      <c r="M338">
        <f t="shared" si="46"/>
        <v>15</v>
      </c>
      <c r="N338">
        <f t="shared" si="47"/>
        <v>75</v>
      </c>
      <c r="O338" s="158">
        <f t="shared" si="43"/>
        <v>0.88</v>
      </c>
      <c r="P338" s="159">
        <f t="shared" si="44"/>
        <v>102</v>
      </c>
    </row>
    <row r="339" spans="2:16" x14ac:dyDescent="0.3">
      <c r="B339" s="102" t="s">
        <v>1084</v>
      </c>
      <c r="C339" s="103" t="s">
        <v>1085</v>
      </c>
      <c r="D339" s="104">
        <v>45819</v>
      </c>
      <c r="E339" s="102">
        <v>44</v>
      </c>
      <c r="F339" s="105">
        <v>75</v>
      </c>
      <c r="G339" s="104">
        <v>45879</v>
      </c>
      <c r="H339" s="103" t="s">
        <v>423</v>
      </c>
      <c r="I339" s="103" t="s">
        <v>482</v>
      </c>
      <c r="J339" s="103" t="s">
        <v>913</v>
      </c>
      <c r="L339">
        <f t="shared" si="45"/>
        <v>5</v>
      </c>
      <c r="M339">
        <f t="shared" si="46"/>
        <v>5</v>
      </c>
      <c r="N339">
        <f t="shared" si="47"/>
        <v>25</v>
      </c>
      <c r="O339" s="158">
        <f t="shared" si="43"/>
        <v>1.76</v>
      </c>
      <c r="P339" s="159">
        <f t="shared" si="44"/>
        <v>31</v>
      </c>
    </row>
    <row r="340" spans="2:16" hidden="1" x14ac:dyDescent="0.3">
      <c r="B340" s="98"/>
      <c r="C340" s="99" t="s">
        <v>1086</v>
      </c>
      <c r="D340" s="99"/>
      <c r="E340" s="98"/>
      <c r="F340" s="101">
        <v>124</v>
      </c>
      <c r="G340" s="99"/>
      <c r="H340" s="99" t="s">
        <v>445</v>
      </c>
      <c r="I340" s="99" t="s">
        <v>463</v>
      </c>
      <c r="J340" s="99" t="s">
        <v>913</v>
      </c>
      <c r="L340">
        <f t="shared" si="45"/>
        <v>5</v>
      </c>
      <c r="M340">
        <f t="shared" si="46"/>
        <v>10</v>
      </c>
      <c r="N340">
        <f t="shared" si="47"/>
        <v>50</v>
      </c>
    </row>
    <row r="341" spans="2:16" hidden="1" x14ac:dyDescent="0.3">
      <c r="B341" s="102" t="s">
        <v>1087</v>
      </c>
      <c r="C341" s="103" t="s">
        <v>1088</v>
      </c>
      <c r="D341" s="104">
        <v>44294</v>
      </c>
      <c r="E341" s="102">
        <v>106</v>
      </c>
      <c r="F341" s="105">
        <v>75</v>
      </c>
      <c r="G341" s="104">
        <v>45876</v>
      </c>
      <c r="H341" s="103" t="s">
        <v>423</v>
      </c>
      <c r="I341" s="103" t="s">
        <v>482</v>
      </c>
      <c r="J341" s="103" t="s">
        <v>913</v>
      </c>
      <c r="L341">
        <f t="shared" si="45"/>
        <v>5</v>
      </c>
      <c r="M341">
        <f t="shared" si="46"/>
        <v>5</v>
      </c>
      <c r="N341">
        <f t="shared" si="47"/>
        <v>25</v>
      </c>
      <c r="O341" s="158">
        <f t="shared" ref="O341:O368" si="48">E341/N341</f>
        <v>4.24</v>
      </c>
      <c r="P341" s="159">
        <f t="shared" ref="P341:P368" si="49">F341-E341</f>
        <v>-31</v>
      </c>
    </row>
    <row r="342" spans="2:16" hidden="1" x14ac:dyDescent="0.3">
      <c r="B342" s="98" t="s">
        <v>1089</v>
      </c>
      <c r="C342" s="99" t="s">
        <v>1090</v>
      </c>
      <c r="D342" s="100">
        <v>45080</v>
      </c>
      <c r="E342" s="98">
        <v>102</v>
      </c>
      <c r="F342" s="101">
        <v>75</v>
      </c>
      <c r="G342" s="100">
        <v>45871</v>
      </c>
      <c r="H342" s="99" t="s">
        <v>423</v>
      </c>
      <c r="I342" s="99" t="s">
        <v>482</v>
      </c>
      <c r="J342" s="99" t="s">
        <v>913</v>
      </c>
      <c r="L342">
        <f t="shared" si="45"/>
        <v>5</v>
      </c>
      <c r="M342">
        <f t="shared" si="46"/>
        <v>5</v>
      </c>
      <c r="N342">
        <f t="shared" si="47"/>
        <v>25</v>
      </c>
      <c r="O342" s="158">
        <f t="shared" si="48"/>
        <v>4.08</v>
      </c>
      <c r="P342" s="159">
        <f t="shared" si="49"/>
        <v>-27</v>
      </c>
    </row>
    <row r="343" spans="2:16" x14ac:dyDescent="0.3">
      <c r="B343" s="102" t="s">
        <v>1091</v>
      </c>
      <c r="C343" s="103" t="s">
        <v>1092</v>
      </c>
      <c r="D343" s="104">
        <v>45772</v>
      </c>
      <c r="E343" s="102">
        <v>61</v>
      </c>
      <c r="F343" s="105">
        <v>124</v>
      </c>
      <c r="G343" s="104">
        <v>45893</v>
      </c>
      <c r="H343" s="103" t="s">
        <v>423</v>
      </c>
      <c r="I343" s="103" t="s">
        <v>463</v>
      </c>
      <c r="J343" s="103" t="s">
        <v>913</v>
      </c>
      <c r="L343">
        <f t="shared" si="45"/>
        <v>5</v>
      </c>
      <c r="M343">
        <f t="shared" si="46"/>
        <v>10</v>
      </c>
      <c r="N343">
        <f t="shared" si="47"/>
        <v>50</v>
      </c>
      <c r="O343" s="158">
        <f t="shared" si="48"/>
        <v>1.22</v>
      </c>
      <c r="P343" s="159">
        <f t="shared" si="49"/>
        <v>63</v>
      </c>
    </row>
    <row r="344" spans="2:16" hidden="1" x14ac:dyDescent="0.3">
      <c r="B344" s="98" t="s">
        <v>1093</v>
      </c>
      <c r="C344" s="99" t="s">
        <v>1094</v>
      </c>
      <c r="D344" s="100">
        <v>45300</v>
      </c>
      <c r="E344" s="98">
        <v>103</v>
      </c>
      <c r="F344" s="101">
        <v>75</v>
      </c>
      <c r="G344" s="100">
        <v>45881</v>
      </c>
      <c r="H344" s="99" t="s">
        <v>423</v>
      </c>
      <c r="I344" s="99" t="s">
        <v>482</v>
      </c>
      <c r="J344" s="99" t="s">
        <v>913</v>
      </c>
      <c r="L344">
        <f t="shared" si="45"/>
        <v>5</v>
      </c>
      <c r="M344">
        <f t="shared" si="46"/>
        <v>5</v>
      </c>
      <c r="N344">
        <f t="shared" si="47"/>
        <v>25</v>
      </c>
      <c r="O344" s="158">
        <f t="shared" si="48"/>
        <v>4.12</v>
      </c>
      <c r="P344" s="159">
        <f t="shared" si="49"/>
        <v>-28</v>
      </c>
    </row>
    <row r="345" spans="2:16" hidden="1" x14ac:dyDescent="0.3">
      <c r="B345" s="102" t="s">
        <v>1095</v>
      </c>
      <c r="C345" s="103" t="s">
        <v>1096</v>
      </c>
      <c r="D345" s="104">
        <v>44524</v>
      </c>
      <c r="E345" s="102">
        <v>284</v>
      </c>
      <c r="F345" s="105">
        <v>218</v>
      </c>
      <c r="G345" s="104">
        <v>45831</v>
      </c>
      <c r="H345" s="103" t="s">
        <v>442</v>
      </c>
      <c r="I345" s="103" t="s">
        <v>428</v>
      </c>
      <c r="J345" s="103" t="s">
        <v>913</v>
      </c>
      <c r="L345">
        <f t="shared" si="45"/>
        <v>10</v>
      </c>
      <c r="M345">
        <f t="shared" si="46"/>
        <v>10</v>
      </c>
      <c r="N345">
        <f t="shared" si="47"/>
        <v>100</v>
      </c>
      <c r="O345" s="158">
        <f t="shared" si="48"/>
        <v>2.84</v>
      </c>
      <c r="P345" s="159">
        <f t="shared" si="49"/>
        <v>-66</v>
      </c>
    </row>
    <row r="346" spans="2:16" x14ac:dyDescent="0.3">
      <c r="B346" s="98" t="s">
        <v>1097</v>
      </c>
      <c r="C346" s="99" t="s">
        <v>1098</v>
      </c>
      <c r="D346" s="100">
        <v>44018</v>
      </c>
      <c r="E346" s="98">
        <v>73</v>
      </c>
      <c r="F346" s="101">
        <v>124</v>
      </c>
      <c r="G346" s="100">
        <v>45884</v>
      </c>
      <c r="H346" s="99" t="s">
        <v>423</v>
      </c>
      <c r="I346" s="99" t="s">
        <v>443</v>
      </c>
      <c r="J346" s="99" t="s">
        <v>913</v>
      </c>
      <c r="L346">
        <f t="shared" si="45"/>
        <v>10</v>
      </c>
      <c r="M346">
        <f t="shared" si="46"/>
        <v>5</v>
      </c>
      <c r="N346">
        <f t="shared" si="47"/>
        <v>50</v>
      </c>
      <c r="O346" s="158">
        <f t="shared" si="48"/>
        <v>1.46</v>
      </c>
      <c r="P346" s="159">
        <f t="shared" si="49"/>
        <v>51</v>
      </c>
    </row>
    <row r="347" spans="2:16" hidden="1" x14ac:dyDescent="0.3">
      <c r="B347" s="102" t="s">
        <v>1099</v>
      </c>
      <c r="C347" s="103" t="s">
        <v>1100</v>
      </c>
      <c r="D347" s="104">
        <v>44058</v>
      </c>
      <c r="E347" s="102">
        <v>175.75</v>
      </c>
      <c r="F347" s="105">
        <v>124</v>
      </c>
      <c r="G347" s="104">
        <v>45883</v>
      </c>
      <c r="H347" s="103" t="s">
        <v>423</v>
      </c>
      <c r="I347" s="103" t="s">
        <v>443</v>
      </c>
      <c r="J347" s="103" t="s">
        <v>913</v>
      </c>
      <c r="L347">
        <f t="shared" si="45"/>
        <v>10</v>
      </c>
      <c r="M347">
        <f t="shared" si="46"/>
        <v>5</v>
      </c>
      <c r="N347">
        <f t="shared" si="47"/>
        <v>50</v>
      </c>
      <c r="O347" s="158">
        <f t="shared" si="48"/>
        <v>3.5150000000000001</v>
      </c>
      <c r="P347" s="159">
        <f t="shared" si="49"/>
        <v>-51.75</v>
      </c>
    </row>
    <row r="348" spans="2:16" x14ac:dyDescent="0.3">
      <c r="B348" s="98" t="s">
        <v>1101</v>
      </c>
      <c r="C348" s="99" t="s">
        <v>1102</v>
      </c>
      <c r="D348" s="100">
        <v>45766</v>
      </c>
      <c r="E348" s="98">
        <v>118</v>
      </c>
      <c r="F348" s="101">
        <v>124</v>
      </c>
      <c r="G348" s="100">
        <v>45887</v>
      </c>
      <c r="H348" s="99" t="s">
        <v>423</v>
      </c>
      <c r="I348" s="99" t="s">
        <v>443</v>
      </c>
      <c r="J348" s="99" t="s">
        <v>913</v>
      </c>
      <c r="L348">
        <f t="shared" si="45"/>
        <v>10</v>
      </c>
      <c r="M348">
        <f t="shared" si="46"/>
        <v>5</v>
      </c>
      <c r="N348">
        <f t="shared" si="47"/>
        <v>50</v>
      </c>
      <c r="O348" s="158">
        <f t="shared" si="48"/>
        <v>2.36</v>
      </c>
      <c r="P348" s="159">
        <f t="shared" si="49"/>
        <v>6</v>
      </c>
    </row>
    <row r="349" spans="2:16" x14ac:dyDescent="0.3">
      <c r="B349" s="102" t="s">
        <v>1103</v>
      </c>
      <c r="C349" s="103" t="s">
        <v>1104</v>
      </c>
      <c r="D349" s="104">
        <v>44475</v>
      </c>
      <c r="E349" s="102">
        <v>197</v>
      </c>
      <c r="F349" s="105">
        <v>218</v>
      </c>
      <c r="G349" s="104">
        <v>45874</v>
      </c>
      <c r="H349" s="103" t="s">
        <v>423</v>
      </c>
      <c r="I349" s="103" t="s">
        <v>428</v>
      </c>
      <c r="J349" s="103" t="s">
        <v>913</v>
      </c>
      <c r="L349">
        <f t="shared" si="45"/>
        <v>10</v>
      </c>
      <c r="M349">
        <f t="shared" si="46"/>
        <v>10</v>
      </c>
      <c r="N349">
        <f t="shared" si="47"/>
        <v>100</v>
      </c>
      <c r="O349" s="158">
        <f t="shared" si="48"/>
        <v>1.97</v>
      </c>
      <c r="P349" s="159">
        <f t="shared" si="49"/>
        <v>21</v>
      </c>
    </row>
    <row r="350" spans="2:16" hidden="1" x14ac:dyDescent="0.3">
      <c r="B350" s="98" t="s">
        <v>1105</v>
      </c>
      <c r="C350" s="99" t="s">
        <v>1106</v>
      </c>
      <c r="D350" s="100">
        <v>44721</v>
      </c>
      <c r="E350" s="98">
        <v>181</v>
      </c>
      <c r="F350" s="101">
        <v>124</v>
      </c>
      <c r="G350" s="100">
        <v>45877</v>
      </c>
      <c r="H350" s="99" t="s">
        <v>423</v>
      </c>
      <c r="I350" s="99" t="s">
        <v>443</v>
      </c>
      <c r="J350" s="99" t="s">
        <v>913</v>
      </c>
      <c r="L350">
        <f t="shared" si="45"/>
        <v>10</v>
      </c>
      <c r="M350">
        <f t="shared" si="46"/>
        <v>5</v>
      </c>
      <c r="N350">
        <f t="shared" si="47"/>
        <v>50</v>
      </c>
      <c r="O350" s="158">
        <f t="shared" si="48"/>
        <v>3.62</v>
      </c>
      <c r="P350" s="159">
        <f t="shared" si="49"/>
        <v>-57</v>
      </c>
    </row>
    <row r="351" spans="2:16" hidden="1" x14ac:dyDescent="0.3">
      <c r="B351" s="102" t="s">
        <v>1107</v>
      </c>
      <c r="C351" s="103" t="s">
        <v>1108</v>
      </c>
      <c r="D351" s="104">
        <v>43922</v>
      </c>
      <c r="E351" s="102">
        <v>293</v>
      </c>
      <c r="F351" s="105">
        <v>218</v>
      </c>
      <c r="G351" s="104">
        <v>45869</v>
      </c>
      <c r="H351" s="103" t="s">
        <v>423</v>
      </c>
      <c r="I351" s="103" t="s">
        <v>428</v>
      </c>
      <c r="J351" s="103" t="s">
        <v>913</v>
      </c>
      <c r="L351">
        <f t="shared" si="45"/>
        <v>10</v>
      </c>
      <c r="M351">
        <f t="shared" si="46"/>
        <v>10</v>
      </c>
      <c r="N351">
        <f t="shared" si="47"/>
        <v>100</v>
      </c>
      <c r="O351" s="158">
        <f t="shared" si="48"/>
        <v>2.93</v>
      </c>
      <c r="P351" s="159">
        <f t="shared" si="49"/>
        <v>-75</v>
      </c>
    </row>
    <row r="352" spans="2:16" x14ac:dyDescent="0.3">
      <c r="B352" s="98" t="s">
        <v>1109</v>
      </c>
      <c r="C352" s="99" t="s">
        <v>1110</v>
      </c>
      <c r="D352" s="100">
        <v>45790</v>
      </c>
      <c r="E352" s="98">
        <v>95</v>
      </c>
      <c r="F352" s="101">
        <v>124</v>
      </c>
      <c r="G352" s="100">
        <v>45881</v>
      </c>
      <c r="H352" s="99" t="s">
        <v>423</v>
      </c>
      <c r="I352" s="99" t="s">
        <v>443</v>
      </c>
      <c r="J352" s="99" t="s">
        <v>913</v>
      </c>
      <c r="L352">
        <f t="shared" si="45"/>
        <v>10</v>
      </c>
      <c r="M352">
        <f t="shared" si="46"/>
        <v>5</v>
      </c>
      <c r="N352">
        <f t="shared" si="47"/>
        <v>50</v>
      </c>
      <c r="O352" s="158">
        <f t="shared" si="48"/>
        <v>1.9</v>
      </c>
      <c r="P352" s="159">
        <f t="shared" si="49"/>
        <v>29</v>
      </c>
    </row>
    <row r="353" spans="2:16" x14ac:dyDescent="0.3">
      <c r="B353" s="102" t="s">
        <v>1111</v>
      </c>
      <c r="C353" s="103" t="s">
        <v>1112</v>
      </c>
      <c r="D353" s="104">
        <v>45732</v>
      </c>
      <c r="E353" s="102">
        <v>113</v>
      </c>
      <c r="F353" s="105">
        <v>218</v>
      </c>
      <c r="G353" s="104">
        <v>45885</v>
      </c>
      <c r="H353" s="103" t="s">
        <v>423</v>
      </c>
      <c r="I353" s="103" t="s">
        <v>428</v>
      </c>
      <c r="J353" s="103" t="s">
        <v>913</v>
      </c>
      <c r="L353">
        <f t="shared" si="45"/>
        <v>10</v>
      </c>
      <c r="M353">
        <f t="shared" si="46"/>
        <v>10</v>
      </c>
      <c r="N353">
        <f t="shared" si="47"/>
        <v>100</v>
      </c>
      <c r="O353" s="158">
        <f t="shared" si="48"/>
        <v>1.1299999999999999</v>
      </c>
      <c r="P353" s="159">
        <f t="shared" si="49"/>
        <v>105</v>
      </c>
    </row>
    <row r="354" spans="2:16" hidden="1" x14ac:dyDescent="0.3">
      <c r="B354" s="98" t="s">
        <v>1113</v>
      </c>
      <c r="C354" s="99" t="s">
        <v>1114</v>
      </c>
      <c r="D354" s="100">
        <v>44180</v>
      </c>
      <c r="E354" s="98">
        <v>181</v>
      </c>
      <c r="F354" s="101">
        <v>124</v>
      </c>
      <c r="G354" s="100">
        <v>45883</v>
      </c>
      <c r="H354" s="99" t="s">
        <v>423</v>
      </c>
      <c r="I354" s="99" t="s">
        <v>443</v>
      </c>
      <c r="J354" s="99" t="s">
        <v>913</v>
      </c>
      <c r="L354">
        <f t="shared" si="45"/>
        <v>10</v>
      </c>
      <c r="M354">
        <f t="shared" si="46"/>
        <v>5</v>
      </c>
      <c r="N354">
        <f t="shared" si="47"/>
        <v>50</v>
      </c>
      <c r="O354" s="158">
        <f t="shared" si="48"/>
        <v>3.62</v>
      </c>
      <c r="P354" s="159">
        <f t="shared" si="49"/>
        <v>-57</v>
      </c>
    </row>
    <row r="355" spans="2:16" hidden="1" x14ac:dyDescent="0.3">
      <c r="B355" s="102" t="s">
        <v>1115</v>
      </c>
      <c r="C355" s="103" t="s">
        <v>1116</v>
      </c>
      <c r="D355" s="104">
        <v>43880</v>
      </c>
      <c r="E355" s="102">
        <v>284</v>
      </c>
      <c r="F355" s="105">
        <v>218</v>
      </c>
      <c r="G355" s="104">
        <v>45887</v>
      </c>
      <c r="H355" s="103" t="s">
        <v>423</v>
      </c>
      <c r="I355" s="103" t="s">
        <v>428</v>
      </c>
      <c r="J355" s="103" t="s">
        <v>913</v>
      </c>
      <c r="L355">
        <f t="shared" si="45"/>
        <v>10</v>
      </c>
      <c r="M355">
        <f t="shared" si="46"/>
        <v>10</v>
      </c>
      <c r="N355">
        <f t="shared" si="47"/>
        <v>100</v>
      </c>
      <c r="O355" s="158">
        <f t="shared" si="48"/>
        <v>2.84</v>
      </c>
      <c r="P355" s="159">
        <f t="shared" si="49"/>
        <v>-66</v>
      </c>
    </row>
    <row r="356" spans="2:16" hidden="1" x14ac:dyDescent="0.3">
      <c r="B356" s="98" t="s">
        <v>1117</v>
      </c>
      <c r="C356" s="99" t="s">
        <v>1118</v>
      </c>
      <c r="D356" s="100">
        <v>44895</v>
      </c>
      <c r="E356" s="98">
        <v>181</v>
      </c>
      <c r="F356" s="101">
        <v>124</v>
      </c>
      <c r="G356" s="100">
        <v>45898</v>
      </c>
      <c r="H356" s="99" t="s">
        <v>423</v>
      </c>
      <c r="I356" s="99" t="s">
        <v>443</v>
      </c>
      <c r="J356" s="99" t="s">
        <v>913</v>
      </c>
      <c r="L356">
        <f t="shared" si="45"/>
        <v>10</v>
      </c>
      <c r="M356">
        <f t="shared" si="46"/>
        <v>5</v>
      </c>
      <c r="N356">
        <f t="shared" si="47"/>
        <v>50</v>
      </c>
      <c r="O356" s="158">
        <f t="shared" si="48"/>
        <v>3.62</v>
      </c>
      <c r="P356" s="159">
        <f t="shared" si="49"/>
        <v>-57</v>
      </c>
    </row>
    <row r="357" spans="2:16" x14ac:dyDescent="0.3">
      <c r="B357" s="102" t="s">
        <v>1119</v>
      </c>
      <c r="C357" s="103" t="s">
        <v>1120</v>
      </c>
      <c r="D357" s="104">
        <v>45716</v>
      </c>
      <c r="E357" s="102">
        <v>184</v>
      </c>
      <c r="F357" s="105">
        <v>218</v>
      </c>
      <c r="G357" s="104">
        <v>45896</v>
      </c>
      <c r="H357" s="103" t="s">
        <v>423</v>
      </c>
      <c r="I357" s="103" t="s">
        <v>428</v>
      </c>
      <c r="J357" s="103" t="s">
        <v>913</v>
      </c>
      <c r="L357">
        <f t="shared" si="45"/>
        <v>10</v>
      </c>
      <c r="M357">
        <f t="shared" si="46"/>
        <v>10</v>
      </c>
      <c r="N357">
        <f t="shared" si="47"/>
        <v>100</v>
      </c>
      <c r="O357" s="158">
        <f t="shared" si="48"/>
        <v>1.84</v>
      </c>
      <c r="P357" s="159">
        <f t="shared" si="49"/>
        <v>34</v>
      </c>
    </row>
    <row r="358" spans="2:16" hidden="1" x14ac:dyDescent="0.3">
      <c r="B358" s="98" t="s">
        <v>1121</v>
      </c>
      <c r="C358" s="99" t="s">
        <v>1122</v>
      </c>
      <c r="D358" s="100">
        <v>44254</v>
      </c>
      <c r="E358" s="98">
        <v>140</v>
      </c>
      <c r="F358" s="101">
        <v>124</v>
      </c>
      <c r="G358" s="100">
        <v>45895</v>
      </c>
      <c r="H358" s="99" t="s">
        <v>423</v>
      </c>
      <c r="I358" s="99" t="s">
        <v>443</v>
      </c>
      <c r="J358" s="99" t="s">
        <v>913</v>
      </c>
      <c r="L358">
        <f t="shared" si="45"/>
        <v>10</v>
      </c>
      <c r="M358">
        <f t="shared" si="46"/>
        <v>5</v>
      </c>
      <c r="N358">
        <f t="shared" si="47"/>
        <v>50</v>
      </c>
      <c r="O358" s="158">
        <f t="shared" si="48"/>
        <v>2.8</v>
      </c>
      <c r="P358" s="159">
        <f t="shared" si="49"/>
        <v>-16</v>
      </c>
    </row>
    <row r="359" spans="2:16" hidden="1" x14ac:dyDescent="0.3">
      <c r="B359" s="102" t="s">
        <v>1123</v>
      </c>
      <c r="C359" s="103" t="s">
        <v>1124</v>
      </c>
      <c r="D359" s="104">
        <v>44432</v>
      </c>
      <c r="E359" s="102">
        <v>149</v>
      </c>
      <c r="F359" s="105">
        <v>124</v>
      </c>
      <c r="G359" s="104">
        <v>45892</v>
      </c>
      <c r="H359" s="103" t="s">
        <v>423</v>
      </c>
      <c r="I359" s="103" t="s">
        <v>443</v>
      </c>
      <c r="J359" s="103" t="s">
        <v>913</v>
      </c>
      <c r="L359">
        <f t="shared" si="45"/>
        <v>10</v>
      </c>
      <c r="M359">
        <f t="shared" si="46"/>
        <v>5</v>
      </c>
      <c r="N359">
        <f t="shared" si="47"/>
        <v>50</v>
      </c>
      <c r="O359" s="158">
        <f t="shared" si="48"/>
        <v>2.98</v>
      </c>
      <c r="P359" s="159">
        <f t="shared" si="49"/>
        <v>-25</v>
      </c>
    </row>
    <row r="360" spans="2:16" hidden="1" x14ac:dyDescent="0.3">
      <c r="B360" s="98" t="s">
        <v>1125</v>
      </c>
      <c r="C360" s="99" t="s">
        <v>1126</v>
      </c>
      <c r="D360" s="100">
        <v>44011</v>
      </c>
      <c r="E360" s="98">
        <v>172</v>
      </c>
      <c r="F360" s="101">
        <v>124</v>
      </c>
      <c r="G360" s="100">
        <v>45897</v>
      </c>
      <c r="H360" s="99" t="s">
        <v>423</v>
      </c>
      <c r="I360" s="99" t="s">
        <v>443</v>
      </c>
      <c r="J360" s="99" t="s">
        <v>913</v>
      </c>
      <c r="L360">
        <f t="shared" si="45"/>
        <v>10</v>
      </c>
      <c r="M360">
        <f t="shared" si="46"/>
        <v>5</v>
      </c>
      <c r="N360">
        <f t="shared" si="47"/>
        <v>50</v>
      </c>
      <c r="O360" s="158">
        <f t="shared" si="48"/>
        <v>3.44</v>
      </c>
      <c r="P360" s="159">
        <f t="shared" si="49"/>
        <v>-48</v>
      </c>
    </row>
    <row r="361" spans="2:16" hidden="1" x14ac:dyDescent="0.3">
      <c r="B361" s="102" t="s">
        <v>1127</v>
      </c>
      <c r="C361" s="103" t="s">
        <v>1128</v>
      </c>
      <c r="D361" s="104">
        <v>45668</v>
      </c>
      <c r="E361" s="102">
        <v>158</v>
      </c>
      <c r="F361" s="105">
        <v>124</v>
      </c>
      <c r="G361" s="104">
        <v>45879</v>
      </c>
      <c r="H361" s="103" t="s">
        <v>423</v>
      </c>
      <c r="I361" s="103" t="s">
        <v>443</v>
      </c>
      <c r="J361" s="103" t="s">
        <v>913</v>
      </c>
      <c r="L361">
        <f t="shared" si="45"/>
        <v>10</v>
      </c>
      <c r="M361">
        <f t="shared" si="46"/>
        <v>5</v>
      </c>
      <c r="N361">
        <f t="shared" si="47"/>
        <v>50</v>
      </c>
      <c r="O361" s="158">
        <f t="shared" si="48"/>
        <v>3.16</v>
      </c>
      <c r="P361" s="159">
        <f t="shared" si="49"/>
        <v>-34</v>
      </c>
    </row>
    <row r="362" spans="2:16" x14ac:dyDescent="0.3">
      <c r="B362" s="98" t="s">
        <v>1129</v>
      </c>
      <c r="C362" s="99" t="s">
        <v>1130</v>
      </c>
      <c r="D362" s="100">
        <v>45761</v>
      </c>
      <c r="E362" s="98">
        <v>146</v>
      </c>
      <c r="F362" s="101">
        <v>250</v>
      </c>
      <c r="G362" s="100">
        <v>45882</v>
      </c>
      <c r="H362" s="99" t="s">
        <v>423</v>
      </c>
      <c r="I362" s="99" t="s">
        <v>1131</v>
      </c>
      <c r="J362" s="99" t="s">
        <v>913</v>
      </c>
      <c r="L362">
        <f t="shared" si="45"/>
        <v>11</v>
      </c>
      <c r="M362">
        <f t="shared" si="46"/>
        <v>11</v>
      </c>
      <c r="N362">
        <f t="shared" si="47"/>
        <v>121</v>
      </c>
      <c r="O362" s="158">
        <f t="shared" si="48"/>
        <v>1.2066115702479339</v>
      </c>
      <c r="P362" s="159">
        <f t="shared" si="49"/>
        <v>104</v>
      </c>
    </row>
    <row r="363" spans="2:16" x14ac:dyDescent="0.3">
      <c r="B363" s="102" t="s">
        <v>1132</v>
      </c>
      <c r="C363" s="103" t="s">
        <v>1133</v>
      </c>
      <c r="D363" s="104">
        <v>45768</v>
      </c>
      <c r="E363" s="102">
        <v>61</v>
      </c>
      <c r="F363" s="105">
        <v>124</v>
      </c>
      <c r="G363" s="104">
        <v>45889</v>
      </c>
      <c r="H363" s="103" t="s">
        <v>423</v>
      </c>
      <c r="I363" s="103" t="s">
        <v>443</v>
      </c>
      <c r="J363" s="103" t="s">
        <v>913</v>
      </c>
      <c r="L363">
        <f t="shared" si="45"/>
        <v>10</v>
      </c>
      <c r="M363">
        <f t="shared" si="46"/>
        <v>5</v>
      </c>
      <c r="N363">
        <f t="shared" si="47"/>
        <v>50</v>
      </c>
      <c r="O363" s="158">
        <f t="shared" si="48"/>
        <v>1.22</v>
      </c>
      <c r="P363" s="159">
        <f t="shared" si="49"/>
        <v>63</v>
      </c>
    </row>
    <row r="364" spans="2:16" x14ac:dyDescent="0.3">
      <c r="B364" s="98" t="s">
        <v>1134</v>
      </c>
      <c r="C364" s="99" t="s">
        <v>1135</v>
      </c>
      <c r="D364" s="100">
        <v>43971</v>
      </c>
      <c r="E364" s="98">
        <v>122.35</v>
      </c>
      <c r="F364" s="101">
        <v>133</v>
      </c>
      <c r="G364" s="100">
        <v>45888</v>
      </c>
      <c r="H364" s="99" t="s">
        <v>423</v>
      </c>
      <c r="I364" s="99" t="s">
        <v>630</v>
      </c>
      <c r="J364" s="99" t="s">
        <v>913</v>
      </c>
      <c r="L364">
        <f t="shared" si="45"/>
        <v>11</v>
      </c>
      <c r="M364">
        <f t="shared" si="46"/>
        <v>5</v>
      </c>
      <c r="N364">
        <f t="shared" si="47"/>
        <v>55</v>
      </c>
      <c r="O364" s="158">
        <f t="shared" si="48"/>
        <v>2.2245454545454546</v>
      </c>
      <c r="P364" s="159">
        <f t="shared" si="49"/>
        <v>10.650000000000006</v>
      </c>
    </row>
    <row r="365" spans="2:16" hidden="1" x14ac:dyDescent="0.3">
      <c r="B365" s="102" t="s">
        <v>1136</v>
      </c>
      <c r="C365" s="103" t="s">
        <v>1137</v>
      </c>
      <c r="D365" s="104">
        <v>44614</v>
      </c>
      <c r="E365" s="102">
        <v>88</v>
      </c>
      <c r="F365" s="105">
        <v>75</v>
      </c>
      <c r="G365" s="104">
        <v>45890</v>
      </c>
      <c r="H365" s="103" t="s">
        <v>423</v>
      </c>
      <c r="I365" s="103" t="s">
        <v>482</v>
      </c>
      <c r="J365" s="103" t="s">
        <v>913</v>
      </c>
      <c r="L365">
        <f t="shared" si="45"/>
        <v>5</v>
      </c>
      <c r="M365">
        <f t="shared" si="46"/>
        <v>5</v>
      </c>
      <c r="N365">
        <f t="shared" si="47"/>
        <v>25</v>
      </c>
      <c r="O365" s="158">
        <f t="shared" si="48"/>
        <v>3.52</v>
      </c>
      <c r="P365" s="159">
        <f t="shared" si="49"/>
        <v>-13</v>
      </c>
    </row>
    <row r="366" spans="2:16" hidden="1" x14ac:dyDescent="0.3">
      <c r="B366" s="98" t="s">
        <v>1138</v>
      </c>
      <c r="C366" s="99" t="s">
        <v>1139</v>
      </c>
      <c r="D366" s="100">
        <v>44887</v>
      </c>
      <c r="E366" s="98">
        <v>124</v>
      </c>
      <c r="F366" s="101">
        <v>75</v>
      </c>
      <c r="G366" s="100">
        <v>45890</v>
      </c>
      <c r="H366" s="99" t="s">
        <v>423</v>
      </c>
      <c r="I366" s="99" t="s">
        <v>482</v>
      </c>
      <c r="J366" s="99" t="s">
        <v>913</v>
      </c>
      <c r="L366">
        <f t="shared" si="45"/>
        <v>5</v>
      </c>
      <c r="M366">
        <f t="shared" si="46"/>
        <v>5</v>
      </c>
      <c r="N366">
        <f t="shared" si="47"/>
        <v>25</v>
      </c>
      <c r="O366" s="158">
        <f t="shared" si="48"/>
        <v>4.96</v>
      </c>
      <c r="P366" s="159">
        <f t="shared" si="49"/>
        <v>-49</v>
      </c>
    </row>
    <row r="367" spans="2:16" hidden="1" x14ac:dyDescent="0.3">
      <c r="B367" s="102" t="s">
        <v>1140</v>
      </c>
      <c r="C367" s="103" t="s">
        <v>1141</v>
      </c>
      <c r="D367" s="104">
        <v>44313</v>
      </c>
      <c r="E367" s="102">
        <v>181</v>
      </c>
      <c r="F367" s="105">
        <v>124</v>
      </c>
      <c r="G367" s="104">
        <v>45895</v>
      </c>
      <c r="H367" s="103" t="s">
        <v>423</v>
      </c>
      <c r="I367" s="103" t="s">
        <v>443</v>
      </c>
      <c r="J367" s="103" t="s">
        <v>913</v>
      </c>
      <c r="L367">
        <f t="shared" si="45"/>
        <v>10</v>
      </c>
      <c r="M367">
        <f t="shared" si="46"/>
        <v>5</v>
      </c>
      <c r="N367">
        <f t="shared" si="47"/>
        <v>50</v>
      </c>
      <c r="O367" s="158">
        <f t="shared" si="48"/>
        <v>3.62</v>
      </c>
      <c r="P367" s="159">
        <f t="shared" si="49"/>
        <v>-57</v>
      </c>
    </row>
    <row r="368" spans="2:16" hidden="1" x14ac:dyDescent="0.3">
      <c r="B368" s="98" t="s">
        <v>1142</v>
      </c>
      <c r="C368" s="99" t="s">
        <v>1143</v>
      </c>
      <c r="D368" s="100">
        <v>44446</v>
      </c>
      <c r="E368" s="98">
        <v>276</v>
      </c>
      <c r="F368" s="101">
        <v>233</v>
      </c>
      <c r="G368" s="100">
        <v>45875</v>
      </c>
      <c r="H368" s="99" t="s">
        <v>423</v>
      </c>
      <c r="I368" s="99" t="s">
        <v>581</v>
      </c>
      <c r="J368" s="99" t="s">
        <v>913</v>
      </c>
      <c r="L368">
        <f t="shared" si="45"/>
        <v>10</v>
      </c>
      <c r="M368">
        <f t="shared" si="46"/>
        <v>11</v>
      </c>
      <c r="N368">
        <f t="shared" si="47"/>
        <v>110</v>
      </c>
      <c r="O368" s="158">
        <f t="shared" si="48"/>
        <v>2.5090909090909093</v>
      </c>
      <c r="P368" s="159">
        <f t="shared" si="49"/>
        <v>-43</v>
      </c>
    </row>
    <row r="369" spans="2:16" hidden="1" x14ac:dyDescent="0.3">
      <c r="B369" s="102"/>
      <c r="C369" s="103" t="s">
        <v>1144</v>
      </c>
      <c r="D369" s="103"/>
      <c r="E369" s="102"/>
      <c r="F369" s="105">
        <v>124</v>
      </c>
      <c r="G369" s="103"/>
      <c r="H369" s="103" t="s">
        <v>445</v>
      </c>
      <c r="I369" s="103" t="s">
        <v>443</v>
      </c>
      <c r="J369" s="103" t="s">
        <v>913</v>
      </c>
      <c r="L369">
        <f t="shared" si="45"/>
        <v>10</v>
      </c>
      <c r="M369">
        <f t="shared" si="46"/>
        <v>5</v>
      </c>
      <c r="N369">
        <f t="shared" si="47"/>
        <v>50</v>
      </c>
    </row>
    <row r="370" spans="2:16" x14ac:dyDescent="0.3">
      <c r="B370" s="98" t="s">
        <v>1145</v>
      </c>
      <c r="C370" s="99" t="s">
        <v>1146</v>
      </c>
      <c r="D370" s="100">
        <v>45768</v>
      </c>
      <c r="E370" s="98">
        <v>61</v>
      </c>
      <c r="F370" s="101">
        <v>124</v>
      </c>
      <c r="G370" s="100">
        <v>46011</v>
      </c>
      <c r="H370" s="99" t="s">
        <v>423</v>
      </c>
      <c r="I370" s="99" t="s">
        <v>443</v>
      </c>
      <c r="J370" s="99" t="s">
        <v>913</v>
      </c>
      <c r="L370">
        <f t="shared" si="45"/>
        <v>10</v>
      </c>
      <c r="M370">
        <f t="shared" si="46"/>
        <v>5</v>
      </c>
      <c r="N370">
        <f t="shared" si="47"/>
        <v>50</v>
      </c>
      <c r="O370" s="158">
        <f t="shared" ref="O370:O400" si="50">E370/N370</f>
        <v>1.22</v>
      </c>
      <c r="P370" s="159">
        <f t="shared" ref="P370:P400" si="51">F370-E370</f>
        <v>63</v>
      </c>
    </row>
    <row r="371" spans="2:16" hidden="1" x14ac:dyDescent="0.3">
      <c r="B371" s="102" t="s">
        <v>1147</v>
      </c>
      <c r="C371" s="103" t="s">
        <v>1148</v>
      </c>
      <c r="D371" s="104">
        <v>44305</v>
      </c>
      <c r="E371" s="102">
        <v>268</v>
      </c>
      <c r="F371" s="105">
        <v>218</v>
      </c>
      <c r="G371" s="104">
        <v>45826</v>
      </c>
      <c r="H371" s="103" t="s">
        <v>442</v>
      </c>
      <c r="I371" s="103" t="s">
        <v>428</v>
      </c>
      <c r="J371" s="103" t="s">
        <v>913</v>
      </c>
      <c r="L371">
        <f t="shared" si="45"/>
        <v>10</v>
      </c>
      <c r="M371">
        <f t="shared" si="46"/>
        <v>10</v>
      </c>
      <c r="N371">
        <f t="shared" si="47"/>
        <v>100</v>
      </c>
      <c r="O371" s="158">
        <f t="shared" si="50"/>
        <v>2.68</v>
      </c>
      <c r="P371" s="159">
        <f t="shared" si="51"/>
        <v>-50</v>
      </c>
    </row>
    <row r="372" spans="2:16" x14ac:dyDescent="0.3">
      <c r="B372" s="98" t="s">
        <v>1149</v>
      </c>
      <c r="C372" s="99" t="s">
        <v>1150</v>
      </c>
      <c r="D372" s="100">
        <v>45807</v>
      </c>
      <c r="E372" s="98">
        <v>115</v>
      </c>
      <c r="F372" s="101">
        <v>124</v>
      </c>
      <c r="G372" s="100">
        <v>45898</v>
      </c>
      <c r="H372" s="99" t="s">
        <v>423</v>
      </c>
      <c r="I372" s="99" t="s">
        <v>443</v>
      </c>
      <c r="J372" s="99" t="s">
        <v>913</v>
      </c>
      <c r="L372">
        <f t="shared" si="45"/>
        <v>10</v>
      </c>
      <c r="M372">
        <f t="shared" si="46"/>
        <v>5</v>
      </c>
      <c r="N372">
        <f t="shared" si="47"/>
        <v>50</v>
      </c>
      <c r="O372" s="158">
        <f t="shared" si="50"/>
        <v>2.2999999999999998</v>
      </c>
      <c r="P372" s="159">
        <f t="shared" si="51"/>
        <v>9</v>
      </c>
    </row>
    <row r="373" spans="2:16" hidden="1" x14ac:dyDescent="0.3">
      <c r="B373" s="102" t="s">
        <v>1151</v>
      </c>
      <c r="C373" s="103" t="s">
        <v>1152</v>
      </c>
      <c r="D373" s="104">
        <v>45033</v>
      </c>
      <c r="E373" s="102">
        <v>254</v>
      </c>
      <c r="F373" s="105">
        <v>218</v>
      </c>
      <c r="G373" s="104">
        <v>45887</v>
      </c>
      <c r="H373" s="103" t="s">
        <v>423</v>
      </c>
      <c r="I373" s="103" t="s">
        <v>428</v>
      </c>
      <c r="J373" s="103" t="s">
        <v>913</v>
      </c>
      <c r="L373">
        <f t="shared" si="45"/>
        <v>10</v>
      </c>
      <c r="M373">
        <f t="shared" si="46"/>
        <v>10</v>
      </c>
      <c r="N373">
        <f t="shared" si="47"/>
        <v>100</v>
      </c>
      <c r="O373" s="158">
        <f t="shared" si="50"/>
        <v>2.54</v>
      </c>
      <c r="P373" s="159">
        <f t="shared" si="51"/>
        <v>-36</v>
      </c>
    </row>
    <row r="374" spans="2:16" x14ac:dyDescent="0.3">
      <c r="B374" s="98" t="s">
        <v>1153</v>
      </c>
      <c r="C374" s="99" t="s">
        <v>1154</v>
      </c>
      <c r="D374" s="100">
        <v>44317</v>
      </c>
      <c r="E374" s="98">
        <v>120</v>
      </c>
      <c r="F374" s="101">
        <v>124</v>
      </c>
      <c r="G374" s="100">
        <v>45869</v>
      </c>
      <c r="H374" s="99" t="s">
        <v>423</v>
      </c>
      <c r="I374" s="99" t="s">
        <v>443</v>
      </c>
      <c r="J374" s="99" t="s">
        <v>913</v>
      </c>
      <c r="L374">
        <f t="shared" si="45"/>
        <v>10</v>
      </c>
      <c r="M374">
        <f t="shared" si="46"/>
        <v>5</v>
      </c>
      <c r="N374">
        <f t="shared" si="47"/>
        <v>50</v>
      </c>
      <c r="O374" s="158">
        <f t="shared" si="50"/>
        <v>2.4</v>
      </c>
      <c r="P374" s="159">
        <f t="shared" si="51"/>
        <v>4</v>
      </c>
    </row>
    <row r="375" spans="2:16" hidden="1" x14ac:dyDescent="0.3">
      <c r="B375" s="102" t="s">
        <v>1155</v>
      </c>
      <c r="C375" s="103" t="s">
        <v>1156</v>
      </c>
      <c r="D375" s="104">
        <v>43921</v>
      </c>
      <c r="E375" s="102">
        <v>267</v>
      </c>
      <c r="F375" s="105">
        <v>218</v>
      </c>
      <c r="G375" s="104">
        <v>45869</v>
      </c>
      <c r="H375" s="103" t="s">
        <v>423</v>
      </c>
      <c r="I375" s="103" t="s">
        <v>428</v>
      </c>
      <c r="J375" s="103" t="s">
        <v>913</v>
      </c>
      <c r="L375">
        <f t="shared" si="45"/>
        <v>10</v>
      </c>
      <c r="M375">
        <f t="shared" si="46"/>
        <v>10</v>
      </c>
      <c r="N375">
        <f t="shared" si="47"/>
        <v>100</v>
      </c>
      <c r="O375" s="158">
        <f t="shared" si="50"/>
        <v>2.67</v>
      </c>
      <c r="P375" s="159">
        <f t="shared" si="51"/>
        <v>-49</v>
      </c>
    </row>
    <row r="376" spans="2:16" x14ac:dyDescent="0.3">
      <c r="B376" s="98" t="s">
        <v>1157</v>
      </c>
      <c r="C376" s="99" t="s">
        <v>1158</v>
      </c>
      <c r="D376" s="100">
        <v>45839</v>
      </c>
      <c r="E376" s="98">
        <v>64</v>
      </c>
      <c r="F376" s="101">
        <v>124</v>
      </c>
      <c r="G376" s="100">
        <v>45869</v>
      </c>
      <c r="H376" s="99" t="s">
        <v>423</v>
      </c>
      <c r="I376" s="99" t="s">
        <v>443</v>
      </c>
      <c r="J376" s="99" t="s">
        <v>913</v>
      </c>
      <c r="L376">
        <f t="shared" si="45"/>
        <v>10</v>
      </c>
      <c r="M376">
        <f t="shared" si="46"/>
        <v>5</v>
      </c>
      <c r="N376">
        <f t="shared" si="47"/>
        <v>50</v>
      </c>
      <c r="O376" s="158">
        <f t="shared" si="50"/>
        <v>1.28</v>
      </c>
      <c r="P376" s="159">
        <f t="shared" si="51"/>
        <v>60</v>
      </c>
    </row>
    <row r="377" spans="2:16" x14ac:dyDescent="0.3">
      <c r="B377" s="102" t="s">
        <v>1159</v>
      </c>
      <c r="C377" s="103" t="s">
        <v>1160</v>
      </c>
      <c r="D377" s="104">
        <v>45868</v>
      </c>
      <c r="E377" s="102">
        <v>127</v>
      </c>
      <c r="F377" s="105">
        <v>218</v>
      </c>
      <c r="G377" s="104">
        <v>45900</v>
      </c>
      <c r="H377" s="103" t="s">
        <v>423</v>
      </c>
      <c r="I377" s="103" t="s">
        <v>428</v>
      </c>
      <c r="J377" s="103" t="s">
        <v>913</v>
      </c>
      <c r="L377">
        <f t="shared" si="45"/>
        <v>10</v>
      </c>
      <c r="M377">
        <f t="shared" si="46"/>
        <v>10</v>
      </c>
      <c r="N377">
        <f t="shared" si="47"/>
        <v>100</v>
      </c>
      <c r="O377" s="158">
        <f t="shared" si="50"/>
        <v>1.27</v>
      </c>
      <c r="P377" s="159">
        <f t="shared" si="51"/>
        <v>91</v>
      </c>
    </row>
    <row r="378" spans="2:16" x14ac:dyDescent="0.3">
      <c r="B378" s="98" t="s">
        <v>1161</v>
      </c>
      <c r="C378" s="99" t="s">
        <v>1162</v>
      </c>
      <c r="D378" s="100">
        <v>43885</v>
      </c>
      <c r="E378" s="98">
        <v>93</v>
      </c>
      <c r="F378" s="101">
        <v>124</v>
      </c>
      <c r="G378" s="100">
        <v>46135</v>
      </c>
      <c r="H378" s="99" t="s">
        <v>423</v>
      </c>
      <c r="I378" s="99" t="s">
        <v>443</v>
      </c>
      <c r="J378" s="99" t="s">
        <v>913</v>
      </c>
      <c r="L378">
        <f t="shared" si="45"/>
        <v>10</v>
      </c>
      <c r="M378">
        <f t="shared" si="46"/>
        <v>5</v>
      </c>
      <c r="N378">
        <f t="shared" si="47"/>
        <v>50</v>
      </c>
      <c r="O378" s="158">
        <f t="shared" si="50"/>
        <v>1.86</v>
      </c>
      <c r="P378" s="159">
        <f t="shared" si="51"/>
        <v>31</v>
      </c>
    </row>
    <row r="379" spans="2:16" hidden="1" x14ac:dyDescent="0.3">
      <c r="B379" s="102" t="s">
        <v>1163</v>
      </c>
      <c r="C379" s="103" t="s">
        <v>1164</v>
      </c>
      <c r="D379" s="104">
        <v>43938</v>
      </c>
      <c r="E379" s="102">
        <v>284</v>
      </c>
      <c r="F379" s="105">
        <v>218</v>
      </c>
      <c r="G379" s="104">
        <v>45885</v>
      </c>
      <c r="H379" s="103" t="s">
        <v>423</v>
      </c>
      <c r="I379" s="103" t="s">
        <v>428</v>
      </c>
      <c r="J379" s="103" t="s">
        <v>913</v>
      </c>
      <c r="L379">
        <f t="shared" si="45"/>
        <v>10</v>
      </c>
      <c r="M379">
        <f t="shared" si="46"/>
        <v>10</v>
      </c>
      <c r="N379">
        <f t="shared" si="47"/>
        <v>100</v>
      </c>
      <c r="O379" s="158">
        <f t="shared" si="50"/>
        <v>2.84</v>
      </c>
      <c r="P379" s="159">
        <f t="shared" si="51"/>
        <v>-66</v>
      </c>
    </row>
    <row r="380" spans="2:16" hidden="1" x14ac:dyDescent="0.3">
      <c r="B380" s="98" t="s">
        <v>1165</v>
      </c>
      <c r="C380" s="99" t="s">
        <v>1166</v>
      </c>
      <c r="D380" s="100">
        <v>45549</v>
      </c>
      <c r="E380" s="98">
        <v>234</v>
      </c>
      <c r="F380" s="101">
        <v>124</v>
      </c>
      <c r="G380" s="100">
        <v>45882</v>
      </c>
      <c r="H380" s="99" t="s">
        <v>423</v>
      </c>
      <c r="I380" s="99" t="s">
        <v>443</v>
      </c>
      <c r="J380" s="99" t="s">
        <v>913</v>
      </c>
      <c r="L380">
        <f t="shared" si="45"/>
        <v>10</v>
      </c>
      <c r="M380">
        <f t="shared" si="46"/>
        <v>5</v>
      </c>
      <c r="N380">
        <f t="shared" si="47"/>
        <v>50</v>
      </c>
      <c r="O380" s="158">
        <f t="shared" si="50"/>
        <v>4.68</v>
      </c>
      <c r="P380" s="159">
        <f t="shared" si="51"/>
        <v>-110</v>
      </c>
    </row>
    <row r="381" spans="2:16" hidden="1" x14ac:dyDescent="0.3">
      <c r="B381" s="102" t="s">
        <v>1167</v>
      </c>
      <c r="C381" s="103" t="s">
        <v>1168</v>
      </c>
      <c r="D381" s="104">
        <v>44781</v>
      </c>
      <c r="E381" s="102">
        <v>255</v>
      </c>
      <c r="F381" s="105">
        <v>218</v>
      </c>
      <c r="G381" s="104">
        <v>45876</v>
      </c>
      <c r="H381" s="103" t="s">
        <v>423</v>
      </c>
      <c r="I381" s="103" t="s">
        <v>428</v>
      </c>
      <c r="J381" s="103" t="s">
        <v>913</v>
      </c>
      <c r="L381">
        <f t="shared" si="45"/>
        <v>10</v>
      </c>
      <c r="M381">
        <f t="shared" si="46"/>
        <v>10</v>
      </c>
      <c r="N381">
        <f t="shared" si="47"/>
        <v>100</v>
      </c>
      <c r="O381" s="158">
        <f t="shared" si="50"/>
        <v>2.5499999999999998</v>
      </c>
      <c r="P381" s="159">
        <f t="shared" si="51"/>
        <v>-37</v>
      </c>
    </row>
    <row r="382" spans="2:16" hidden="1" x14ac:dyDescent="0.3">
      <c r="B382" s="98" t="s">
        <v>1169</v>
      </c>
      <c r="C382" s="99" t="s">
        <v>1170</v>
      </c>
      <c r="D382" s="100">
        <v>44009</v>
      </c>
      <c r="E382" s="98">
        <v>193</v>
      </c>
      <c r="F382" s="101">
        <v>124</v>
      </c>
      <c r="G382" s="100">
        <v>45895</v>
      </c>
      <c r="H382" s="99" t="s">
        <v>423</v>
      </c>
      <c r="I382" s="99" t="s">
        <v>443</v>
      </c>
      <c r="J382" s="99" t="s">
        <v>913</v>
      </c>
      <c r="L382">
        <f t="shared" si="45"/>
        <v>10</v>
      </c>
      <c r="M382">
        <f t="shared" si="46"/>
        <v>5</v>
      </c>
      <c r="N382">
        <f t="shared" si="47"/>
        <v>50</v>
      </c>
      <c r="O382" s="158">
        <f t="shared" si="50"/>
        <v>3.86</v>
      </c>
      <c r="P382" s="159">
        <f t="shared" si="51"/>
        <v>-69</v>
      </c>
    </row>
    <row r="383" spans="2:16" x14ac:dyDescent="0.3">
      <c r="B383" s="102" t="s">
        <v>1171</v>
      </c>
      <c r="C383" s="103" t="s">
        <v>1172</v>
      </c>
      <c r="D383" s="104">
        <v>45768</v>
      </c>
      <c r="E383" s="102">
        <v>117</v>
      </c>
      <c r="F383" s="105">
        <v>218</v>
      </c>
      <c r="G383" s="104">
        <v>45889</v>
      </c>
      <c r="H383" s="103" t="s">
        <v>423</v>
      </c>
      <c r="I383" s="103" t="s">
        <v>428</v>
      </c>
      <c r="J383" s="103" t="s">
        <v>913</v>
      </c>
      <c r="L383">
        <f t="shared" si="45"/>
        <v>10</v>
      </c>
      <c r="M383">
        <f t="shared" si="46"/>
        <v>10</v>
      </c>
      <c r="N383">
        <f t="shared" si="47"/>
        <v>100</v>
      </c>
      <c r="O383" s="158">
        <f t="shared" si="50"/>
        <v>1.17</v>
      </c>
      <c r="P383" s="159">
        <f t="shared" si="51"/>
        <v>101</v>
      </c>
    </row>
    <row r="384" spans="2:16" hidden="1" x14ac:dyDescent="0.3">
      <c r="B384" s="98" t="s">
        <v>1173</v>
      </c>
      <c r="C384" s="99" t="s">
        <v>1174</v>
      </c>
      <c r="D384" s="100">
        <v>45808</v>
      </c>
      <c r="E384" s="98">
        <v>137</v>
      </c>
      <c r="F384" s="101">
        <v>124</v>
      </c>
      <c r="G384" s="100">
        <v>45869</v>
      </c>
      <c r="H384" s="99" t="s">
        <v>423</v>
      </c>
      <c r="I384" s="99" t="s">
        <v>443</v>
      </c>
      <c r="J384" s="99" t="s">
        <v>913</v>
      </c>
      <c r="L384">
        <f t="shared" si="45"/>
        <v>10</v>
      </c>
      <c r="M384">
        <f t="shared" si="46"/>
        <v>5</v>
      </c>
      <c r="N384">
        <f t="shared" si="47"/>
        <v>50</v>
      </c>
      <c r="O384" s="158">
        <f t="shared" si="50"/>
        <v>2.74</v>
      </c>
      <c r="P384" s="159">
        <f t="shared" si="51"/>
        <v>-13</v>
      </c>
    </row>
    <row r="385" spans="2:16" x14ac:dyDescent="0.3">
      <c r="B385" s="102" t="s">
        <v>1175</v>
      </c>
      <c r="C385" s="103" t="s">
        <v>1176</v>
      </c>
      <c r="D385" s="104">
        <v>45774</v>
      </c>
      <c r="E385" s="102">
        <v>117</v>
      </c>
      <c r="F385" s="105">
        <v>218</v>
      </c>
      <c r="G385" s="104">
        <v>45895</v>
      </c>
      <c r="H385" s="103" t="s">
        <v>423</v>
      </c>
      <c r="I385" s="103" t="s">
        <v>428</v>
      </c>
      <c r="J385" s="103" t="s">
        <v>913</v>
      </c>
      <c r="L385">
        <f t="shared" si="45"/>
        <v>10</v>
      </c>
      <c r="M385">
        <f t="shared" si="46"/>
        <v>10</v>
      </c>
      <c r="N385">
        <f t="shared" si="47"/>
        <v>100</v>
      </c>
      <c r="O385" s="158">
        <f t="shared" si="50"/>
        <v>1.17</v>
      </c>
      <c r="P385" s="159">
        <f t="shared" si="51"/>
        <v>101</v>
      </c>
    </row>
    <row r="386" spans="2:16" x14ac:dyDescent="0.3">
      <c r="B386" s="98" t="s">
        <v>1177</v>
      </c>
      <c r="C386" s="99" t="s">
        <v>1178</v>
      </c>
      <c r="D386" s="100">
        <v>45761</v>
      </c>
      <c r="E386" s="98">
        <v>61</v>
      </c>
      <c r="F386" s="101">
        <v>124</v>
      </c>
      <c r="G386" s="100">
        <v>45889</v>
      </c>
      <c r="H386" s="99" t="s">
        <v>423</v>
      </c>
      <c r="I386" s="99" t="s">
        <v>443</v>
      </c>
      <c r="J386" s="99" t="s">
        <v>913</v>
      </c>
      <c r="L386">
        <f t="shared" si="45"/>
        <v>10</v>
      </c>
      <c r="M386">
        <f t="shared" si="46"/>
        <v>5</v>
      </c>
      <c r="N386">
        <f t="shared" si="47"/>
        <v>50</v>
      </c>
      <c r="O386" s="158">
        <f t="shared" si="50"/>
        <v>1.22</v>
      </c>
      <c r="P386" s="159">
        <f t="shared" si="51"/>
        <v>63</v>
      </c>
    </row>
    <row r="387" spans="2:16" hidden="1" x14ac:dyDescent="0.3">
      <c r="B387" s="102" t="s">
        <v>1179</v>
      </c>
      <c r="C387" s="103" t="s">
        <v>1180</v>
      </c>
      <c r="D387" s="104">
        <v>45747</v>
      </c>
      <c r="E387" s="102">
        <v>137</v>
      </c>
      <c r="F387" s="105">
        <v>124</v>
      </c>
      <c r="G387" s="104">
        <v>45869</v>
      </c>
      <c r="H387" s="103" t="s">
        <v>423</v>
      </c>
      <c r="I387" s="103" t="s">
        <v>463</v>
      </c>
      <c r="J387" s="103" t="s">
        <v>913</v>
      </c>
      <c r="L387">
        <f t="shared" si="45"/>
        <v>5</v>
      </c>
      <c r="M387">
        <f t="shared" si="46"/>
        <v>10</v>
      </c>
      <c r="N387">
        <f t="shared" si="47"/>
        <v>50</v>
      </c>
      <c r="O387" s="158">
        <f t="shared" si="50"/>
        <v>2.74</v>
      </c>
      <c r="P387" s="159">
        <f t="shared" si="51"/>
        <v>-13</v>
      </c>
    </row>
    <row r="388" spans="2:16" hidden="1" x14ac:dyDescent="0.3">
      <c r="B388" s="98" t="s">
        <v>1181</v>
      </c>
      <c r="C388" s="99" t="s">
        <v>1182</v>
      </c>
      <c r="D388" s="100">
        <v>45671</v>
      </c>
      <c r="E388" s="98">
        <v>100</v>
      </c>
      <c r="F388" s="101">
        <v>75</v>
      </c>
      <c r="G388" s="100">
        <v>45883</v>
      </c>
      <c r="H388" s="99" t="s">
        <v>423</v>
      </c>
      <c r="I388" s="99" t="s">
        <v>482</v>
      </c>
      <c r="J388" s="99" t="s">
        <v>913</v>
      </c>
      <c r="L388">
        <f t="shared" si="45"/>
        <v>5</v>
      </c>
      <c r="M388">
        <f t="shared" si="46"/>
        <v>5</v>
      </c>
      <c r="N388">
        <f t="shared" si="47"/>
        <v>25</v>
      </c>
      <c r="O388" s="158">
        <f t="shared" si="50"/>
        <v>4</v>
      </c>
      <c r="P388" s="159">
        <f t="shared" si="51"/>
        <v>-25</v>
      </c>
    </row>
    <row r="389" spans="2:16" x14ac:dyDescent="0.3">
      <c r="B389" s="102" t="s">
        <v>1183</v>
      </c>
      <c r="C389" s="103" t="s">
        <v>1184</v>
      </c>
      <c r="D389" s="104">
        <v>44320</v>
      </c>
      <c r="E389" s="102">
        <v>165</v>
      </c>
      <c r="F389" s="105">
        <v>168</v>
      </c>
      <c r="G389" s="104">
        <v>45898</v>
      </c>
      <c r="H389" s="103" t="s">
        <v>423</v>
      </c>
      <c r="I389" s="103" t="s">
        <v>431</v>
      </c>
      <c r="J389" s="103" t="s">
        <v>913</v>
      </c>
      <c r="L389">
        <f t="shared" si="45"/>
        <v>5</v>
      </c>
      <c r="M389">
        <f t="shared" si="46"/>
        <v>15</v>
      </c>
      <c r="N389">
        <f t="shared" si="47"/>
        <v>75</v>
      </c>
      <c r="O389" s="158">
        <f t="shared" si="50"/>
        <v>2.2000000000000002</v>
      </c>
      <c r="P389" s="159">
        <f t="shared" si="51"/>
        <v>3</v>
      </c>
    </row>
    <row r="390" spans="2:16" x14ac:dyDescent="0.3">
      <c r="B390" s="98" t="s">
        <v>1185</v>
      </c>
      <c r="C390" s="99" t="s">
        <v>1186</v>
      </c>
      <c r="D390" s="100">
        <v>45714</v>
      </c>
      <c r="E390" s="98">
        <v>252</v>
      </c>
      <c r="F390" s="101">
        <v>292</v>
      </c>
      <c r="G390" s="100">
        <v>45895</v>
      </c>
      <c r="H390" s="99" t="s">
        <v>423</v>
      </c>
      <c r="I390" s="99" t="s">
        <v>424</v>
      </c>
      <c r="J390" s="99" t="s">
        <v>913</v>
      </c>
      <c r="L390">
        <f t="shared" si="45"/>
        <v>10</v>
      </c>
      <c r="M390">
        <f t="shared" si="46"/>
        <v>15</v>
      </c>
      <c r="N390">
        <f t="shared" si="47"/>
        <v>150</v>
      </c>
      <c r="O390" s="158">
        <f t="shared" si="50"/>
        <v>1.68</v>
      </c>
      <c r="P390" s="159">
        <f t="shared" si="51"/>
        <v>40</v>
      </c>
    </row>
    <row r="391" spans="2:16" x14ac:dyDescent="0.3">
      <c r="B391" s="102" t="s">
        <v>1187</v>
      </c>
      <c r="C391" s="103" t="s">
        <v>1188</v>
      </c>
      <c r="D391" s="104">
        <v>45769</v>
      </c>
      <c r="E391" s="102">
        <v>66</v>
      </c>
      <c r="F391" s="105">
        <v>168</v>
      </c>
      <c r="G391" s="104">
        <v>45896</v>
      </c>
      <c r="H391" s="103" t="s">
        <v>423</v>
      </c>
      <c r="I391" s="103" t="s">
        <v>431</v>
      </c>
      <c r="J391" s="103" t="s">
        <v>913</v>
      </c>
      <c r="L391">
        <f t="shared" ref="L391:L454" si="52">--LEFT(I391,FIND("X",I391)-1)</f>
        <v>5</v>
      </c>
      <c r="M391">
        <f t="shared" ref="M391:M454" si="53">--RIGHT(I391,LEN(I391)-FIND("X",I391))</f>
        <v>15</v>
      </c>
      <c r="N391">
        <f t="shared" ref="N391:N454" si="54">L391*M391</f>
        <v>75</v>
      </c>
      <c r="O391" s="158">
        <f t="shared" si="50"/>
        <v>0.88</v>
      </c>
      <c r="P391" s="159">
        <f t="shared" si="51"/>
        <v>102</v>
      </c>
    </row>
    <row r="392" spans="2:16" hidden="1" x14ac:dyDescent="0.3">
      <c r="B392" s="98" t="s">
        <v>1189</v>
      </c>
      <c r="C392" s="99" t="s">
        <v>1190</v>
      </c>
      <c r="D392" s="100">
        <v>45835</v>
      </c>
      <c r="E392" s="98">
        <v>124</v>
      </c>
      <c r="F392" s="101">
        <v>124</v>
      </c>
      <c r="G392" s="100">
        <v>45870</v>
      </c>
      <c r="H392" s="99" t="s">
        <v>423</v>
      </c>
      <c r="I392" s="99" t="s">
        <v>463</v>
      </c>
      <c r="J392" s="99" t="s">
        <v>913</v>
      </c>
      <c r="L392">
        <f t="shared" si="52"/>
        <v>5</v>
      </c>
      <c r="M392">
        <f t="shared" si="53"/>
        <v>10</v>
      </c>
      <c r="N392">
        <f t="shared" si="54"/>
        <v>50</v>
      </c>
      <c r="O392" s="158">
        <f t="shared" si="50"/>
        <v>2.48</v>
      </c>
      <c r="P392" s="159">
        <f t="shared" si="51"/>
        <v>0</v>
      </c>
    </row>
    <row r="393" spans="2:16" hidden="1" x14ac:dyDescent="0.3">
      <c r="B393" s="102" t="s">
        <v>1191</v>
      </c>
      <c r="C393" s="103" t="s">
        <v>1192</v>
      </c>
      <c r="D393" s="104">
        <v>44651</v>
      </c>
      <c r="E393" s="102">
        <v>361</v>
      </c>
      <c r="F393" s="105">
        <v>270</v>
      </c>
      <c r="G393" s="104">
        <v>45869</v>
      </c>
      <c r="H393" s="103" t="s">
        <v>423</v>
      </c>
      <c r="I393" s="103" t="s">
        <v>1193</v>
      </c>
      <c r="J393" s="103" t="s">
        <v>913</v>
      </c>
      <c r="L393">
        <f t="shared" si="52"/>
        <v>9</v>
      </c>
      <c r="M393">
        <f t="shared" si="53"/>
        <v>15</v>
      </c>
      <c r="N393">
        <f t="shared" si="54"/>
        <v>135</v>
      </c>
      <c r="O393" s="158">
        <f t="shared" si="50"/>
        <v>2.674074074074074</v>
      </c>
      <c r="P393" s="159">
        <f t="shared" si="51"/>
        <v>-91</v>
      </c>
    </row>
    <row r="394" spans="2:16" hidden="1" x14ac:dyDescent="0.3">
      <c r="B394" s="98" t="s">
        <v>1194</v>
      </c>
      <c r="C394" s="99" t="s">
        <v>1195</v>
      </c>
      <c r="D394" s="100">
        <v>43848</v>
      </c>
      <c r="E394" s="98">
        <v>181</v>
      </c>
      <c r="F394" s="101">
        <v>124</v>
      </c>
      <c r="G394" s="100">
        <v>45886</v>
      </c>
      <c r="H394" s="99" t="s">
        <v>423</v>
      </c>
      <c r="I394" s="99" t="s">
        <v>443</v>
      </c>
      <c r="J394" s="99" t="s">
        <v>913</v>
      </c>
      <c r="L394">
        <f t="shared" si="52"/>
        <v>10</v>
      </c>
      <c r="M394">
        <f t="shared" si="53"/>
        <v>5</v>
      </c>
      <c r="N394">
        <f t="shared" si="54"/>
        <v>50</v>
      </c>
      <c r="O394" s="158">
        <f t="shared" si="50"/>
        <v>3.62</v>
      </c>
      <c r="P394" s="159">
        <f t="shared" si="51"/>
        <v>-57</v>
      </c>
    </row>
    <row r="395" spans="2:16" hidden="1" x14ac:dyDescent="0.3">
      <c r="B395" s="102" t="s">
        <v>1196</v>
      </c>
      <c r="C395" s="103" t="s">
        <v>1197</v>
      </c>
      <c r="D395" s="104">
        <v>44958</v>
      </c>
      <c r="E395" s="102">
        <v>125</v>
      </c>
      <c r="F395" s="105">
        <v>124</v>
      </c>
      <c r="G395" s="104">
        <v>45869</v>
      </c>
      <c r="H395" s="103" t="s">
        <v>423</v>
      </c>
      <c r="I395" s="103" t="s">
        <v>443</v>
      </c>
      <c r="J395" s="103" t="s">
        <v>913</v>
      </c>
      <c r="L395">
        <f t="shared" si="52"/>
        <v>10</v>
      </c>
      <c r="M395">
        <f t="shared" si="53"/>
        <v>5</v>
      </c>
      <c r="N395">
        <f t="shared" si="54"/>
        <v>50</v>
      </c>
      <c r="O395" s="158">
        <f t="shared" si="50"/>
        <v>2.5</v>
      </c>
      <c r="P395" s="159">
        <f t="shared" si="51"/>
        <v>-1</v>
      </c>
    </row>
    <row r="396" spans="2:16" x14ac:dyDescent="0.3">
      <c r="B396" s="98" t="s">
        <v>1198</v>
      </c>
      <c r="C396" s="99" t="s">
        <v>1199</v>
      </c>
      <c r="D396" s="100">
        <v>45016</v>
      </c>
      <c r="E396" s="98">
        <v>125</v>
      </c>
      <c r="F396" s="101">
        <v>168</v>
      </c>
      <c r="G396" s="100">
        <v>45869</v>
      </c>
      <c r="H396" s="99" t="s">
        <v>423</v>
      </c>
      <c r="I396" s="99" t="s">
        <v>446</v>
      </c>
      <c r="J396" s="99" t="s">
        <v>913</v>
      </c>
      <c r="L396">
        <f t="shared" si="52"/>
        <v>15</v>
      </c>
      <c r="M396">
        <f t="shared" si="53"/>
        <v>5</v>
      </c>
      <c r="N396">
        <f t="shared" si="54"/>
        <v>75</v>
      </c>
      <c r="O396" s="158">
        <f t="shared" si="50"/>
        <v>1.6666666666666667</v>
      </c>
      <c r="P396" s="159">
        <f t="shared" si="51"/>
        <v>43</v>
      </c>
    </row>
    <row r="397" spans="2:16" hidden="1" x14ac:dyDescent="0.3">
      <c r="B397" s="102" t="s">
        <v>1200</v>
      </c>
      <c r="C397" s="103" t="s">
        <v>1201</v>
      </c>
      <c r="D397" s="104">
        <v>44289</v>
      </c>
      <c r="E397" s="102">
        <v>167</v>
      </c>
      <c r="F397" s="105">
        <v>124</v>
      </c>
      <c r="G397" s="104">
        <v>45871</v>
      </c>
      <c r="H397" s="103" t="s">
        <v>423</v>
      </c>
      <c r="I397" s="103" t="s">
        <v>443</v>
      </c>
      <c r="J397" s="103" t="s">
        <v>913</v>
      </c>
      <c r="L397">
        <f t="shared" si="52"/>
        <v>10</v>
      </c>
      <c r="M397">
        <f t="shared" si="53"/>
        <v>5</v>
      </c>
      <c r="N397">
        <f t="shared" si="54"/>
        <v>50</v>
      </c>
      <c r="O397" s="158">
        <f t="shared" si="50"/>
        <v>3.34</v>
      </c>
      <c r="P397" s="159">
        <f t="shared" si="51"/>
        <v>-43</v>
      </c>
    </row>
    <row r="398" spans="2:16" x14ac:dyDescent="0.3">
      <c r="B398" s="98" t="s">
        <v>1202</v>
      </c>
      <c r="C398" s="99" t="s">
        <v>1203</v>
      </c>
      <c r="D398" s="100">
        <v>43945</v>
      </c>
      <c r="E398" s="98">
        <v>165</v>
      </c>
      <c r="F398" s="101">
        <v>168</v>
      </c>
      <c r="G398" s="100">
        <v>45892</v>
      </c>
      <c r="H398" s="99" t="s">
        <v>423</v>
      </c>
      <c r="I398" s="99" t="s">
        <v>446</v>
      </c>
      <c r="J398" s="99" t="s">
        <v>913</v>
      </c>
      <c r="L398">
        <f t="shared" si="52"/>
        <v>15</v>
      </c>
      <c r="M398">
        <f t="shared" si="53"/>
        <v>5</v>
      </c>
      <c r="N398">
        <f t="shared" si="54"/>
        <v>75</v>
      </c>
      <c r="O398" s="158">
        <f t="shared" si="50"/>
        <v>2.2000000000000002</v>
      </c>
      <c r="P398" s="159">
        <f t="shared" si="51"/>
        <v>3</v>
      </c>
    </row>
    <row r="399" spans="2:16" x14ac:dyDescent="0.3">
      <c r="B399" s="102" t="s">
        <v>1204</v>
      </c>
      <c r="C399" s="103" t="s">
        <v>1205</v>
      </c>
      <c r="D399" s="104">
        <v>45759</v>
      </c>
      <c r="E399" s="102">
        <v>61</v>
      </c>
      <c r="F399" s="105">
        <v>124</v>
      </c>
      <c r="G399" s="104">
        <v>45880</v>
      </c>
      <c r="H399" s="103" t="s">
        <v>423</v>
      </c>
      <c r="I399" s="103" t="s">
        <v>443</v>
      </c>
      <c r="J399" s="103" t="s">
        <v>913</v>
      </c>
      <c r="L399">
        <f t="shared" si="52"/>
        <v>10</v>
      </c>
      <c r="M399">
        <f t="shared" si="53"/>
        <v>5</v>
      </c>
      <c r="N399">
        <f t="shared" si="54"/>
        <v>50</v>
      </c>
      <c r="O399" s="158">
        <f t="shared" si="50"/>
        <v>1.22</v>
      </c>
      <c r="P399" s="159">
        <f t="shared" si="51"/>
        <v>63</v>
      </c>
    </row>
    <row r="400" spans="2:16" x14ac:dyDescent="0.3">
      <c r="B400" s="98" t="s">
        <v>1206</v>
      </c>
      <c r="C400" s="99" t="s">
        <v>1207</v>
      </c>
      <c r="D400" s="100">
        <v>45369</v>
      </c>
      <c r="E400" s="98">
        <v>61</v>
      </c>
      <c r="F400" s="101">
        <v>124</v>
      </c>
      <c r="G400" s="100">
        <v>45890</v>
      </c>
      <c r="H400" s="99" t="s">
        <v>423</v>
      </c>
      <c r="I400" s="99" t="s">
        <v>443</v>
      </c>
      <c r="J400" s="99" t="s">
        <v>913</v>
      </c>
      <c r="L400">
        <f t="shared" si="52"/>
        <v>10</v>
      </c>
      <c r="M400">
        <f t="shared" si="53"/>
        <v>5</v>
      </c>
      <c r="N400">
        <f t="shared" si="54"/>
        <v>50</v>
      </c>
      <c r="O400" s="158">
        <f t="shared" si="50"/>
        <v>1.22</v>
      </c>
      <c r="P400" s="159">
        <f t="shared" si="51"/>
        <v>63</v>
      </c>
    </row>
    <row r="401" spans="2:16" hidden="1" x14ac:dyDescent="0.3">
      <c r="B401" s="102"/>
      <c r="C401" s="103" t="s">
        <v>1208</v>
      </c>
      <c r="D401" s="103"/>
      <c r="E401" s="102"/>
      <c r="F401" s="105">
        <v>168</v>
      </c>
      <c r="G401" s="103"/>
      <c r="H401" s="103" t="s">
        <v>445</v>
      </c>
      <c r="I401" s="103" t="s">
        <v>446</v>
      </c>
      <c r="J401" s="103" t="s">
        <v>913</v>
      </c>
      <c r="L401">
        <f t="shared" si="52"/>
        <v>15</v>
      </c>
      <c r="M401">
        <f t="shared" si="53"/>
        <v>5</v>
      </c>
      <c r="N401">
        <f t="shared" si="54"/>
        <v>75</v>
      </c>
    </row>
    <row r="402" spans="2:16" hidden="1" x14ac:dyDescent="0.3">
      <c r="B402" s="98" t="s">
        <v>1209</v>
      </c>
      <c r="C402" s="99" t="s">
        <v>1210</v>
      </c>
      <c r="D402" s="100">
        <v>43855</v>
      </c>
      <c r="E402" s="98">
        <v>167</v>
      </c>
      <c r="F402" s="101">
        <v>116</v>
      </c>
      <c r="G402" s="100">
        <v>45862</v>
      </c>
      <c r="H402" s="99" t="s">
        <v>442</v>
      </c>
      <c r="I402" s="99" t="s">
        <v>1211</v>
      </c>
      <c r="J402" s="99" t="s">
        <v>913</v>
      </c>
      <c r="L402">
        <f t="shared" si="52"/>
        <v>9</v>
      </c>
      <c r="M402">
        <f t="shared" si="53"/>
        <v>5</v>
      </c>
      <c r="N402">
        <f t="shared" si="54"/>
        <v>45</v>
      </c>
      <c r="O402" s="158">
        <f t="shared" ref="O402:O411" si="55">E402/N402</f>
        <v>3.7111111111111112</v>
      </c>
      <c r="P402" s="159">
        <f t="shared" ref="P402:P411" si="56">F402-E402</f>
        <v>-51</v>
      </c>
    </row>
    <row r="403" spans="2:16" hidden="1" x14ac:dyDescent="0.3">
      <c r="B403" s="102" t="s">
        <v>1212</v>
      </c>
      <c r="C403" s="103" t="s">
        <v>1213</v>
      </c>
      <c r="D403" s="104">
        <v>44844</v>
      </c>
      <c r="E403" s="102">
        <v>108</v>
      </c>
      <c r="F403" s="105">
        <v>75</v>
      </c>
      <c r="G403" s="104">
        <v>45882</v>
      </c>
      <c r="H403" s="103" t="s">
        <v>423</v>
      </c>
      <c r="I403" s="103" t="s">
        <v>482</v>
      </c>
      <c r="J403" s="103" t="s">
        <v>913</v>
      </c>
      <c r="L403">
        <f t="shared" si="52"/>
        <v>5</v>
      </c>
      <c r="M403">
        <f t="shared" si="53"/>
        <v>5</v>
      </c>
      <c r="N403">
        <f t="shared" si="54"/>
        <v>25</v>
      </c>
      <c r="O403" s="158">
        <f t="shared" si="55"/>
        <v>4.32</v>
      </c>
      <c r="P403" s="159">
        <f t="shared" si="56"/>
        <v>-33</v>
      </c>
    </row>
    <row r="404" spans="2:16" hidden="1" x14ac:dyDescent="0.3">
      <c r="B404" s="98" t="s">
        <v>1214</v>
      </c>
      <c r="C404" s="99" t="s">
        <v>1215</v>
      </c>
      <c r="D404" s="100">
        <v>43840</v>
      </c>
      <c r="E404" s="98">
        <v>181</v>
      </c>
      <c r="F404" s="101">
        <v>124</v>
      </c>
      <c r="G404" s="100">
        <v>45878</v>
      </c>
      <c r="H404" s="99" t="s">
        <v>423</v>
      </c>
      <c r="I404" s="99" t="s">
        <v>443</v>
      </c>
      <c r="J404" s="99" t="s">
        <v>913</v>
      </c>
      <c r="L404">
        <f t="shared" si="52"/>
        <v>10</v>
      </c>
      <c r="M404">
        <f t="shared" si="53"/>
        <v>5</v>
      </c>
      <c r="N404">
        <f t="shared" si="54"/>
        <v>50</v>
      </c>
      <c r="O404" s="158">
        <f t="shared" si="55"/>
        <v>3.62</v>
      </c>
      <c r="P404" s="159">
        <f t="shared" si="56"/>
        <v>-57</v>
      </c>
    </row>
    <row r="405" spans="2:16" x14ac:dyDescent="0.3">
      <c r="B405" s="102" t="s">
        <v>1216</v>
      </c>
      <c r="C405" s="103" t="s">
        <v>1217</v>
      </c>
      <c r="D405" s="104">
        <v>44536</v>
      </c>
      <c r="E405" s="102">
        <v>360</v>
      </c>
      <c r="F405" s="105">
        <v>361</v>
      </c>
      <c r="G405" s="104">
        <v>45874</v>
      </c>
      <c r="H405" s="103" t="s">
        <v>423</v>
      </c>
      <c r="I405" s="103" t="s">
        <v>609</v>
      </c>
      <c r="J405" s="103" t="s">
        <v>913</v>
      </c>
      <c r="L405">
        <f t="shared" si="52"/>
        <v>10</v>
      </c>
      <c r="M405">
        <f t="shared" si="53"/>
        <v>20</v>
      </c>
      <c r="N405">
        <f t="shared" si="54"/>
        <v>200</v>
      </c>
      <c r="O405" s="158">
        <f t="shared" si="55"/>
        <v>1.8</v>
      </c>
      <c r="P405" s="159">
        <f t="shared" si="56"/>
        <v>1</v>
      </c>
    </row>
    <row r="406" spans="2:16" hidden="1" x14ac:dyDescent="0.3">
      <c r="B406" s="98" t="s">
        <v>1218</v>
      </c>
      <c r="C406" s="99" t="s">
        <v>1219</v>
      </c>
      <c r="D406" s="100">
        <v>43921</v>
      </c>
      <c r="E406" s="98">
        <v>553</v>
      </c>
      <c r="F406" s="101">
        <v>361</v>
      </c>
      <c r="G406" s="100">
        <v>45869</v>
      </c>
      <c r="H406" s="99" t="s">
        <v>423</v>
      </c>
      <c r="I406" s="99" t="s">
        <v>609</v>
      </c>
      <c r="J406" s="99" t="s">
        <v>913</v>
      </c>
      <c r="L406">
        <f t="shared" si="52"/>
        <v>10</v>
      </c>
      <c r="M406">
        <f t="shared" si="53"/>
        <v>20</v>
      </c>
      <c r="N406">
        <f t="shared" si="54"/>
        <v>200</v>
      </c>
      <c r="O406" s="158">
        <f t="shared" si="55"/>
        <v>2.7650000000000001</v>
      </c>
      <c r="P406" s="159">
        <f t="shared" si="56"/>
        <v>-192</v>
      </c>
    </row>
    <row r="407" spans="2:16" hidden="1" x14ac:dyDescent="0.3">
      <c r="B407" s="102" t="s">
        <v>1220</v>
      </c>
      <c r="C407" s="103" t="s">
        <v>1221</v>
      </c>
      <c r="D407" s="104">
        <v>44041</v>
      </c>
      <c r="E407" s="102">
        <v>102</v>
      </c>
      <c r="F407" s="105">
        <v>75</v>
      </c>
      <c r="G407" s="104">
        <v>45866</v>
      </c>
      <c r="H407" s="103" t="s">
        <v>442</v>
      </c>
      <c r="I407" s="103" t="s">
        <v>482</v>
      </c>
      <c r="J407" s="103" t="s">
        <v>913</v>
      </c>
      <c r="L407">
        <f t="shared" si="52"/>
        <v>5</v>
      </c>
      <c r="M407">
        <f t="shared" si="53"/>
        <v>5</v>
      </c>
      <c r="N407">
        <f t="shared" si="54"/>
        <v>25</v>
      </c>
      <c r="O407" s="158">
        <f t="shared" si="55"/>
        <v>4.08</v>
      </c>
      <c r="P407" s="159">
        <f t="shared" si="56"/>
        <v>-27</v>
      </c>
    </row>
    <row r="408" spans="2:16" hidden="1" x14ac:dyDescent="0.3">
      <c r="B408" s="98" t="s">
        <v>1222</v>
      </c>
      <c r="C408" s="99" t="s">
        <v>1223</v>
      </c>
      <c r="D408" s="100">
        <v>45356</v>
      </c>
      <c r="E408" s="98">
        <v>390</v>
      </c>
      <c r="F408" s="101">
        <v>361</v>
      </c>
      <c r="G408" s="100">
        <v>45875</v>
      </c>
      <c r="H408" s="99" t="s">
        <v>423</v>
      </c>
      <c r="I408" s="99" t="s">
        <v>609</v>
      </c>
      <c r="J408" s="99" t="s">
        <v>913</v>
      </c>
      <c r="L408">
        <f t="shared" si="52"/>
        <v>10</v>
      </c>
      <c r="M408">
        <f t="shared" si="53"/>
        <v>20</v>
      </c>
      <c r="N408">
        <f t="shared" si="54"/>
        <v>200</v>
      </c>
      <c r="O408" s="158">
        <f t="shared" si="55"/>
        <v>1.95</v>
      </c>
      <c r="P408" s="159">
        <f t="shared" si="56"/>
        <v>-29</v>
      </c>
    </row>
    <row r="409" spans="2:16" hidden="1" x14ac:dyDescent="0.3">
      <c r="B409" s="102" t="s">
        <v>798</v>
      </c>
      <c r="C409" s="103" t="s">
        <v>1224</v>
      </c>
      <c r="D409" s="104">
        <v>44673</v>
      </c>
      <c r="E409" s="102">
        <v>389</v>
      </c>
      <c r="F409" s="105">
        <v>292</v>
      </c>
      <c r="G409" s="104">
        <v>45890</v>
      </c>
      <c r="H409" s="103" t="s">
        <v>423</v>
      </c>
      <c r="I409" s="103" t="s">
        <v>424</v>
      </c>
      <c r="J409" s="103" t="s">
        <v>913</v>
      </c>
      <c r="L409">
        <f t="shared" si="52"/>
        <v>10</v>
      </c>
      <c r="M409">
        <f t="shared" si="53"/>
        <v>15</v>
      </c>
      <c r="N409">
        <f t="shared" si="54"/>
        <v>150</v>
      </c>
      <c r="O409" s="158">
        <f t="shared" si="55"/>
        <v>2.5933333333333333</v>
      </c>
      <c r="P409" s="159">
        <f t="shared" si="56"/>
        <v>-97</v>
      </c>
    </row>
    <row r="410" spans="2:16" hidden="1" x14ac:dyDescent="0.3">
      <c r="B410" s="98" t="s">
        <v>1225</v>
      </c>
      <c r="C410" s="99" t="s">
        <v>1226</v>
      </c>
      <c r="D410" s="100">
        <v>43941</v>
      </c>
      <c r="E410" s="98">
        <v>415</v>
      </c>
      <c r="F410" s="101">
        <v>361</v>
      </c>
      <c r="G410" s="100">
        <v>45875</v>
      </c>
      <c r="H410" s="99" t="s">
        <v>423</v>
      </c>
      <c r="I410" s="99" t="s">
        <v>609</v>
      </c>
      <c r="J410" s="99" t="s">
        <v>913</v>
      </c>
      <c r="L410">
        <f t="shared" si="52"/>
        <v>10</v>
      </c>
      <c r="M410">
        <f t="shared" si="53"/>
        <v>20</v>
      </c>
      <c r="N410">
        <f t="shared" si="54"/>
        <v>200</v>
      </c>
      <c r="O410" s="158">
        <f t="shared" si="55"/>
        <v>2.0750000000000002</v>
      </c>
      <c r="P410" s="159">
        <f t="shared" si="56"/>
        <v>-54</v>
      </c>
    </row>
    <row r="411" spans="2:16" x14ac:dyDescent="0.3">
      <c r="B411" s="102" t="s">
        <v>1227</v>
      </c>
      <c r="C411" s="103" t="s">
        <v>1228</v>
      </c>
      <c r="D411" s="104">
        <v>44994</v>
      </c>
      <c r="E411" s="102">
        <v>230</v>
      </c>
      <c r="F411" s="105">
        <v>292</v>
      </c>
      <c r="G411" s="104">
        <v>45877</v>
      </c>
      <c r="H411" s="103" t="s">
        <v>423</v>
      </c>
      <c r="I411" s="103" t="s">
        <v>424</v>
      </c>
      <c r="J411" s="103" t="s">
        <v>913</v>
      </c>
      <c r="L411">
        <f t="shared" si="52"/>
        <v>10</v>
      </c>
      <c r="M411">
        <f t="shared" si="53"/>
        <v>15</v>
      </c>
      <c r="N411">
        <f t="shared" si="54"/>
        <v>150</v>
      </c>
      <c r="O411" s="158">
        <f t="shared" si="55"/>
        <v>1.5333333333333334</v>
      </c>
      <c r="P411" s="159">
        <f t="shared" si="56"/>
        <v>62</v>
      </c>
    </row>
    <row r="412" spans="2:16" hidden="1" x14ac:dyDescent="0.3">
      <c r="B412" s="98"/>
      <c r="C412" s="99" t="s">
        <v>1229</v>
      </c>
      <c r="D412" s="99"/>
      <c r="E412" s="98"/>
      <c r="F412" s="101">
        <v>361</v>
      </c>
      <c r="G412" s="99"/>
      <c r="H412" s="99" t="s">
        <v>445</v>
      </c>
      <c r="I412" s="99" t="s">
        <v>609</v>
      </c>
      <c r="J412" s="99" t="s">
        <v>913</v>
      </c>
      <c r="L412">
        <f t="shared" si="52"/>
        <v>10</v>
      </c>
      <c r="M412">
        <f t="shared" si="53"/>
        <v>20</v>
      </c>
      <c r="N412">
        <f t="shared" si="54"/>
        <v>200</v>
      </c>
    </row>
    <row r="413" spans="2:16" x14ac:dyDescent="0.3">
      <c r="B413" s="102" t="s">
        <v>1230</v>
      </c>
      <c r="C413" s="103" t="s">
        <v>1231</v>
      </c>
      <c r="D413" s="104">
        <v>45859</v>
      </c>
      <c r="E413" s="102">
        <v>263</v>
      </c>
      <c r="F413" s="105">
        <v>361</v>
      </c>
      <c r="G413" s="104">
        <v>45890</v>
      </c>
      <c r="H413" s="103" t="s">
        <v>423</v>
      </c>
      <c r="I413" s="103" t="s">
        <v>609</v>
      </c>
      <c r="J413" s="103" t="s">
        <v>913</v>
      </c>
      <c r="L413">
        <f t="shared" si="52"/>
        <v>10</v>
      </c>
      <c r="M413">
        <f t="shared" si="53"/>
        <v>20</v>
      </c>
      <c r="N413">
        <f t="shared" si="54"/>
        <v>200</v>
      </c>
      <c r="O413" s="158">
        <f t="shared" ref="O413:O437" si="57">E413/N413</f>
        <v>1.3149999999999999</v>
      </c>
      <c r="P413" s="159">
        <f t="shared" ref="P413:P437" si="58">F413-E413</f>
        <v>98</v>
      </c>
    </row>
    <row r="414" spans="2:16" hidden="1" x14ac:dyDescent="0.3">
      <c r="B414" s="98" t="s">
        <v>1232</v>
      </c>
      <c r="C414" s="99" t="s">
        <v>1233</v>
      </c>
      <c r="D414" s="100">
        <v>44102</v>
      </c>
      <c r="E414" s="98">
        <v>389</v>
      </c>
      <c r="F414" s="101">
        <v>292</v>
      </c>
      <c r="G414" s="100">
        <v>45896</v>
      </c>
      <c r="H414" s="99" t="s">
        <v>423</v>
      </c>
      <c r="I414" s="99" t="s">
        <v>424</v>
      </c>
      <c r="J414" s="99" t="s">
        <v>913</v>
      </c>
      <c r="L414">
        <f t="shared" si="52"/>
        <v>10</v>
      </c>
      <c r="M414">
        <f t="shared" si="53"/>
        <v>15</v>
      </c>
      <c r="N414">
        <f t="shared" si="54"/>
        <v>150</v>
      </c>
      <c r="O414" s="158">
        <f t="shared" si="57"/>
        <v>2.5933333333333333</v>
      </c>
      <c r="P414" s="159">
        <f t="shared" si="58"/>
        <v>-97</v>
      </c>
    </row>
    <row r="415" spans="2:16" hidden="1" x14ac:dyDescent="0.3">
      <c r="B415" s="102" t="s">
        <v>1234</v>
      </c>
      <c r="C415" s="103" t="s">
        <v>1235</v>
      </c>
      <c r="D415" s="104">
        <v>45542</v>
      </c>
      <c r="E415" s="102">
        <v>429</v>
      </c>
      <c r="F415" s="105">
        <v>361</v>
      </c>
      <c r="G415" s="104">
        <v>45875</v>
      </c>
      <c r="H415" s="103" t="s">
        <v>423</v>
      </c>
      <c r="I415" s="103" t="s">
        <v>609</v>
      </c>
      <c r="J415" s="103" t="s">
        <v>913</v>
      </c>
      <c r="L415">
        <f t="shared" si="52"/>
        <v>10</v>
      </c>
      <c r="M415">
        <f t="shared" si="53"/>
        <v>20</v>
      </c>
      <c r="N415">
        <f t="shared" si="54"/>
        <v>200</v>
      </c>
      <c r="O415" s="158">
        <f t="shared" si="57"/>
        <v>2.145</v>
      </c>
      <c r="P415" s="159">
        <f t="shared" si="58"/>
        <v>-68</v>
      </c>
    </row>
    <row r="416" spans="2:16" x14ac:dyDescent="0.3">
      <c r="B416" s="98" t="s">
        <v>1236</v>
      </c>
      <c r="C416" s="99" t="s">
        <v>1237</v>
      </c>
      <c r="D416" s="100">
        <v>43952</v>
      </c>
      <c r="E416" s="98">
        <v>255</v>
      </c>
      <c r="F416" s="101">
        <v>292</v>
      </c>
      <c r="G416" s="100">
        <v>45900</v>
      </c>
      <c r="H416" s="99" t="s">
        <v>423</v>
      </c>
      <c r="I416" s="99" t="s">
        <v>424</v>
      </c>
      <c r="J416" s="99" t="s">
        <v>913</v>
      </c>
      <c r="L416">
        <f t="shared" si="52"/>
        <v>10</v>
      </c>
      <c r="M416">
        <f t="shared" si="53"/>
        <v>15</v>
      </c>
      <c r="N416">
        <f t="shared" si="54"/>
        <v>150</v>
      </c>
      <c r="O416" s="158">
        <f t="shared" si="57"/>
        <v>1.7</v>
      </c>
      <c r="P416" s="159">
        <f t="shared" si="58"/>
        <v>37</v>
      </c>
    </row>
    <row r="417" spans="2:16" hidden="1" x14ac:dyDescent="0.3">
      <c r="B417" s="102" t="s">
        <v>1238</v>
      </c>
      <c r="C417" s="103" t="s">
        <v>1239</v>
      </c>
      <c r="D417" s="104">
        <v>44466</v>
      </c>
      <c r="E417" s="102">
        <v>514</v>
      </c>
      <c r="F417" s="105">
        <v>361</v>
      </c>
      <c r="G417" s="104">
        <v>45895</v>
      </c>
      <c r="H417" s="103" t="s">
        <v>423</v>
      </c>
      <c r="I417" s="103" t="s">
        <v>609</v>
      </c>
      <c r="J417" s="103" t="s">
        <v>913</v>
      </c>
      <c r="L417">
        <f t="shared" si="52"/>
        <v>10</v>
      </c>
      <c r="M417">
        <f t="shared" si="53"/>
        <v>20</v>
      </c>
      <c r="N417">
        <f t="shared" si="54"/>
        <v>200</v>
      </c>
      <c r="O417" s="158">
        <f t="shared" si="57"/>
        <v>2.57</v>
      </c>
      <c r="P417" s="159">
        <f t="shared" si="58"/>
        <v>-153</v>
      </c>
    </row>
    <row r="418" spans="2:16" x14ac:dyDescent="0.3">
      <c r="B418" s="98" t="s">
        <v>1240</v>
      </c>
      <c r="C418" s="99" t="s">
        <v>1241</v>
      </c>
      <c r="D418" s="100">
        <v>45734</v>
      </c>
      <c r="E418" s="98">
        <v>184</v>
      </c>
      <c r="F418" s="101">
        <v>292</v>
      </c>
      <c r="G418" s="100">
        <v>46105</v>
      </c>
      <c r="H418" s="99" t="s">
        <v>423</v>
      </c>
      <c r="I418" s="99" t="s">
        <v>424</v>
      </c>
      <c r="J418" s="99" t="s">
        <v>913</v>
      </c>
      <c r="L418">
        <f t="shared" si="52"/>
        <v>10</v>
      </c>
      <c r="M418">
        <f t="shared" si="53"/>
        <v>15</v>
      </c>
      <c r="N418">
        <f t="shared" si="54"/>
        <v>150</v>
      </c>
      <c r="O418" s="158">
        <f t="shared" si="57"/>
        <v>1.2266666666666666</v>
      </c>
      <c r="P418" s="159">
        <f t="shared" si="58"/>
        <v>108</v>
      </c>
    </row>
    <row r="419" spans="2:16" hidden="1" x14ac:dyDescent="0.3">
      <c r="B419" s="102" t="s">
        <v>1242</v>
      </c>
      <c r="C419" s="103" t="s">
        <v>1243</v>
      </c>
      <c r="D419" s="104">
        <v>44784</v>
      </c>
      <c r="E419" s="102">
        <v>240</v>
      </c>
      <c r="F419" s="105">
        <v>168</v>
      </c>
      <c r="G419" s="104">
        <v>45911</v>
      </c>
      <c r="H419" s="103" t="s">
        <v>423</v>
      </c>
      <c r="I419" s="103" t="s">
        <v>431</v>
      </c>
      <c r="J419" s="103" t="s">
        <v>913</v>
      </c>
      <c r="L419">
        <f t="shared" si="52"/>
        <v>5</v>
      </c>
      <c r="M419">
        <f t="shared" si="53"/>
        <v>15</v>
      </c>
      <c r="N419">
        <f t="shared" si="54"/>
        <v>75</v>
      </c>
      <c r="O419" s="158">
        <f t="shared" si="57"/>
        <v>3.2</v>
      </c>
      <c r="P419" s="159">
        <f t="shared" si="58"/>
        <v>-72</v>
      </c>
    </row>
    <row r="420" spans="2:16" hidden="1" x14ac:dyDescent="0.3">
      <c r="B420" s="98" t="s">
        <v>1244</v>
      </c>
      <c r="C420" s="99" t="s">
        <v>1245</v>
      </c>
      <c r="D420" s="100">
        <v>44069</v>
      </c>
      <c r="E420" s="98">
        <v>108</v>
      </c>
      <c r="F420" s="101">
        <v>75</v>
      </c>
      <c r="G420" s="100">
        <v>45894</v>
      </c>
      <c r="H420" s="99" t="s">
        <v>423</v>
      </c>
      <c r="I420" s="99" t="s">
        <v>482</v>
      </c>
      <c r="J420" s="99" t="s">
        <v>913</v>
      </c>
      <c r="L420">
        <f t="shared" si="52"/>
        <v>5</v>
      </c>
      <c r="M420">
        <f t="shared" si="53"/>
        <v>5</v>
      </c>
      <c r="N420">
        <f t="shared" si="54"/>
        <v>25</v>
      </c>
      <c r="O420" s="158">
        <f t="shared" si="57"/>
        <v>4.32</v>
      </c>
      <c r="P420" s="159">
        <f t="shared" si="58"/>
        <v>-33</v>
      </c>
    </row>
    <row r="421" spans="2:16" hidden="1" x14ac:dyDescent="0.3">
      <c r="B421" s="102" t="s">
        <v>1222</v>
      </c>
      <c r="C421" s="103" t="s">
        <v>1246</v>
      </c>
      <c r="D421" s="104">
        <v>45069</v>
      </c>
      <c r="E421" s="102">
        <v>203</v>
      </c>
      <c r="F421" s="105">
        <v>168</v>
      </c>
      <c r="G421" s="104">
        <v>45872</v>
      </c>
      <c r="H421" s="103" t="s">
        <v>423</v>
      </c>
      <c r="I421" s="103" t="s">
        <v>431</v>
      </c>
      <c r="J421" s="103" t="s">
        <v>913</v>
      </c>
      <c r="L421">
        <f t="shared" si="52"/>
        <v>5</v>
      </c>
      <c r="M421">
        <f t="shared" si="53"/>
        <v>15</v>
      </c>
      <c r="N421">
        <f t="shared" si="54"/>
        <v>75</v>
      </c>
      <c r="O421" s="158">
        <f t="shared" si="57"/>
        <v>2.7066666666666666</v>
      </c>
      <c r="P421" s="159">
        <f t="shared" si="58"/>
        <v>-35</v>
      </c>
    </row>
    <row r="422" spans="2:16" hidden="1" x14ac:dyDescent="0.3">
      <c r="B422" s="98" t="s">
        <v>1222</v>
      </c>
      <c r="C422" s="99" t="s">
        <v>1247</v>
      </c>
      <c r="D422" s="100">
        <v>45682</v>
      </c>
      <c r="E422" s="98">
        <v>207</v>
      </c>
      <c r="F422" s="101">
        <v>168</v>
      </c>
      <c r="G422" s="100">
        <v>45893</v>
      </c>
      <c r="H422" s="99" t="s">
        <v>423</v>
      </c>
      <c r="I422" s="99" t="s">
        <v>446</v>
      </c>
      <c r="J422" s="99" t="s">
        <v>913</v>
      </c>
      <c r="L422">
        <f t="shared" si="52"/>
        <v>15</v>
      </c>
      <c r="M422">
        <f t="shared" si="53"/>
        <v>5</v>
      </c>
      <c r="N422">
        <f t="shared" si="54"/>
        <v>75</v>
      </c>
      <c r="O422" s="158">
        <f t="shared" si="57"/>
        <v>2.76</v>
      </c>
      <c r="P422" s="159">
        <f t="shared" si="58"/>
        <v>-39</v>
      </c>
    </row>
    <row r="423" spans="2:16" x14ac:dyDescent="0.3">
      <c r="B423" s="102" t="s">
        <v>1248</v>
      </c>
      <c r="C423" s="103" t="s">
        <v>1249</v>
      </c>
      <c r="D423" s="104">
        <v>45770</v>
      </c>
      <c r="E423" s="102">
        <v>117</v>
      </c>
      <c r="F423" s="105">
        <v>218</v>
      </c>
      <c r="G423" s="104">
        <v>45892</v>
      </c>
      <c r="H423" s="103" t="s">
        <v>423</v>
      </c>
      <c r="I423" s="103" t="s">
        <v>428</v>
      </c>
      <c r="J423" s="103" t="s">
        <v>913</v>
      </c>
      <c r="L423">
        <f t="shared" si="52"/>
        <v>10</v>
      </c>
      <c r="M423">
        <f t="shared" si="53"/>
        <v>10</v>
      </c>
      <c r="N423">
        <f t="shared" si="54"/>
        <v>100</v>
      </c>
      <c r="O423" s="158">
        <f t="shared" si="57"/>
        <v>1.17</v>
      </c>
      <c r="P423" s="159">
        <f t="shared" si="58"/>
        <v>101</v>
      </c>
    </row>
    <row r="424" spans="2:16" hidden="1" x14ac:dyDescent="0.3">
      <c r="B424" s="98" t="s">
        <v>1250</v>
      </c>
      <c r="C424" s="99" t="s">
        <v>1251</v>
      </c>
      <c r="D424" s="100">
        <v>45593</v>
      </c>
      <c r="E424" s="98">
        <v>229</v>
      </c>
      <c r="F424" s="101">
        <v>218</v>
      </c>
      <c r="G424" s="100">
        <v>45896</v>
      </c>
      <c r="H424" s="99" t="s">
        <v>423</v>
      </c>
      <c r="I424" s="99" t="s">
        <v>428</v>
      </c>
      <c r="J424" s="99" t="s">
        <v>913</v>
      </c>
      <c r="L424">
        <f t="shared" si="52"/>
        <v>10</v>
      </c>
      <c r="M424">
        <f t="shared" si="53"/>
        <v>10</v>
      </c>
      <c r="N424">
        <f t="shared" si="54"/>
        <v>100</v>
      </c>
      <c r="O424" s="158">
        <f t="shared" si="57"/>
        <v>2.29</v>
      </c>
      <c r="P424" s="159">
        <f t="shared" si="58"/>
        <v>-11</v>
      </c>
    </row>
    <row r="425" spans="2:16" x14ac:dyDescent="0.3">
      <c r="B425" s="102" t="s">
        <v>1252</v>
      </c>
      <c r="C425" s="103" t="s">
        <v>1253</v>
      </c>
      <c r="D425" s="104">
        <v>45397</v>
      </c>
      <c r="E425" s="102">
        <v>145</v>
      </c>
      <c r="F425" s="105">
        <v>218</v>
      </c>
      <c r="G425" s="104">
        <v>45883</v>
      </c>
      <c r="H425" s="103" t="s">
        <v>423</v>
      </c>
      <c r="I425" s="103" t="s">
        <v>428</v>
      </c>
      <c r="J425" s="103" t="s">
        <v>913</v>
      </c>
      <c r="L425">
        <f t="shared" si="52"/>
        <v>10</v>
      </c>
      <c r="M425">
        <f t="shared" si="53"/>
        <v>10</v>
      </c>
      <c r="N425">
        <f t="shared" si="54"/>
        <v>100</v>
      </c>
      <c r="O425" s="158">
        <f t="shared" si="57"/>
        <v>1.45</v>
      </c>
      <c r="P425" s="159">
        <f t="shared" si="58"/>
        <v>73</v>
      </c>
    </row>
    <row r="426" spans="2:16" hidden="1" x14ac:dyDescent="0.3">
      <c r="B426" s="98" t="s">
        <v>1254</v>
      </c>
      <c r="C426" s="99" t="s">
        <v>1255</v>
      </c>
      <c r="D426" s="100">
        <v>44785</v>
      </c>
      <c r="E426" s="98">
        <v>293</v>
      </c>
      <c r="F426" s="101">
        <v>218</v>
      </c>
      <c r="G426" s="100">
        <v>45882</v>
      </c>
      <c r="H426" s="99" t="s">
        <v>423</v>
      </c>
      <c r="I426" s="99" t="s">
        <v>428</v>
      </c>
      <c r="J426" s="99" t="s">
        <v>913</v>
      </c>
      <c r="L426">
        <f t="shared" si="52"/>
        <v>10</v>
      </c>
      <c r="M426">
        <f t="shared" si="53"/>
        <v>10</v>
      </c>
      <c r="N426">
        <f t="shared" si="54"/>
        <v>100</v>
      </c>
      <c r="O426" s="158">
        <f t="shared" si="57"/>
        <v>2.93</v>
      </c>
      <c r="P426" s="159">
        <f t="shared" si="58"/>
        <v>-75</v>
      </c>
    </row>
    <row r="427" spans="2:16" x14ac:dyDescent="0.3">
      <c r="B427" s="102"/>
      <c r="C427" s="103" t="s">
        <v>1256</v>
      </c>
      <c r="D427" s="103"/>
      <c r="E427" s="102"/>
      <c r="F427" s="105">
        <v>168</v>
      </c>
      <c r="G427" s="103"/>
      <c r="H427" s="103" t="s">
        <v>960</v>
      </c>
      <c r="I427" s="103" t="s">
        <v>431</v>
      </c>
      <c r="J427" s="103" t="s">
        <v>913</v>
      </c>
      <c r="L427">
        <f t="shared" si="52"/>
        <v>5</v>
      </c>
      <c r="M427">
        <f t="shared" si="53"/>
        <v>15</v>
      </c>
      <c r="N427">
        <f t="shared" si="54"/>
        <v>75</v>
      </c>
      <c r="O427" s="158">
        <f t="shared" si="57"/>
        <v>0</v>
      </c>
      <c r="P427" s="159">
        <f t="shared" si="58"/>
        <v>168</v>
      </c>
    </row>
    <row r="428" spans="2:16" hidden="1" x14ac:dyDescent="0.3">
      <c r="B428" s="98" t="s">
        <v>1257</v>
      </c>
      <c r="C428" s="99" t="s">
        <v>1258</v>
      </c>
      <c r="D428" s="100">
        <v>44770</v>
      </c>
      <c r="E428" s="98">
        <v>240</v>
      </c>
      <c r="F428" s="101">
        <v>168</v>
      </c>
      <c r="G428" s="100">
        <v>45896</v>
      </c>
      <c r="H428" s="99" t="s">
        <v>423</v>
      </c>
      <c r="I428" s="99" t="s">
        <v>431</v>
      </c>
      <c r="J428" s="99" t="s">
        <v>913</v>
      </c>
      <c r="L428">
        <f t="shared" si="52"/>
        <v>5</v>
      </c>
      <c r="M428">
        <f t="shared" si="53"/>
        <v>15</v>
      </c>
      <c r="N428">
        <f t="shared" si="54"/>
        <v>75</v>
      </c>
      <c r="O428" s="158">
        <f t="shared" si="57"/>
        <v>3.2</v>
      </c>
      <c r="P428" s="159">
        <f t="shared" si="58"/>
        <v>-72</v>
      </c>
    </row>
    <row r="429" spans="2:16" hidden="1" x14ac:dyDescent="0.3">
      <c r="B429" s="102" t="s">
        <v>1259</v>
      </c>
      <c r="C429" s="103" t="s">
        <v>1260</v>
      </c>
      <c r="D429" s="104">
        <v>43960</v>
      </c>
      <c r="E429" s="102">
        <v>77</v>
      </c>
      <c r="F429" s="105">
        <v>75</v>
      </c>
      <c r="G429" s="104">
        <v>45877</v>
      </c>
      <c r="H429" s="103" t="s">
        <v>423</v>
      </c>
      <c r="I429" s="103" t="s">
        <v>482</v>
      </c>
      <c r="J429" s="103" t="s">
        <v>913</v>
      </c>
      <c r="L429">
        <f t="shared" si="52"/>
        <v>5</v>
      </c>
      <c r="M429">
        <f t="shared" si="53"/>
        <v>5</v>
      </c>
      <c r="N429">
        <f t="shared" si="54"/>
        <v>25</v>
      </c>
      <c r="O429" s="158">
        <f t="shared" si="57"/>
        <v>3.08</v>
      </c>
      <c r="P429" s="159">
        <f t="shared" si="58"/>
        <v>-2</v>
      </c>
    </row>
    <row r="430" spans="2:16" hidden="1" x14ac:dyDescent="0.3">
      <c r="B430" s="98" t="s">
        <v>1261</v>
      </c>
      <c r="C430" s="99" t="s">
        <v>1262</v>
      </c>
      <c r="D430" s="100">
        <v>45808</v>
      </c>
      <c r="E430" s="98">
        <v>83</v>
      </c>
      <c r="F430" s="101">
        <v>75</v>
      </c>
      <c r="G430" s="100">
        <v>45869</v>
      </c>
      <c r="H430" s="99" t="s">
        <v>423</v>
      </c>
      <c r="I430" s="99" t="s">
        <v>482</v>
      </c>
      <c r="J430" s="99" t="s">
        <v>913</v>
      </c>
      <c r="L430">
        <f t="shared" si="52"/>
        <v>5</v>
      </c>
      <c r="M430">
        <f t="shared" si="53"/>
        <v>5</v>
      </c>
      <c r="N430">
        <f t="shared" si="54"/>
        <v>25</v>
      </c>
      <c r="O430" s="158">
        <f t="shared" si="57"/>
        <v>3.32</v>
      </c>
      <c r="P430" s="159">
        <f t="shared" si="58"/>
        <v>-8</v>
      </c>
    </row>
    <row r="431" spans="2:16" hidden="1" x14ac:dyDescent="0.3">
      <c r="B431" s="102" t="s">
        <v>1263</v>
      </c>
      <c r="C431" s="103" t="s">
        <v>1264</v>
      </c>
      <c r="D431" s="104">
        <v>44506</v>
      </c>
      <c r="E431" s="102">
        <v>108</v>
      </c>
      <c r="F431" s="105">
        <v>75</v>
      </c>
      <c r="G431" s="104">
        <v>45874</v>
      </c>
      <c r="H431" s="103" t="s">
        <v>423</v>
      </c>
      <c r="I431" s="103" t="s">
        <v>482</v>
      </c>
      <c r="J431" s="103" t="s">
        <v>913</v>
      </c>
      <c r="L431">
        <f t="shared" si="52"/>
        <v>5</v>
      </c>
      <c r="M431">
        <f t="shared" si="53"/>
        <v>5</v>
      </c>
      <c r="N431">
        <f t="shared" si="54"/>
        <v>25</v>
      </c>
      <c r="O431" s="158">
        <f t="shared" si="57"/>
        <v>4.32</v>
      </c>
      <c r="P431" s="159">
        <f t="shared" si="58"/>
        <v>-33</v>
      </c>
    </row>
    <row r="432" spans="2:16" hidden="1" x14ac:dyDescent="0.3">
      <c r="B432" s="98" t="s">
        <v>1265</v>
      </c>
      <c r="C432" s="99" t="s">
        <v>1266</v>
      </c>
      <c r="D432" s="100">
        <v>44464</v>
      </c>
      <c r="E432" s="98">
        <v>100</v>
      </c>
      <c r="F432" s="101">
        <v>75</v>
      </c>
      <c r="G432" s="100">
        <v>45893</v>
      </c>
      <c r="H432" s="99" t="s">
        <v>423</v>
      </c>
      <c r="I432" s="99" t="s">
        <v>482</v>
      </c>
      <c r="J432" s="99" t="s">
        <v>913</v>
      </c>
      <c r="L432">
        <f t="shared" si="52"/>
        <v>5</v>
      </c>
      <c r="M432">
        <f t="shared" si="53"/>
        <v>5</v>
      </c>
      <c r="N432">
        <f t="shared" si="54"/>
        <v>25</v>
      </c>
      <c r="O432" s="158">
        <f t="shared" si="57"/>
        <v>4</v>
      </c>
      <c r="P432" s="159">
        <f t="shared" si="58"/>
        <v>-25</v>
      </c>
    </row>
    <row r="433" spans="2:16" x14ac:dyDescent="0.3">
      <c r="B433" s="102" t="s">
        <v>1267</v>
      </c>
      <c r="C433" s="103" t="s">
        <v>1268</v>
      </c>
      <c r="D433" s="104">
        <v>45736</v>
      </c>
      <c r="E433" s="102">
        <v>74</v>
      </c>
      <c r="F433" s="105">
        <v>75</v>
      </c>
      <c r="G433" s="104">
        <v>45888</v>
      </c>
      <c r="H433" s="103" t="s">
        <v>423</v>
      </c>
      <c r="I433" s="103" t="s">
        <v>482</v>
      </c>
      <c r="J433" s="103" t="s">
        <v>913</v>
      </c>
      <c r="L433">
        <f t="shared" si="52"/>
        <v>5</v>
      </c>
      <c r="M433">
        <f t="shared" si="53"/>
        <v>5</v>
      </c>
      <c r="N433">
        <f t="shared" si="54"/>
        <v>25</v>
      </c>
      <c r="O433" s="158">
        <f t="shared" si="57"/>
        <v>2.96</v>
      </c>
      <c r="P433" s="159">
        <f t="shared" si="58"/>
        <v>1</v>
      </c>
    </row>
    <row r="434" spans="2:16" hidden="1" x14ac:dyDescent="0.3">
      <c r="B434" s="98" t="s">
        <v>1269</v>
      </c>
      <c r="C434" s="99" t="s">
        <v>1270</v>
      </c>
      <c r="D434" s="100">
        <v>44851</v>
      </c>
      <c r="E434" s="98">
        <v>100</v>
      </c>
      <c r="F434" s="101">
        <v>75</v>
      </c>
      <c r="G434" s="100">
        <v>45793</v>
      </c>
      <c r="H434" s="99" t="s">
        <v>442</v>
      </c>
      <c r="I434" s="99" t="s">
        <v>482</v>
      </c>
      <c r="J434" s="99" t="s">
        <v>913</v>
      </c>
      <c r="L434">
        <f t="shared" si="52"/>
        <v>5</v>
      </c>
      <c r="M434">
        <f t="shared" si="53"/>
        <v>5</v>
      </c>
      <c r="N434">
        <f t="shared" si="54"/>
        <v>25</v>
      </c>
      <c r="O434" s="158">
        <f t="shared" si="57"/>
        <v>4</v>
      </c>
      <c r="P434" s="159">
        <f t="shared" si="58"/>
        <v>-25</v>
      </c>
    </row>
    <row r="435" spans="2:16" hidden="1" x14ac:dyDescent="0.3">
      <c r="B435" s="102" t="s">
        <v>1271</v>
      </c>
      <c r="C435" s="103" t="s">
        <v>1272</v>
      </c>
      <c r="D435" s="104">
        <v>45821</v>
      </c>
      <c r="E435" s="102">
        <v>85</v>
      </c>
      <c r="F435" s="105">
        <v>75</v>
      </c>
      <c r="G435" s="104">
        <v>45912</v>
      </c>
      <c r="H435" s="103" t="s">
        <v>423</v>
      </c>
      <c r="I435" s="103" t="s">
        <v>482</v>
      </c>
      <c r="J435" s="103" t="s">
        <v>913</v>
      </c>
      <c r="L435">
        <f t="shared" si="52"/>
        <v>5</v>
      </c>
      <c r="M435">
        <f t="shared" si="53"/>
        <v>5</v>
      </c>
      <c r="N435">
        <f t="shared" si="54"/>
        <v>25</v>
      </c>
      <c r="O435" s="158">
        <f t="shared" si="57"/>
        <v>3.4</v>
      </c>
      <c r="P435" s="159">
        <f t="shared" si="58"/>
        <v>-10</v>
      </c>
    </row>
    <row r="436" spans="2:16" x14ac:dyDescent="0.3">
      <c r="B436" s="98" t="s">
        <v>1273</v>
      </c>
      <c r="C436" s="99" t="s">
        <v>1274</v>
      </c>
      <c r="D436" s="100">
        <v>45778</v>
      </c>
      <c r="E436" s="98">
        <v>66</v>
      </c>
      <c r="F436" s="101">
        <v>168</v>
      </c>
      <c r="G436" s="100">
        <v>45874</v>
      </c>
      <c r="H436" s="99" t="s">
        <v>423</v>
      </c>
      <c r="I436" s="99" t="s">
        <v>431</v>
      </c>
      <c r="J436" s="99" t="s">
        <v>913</v>
      </c>
      <c r="L436">
        <f t="shared" si="52"/>
        <v>5</v>
      </c>
      <c r="M436">
        <f t="shared" si="53"/>
        <v>15</v>
      </c>
      <c r="N436">
        <f t="shared" si="54"/>
        <v>75</v>
      </c>
      <c r="O436" s="158">
        <f t="shared" si="57"/>
        <v>0.88</v>
      </c>
      <c r="P436" s="159">
        <f t="shared" si="58"/>
        <v>102</v>
      </c>
    </row>
    <row r="437" spans="2:16" x14ac:dyDescent="0.3">
      <c r="B437" s="102" t="s">
        <v>1275</v>
      </c>
      <c r="C437" s="103" t="s">
        <v>1276</v>
      </c>
      <c r="D437" s="104">
        <v>45736</v>
      </c>
      <c r="E437" s="102">
        <v>193</v>
      </c>
      <c r="F437" s="105">
        <v>218</v>
      </c>
      <c r="G437" s="104">
        <v>45857</v>
      </c>
      <c r="H437" s="103" t="s">
        <v>442</v>
      </c>
      <c r="I437" s="103" t="s">
        <v>428</v>
      </c>
      <c r="J437" s="103" t="s">
        <v>913</v>
      </c>
      <c r="L437">
        <f t="shared" si="52"/>
        <v>10</v>
      </c>
      <c r="M437">
        <f t="shared" si="53"/>
        <v>10</v>
      </c>
      <c r="N437">
        <f t="shared" si="54"/>
        <v>100</v>
      </c>
      <c r="O437" s="158">
        <f t="shared" si="57"/>
        <v>1.93</v>
      </c>
      <c r="P437" s="159">
        <f t="shared" si="58"/>
        <v>25</v>
      </c>
    </row>
    <row r="438" spans="2:16" hidden="1" x14ac:dyDescent="0.3">
      <c r="B438" s="98"/>
      <c r="C438" s="99" t="s">
        <v>1277</v>
      </c>
      <c r="D438" s="99"/>
      <c r="E438" s="98"/>
      <c r="F438" s="101">
        <v>218</v>
      </c>
      <c r="G438" s="99"/>
      <c r="H438" s="99" t="s">
        <v>445</v>
      </c>
      <c r="I438" s="99" t="s">
        <v>428</v>
      </c>
      <c r="J438" s="99" t="s">
        <v>913</v>
      </c>
      <c r="L438">
        <f t="shared" si="52"/>
        <v>10</v>
      </c>
      <c r="M438">
        <f t="shared" si="53"/>
        <v>10</v>
      </c>
      <c r="N438">
        <f t="shared" si="54"/>
        <v>100</v>
      </c>
    </row>
    <row r="439" spans="2:16" x14ac:dyDescent="0.3">
      <c r="B439" s="102" t="s">
        <v>1278</v>
      </c>
      <c r="C439" s="103" t="s">
        <v>1279</v>
      </c>
      <c r="D439" s="104">
        <v>45778</v>
      </c>
      <c r="E439" s="102">
        <v>66</v>
      </c>
      <c r="F439" s="105">
        <v>168</v>
      </c>
      <c r="G439" s="104">
        <v>45875</v>
      </c>
      <c r="H439" s="103" t="s">
        <v>423</v>
      </c>
      <c r="I439" s="103" t="s">
        <v>431</v>
      </c>
      <c r="J439" s="103" t="s">
        <v>913</v>
      </c>
      <c r="L439">
        <f t="shared" si="52"/>
        <v>5</v>
      </c>
      <c r="M439">
        <f t="shared" si="53"/>
        <v>15</v>
      </c>
      <c r="N439">
        <f t="shared" si="54"/>
        <v>75</v>
      </c>
      <c r="O439" s="158">
        <f t="shared" ref="O439:O442" si="59">E439/N439</f>
        <v>0.88</v>
      </c>
      <c r="P439" s="159">
        <f t="shared" ref="P439:P442" si="60">F439-E439</f>
        <v>102</v>
      </c>
    </row>
    <row r="440" spans="2:16" x14ac:dyDescent="0.3">
      <c r="B440" s="98" t="s">
        <v>1280</v>
      </c>
      <c r="C440" s="99" t="s">
        <v>1281</v>
      </c>
      <c r="D440" s="100">
        <v>45766</v>
      </c>
      <c r="E440" s="98">
        <v>117</v>
      </c>
      <c r="F440" s="101">
        <v>218</v>
      </c>
      <c r="G440" s="100">
        <v>45887</v>
      </c>
      <c r="H440" s="99" t="s">
        <v>423</v>
      </c>
      <c r="I440" s="99" t="s">
        <v>428</v>
      </c>
      <c r="J440" s="99" t="s">
        <v>913</v>
      </c>
      <c r="L440">
        <f t="shared" si="52"/>
        <v>10</v>
      </c>
      <c r="M440">
        <f t="shared" si="53"/>
        <v>10</v>
      </c>
      <c r="N440">
        <f t="shared" si="54"/>
        <v>100</v>
      </c>
      <c r="O440" s="158">
        <f t="shared" si="59"/>
        <v>1.17</v>
      </c>
      <c r="P440" s="159">
        <f t="shared" si="60"/>
        <v>101</v>
      </c>
    </row>
    <row r="441" spans="2:16" hidden="1" x14ac:dyDescent="0.3">
      <c r="B441" s="102" t="s">
        <v>1282</v>
      </c>
      <c r="C441" s="103" t="s">
        <v>1283</v>
      </c>
      <c r="D441" s="104">
        <v>44702</v>
      </c>
      <c r="E441" s="102">
        <v>284</v>
      </c>
      <c r="F441" s="105">
        <v>218</v>
      </c>
      <c r="G441" s="104">
        <v>45889</v>
      </c>
      <c r="H441" s="103" t="s">
        <v>423</v>
      </c>
      <c r="I441" s="103" t="s">
        <v>428</v>
      </c>
      <c r="J441" s="103" t="s">
        <v>913</v>
      </c>
      <c r="L441">
        <f t="shared" si="52"/>
        <v>10</v>
      </c>
      <c r="M441">
        <f t="shared" si="53"/>
        <v>10</v>
      </c>
      <c r="N441">
        <f t="shared" si="54"/>
        <v>100</v>
      </c>
      <c r="O441" s="158">
        <f t="shared" si="59"/>
        <v>2.84</v>
      </c>
      <c r="P441" s="159">
        <f t="shared" si="60"/>
        <v>-66</v>
      </c>
    </row>
    <row r="442" spans="2:16" x14ac:dyDescent="0.3">
      <c r="B442" s="98" t="s">
        <v>1284</v>
      </c>
      <c r="C442" s="99" t="s">
        <v>1285</v>
      </c>
      <c r="D442" s="100">
        <v>45783</v>
      </c>
      <c r="E442" s="98">
        <v>66</v>
      </c>
      <c r="F442" s="101">
        <v>168</v>
      </c>
      <c r="G442" s="100">
        <v>45905</v>
      </c>
      <c r="H442" s="99" t="s">
        <v>423</v>
      </c>
      <c r="I442" s="99" t="s">
        <v>431</v>
      </c>
      <c r="J442" s="99" t="s">
        <v>913</v>
      </c>
      <c r="L442">
        <f t="shared" si="52"/>
        <v>5</v>
      </c>
      <c r="M442">
        <f t="shared" si="53"/>
        <v>15</v>
      </c>
      <c r="N442">
        <f t="shared" si="54"/>
        <v>75</v>
      </c>
      <c r="O442" s="158">
        <f t="shared" si="59"/>
        <v>0.88</v>
      </c>
      <c r="P442" s="159">
        <f t="shared" si="60"/>
        <v>102</v>
      </c>
    </row>
    <row r="443" spans="2:16" hidden="1" x14ac:dyDescent="0.3">
      <c r="B443" s="102"/>
      <c r="C443" s="103" t="s">
        <v>1286</v>
      </c>
      <c r="D443" s="103"/>
      <c r="E443" s="102"/>
      <c r="F443" s="105">
        <v>218</v>
      </c>
      <c r="G443" s="103"/>
      <c r="H443" s="103" t="s">
        <v>445</v>
      </c>
      <c r="I443" s="103" t="s">
        <v>428</v>
      </c>
      <c r="J443" s="103" t="s">
        <v>913</v>
      </c>
      <c r="L443">
        <f t="shared" si="52"/>
        <v>10</v>
      </c>
      <c r="M443">
        <f t="shared" si="53"/>
        <v>10</v>
      </c>
      <c r="N443">
        <f t="shared" si="54"/>
        <v>100</v>
      </c>
    </row>
    <row r="444" spans="2:16" x14ac:dyDescent="0.3">
      <c r="B444" s="98" t="s">
        <v>1287</v>
      </c>
      <c r="C444" s="99" t="s">
        <v>1288</v>
      </c>
      <c r="D444" s="100">
        <v>45785</v>
      </c>
      <c r="E444" s="98">
        <v>83</v>
      </c>
      <c r="F444" s="101">
        <v>168</v>
      </c>
      <c r="G444" s="100">
        <v>45877</v>
      </c>
      <c r="H444" s="99" t="s">
        <v>423</v>
      </c>
      <c r="I444" s="99" t="s">
        <v>431</v>
      </c>
      <c r="J444" s="99" t="s">
        <v>913</v>
      </c>
      <c r="L444">
        <f t="shared" si="52"/>
        <v>5</v>
      </c>
      <c r="M444">
        <f t="shared" si="53"/>
        <v>15</v>
      </c>
      <c r="N444">
        <f t="shared" si="54"/>
        <v>75</v>
      </c>
      <c r="O444" s="158">
        <f t="shared" ref="O444:O451" si="61">E444/N444</f>
        <v>1.1066666666666667</v>
      </c>
      <c r="P444" s="159">
        <f t="shared" ref="P444:P451" si="62">F444-E444</f>
        <v>85</v>
      </c>
    </row>
    <row r="445" spans="2:16" x14ac:dyDescent="0.3">
      <c r="B445" s="102" t="s">
        <v>1289</v>
      </c>
      <c r="C445" s="103" t="s">
        <v>1290</v>
      </c>
      <c r="D445" s="104">
        <v>45794</v>
      </c>
      <c r="E445" s="102">
        <v>192</v>
      </c>
      <c r="F445" s="105">
        <v>218</v>
      </c>
      <c r="G445" s="104">
        <v>45885</v>
      </c>
      <c r="H445" s="103" t="s">
        <v>423</v>
      </c>
      <c r="I445" s="103" t="s">
        <v>428</v>
      </c>
      <c r="J445" s="103" t="s">
        <v>913</v>
      </c>
      <c r="L445">
        <f t="shared" si="52"/>
        <v>10</v>
      </c>
      <c r="M445">
        <f t="shared" si="53"/>
        <v>10</v>
      </c>
      <c r="N445">
        <f t="shared" si="54"/>
        <v>100</v>
      </c>
      <c r="O445" s="158">
        <f t="shared" si="61"/>
        <v>1.92</v>
      </c>
      <c r="P445" s="159">
        <f t="shared" si="62"/>
        <v>26</v>
      </c>
    </row>
    <row r="446" spans="2:16" hidden="1" x14ac:dyDescent="0.3">
      <c r="B446" s="98" t="s">
        <v>1291</v>
      </c>
      <c r="C446" s="99" t="s">
        <v>1292</v>
      </c>
      <c r="D446" s="100">
        <v>45148</v>
      </c>
      <c r="E446" s="98">
        <v>267</v>
      </c>
      <c r="F446" s="101">
        <v>218</v>
      </c>
      <c r="G446" s="100">
        <v>45881</v>
      </c>
      <c r="H446" s="99" t="s">
        <v>423</v>
      </c>
      <c r="I446" s="99" t="s">
        <v>428</v>
      </c>
      <c r="J446" s="99" t="s">
        <v>913</v>
      </c>
      <c r="L446">
        <f t="shared" si="52"/>
        <v>10</v>
      </c>
      <c r="M446">
        <f t="shared" si="53"/>
        <v>10</v>
      </c>
      <c r="N446">
        <f t="shared" si="54"/>
        <v>100</v>
      </c>
      <c r="O446" s="158">
        <f t="shared" si="61"/>
        <v>2.67</v>
      </c>
      <c r="P446" s="159">
        <f t="shared" si="62"/>
        <v>-49</v>
      </c>
    </row>
    <row r="447" spans="2:16" x14ac:dyDescent="0.3">
      <c r="B447" s="102" t="s">
        <v>1293</v>
      </c>
      <c r="C447" s="103" t="s">
        <v>1294</v>
      </c>
      <c r="D447" s="104">
        <v>44684</v>
      </c>
      <c r="E447" s="102">
        <v>156</v>
      </c>
      <c r="F447" s="105">
        <v>168</v>
      </c>
      <c r="G447" s="104">
        <v>45871</v>
      </c>
      <c r="H447" s="103" t="s">
        <v>423</v>
      </c>
      <c r="I447" s="103" t="s">
        <v>431</v>
      </c>
      <c r="J447" s="103" t="s">
        <v>913</v>
      </c>
      <c r="L447">
        <f t="shared" si="52"/>
        <v>5</v>
      </c>
      <c r="M447">
        <f t="shared" si="53"/>
        <v>15</v>
      </c>
      <c r="N447">
        <f t="shared" si="54"/>
        <v>75</v>
      </c>
      <c r="O447" s="158">
        <f t="shared" si="61"/>
        <v>2.08</v>
      </c>
      <c r="P447" s="159">
        <f t="shared" si="62"/>
        <v>12</v>
      </c>
    </row>
    <row r="448" spans="2:16" hidden="1" x14ac:dyDescent="0.3">
      <c r="B448" s="98" t="s">
        <v>1295</v>
      </c>
      <c r="C448" s="99" t="s">
        <v>1296</v>
      </c>
      <c r="D448" s="100">
        <v>44201</v>
      </c>
      <c r="E448" s="98">
        <v>293</v>
      </c>
      <c r="F448" s="101">
        <v>218</v>
      </c>
      <c r="G448" s="100">
        <v>45873</v>
      </c>
      <c r="H448" s="99" t="s">
        <v>423</v>
      </c>
      <c r="I448" s="99" t="s">
        <v>428</v>
      </c>
      <c r="J448" s="99" t="s">
        <v>913</v>
      </c>
      <c r="L448">
        <f t="shared" si="52"/>
        <v>10</v>
      </c>
      <c r="M448">
        <f t="shared" si="53"/>
        <v>10</v>
      </c>
      <c r="N448">
        <f t="shared" si="54"/>
        <v>100</v>
      </c>
      <c r="O448" s="158">
        <f t="shared" si="61"/>
        <v>2.93</v>
      </c>
      <c r="P448" s="159">
        <f t="shared" si="62"/>
        <v>-75</v>
      </c>
    </row>
    <row r="449" spans="2:16" hidden="1" x14ac:dyDescent="0.3">
      <c r="B449" s="102" t="s">
        <v>1297</v>
      </c>
      <c r="C449" s="103" t="s">
        <v>1298</v>
      </c>
      <c r="D449" s="104">
        <v>44694</v>
      </c>
      <c r="E449" s="102">
        <v>240</v>
      </c>
      <c r="F449" s="105">
        <v>168</v>
      </c>
      <c r="G449" s="104">
        <v>45881</v>
      </c>
      <c r="H449" s="103" t="s">
        <v>423</v>
      </c>
      <c r="I449" s="103" t="s">
        <v>431</v>
      </c>
      <c r="J449" s="103" t="s">
        <v>913</v>
      </c>
      <c r="L449">
        <f t="shared" si="52"/>
        <v>5</v>
      </c>
      <c r="M449">
        <f t="shared" si="53"/>
        <v>15</v>
      </c>
      <c r="N449">
        <f t="shared" si="54"/>
        <v>75</v>
      </c>
      <c r="O449" s="158">
        <f t="shared" si="61"/>
        <v>3.2</v>
      </c>
      <c r="P449" s="159">
        <f t="shared" si="62"/>
        <v>-72</v>
      </c>
    </row>
    <row r="450" spans="2:16" x14ac:dyDescent="0.3">
      <c r="B450" s="98" t="s">
        <v>1299</v>
      </c>
      <c r="C450" s="99" t="s">
        <v>1300</v>
      </c>
      <c r="D450" s="100">
        <v>45775</v>
      </c>
      <c r="E450" s="98">
        <v>117</v>
      </c>
      <c r="F450" s="101">
        <v>218</v>
      </c>
      <c r="G450" s="100">
        <v>45872</v>
      </c>
      <c r="H450" s="99" t="s">
        <v>423</v>
      </c>
      <c r="I450" s="99" t="s">
        <v>428</v>
      </c>
      <c r="J450" s="99" t="s">
        <v>913</v>
      </c>
      <c r="L450">
        <f t="shared" si="52"/>
        <v>10</v>
      </c>
      <c r="M450">
        <f t="shared" si="53"/>
        <v>10</v>
      </c>
      <c r="N450">
        <f t="shared" si="54"/>
        <v>100</v>
      </c>
      <c r="O450" s="158">
        <f t="shared" si="61"/>
        <v>1.17</v>
      </c>
      <c r="P450" s="159">
        <f t="shared" si="62"/>
        <v>101</v>
      </c>
    </row>
    <row r="451" spans="2:16" hidden="1" x14ac:dyDescent="0.3">
      <c r="B451" s="102" t="s">
        <v>1301</v>
      </c>
      <c r="C451" s="103" t="s">
        <v>1302</v>
      </c>
      <c r="D451" s="104">
        <v>44753</v>
      </c>
      <c r="E451" s="102">
        <v>293</v>
      </c>
      <c r="F451" s="105">
        <v>218</v>
      </c>
      <c r="G451" s="104">
        <v>45879</v>
      </c>
      <c r="H451" s="103" t="s">
        <v>423</v>
      </c>
      <c r="I451" s="103" t="s">
        <v>428</v>
      </c>
      <c r="J451" s="103" t="s">
        <v>913</v>
      </c>
      <c r="L451">
        <f t="shared" si="52"/>
        <v>10</v>
      </c>
      <c r="M451">
        <f t="shared" si="53"/>
        <v>10</v>
      </c>
      <c r="N451">
        <f t="shared" si="54"/>
        <v>100</v>
      </c>
      <c r="O451" s="158">
        <f t="shared" si="61"/>
        <v>2.93</v>
      </c>
      <c r="P451" s="159">
        <f t="shared" si="62"/>
        <v>-75</v>
      </c>
    </row>
    <row r="452" spans="2:16" hidden="1" x14ac:dyDescent="0.3">
      <c r="B452" s="98"/>
      <c r="C452" s="99" t="s">
        <v>1303</v>
      </c>
      <c r="D452" s="99"/>
      <c r="E452" s="98"/>
      <c r="F452" s="101">
        <v>168</v>
      </c>
      <c r="G452" s="99"/>
      <c r="H452" s="99" t="s">
        <v>445</v>
      </c>
      <c r="I452" s="99" t="s">
        <v>431</v>
      </c>
      <c r="J452" s="99" t="s">
        <v>913</v>
      </c>
      <c r="L452">
        <f t="shared" si="52"/>
        <v>5</v>
      </c>
      <c r="M452">
        <f t="shared" si="53"/>
        <v>15</v>
      </c>
      <c r="N452">
        <f t="shared" si="54"/>
        <v>75</v>
      </c>
    </row>
    <row r="453" spans="2:16" x14ac:dyDescent="0.3">
      <c r="B453" s="102" t="s">
        <v>1304</v>
      </c>
      <c r="C453" s="103" t="s">
        <v>1305</v>
      </c>
      <c r="D453" s="104">
        <v>45780</v>
      </c>
      <c r="E453" s="102">
        <v>121</v>
      </c>
      <c r="F453" s="105">
        <v>218</v>
      </c>
      <c r="G453" s="104">
        <v>45871</v>
      </c>
      <c r="H453" s="103" t="s">
        <v>423</v>
      </c>
      <c r="I453" s="103" t="s">
        <v>428</v>
      </c>
      <c r="J453" s="103" t="s">
        <v>913</v>
      </c>
      <c r="L453">
        <f t="shared" si="52"/>
        <v>10</v>
      </c>
      <c r="M453">
        <f t="shared" si="53"/>
        <v>10</v>
      </c>
      <c r="N453">
        <f t="shared" si="54"/>
        <v>100</v>
      </c>
      <c r="O453" s="158">
        <f t="shared" ref="O453:O492" si="63">E453/N453</f>
        <v>1.21</v>
      </c>
      <c r="P453" s="159">
        <f t="shared" ref="P453:P492" si="64">F453-E453</f>
        <v>97</v>
      </c>
    </row>
    <row r="454" spans="2:16" hidden="1" x14ac:dyDescent="0.3">
      <c r="B454" s="98" t="s">
        <v>1306</v>
      </c>
      <c r="C454" s="99" t="s">
        <v>1307</v>
      </c>
      <c r="D454" s="100">
        <v>44316</v>
      </c>
      <c r="E454" s="98">
        <v>122</v>
      </c>
      <c r="F454" s="101">
        <v>75</v>
      </c>
      <c r="G454" s="100">
        <v>45898</v>
      </c>
      <c r="H454" s="99" t="s">
        <v>423</v>
      </c>
      <c r="I454" s="99" t="s">
        <v>482</v>
      </c>
      <c r="J454" s="99" t="s">
        <v>913</v>
      </c>
      <c r="L454">
        <f t="shared" si="52"/>
        <v>5</v>
      </c>
      <c r="M454">
        <f t="shared" si="53"/>
        <v>5</v>
      </c>
      <c r="N454">
        <f t="shared" si="54"/>
        <v>25</v>
      </c>
      <c r="O454" s="158">
        <f t="shared" si="63"/>
        <v>4.88</v>
      </c>
      <c r="P454" s="159">
        <f t="shared" si="64"/>
        <v>-47</v>
      </c>
    </row>
    <row r="455" spans="2:16" hidden="1" x14ac:dyDescent="0.3">
      <c r="B455" s="102" t="s">
        <v>1308</v>
      </c>
      <c r="C455" s="103" t="s">
        <v>1309</v>
      </c>
      <c r="D455" s="104">
        <v>45145</v>
      </c>
      <c r="E455" s="102">
        <v>250</v>
      </c>
      <c r="F455" s="105">
        <v>168</v>
      </c>
      <c r="G455" s="104">
        <v>45875</v>
      </c>
      <c r="H455" s="103" t="s">
        <v>423</v>
      </c>
      <c r="I455" s="103" t="s">
        <v>431</v>
      </c>
      <c r="J455" s="103" t="s">
        <v>913</v>
      </c>
      <c r="L455">
        <f t="shared" ref="L455:L518" si="65">--LEFT(I455,FIND("X",I455)-1)</f>
        <v>5</v>
      </c>
      <c r="M455">
        <f t="shared" ref="M455:M518" si="66">--RIGHT(I455,LEN(I455)-FIND("X",I455))</f>
        <v>15</v>
      </c>
      <c r="N455">
        <f t="shared" ref="N455:N518" si="67">L455*M455</f>
        <v>75</v>
      </c>
      <c r="O455" s="158">
        <f t="shared" si="63"/>
        <v>3.3333333333333335</v>
      </c>
      <c r="P455" s="159">
        <f t="shared" si="64"/>
        <v>-82</v>
      </c>
    </row>
    <row r="456" spans="2:16" x14ac:dyDescent="0.3">
      <c r="B456" s="98" t="s">
        <v>1310</v>
      </c>
      <c r="C456" s="99" t="s">
        <v>1311</v>
      </c>
      <c r="D456" s="100">
        <v>45753</v>
      </c>
      <c r="E456" s="98">
        <v>61</v>
      </c>
      <c r="F456" s="101">
        <v>124</v>
      </c>
      <c r="G456" s="100">
        <v>45874</v>
      </c>
      <c r="H456" s="99" t="s">
        <v>423</v>
      </c>
      <c r="I456" s="99" t="s">
        <v>463</v>
      </c>
      <c r="J456" s="99" t="s">
        <v>913</v>
      </c>
      <c r="L456">
        <f t="shared" si="65"/>
        <v>5</v>
      </c>
      <c r="M456">
        <f t="shared" si="66"/>
        <v>10</v>
      </c>
      <c r="N456">
        <f t="shared" si="67"/>
        <v>50</v>
      </c>
      <c r="O456" s="158">
        <f t="shared" si="63"/>
        <v>1.22</v>
      </c>
      <c r="P456" s="159">
        <f t="shared" si="64"/>
        <v>63</v>
      </c>
    </row>
    <row r="457" spans="2:16" hidden="1" x14ac:dyDescent="0.3">
      <c r="B457" s="102" t="s">
        <v>1312</v>
      </c>
      <c r="C457" s="103" t="s">
        <v>1313</v>
      </c>
      <c r="D457" s="104">
        <v>44595</v>
      </c>
      <c r="E457" s="102">
        <v>492</v>
      </c>
      <c r="F457" s="105">
        <v>486</v>
      </c>
      <c r="G457" s="104">
        <v>45871</v>
      </c>
      <c r="H457" s="103" t="s">
        <v>423</v>
      </c>
      <c r="I457" s="103" t="s">
        <v>521</v>
      </c>
      <c r="J457" s="103" t="s">
        <v>1081</v>
      </c>
      <c r="L457">
        <f t="shared" si="65"/>
        <v>10</v>
      </c>
      <c r="M457">
        <f t="shared" si="66"/>
        <v>30</v>
      </c>
      <c r="N457">
        <f t="shared" si="67"/>
        <v>300</v>
      </c>
      <c r="O457" s="158">
        <f t="shared" si="63"/>
        <v>1.64</v>
      </c>
      <c r="P457" s="159">
        <f t="shared" si="64"/>
        <v>-6</v>
      </c>
    </row>
    <row r="458" spans="2:16" hidden="1" x14ac:dyDescent="0.3">
      <c r="B458" s="98" t="s">
        <v>1314</v>
      </c>
      <c r="C458" s="99" t="s">
        <v>1315</v>
      </c>
      <c r="D458" s="100">
        <v>44649</v>
      </c>
      <c r="E458" s="98">
        <v>293</v>
      </c>
      <c r="F458" s="101">
        <v>218</v>
      </c>
      <c r="G458" s="100">
        <v>45877</v>
      </c>
      <c r="H458" s="99" t="s">
        <v>423</v>
      </c>
      <c r="I458" s="99" t="s">
        <v>428</v>
      </c>
      <c r="J458" s="99" t="s">
        <v>913</v>
      </c>
      <c r="L458">
        <f t="shared" si="65"/>
        <v>10</v>
      </c>
      <c r="M458">
        <f t="shared" si="66"/>
        <v>10</v>
      </c>
      <c r="N458">
        <f t="shared" si="67"/>
        <v>100</v>
      </c>
      <c r="O458" s="158">
        <f t="shared" si="63"/>
        <v>2.93</v>
      </c>
      <c r="P458" s="159">
        <f t="shared" si="64"/>
        <v>-75</v>
      </c>
    </row>
    <row r="459" spans="2:16" x14ac:dyDescent="0.3">
      <c r="B459" s="102" t="s">
        <v>1316</v>
      </c>
      <c r="C459" s="103" t="s">
        <v>1317</v>
      </c>
      <c r="D459" s="104">
        <v>44882</v>
      </c>
      <c r="E459" s="102">
        <v>200</v>
      </c>
      <c r="F459" s="105">
        <v>218</v>
      </c>
      <c r="G459" s="104">
        <v>45858</v>
      </c>
      <c r="H459" s="103" t="s">
        <v>442</v>
      </c>
      <c r="I459" s="103" t="s">
        <v>428</v>
      </c>
      <c r="J459" s="103" t="s">
        <v>913</v>
      </c>
      <c r="L459">
        <f t="shared" si="65"/>
        <v>10</v>
      </c>
      <c r="M459">
        <f t="shared" si="66"/>
        <v>10</v>
      </c>
      <c r="N459">
        <f t="shared" si="67"/>
        <v>100</v>
      </c>
      <c r="O459" s="158">
        <f t="shared" si="63"/>
        <v>2</v>
      </c>
      <c r="P459" s="159">
        <f t="shared" si="64"/>
        <v>18</v>
      </c>
    </row>
    <row r="460" spans="2:16" hidden="1" x14ac:dyDescent="0.3">
      <c r="B460" s="98" t="s">
        <v>1318</v>
      </c>
      <c r="C460" s="99" t="s">
        <v>1319</v>
      </c>
      <c r="D460" s="100">
        <v>44395</v>
      </c>
      <c r="E460" s="98">
        <v>284</v>
      </c>
      <c r="F460" s="101">
        <v>218</v>
      </c>
      <c r="G460" s="100">
        <v>45886</v>
      </c>
      <c r="H460" s="99" t="s">
        <v>423</v>
      </c>
      <c r="I460" s="99" t="s">
        <v>428</v>
      </c>
      <c r="J460" s="99" t="s">
        <v>913</v>
      </c>
      <c r="L460">
        <f t="shared" si="65"/>
        <v>10</v>
      </c>
      <c r="M460">
        <f t="shared" si="66"/>
        <v>10</v>
      </c>
      <c r="N460">
        <f t="shared" si="67"/>
        <v>100</v>
      </c>
      <c r="O460" s="158">
        <f t="shared" si="63"/>
        <v>2.84</v>
      </c>
      <c r="P460" s="159">
        <f t="shared" si="64"/>
        <v>-66</v>
      </c>
    </row>
    <row r="461" spans="2:16" x14ac:dyDescent="0.3">
      <c r="B461" s="102" t="s">
        <v>1320</v>
      </c>
      <c r="C461" s="103" t="s">
        <v>1321</v>
      </c>
      <c r="D461" s="104">
        <v>44965</v>
      </c>
      <c r="E461" s="102">
        <v>232</v>
      </c>
      <c r="F461" s="105">
        <v>292</v>
      </c>
      <c r="G461" s="104">
        <v>45876</v>
      </c>
      <c r="H461" s="103" t="s">
        <v>423</v>
      </c>
      <c r="I461" s="103" t="s">
        <v>424</v>
      </c>
      <c r="J461" s="103" t="s">
        <v>913</v>
      </c>
      <c r="L461">
        <f t="shared" si="65"/>
        <v>10</v>
      </c>
      <c r="M461">
        <f t="shared" si="66"/>
        <v>15</v>
      </c>
      <c r="N461">
        <f t="shared" si="67"/>
        <v>150</v>
      </c>
      <c r="O461" s="158">
        <f t="shared" si="63"/>
        <v>1.5466666666666666</v>
      </c>
      <c r="P461" s="159">
        <f t="shared" si="64"/>
        <v>60</v>
      </c>
    </row>
    <row r="462" spans="2:16" hidden="1" x14ac:dyDescent="0.3">
      <c r="B462" s="98" t="s">
        <v>1322</v>
      </c>
      <c r="C462" s="99" t="s">
        <v>1323</v>
      </c>
      <c r="D462" s="100">
        <v>44849</v>
      </c>
      <c r="E462" s="98">
        <v>267</v>
      </c>
      <c r="F462" s="101">
        <v>218</v>
      </c>
      <c r="G462" s="100">
        <v>45883</v>
      </c>
      <c r="H462" s="99" t="s">
        <v>423</v>
      </c>
      <c r="I462" s="99" t="s">
        <v>428</v>
      </c>
      <c r="J462" s="99" t="s">
        <v>913</v>
      </c>
      <c r="L462">
        <f t="shared" si="65"/>
        <v>10</v>
      </c>
      <c r="M462">
        <f t="shared" si="66"/>
        <v>10</v>
      </c>
      <c r="N462">
        <f t="shared" si="67"/>
        <v>100</v>
      </c>
      <c r="O462" s="158">
        <f t="shared" si="63"/>
        <v>2.67</v>
      </c>
      <c r="P462" s="159">
        <f t="shared" si="64"/>
        <v>-49</v>
      </c>
    </row>
    <row r="463" spans="2:16" x14ac:dyDescent="0.3">
      <c r="B463" s="102" t="s">
        <v>1320</v>
      </c>
      <c r="C463" s="103" t="s">
        <v>1324</v>
      </c>
      <c r="D463" s="104">
        <v>45026</v>
      </c>
      <c r="E463" s="102">
        <v>232</v>
      </c>
      <c r="F463" s="105">
        <v>292</v>
      </c>
      <c r="G463" s="104">
        <v>45878</v>
      </c>
      <c r="H463" s="103" t="s">
        <v>423</v>
      </c>
      <c r="I463" s="103" t="s">
        <v>424</v>
      </c>
      <c r="J463" s="103" t="s">
        <v>913</v>
      </c>
      <c r="L463">
        <f t="shared" si="65"/>
        <v>10</v>
      </c>
      <c r="M463">
        <f t="shared" si="66"/>
        <v>15</v>
      </c>
      <c r="N463">
        <f t="shared" si="67"/>
        <v>150</v>
      </c>
      <c r="O463" s="158">
        <f t="shared" si="63"/>
        <v>1.5466666666666666</v>
      </c>
      <c r="P463" s="159">
        <f t="shared" si="64"/>
        <v>60</v>
      </c>
    </row>
    <row r="464" spans="2:16" hidden="1" x14ac:dyDescent="0.3">
      <c r="B464" s="98" t="s">
        <v>1325</v>
      </c>
      <c r="C464" s="99" t="s">
        <v>1326</v>
      </c>
      <c r="D464" s="100">
        <v>44896</v>
      </c>
      <c r="E464" s="98">
        <v>280</v>
      </c>
      <c r="F464" s="101">
        <v>218</v>
      </c>
      <c r="G464" s="100">
        <v>45870</v>
      </c>
      <c r="H464" s="99" t="s">
        <v>423</v>
      </c>
      <c r="I464" s="99" t="s">
        <v>428</v>
      </c>
      <c r="J464" s="99" t="s">
        <v>913</v>
      </c>
      <c r="L464">
        <f t="shared" si="65"/>
        <v>10</v>
      </c>
      <c r="M464">
        <f t="shared" si="66"/>
        <v>10</v>
      </c>
      <c r="N464">
        <f t="shared" si="67"/>
        <v>100</v>
      </c>
      <c r="O464" s="158">
        <f t="shared" si="63"/>
        <v>2.8</v>
      </c>
      <c r="P464" s="159">
        <f t="shared" si="64"/>
        <v>-62</v>
      </c>
    </row>
    <row r="465" spans="2:16" x14ac:dyDescent="0.3">
      <c r="B465" s="102" t="s">
        <v>1327</v>
      </c>
      <c r="C465" s="103" t="s">
        <v>1328</v>
      </c>
      <c r="D465" s="104">
        <v>45744</v>
      </c>
      <c r="E465" s="102">
        <v>193</v>
      </c>
      <c r="F465" s="105">
        <v>218</v>
      </c>
      <c r="G465" s="104">
        <v>45872</v>
      </c>
      <c r="H465" s="103" t="s">
        <v>423</v>
      </c>
      <c r="I465" s="103" t="s">
        <v>428</v>
      </c>
      <c r="J465" s="103" t="s">
        <v>913</v>
      </c>
      <c r="L465">
        <f t="shared" si="65"/>
        <v>10</v>
      </c>
      <c r="M465">
        <f t="shared" si="66"/>
        <v>10</v>
      </c>
      <c r="N465">
        <f t="shared" si="67"/>
        <v>100</v>
      </c>
      <c r="O465" s="158">
        <f t="shared" si="63"/>
        <v>1.93</v>
      </c>
      <c r="P465" s="159">
        <f t="shared" si="64"/>
        <v>25</v>
      </c>
    </row>
    <row r="466" spans="2:16" x14ac:dyDescent="0.3">
      <c r="B466" s="98" t="s">
        <v>1329</v>
      </c>
      <c r="C466" s="99" t="s">
        <v>1330</v>
      </c>
      <c r="D466" s="100">
        <v>44897</v>
      </c>
      <c r="E466" s="98">
        <v>150</v>
      </c>
      <c r="F466" s="101">
        <v>292</v>
      </c>
      <c r="G466" s="100">
        <v>45870</v>
      </c>
      <c r="H466" s="99" t="s">
        <v>423</v>
      </c>
      <c r="I466" s="99" t="s">
        <v>424</v>
      </c>
      <c r="J466" s="99" t="s">
        <v>913</v>
      </c>
      <c r="L466">
        <f t="shared" si="65"/>
        <v>10</v>
      </c>
      <c r="M466">
        <f t="shared" si="66"/>
        <v>15</v>
      </c>
      <c r="N466">
        <f t="shared" si="67"/>
        <v>150</v>
      </c>
      <c r="O466" s="158">
        <f t="shared" si="63"/>
        <v>1</v>
      </c>
      <c r="P466" s="159">
        <f t="shared" si="64"/>
        <v>142</v>
      </c>
    </row>
    <row r="467" spans="2:16" hidden="1" x14ac:dyDescent="0.3">
      <c r="B467" s="102" t="s">
        <v>1331</v>
      </c>
      <c r="C467" s="103" t="s">
        <v>1332</v>
      </c>
      <c r="D467" s="104">
        <v>44219</v>
      </c>
      <c r="E467" s="102">
        <v>293</v>
      </c>
      <c r="F467" s="105">
        <v>218</v>
      </c>
      <c r="G467" s="104">
        <v>45891</v>
      </c>
      <c r="H467" s="103" t="s">
        <v>423</v>
      </c>
      <c r="I467" s="103" t="s">
        <v>428</v>
      </c>
      <c r="J467" s="103" t="s">
        <v>913</v>
      </c>
      <c r="L467">
        <f t="shared" si="65"/>
        <v>10</v>
      </c>
      <c r="M467">
        <f t="shared" si="66"/>
        <v>10</v>
      </c>
      <c r="N467">
        <f t="shared" si="67"/>
        <v>100</v>
      </c>
      <c r="O467" s="158">
        <f t="shared" si="63"/>
        <v>2.93</v>
      </c>
      <c r="P467" s="159">
        <f t="shared" si="64"/>
        <v>-75</v>
      </c>
    </row>
    <row r="468" spans="2:16" x14ac:dyDescent="0.3">
      <c r="B468" s="98" t="s">
        <v>1333</v>
      </c>
      <c r="C468" s="99" t="s">
        <v>1334</v>
      </c>
      <c r="D468" s="100">
        <v>45745</v>
      </c>
      <c r="E468" s="98">
        <v>264</v>
      </c>
      <c r="F468" s="101">
        <v>292</v>
      </c>
      <c r="G468" s="100">
        <v>45873</v>
      </c>
      <c r="H468" s="99" t="s">
        <v>423</v>
      </c>
      <c r="I468" s="99" t="s">
        <v>424</v>
      </c>
      <c r="J468" s="99" t="s">
        <v>913</v>
      </c>
      <c r="L468">
        <f t="shared" si="65"/>
        <v>10</v>
      </c>
      <c r="M468">
        <f t="shared" si="66"/>
        <v>15</v>
      </c>
      <c r="N468">
        <f t="shared" si="67"/>
        <v>150</v>
      </c>
      <c r="O468" s="158">
        <f t="shared" si="63"/>
        <v>1.76</v>
      </c>
      <c r="P468" s="159">
        <f t="shared" si="64"/>
        <v>28</v>
      </c>
    </row>
    <row r="469" spans="2:16" x14ac:dyDescent="0.3">
      <c r="B469" s="102" t="s">
        <v>1335</v>
      </c>
      <c r="C469" s="103" t="s">
        <v>1336</v>
      </c>
      <c r="D469" s="104">
        <v>45786</v>
      </c>
      <c r="E469" s="102">
        <v>184</v>
      </c>
      <c r="F469" s="105">
        <v>292</v>
      </c>
      <c r="G469" s="104">
        <v>45877</v>
      </c>
      <c r="H469" s="103" t="s">
        <v>423</v>
      </c>
      <c r="I469" s="103" t="s">
        <v>424</v>
      </c>
      <c r="J469" s="103" t="s">
        <v>913</v>
      </c>
      <c r="L469">
        <f t="shared" si="65"/>
        <v>10</v>
      </c>
      <c r="M469">
        <f t="shared" si="66"/>
        <v>15</v>
      </c>
      <c r="N469">
        <f t="shared" si="67"/>
        <v>150</v>
      </c>
      <c r="O469" s="158">
        <f t="shared" si="63"/>
        <v>1.2266666666666666</v>
      </c>
      <c r="P469" s="159">
        <f t="shared" si="64"/>
        <v>108</v>
      </c>
    </row>
    <row r="470" spans="2:16" hidden="1" x14ac:dyDescent="0.3">
      <c r="B470" s="98" t="s">
        <v>1337</v>
      </c>
      <c r="C470" s="99" t="s">
        <v>1338</v>
      </c>
      <c r="D470" s="100">
        <v>44277</v>
      </c>
      <c r="E470" s="98">
        <v>175</v>
      </c>
      <c r="F470" s="101">
        <v>124</v>
      </c>
      <c r="G470" s="100">
        <v>45890</v>
      </c>
      <c r="H470" s="99" t="s">
        <v>423</v>
      </c>
      <c r="I470" s="99" t="s">
        <v>443</v>
      </c>
      <c r="J470" s="99" t="s">
        <v>913</v>
      </c>
      <c r="L470">
        <f t="shared" si="65"/>
        <v>10</v>
      </c>
      <c r="M470">
        <f t="shared" si="66"/>
        <v>5</v>
      </c>
      <c r="N470">
        <f t="shared" si="67"/>
        <v>50</v>
      </c>
      <c r="O470" s="158">
        <f t="shared" si="63"/>
        <v>3.5</v>
      </c>
      <c r="P470" s="159">
        <f t="shared" si="64"/>
        <v>-51</v>
      </c>
    </row>
    <row r="471" spans="2:16" hidden="1" x14ac:dyDescent="0.3">
      <c r="B471" s="102" t="s">
        <v>1339</v>
      </c>
      <c r="C471" s="103" t="s">
        <v>1340</v>
      </c>
      <c r="D471" s="104">
        <v>44473</v>
      </c>
      <c r="E471" s="102">
        <v>122</v>
      </c>
      <c r="F471" s="105">
        <v>75</v>
      </c>
      <c r="G471" s="104">
        <v>45872</v>
      </c>
      <c r="H471" s="103" t="s">
        <v>423</v>
      </c>
      <c r="I471" s="103" t="s">
        <v>482</v>
      </c>
      <c r="J471" s="103" t="s">
        <v>913</v>
      </c>
      <c r="L471">
        <f t="shared" si="65"/>
        <v>5</v>
      </c>
      <c r="M471">
        <f t="shared" si="66"/>
        <v>5</v>
      </c>
      <c r="N471">
        <f t="shared" si="67"/>
        <v>25</v>
      </c>
      <c r="O471" s="158">
        <f t="shared" si="63"/>
        <v>4.88</v>
      </c>
      <c r="P471" s="159">
        <f t="shared" si="64"/>
        <v>-47</v>
      </c>
    </row>
    <row r="472" spans="2:16" hidden="1" x14ac:dyDescent="0.3">
      <c r="B472" s="98" t="s">
        <v>1341</v>
      </c>
      <c r="C472" s="99" t="s">
        <v>1342</v>
      </c>
      <c r="D472" s="100">
        <v>45301</v>
      </c>
      <c r="E472" s="98">
        <v>240</v>
      </c>
      <c r="F472" s="101">
        <v>168</v>
      </c>
      <c r="G472" s="100">
        <v>45878</v>
      </c>
      <c r="H472" s="99" t="s">
        <v>423</v>
      </c>
      <c r="I472" s="99" t="s">
        <v>431</v>
      </c>
      <c r="J472" s="99" t="s">
        <v>913</v>
      </c>
      <c r="L472">
        <f t="shared" si="65"/>
        <v>5</v>
      </c>
      <c r="M472">
        <f t="shared" si="66"/>
        <v>15</v>
      </c>
      <c r="N472">
        <f t="shared" si="67"/>
        <v>75</v>
      </c>
      <c r="O472" s="158">
        <f t="shared" si="63"/>
        <v>3.2</v>
      </c>
      <c r="P472" s="159">
        <f t="shared" si="64"/>
        <v>-72</v>
      </c>
    </row>
    <row r="473" spans="2:16" x14ac:dyDescent="0.3">
      <c r="B473" s="102" t="s">
        <v>1343</v>
      </c>
      <c r="C473" s="103" t="s">
        <v>1344</v>
      </c>
      <c r="D473" s="104">
        <v>45769</v>
      </c>
      <c r="E473" s="102">
        <v>184</v>
      </c>
      <c r="F473" s="105">
        <v>292</v>
      </c>
      <c r="G473" s="104">
        <v>45890</v>
      </c>
      <c r="H473" s="103" t="s">
        <v>423</v>
      </c>
      <c r="I473" s="103" t="s">
        <v>424</v>
      </c>
      <c r="J473" s="103" t="s">
        <v>913</v>
      </c>
      <c r="L473">
        <f t="shared" si="65"/>
        <v>10</v>
      </c>
      <c r="M473">
        <f t="shared" si="66"/>
        <v>15</v>
      </c>
      <c r="N473">
        <f t="shared" si="67"/>
        <v>150</v>
      </c>
      <c r="O473" s="158">
        <f t="shared" si="63"/>
        <v>1.2266666666666666</v>
      </c>
      <c r="P473" s="159">
        <f t="shared" si="64"/>
        <v>108</v>
      </c>
    </row>
    <row r="474" spans="2:16" x14ac:dyDescent="0.3">
      <c r="B474" s="98" t="s">
        <v>1345</v>
      </c>
      <c r="C474" s="99" t="s">
        <v>1346</v>
      </c>
      <c r="D474" s="100">
        <v>44159</v>
      </c>
      <c r="E474" s="98">
        <v>195</v>
      </c>
      <c r="F474" s="101">
        <v>218</v>
      </c>
      <c r="G474" s="100">
        <v>45892</v>
      </c>
      <c r="H474" s="99" t="s">
        <v>423</v>
      </c>
      <c r="I474" s="99" t="s">
        <v>428</v>
      </c>
      <c r="J474" s="99" t="s">
        <v>913</v>
      </c>
      <c r="L474">
        <f t="shared" si="65"/>
        <v>10</v>
      </c>
      <c r="M474">
        <f t="shared" si="66"/>
        <v>10</v>
      </c>
      <c r="N474">
        <f t="shared" si="67"/>
        <v>100</v>
      </c>
      <c r="O474" s="158">
        <f t="shared" si="63"/>
        <v>1.95</v>
      </c>
      <c r="P474" s="159">
        <f t="shared" si="64"/>
        <v>23</v>
      </c>
    </row>
    <row r="475" spans="2:16" x14ac:dyDescent="0.3">
      <c r="B475" s="102" t="s">
        <v>1347</v>
      </c>
      <c r="C475" s="103" t="s">
        <v>1348</v>
      </c>
      <c r="D475" s="104">
        <v>45715</v>
      </c>
      <c r="E475" s="102">
        <v>254</v>
      </c>
      <c r="F475" s="105">
        <v>292</v>
      </c>
      <c r="G475" s="104">
        <v>45871</v>
      </c>
      <c r="H475" s="103" t="s">
        <v>423</v>
      </c>
      <c r="I475" s="103" t="s">
        <v>424</v>
      </c>
      <c r="J475" s="103" t="s">
        <v>913</v>
      </c>
      <c r="L475">
        <f t="shared" si="65"/>
        <v>10</v>
      </c>
      <c r="M475">
        <f t="shared" si="66"/>
        <v>15</v>
      </c>
      <c r="N475">
        <f t="shared" si="67"/>
        <v>150</v>
      </c>
      <c r="O475" s="158">
        <f t="shared" si="63"/>
        <v>1.6933333333333334</v>
      </c>
      <c r="P475" s="159">
        <f t="shared" si="64"/>
        <v>38</v>
      </c>
    </row>
    <row r="476" spans="2:16" x14ac:dyDescent="0.3">
      <c r="B476" s="98" t="s">
        <v>1349</v>
      </c>
      <c r="C476" s="99" t="s">
        <v>1350</v>
      </c>
      <c r="D476" s="100">
        <v>45703</v>
      </c>
      <c r="E476" s="98">
        <v>302</v>
      </c>
      <c r="F476" s="101">
        <v>361</v>
      </c>
      <c r="G476" s="100">
        <v>45883</v>
      </c>
      <c r="H476" s="99" t="s">
        <v>423</v>
      </c>
      <c r="I476" s="99" t="s">
        <v>609</v>
      </c>
      <c r="J476" s="99" t="s">
        <v>913</v>
      </c>
      <c r="L476">
        <f t="shared" si="65"/>
        <v>10</v>
      </c>
      <c r="M476">
        <f t="shared" si="66"/>
        <v>20</v>
      </c>
      <c r="N476">
        <f t="shared" si="67"/>
        <v>200</v>
      </c>
      <c r="O476" s="158">
        <f t="shared" si="63"/>
        <v>1.51</v>
      </c>
      <c r="P476" s="159">
        <f t="shared" si="64"/>
        <v>59</v>
      </c>
    </row>
    <row r="477" spans="2:16" x14ac:dyDescent="0.3">
      <c r="B477" s="102" t="s">
        <v>1351</v>
      </c>
      <c r="C477" s="103" t="s">
        <v>1352</v>
      </c>
      <c r="D477" s="104">
        <v>44354</v>
      </c>
      <c r="E477" s="102">
        <v>290</v>
      </c>
      <c r="F477" s="105">
        <v>292</v>
      </c>
      <c r="G477" s="104">
        <v>45875</v>
      </c>
      <c r="H477" s="103" t="s">
        <v>423</v>
      </c>
      <c r="I477" s="103" t="s">
        <v>424</v>
      </c>
      <c r="J477" s="103" t="s">
        <v>913</v>
      </c>
      <c r="L477">
        <f t="shared" si="65"/>
        <v>10</v>
      </c>
      <c r="M477">
        <f t="shared" si="66"/>
        <v>15</v>
      </c>
      <c r="N477">
        <f t="shared" si="67"/>
        <v>150</v>
      </c>
      <c r="O477" s="158">
        <f t="shared" si="63"/>
        <v>1.9333333333333333</v>
      </c>
      <c r="P477" s="159">
        <f t="shared" si="64"/>
        <v>2</v>
      </c>
    </row>
    <row r="478" spans="2:16" hidden="1" x14ac:dyDescent="0.3">
      <c r="B478" s="98" t="s">
        <v>1353</v>
      </c>
      <c r="C478" s="99" t="s">
        <v>1354</v>
      </c>
      <c r="D478" s="100">
        <v>45038</v>
      </c>
      <c r="E478" s="98">
        <v>308</v>
      </c>
      <c r="F478" s="101">
        <v>292</v>
      </c>
      <c r="G478" s="100">
        <v>45890</v>
      </c>
      <c r="H478" s="99" t="s">
        <v>423</v>
      </c>
      <c r="I478" s="99" t="s">
        <v>424</v>
      </c>
      <c r="J478" s="99" t="s">
        <v>913</v>
      </c>
      <c r="L478">
        <f t="shared" si="65"/>
        <v>10</v>
      </c>
      <c r="M478">
        <f t="shared" si="66"/>
        <v>15</v>
      </c>
      <c r="N478">
        <f t="shared" si="67"/>
        <v>150</v>
      </c>
      <c r="O478" s="158">
        <f t="shared" si="63"/>
        <v>2.0533333333333332</v>
      </c>
      <c r="P478" s="159">
        <f t="shared" si="64"/>
        <v>-16</v>
      </c>
    </row>
    <row r="479" spans="2:16" x14ac:dyDescent="0.3">
      <c r="B479" s="102" t="s">
        <v>1029</v>
      </c>
      <c r="C479" s="103" t="s">
        <v>1355</v>
      </c>
      <c r="D479" s="104">
        <v>45855</v>
      </c>
      <c r="E479" s="102">
        <v>198</v>
      </c>
      <c r="F479" s="105">
        <v>292</v>
      </c>
      <c r="G479" s="104">
        <v>45885</v>
      </c>
      <c r="H479" s="103" t="s">
        <v>423</v>
      </c>
      <c r="I479" s="103" t="s">
        <v>1356</v>
      </c>
      <c r="J479" s="103" t="s">
        <v>913</v>
      </c>
      <c r="L479">
        <f t="shared" si="65"/>
        <v>15</v>
      </c>
      <c r="M479">
        <f t="shared" si="66"/>
        <v>10</v>
      </c>
      <c r="N479">
        <f t="shared" si="67"/>
        <v>150</v>
      </c>
      <c r="O479" s="158">
        <f t="shared" si="63"/>
        <v>1.32</v>
      </c>
      <c r="P479" s="159">
        <f t="shared" si="64"/>
        <v>94</v>
      </c>
    </row>
    <row r="480" spans="2:16" x14ac:dyDescent="0.3">
      <c r="B480" s="98" t="s">
        <v>1357</v>
      </c>
      <c r="C480" s="99" t="s">
        <v>1358</v>
      </c>
      <c r="D480" s="100">
        <v>45027</v>
      </c>
      <c r="E480" s="98">
        <v>190</v>
      </c>
      <c r="F480" s="101">
        <v>292</v>
      </c>
      <c r="G480" s="100">
        <v>45880</v>
      </c>
      <c r="H480" s="99" t="s">
        <v>423</v>
      </c>
      <c r="I480" s="99" t="s">
        <v>424</v>
      </c>
      <c r="J480" s="99" t="s">
        <v>913</v>
      </c>
      <c r="L480">
        <f t="shared" si="65"/>
        <v>10</v>
      </c>
      <c r="M480">
        <f t="shared" si="66"/>
        <v>15</v>
      </c>
      <c r="N480">
        <f t="shared" si="67"/>
        <v>150</v>
      </c>
      <c r="O480" s="158">
        <f t="shared" si="63"/>
        <v>1.2666666666666666</v>
      </c>
      <c r="P480" s="159">
        <f t="shared" si="64"/>
        <v>102</v>
      </c>
    </row>
    <row r="481" spans="2:16" hidden="1" x14ac:dyDescent="0.3">
      <c r="B481" s="102" t="s">
        <v>808</v>
      </c>
      <c r="C481" s="103" t="s">
        <v>1359</v>
      </c>
      <c r="D481" s="104">
        <v>45860</v>
      </c>
      <c r="E481" s="102">
        <v>292</v>
      </c>
      <c r="F481" s="105">
        <v>292</v>
      </c>
      <c r="G481" s="104">
        <v>45890</v>
      </c>
      <c r="H481" s="103" t="s">
        <v>423</v>
      </c>
      <c r="I481" s="103" t="s">
        <v>424</v>
      </c>
      <c r="J481" s="103" t="s">
        <v>913</v>
      </c>
      <c r="L481">
        <f t="shared" si="65"/>
        <v>10</v>
      </c>
      <c r="M481">
        <f t="shared" si="66"/>
        <v>15</v>
      </c>
      <c r="N481">
        <f t="shared" si="67"/>
        <v>150</v>
      </c>
      <c r="O481" s="158">
        <f t="shared" si="63"/>
        <v>1.9466666666666668</v>
      </c>
      <c r="P481" s="159">
        <f t="shared" si="64"/>
        <v>0</v>
      </c>
    </row>
    <row r="482" spans="2:16" hidden="1" x14ac:dyDescent="0.3">
      <c r="B482" s="98" t="s">
        <v>1360</v>
      </c>
      <c r="C482" s="99" t="s">
        <v>1361</v>
      </c>
      <c r="D482" s="100">
        <v>45042</v>
      </c>
      <c r="E482" s="98">
        <v>298</v>
      </c>
      <c r="F482" s="101">
        <v>292</v>
      </c>
      <c r="G482" s="100">
        <v>45871</v>
      </c>
      <c r="H482" s="99" t="s">
        <v>423</v>
      </c>
      <c r="I482" s="99" t="s">
        <v>424</v>
      </c>
      <c r="J482" s="99" t="s">
        <v>913</v>
      </c>
      <c r="L482">
        <f t="shared" si="65"/>
        <v>10</v>
      </c>
      <c r="M482">
        <f t="shared" si="66"/>
        <v>15</v>
      </c>
      <c r="N482">
        <f t="shared" si="67"/>
        <v>150</v>
      </c>
      <c r="O482" s="158">
        <f t="shared" si="63"/>
        <v>1.9866666666666666</v>
      </c>
      <c r="P482" s="159">
        <f t="shared" si="64"/>
        <v>-6</v>
      </c>
    </row>
    <row r="483" spans="2:16" hidden="1" x14ac:dyDescent="0.3">
      <c r="B483" s="102" t="s">
        <v>1362</v>
      </c>
      <c r="C483" s="103" t="s">
        <v>1363</v>
      </c>
      <c r="D483" s="104">
        <v>44410</v>
      </c>
      <c r="E483" s="102">
        <v>293</v>
      </c>
      <c r="F483" s="105">
        <v>218</v>
      </c>
      <c r="G483" s="104">
        <v>45870</v>
      </c>
      <c r="H483" s="103" t="s">
        <v>423</v>
      </c>
      <c r="I483" s="103" t="s">
        <v>428</v>
      </c>
      <c r="J483" s="103" t="s">
        <v>913</v>
      </c>
      <c r="L483">
        <f t="shared" si="65"/>
        <v>10</v>
      </c>
      <c r="M483">
        <f t="shared" si="66"/>
        <v>10</v>
      </c>
      <c r="N483">
        <f t="shared" si="67"/>
        <v>100</v>
      </c>
      <c r="O483" s="158">
        <f t="shared" si="63"/>
        <v>2.93</v>
      </c>
      <c r="P483" s="159">
        <f t="shared" si="64"/>
        <v>-75</v>
      </c>
    </row>
    <row r="484" spans="2:16" hidden="1" x14ac:dyDescent="0.3">
      <c r="B484" s="98" t="s">
        <v>1364</v>
      </c>
      <c r="C484" s="99" t="s">
        <v>1365</v>
      </c>
      <c r="D484" s="100">
        <v>44478</v>
      </c>
      <c r="E484" s="98">
        <v>379</v>
      </c>
      <c r="F484" s="101">
        <v>292</v>
      </c>
      <c r="G484" s="100">
        <v>45877</v>
      </c>
      <c r="H484" s="99" t="s">
        <v>423</v>
      </c>
      <c r="I484" s="99" t="s">
        <v>424</v>
      </c>
      <c r="J484" s="99" t="s">
        <v>913</v>
      </c>
      <c r="L484">
        <f t="shared" si="65"/>
        <v>10</v>
      </c>
      <c r="M484">
        <f t="shared" si="66"/>
        <v>15</v>
      </c>
      <c r="N484">
        <f t="shared" si="67"/>
        <v>150</v>
      </c>
      <c r="O484" s="158">
        <f t="shared" si="63"/>
        <v>2.5266666666666668</v>
      </c>
      <c r="P484" s="159">
        <f t="shared" si="64"/>
        <v>-87</v>
      </c>
    </row>
    <row r="485" spans="2:16" hidden="1" x14ac:dyDescent="0.3">
      <c r="B485" s="102" t="s">
        <v>1366</v>
      </c>
      <c r="C485" s="103" t="s">
        <v>1367</v>
      </c>
      <c r="D485" s="104">
        <v>44535</v>
      </c>
      <c r="E485" s="102">
        <v>284</v>
      </c>
      <c r="F485" s="105">
        <v>218</v>
      </c>
      <c r="G485" s="104">
        <v>45873</v>
      </c>
      <c r="H485" s="103" t="s">
        <v>423</v>
      </c>
      <c r="I485" s="103" t="s">
        <v>428</v>
      </c>
      <c r="J485" s="103" t="s">
        <v>913</v>
      </c>
      <c r="L485">
        <f t="shared" si="65"/>
        <v>10</v>
      </c>
      <c r="M485">
        <f t="shared" si="66"/>
        <v>10</v>
      </c>
      <c r="N485">
        <f t="shared" si="67"/>
        <v>100</v>
      </c>
      <c r="O485" s="158">
        <f t="shared" si="63"/>
        <v>2.84</v>
      </c>
      <c r="P485" s="159">
        <f t="shared" si="64"/>
        <v>-66</v>
      </c>
    </row>
    <row r="486" spans="2:16" hidden="1" x14ac:dyDescent="0.3">
      <c r="B486" s="98" t="s">
        <v>1368</v>
      </c>
      <c r="C486" s="99" t="s">
        <v>1369</v>
      </c>
      <c r="D486" s="100">
        <v>44478</v>
      </c>
      <c r="E486" s="98">
        <v>389</v>
      </c>
      <c r="F486" s="101">
        <v>292</v>
      </c>
      <c r="G486" s="100">
        <v>45877</v>
      </c>
      <c r="H486" s="99" t="s">
        <v>423</v>
      </c>
      <c r="I486" s="99" t="s">
        <v>424</v>
      </c>
      <c r="J486" s="99" t="s">
        <v>913</v>
      </c>
      <c r="L486">
        <f t="shared" si="65"/>
        <v>10</v>
      </c>
      <c r="M486">
        <f t="shared" si="66"/>
        <v>15</v>
      </c>
      <c r="N486">
        <f t="shared" si="67"/>
        <v>150</v>
      </c>
      <c r="O486" s="158">
        <f t="shared" si="63"/>
        <v>2.5933333333333333</v>
      </c>
      <c r="P486" s="159">
        <f t="shared" si="64"/>
        <v>-97</v>
      </c>
    </row>
    <row r="487" spans="2:16" hidden="1" x14ac:dyDescent="0.3">
      <c r="B487" s="102" t="s">
        <v>1370</v>
      </c>
      <c r="C487" s="103" t="s">
        <v>1371</v>
      </c>
      <c r="D487" s="104">
        <v>45278</v>
      </c>
      <c r="E487" s="102">
        <v>532</v>
      </c>
      <c r="F487" s="105">
        <v>486</v>
      </c>
      <c r="G487" s="104">
        <v>45794</v>
      </c>
      <c r="H487" s="103" t="s">
        <v>442</v>
      </c>
      <c r="I487" s="103" t="s">
        <v>562</v>
      </c>
      <c r="J487" s="103" t="s">
        <v>1081</v>
      </c>
      <c r="L487">
        <f t="shared" si="65"/>
        <v>20</v>
      </c>
      <c r="M487">
        <f t="shared" si="66"/>
        <v>15</v>
      </c>
      <c r="N487">
        <f t="shared" si="67"/>
        <v>300</v>
      </c>
      <c r="O487" s="158">
        <f t="shared" si="63"/>
        <v>1.7733333333333334</v>
      </c>
      <c r="P487" s="159">
        <f t="shared" si="64"/>
        <v>-46</v>
      </c>
    </row>
    <row r="488" spans="2:16" x14ac:dyDescent="0.3">
      <c r="B488" s="98" t="s">
        <v>1372</v>
      </c>
      <c r="C488" s="99" t="s">
        <v>1373</v>
      </c>
      <c r="D488" s="100">
        <v>45757</v>
      </c>
      <c r="E488" s="98">
        <v>61</v>
      </c>
      <c r="F488" s="101">
        <v>124</v>
      </c>
      <c r="G488" s="100">
        <v>45884</v>
      </c>
      <c r="H488" s="99" t="s">
        <v>423</v>
      </c>
      <c r="I488" s="99" t="s">
        <v>463</v>
      </c>
      <c r="J488" s="99" t="s">
        <v>913</v>
      </c>
      <c r="L488">
        <f t="shared" si="65"/>
        <v>5</v>
      </c>
      <c r="M488">
        <f t="shared" si="66"/>
        <v>10</v>
      </c>
      <c r="N488">
        <f t="shared" si="67"/>
        <v>50</v>
      </c>
      <c r="O488" s="158">
        <f t="shared" si="63"/>
        <v>1.22</v>
      </c>
      <c r="P488" s="159">
        <f t="shared" si="64"/>
        <v>63</v>
      </c>
    </row>
    <row r="489" spans="2:16" x14ac:dyDescent="0.3">
      <c r="B489" s="102" t="s">
        <v>1374</v>
      </c>
      <c r="C489" s="103" t="s">
        <v>1375</v>
      </c>
      <c r="D489" s="104">
        <v>45778</v>
      </c>
      <c r="E489" s="102">
        <v>66</v>
      </c>
      <c r="F489" s="105">
        <v>168</v>
      </c>
      <c r="G489" s="104">
        <v>45961</v>
      </c>
      <c r="H489" s="103" t="s">
        <v>423</v>
      </c>
      <c r="I489" s="103" t="s">
        <v>431</v>
      </c>
      <c r="J489" s="103" t="s">
        <v>913</v>
      </c>
      <c r="L489">
        <f t="shared" si="65"/>
        <v>5</v>
      </c>
      <c r="M489">
        <f t="shared" si="66"/>
        <v>15</v>
      </c>
      <c r="N489">
        <f t="shared" si="67"/>
        <v>75</v>
      </c>
      <c r="O489" s="158">
        <f t="shared" si="63"/>
        <v>0.88</v>
      </c>
      <c r="P489" s="159">
        <f t="shared" si="64"/>
        <v>102</v>
      </c>
    </row>
    <row r="490" spans="2:16" hidden="1" x14ac:dyDescent="0.3">
      <c r="B490" s="98" t="s">
        <v>1376</v>
      </c>
      <c r="C490" s="99" t="s">
        <v>1377</v>
      </c>
      <c r="D490" s="100">
        <v>44796</v>
      </c>
      <c r="E490" s="98">
        <v>181</v>
      </c>
      <c r="F490" s="101">
        <v>124</v>
      </c>
      <c r="G490" s="100">
        <v>45891</v>
      </c>
      <c r="H490" s="99" t="s">
        <v>423</v>
      </c>
      <c r="I490" s="99" t="s">
        <v>463</v>
      </c>
      <c r="J490" s="99" t="s">
        <v>913</v>
      </c>
      <c r="L490">
        <f t="shared" si="65"/>
        <v>5</v>
      </c>
      <c r="M490">
        <f t="shared" si="66"/>
        <v>10</v>
      </c>
      <c r="N490">
        <f t="shared" si="67"/>
        <v>50</v>
      </c>
      <c r="O490" s="158">
        <f t="shared" si="63"/>
        <v>3.62</v>
      </c>
      <c r="P490" s="159">
        <f t="shared" si="64"/>
        <v>-57</v>
      </c>
    </row>
    <row r="491" spans="2:16" x14ac:dyDescent="0.3">
      <c r="B491" s="102" t="s">
        <v>1378</v>
      </c>
      <c r="C491" s="103" t="s">
        <v>1379</v>
      </c>
      <c r="D491" s="104">
        <v>44884</v>
      </c>
      <c r="E491" s="102">
        <v>114.4</v>
      </c>
      <c r="F491" s="105">
        <v>124</v>
      </c>
      <c r="G491" s="104">
        <v>45887</v>
      </c>
      <c r="H491" s="103" t="s">
        <v>423</v>
      </c>
      <c r="I491" s="103" t="s">
        <v>463</v>
      </c>
      <c r="J491" s="103" t="s">
        <v>913</v>
      </c>
      <c r="L491">
        <f t="shared" si="65"/>
        <v>5</v>
      </c>
      <c r="M491">
        <f t="shared" si="66"/>
        <v>10</v>
      </c>
      <c r="N491">
        <f t="shared" si="67"/>
        <v>50</v>
      </c>
      <c r="O491" s="158">
        <f t="shared" si="63"/>
        <v>2.2880000000000003</v>
      </c>
      <c r="P491" s="159">
        <f t="shared" si="64"/>
        <v>9.5999999999999943</v>
      </c>
    </row>
    <row r="492" spans="2:16" x14ac:dyDescent="0.3">
      <c r="B492" s="98" t="s">
        <v>1380</v>
      </c>
      <c r="C492" s="99" t="s">
        <v>1381</v>
      </c>
      <c r="D492" s="100">
        <v>45170</v>
      </c>
      <c r="E492" s="98">
        <v>88</v>
      </c>
      <c r="F492" s="101">
        <v>218</v>
      </c>
      <c r="G492" s="100">
        <v>45900</v>
      </c>
      <c r="H492" s="99" t="s">
        <v>423</v>
      </c>
      <c r="I492" s="99" t="s">
        <v>428</v>
      </c>
      <c r="J492" s="99" t="s">
        <v>913</v>
      </c>
      <c r="L492">
        <f t="shared" si="65"/>
        <v>10</v>
      </c>
      <c r="M492">
        <f t="shared" si="66"/>
        <v>10</v>
      </c>
      <c r="N492">
        <f t="shared" si="67"/>
        <v>100</v>
      </c>
      <c r="O492" s="158">
        <f t="shared" si="63"/>
        <v>0.88</v>
      </c>
      <c r="P492" s="159">
        <f t="shared" si="64"/>
        <v>130</v>
      </c>
    </row>
    <row r="493" spans="2:16" hidden="1" x14ac:dyDescent="0.3">
      <c r="B493" s="102"/>
      <c r="C493" s="103" t="s">
        <v>1382</v>
      </c>
      <c r="D493" s="103"/>
      <c r="E493" s="102"/>
      <c r="F493" s="105">
        <v>361</v>
      </c>
      <c r="G493" s="103"/>
      <c r="H493" s="103" t="s">
        <v>445</v>
      </c>
      <c r="I493" s="103" t="s">
        <v>609</v>
      </c>
      <c r="J493" s="103" t="s">
        <v>913</v>
      </c>
      <c r="L493">
        <f t="shared" si="65"/>
        <v>10</v>
      </c>
      <c r="M493">
        <f t="shared" si="66"/>
        <v>20</v>
      </c>
      <c r="N493">
        <f t="shared" si="67"/>
        <v>200</v>
      </c>
    </row>
    <row r="494" spans="2:16" x14ac:dyDescent="0.3">
      <c r="B494" s="98" t="s">
        <v>1000</v>
      </c>
      <c r="C494" s="99" t="s">
        <v>1383</v>
      </c>
      <c r="D494" s="100">
        <v>45807</v>
      </c>
      <c r="E494" s="98">
        <v>321</v>
      </c>
      <c r="F494" s="101">
        <v>361</v>
      </c>
      <c r="G494" s="100">
        <v>45898</v>
      </c>
      <c r="H494" s="99" t="s">
        <v>423</v>
      </c>
      <c r="I494" s="99" t="s">
        <v>609</v>
      </c>
      <c r="J494" s="99" t="s">
        <v>913</v>
      </c>
      <c r="L494">
        <f t="shared" si="65"/>
        <v>10</v>
      </c>
      <c r="M494">
        <f t="shared" si="66"/>
        <v>20</v>
      </c>
      <c r="N494">
        <f t="shared" si="67"/>
        <v>200</v>
      </c>
      <c r="O494" s="158">
        <f t="shared" ref="O494:O520" si="68">E494/N494</f>
        <v>1.605</v>
      </c>
      <c r="P494" s="159">
        <f t="shared" ref="P494:P520" si="69">F494-E494</f>
        <v>40</v>
      </c>
    </row>
    <row r="495" spans="2:16" hidden="1" x14ac:dyDescent="0.3">
      <c r="B495" s="102" t="s">
        <v>1384</v>
      </c>
      <c r="C495" s="103" t="s">
        <v>1385</v>
      </c>
      <c r="D495" s="104">
        <v>45801</v>
      </c>
      <c r="E495" s="102">
        <v>254</v>
      </c>
      <c r="F495" s="105">
        <v>218</v>
      </c>
      <c r="G495" s="104">
        <v>45892</v>
      </c>
      <c r="H495" s="103" t="s">
        <v>423</v>
      </c>
      <c r="I495" s="103" t="s">
        <v>428</v>
      </c>
      <c r="J495" s="103" t="s">
        <v>913</v>
      </c>
      <c r="L495">
        <f t="shared" si="65"/>
        <v>10</v>
      </c>
      <c r="M495">
        <f t="shared" si="66"/>
        <v>10</v>
      </c>
      <c r="N495">
        <f t="shared" si="67"/>
        <v>100</v>
      </c>
      <c r="O495" s="158">
        <f t="shared" si="68"/>
        <v>2.54</v>
      </c>
      <c r="P495" s="159">
        <f t="shared" si="69"/>
        <v>-36</v>
      </c>
    </row>
    <row r="496" spans="2:16" x14ac:dyDescent="0.3">
      <c r="B496" s="98" t="s">
        <v>1386</v>
      </c>
      <c r="C496" s="99" t="s">
        <v>1387</v>
      </c>
      <c r="D496" s="100">
        <v>45862</v>
      </c>
      <c r="E496" s="98">
        <v>39</v>
      </c>
      <c r="F496" s="101">
        <v>75</v>
      </c>
      <c r="G496" s="100">
        <v>45893</v>
      </c>
      <c r="H496" s="99" t="s">
        <v>423</v>
      </c>
      <c r="I496" s="99" t="s">
        <v>482</v>
      </c>
      <c r="J496" s="99" t="s">
        <v>913</v>
      </c>
      <c r="L496">
        <f t="shared" si="65"/>
        <v>5</v>
      </c>
      <c r="M496">
        <f t="shared" si="66"/>
        <v>5</v>
      </c>
      <c r="N496">
        <f t="shared" si="67"/>
        <v>25</v>
      </c>
      <c r="O496" s="158">
        <f t="shared" si="68"/>
        <v>1.56</v>
      </c>
      <c r="P496" s="159">
        <f t="shared" si="69"/>
        <v>36</v>
      </c>
    </row>
    <row r="497" spans="2:16" x14ac:dyDescent="0.3">
      <c r="B497" s="102" t="s">
        <v>1388</v>
      </c>
      <c r="C497" s="103" t="s">
        <v>1389</v>
      </c>
      <c r="D497" s="104">
        <v>45742</v>
      </c>
      <c r="E497" s="102">
        <v>47</v>
      </c>
      <c r="F497" s="105">
        <v>75</v>
      </c>
      <c r="G497" s="104">
        <v>45869</v>
      </c>
      <c r="H497" s="103" t="s">
        <v>423</v>
      </c>
      <c r="I497" s="103" t="s">
        <v>482</v>
      </c>
      <c r="J497" s="103" t="s">
        <v>913</v>
      </c>
      <c r="L497">
        <f t="shared" si="65"/>
        <v>5</v>
      </c>
      <c r="M497">
        <f t="shared" si="66"/>
        <v>5</v>
      </c>
      <c r="N497">
        <f t="shared" si="67"/>
        <v>25</v>
      </c>
      <c r="O497" s="158">
        <f t="shared" si="68"/>
        <v>1.88</v>
      </c>
      <c r="P497" s="159">
        <f t="shared" si="69"/>
        <v>28</v>
      </c>
    </row>
    <row r="498" spans="2:16" x14ac:dyDescent="0.3">
      <c r="B498" s="98" t="s">
        <v>1390</v>
      </c>
      <c r="C498" s="99" t="s">
        <v>1391</v>
      </c>
      <c r="D498" s="100">
        <v>45744</v>
      </c>
      <c r="E498" s="98">
        <v>74</v>
      </c>
      <c r="F498" s="101">
        <v>75</v>
      </c>
      <c r="G498" s="100">
        <v>45883</v>
      </c>
      <c r="H498" s="99" t="s">
        <v>423</v>
      </c>
      <c r="I498" s="99" t="s">
        <v>482</v>
      </c>
      <c r="J498" s="99" t="s">
        <v>913</v>
      </c>
      <c r="L498">
        <f t="shared" si="65"/>
        <v>5</v>
      </c>
      <c r="M498">
        <f t="shared" si="66"/>
        <v>5</v>
      </c>
      <c r="N498">
        <f t="shared" si="67"/>
        <v>25</v>
      </c>
      <c r="O498" s="158">
        <f t="shared" si="68"/>
        <v>2.96</v>
      </c>
      <c r="P498" s="159">
        <f t="shared" si="69"/>
        <v>1</v>
      </c>
    </row>
    <row r="499" spans="2:16" hidden="1" x14ac:dyDescent="0.3">
      <c r="B499" s="102" t="s">
        <v>1392</v>
      </c>
      <c r="C499" s="103" t="s">
        <v>1393</v>
      </c>
      <c r="D499" s="104">
        <v>44666</v>
      </c>
      <c r="E499" s="102">
        <v>293</v>
      </c>
      <c r="F499" s="105">
        <v>218</v>
      </c>
      <c r="G499" s="104">
        <v>45886</v>
      </c>
      <c r="H499" s="103" t="s">
        <v>423</v>
      </c>
      <c r="I499" s="103" t="s">
        <v>428</v>
      </c>
      <c r="J499" s="103" t="s">
        <v>913</v>
      </c>
      <c r="L499">
        <f t="shared" si="65"/>
        <v>10</v>
      </c>
      <c r="M499">
        <f t="shared" si="66"/>
        <v>10</v>
      </c>
      <c r="N499">
        <f t="shared" si="67"/>
        <v>100</v>
      </c>
      <c r="O499" s="158">
        <f t="shared" si="68"/>
        <v>2.93</v>
      </c>
      <c r="P499" s="159">
        <f t="shared" si="69"/>
        <v>-75</v>
      </c>
    </row>
    <row r="500" spans="2:16" hidden="1" x14ac:dyDescent="0.3">
      <c r="B500" s="98" t="s">
        <v>1394</v>
      </c>
      <c r="C500" s="99" t="s">
        <v>1395</v>
      </c>
      <c r="D500" s="100">
        <v>44714</v>
      </c>
      <c r="E500" s="98">
        <v>108</v>
      </c>
      <c r="F500" s="101">
        <v>75</v>
      </c>
      <c r="G500" s="100">
        <v>45873</v>
      </c>
      <c r="H500" s="99" t="s">
        <v>423</v>
      </c>
      <c r="I500" s="99" t="s">
        <v>482</v>
      </c>
      <c r="J500" s="99" t="s">
        <v>913</v>
      </c>
      <c r="L500">
        <f t="shared" si="65"/>
        <v>5</v>
      </c>
      <c r="M500">
        <f t="shared" si="66"/>
        <v>5</v>
      </c>
      <c r="N500">
        <f t="shared" si="67"/>
        <v>25</v>
      </c>
      <c r="O500" s="158">
        <f t="shared" si="68"/>
        <v>4.32</v>
      </c>
      <c r="P500" s="159">
        <f t="shared" si="69"/>
        <v>-33</v>
      </c>
    </row>
    <row r="501" spans="2:16" hidden="1" x14ac:dyDescent="0.3">
      <c r="B501" s="102" t="s">
        <v>1396</v>
      </c>
      <c r="C501" s="103" t="s">
        <v>1397</v>
      </c>
      <c r="D501" s="104">
        <v>44428</v>
      </c>
      <c r="E501" s="102">
        <v>284</v>
      </c>
      <c r="F501" s="105">
        <v>218</v>
      </c>
      <c r="G501" s="104">
        <v>45888</v>
      </c>
      <c r="H501" s="103" t="s">
        <v>423</v>
      </c>
      <c r="I501" s="103" t="s">
        <v>428</v>
      </c>
      <c r="J501" s="103" t="s">
        <v>913</v>
      </c>
      <c r="L501">
        <f t="shared" si="65"/>
        <v>10</v>
      </c>
      <c r="M501">
        <f t="shared" si="66"/>
        <v>10</v>
      </c>
      <c r="N501">
        <f t="shared" si="67"/>
        <v>100</v>
      </c>
      <c r="O501" s="158">
        <f t="shared" si="68"/>
        <v>2.84</v>
      </c>
      <c r="P501" s="159">
        <f t="shared" si="69"/>
        <v>-66</v>
      </c>
    </row>
    <row r="502" spans="2:16" x14ac:dyDescent="0.3">
      <c r="B502" s="98" t="s">
        <v>1398</v>
      </c>
      <c r="C502" s="99" t="s">
        <v>1399</v>
      </c>
      <c r="D502" s="100">
        <v>45796</v>
      </c>
      <c r="E502" s="98">
        <v>382</v>
      </c>
      <c r="F502" s="101">
        <v>486</v>
      </c>
      <c r="G502" s="100">
        <v>45893</v>
      </c>
      <c r="H502" s="99" t="s">
        <v>423</v>
      </c>
      <c r="I502" s="99" t="s">
        <v>1400</v>
      </c>
      <c r="J502" s="99" t="s">
        <v>1081</v>
      </c>
      <c r="L502">
        <f t="shared" si="65"/>
        <v>30</v>
      </c>
      <c r="M502">
        <f t="shared" si="66"/>
        <v>10</v>
      </c>
      <c r="N502">
        <f t="shared" si="67"/>
        <v>300</v>
      </c>
      <c r="O502" s="158">
        <f t="shared" si="68"/>
        <v>1.2733333333333334</v>
      </c>
      <c r="P502" s="159">
        <f t="shared" si="69"/>
        <v>104</v>
      </c>
    </row>
    <row r="503" spans="2:16" hidden="1" x14ac:dyDescent="0.3">
      <c r="B503" s="102" t="s">
        <v>1401</v>
      </c>
      <c r="C503" s="103" t="s">
        <v>1402</v>
      </c>
      <c r="D503" s="104">
        <v>45841</v>
      </c>
      <c r="E503" s="102">
        <v>168</v>
      </c>
      <c r="F503" s="105">
        <v>168</v>
      </c>
      <c r="G503" s="104">
        <v>45871</v>
      </c>
      <c r="H503" s="103" t="s">
        <v>423</v>
      </c>
      <c r="I503" s="103" t="s">
        <v>446</v>
      </c>
      <c r="J503" s="103" t="s">
        <v>913</v>
      </c>
      <c r="L503">
        <f t="shared" si="65"/>
        <v>15</v>
      </c>
      <c r="M503">
        <f t="shared" si="66"/>
        <v>5</v>
      </c>
      <c r="N503">
        <f t="shared" si="67"/>
        <v>75</v>
      </c>
      <c r="O503" s="158">
        <f t="shared" si="68"/>
        <v>2.2400000000000002</v>
      </c>
      <c r="P503" s="159">
        <f t="shared" si="69"/>
        <v>0</v>
      </c>
    </row>
    <row r="504" spans="2:16" hidden="1" x14ac:dyDescent="0.3">
      <c r="B504" s="98" t="s">
        <v>1403</v>
      </c>
      <c r="C504" s="99" t="s">
        <v>1404</v>
      </c>
      <c r="D504" s="100">
        <v>44636</v>
      </c>
      <c r="E504" s="98">
        <v>273</v>
      </c>
      <c r="F504" s="101">
        <v>218</v>
      </c>
      <c r="G504" s="100">
        <v>45897</v>
      </c>
      <c r="H504" s="99" t="s">
        <v>423</v>
      </c>
      <c r="I504" s="99" t="s">
        <v>428</v>
      </c>
      <c r="J504" s="99" t="s">
        <v>913</v>
      </c>
      <c r="L504">
        <f t="shared" si="65"/>
        <v>10</v>
      </c>
      <c r="M504">
        <f t="shared" si="66"/>
        <v>10</v>
      </c>
      <c r="N504">
        <f t="shared" si="67"/>
        <v>100</v>
      </c>
      <c r="O504" s="158">
        <f t="shared" si="68"/>
        <v>2.73</v>
      </c>
      <c r="P504" s="159">
        <f t="shared" si="69"/>
        <v>-55</v>
      </c>
    </row>
    <row r="505" spans="2:16" hidden="1" x14ac:dyDescent="0.3">
      <c r="B505" s="102" t="s">
        <v>1405</v>
      </c>
      <c r="C505" s="103" t="s">
        <v>1406</v>
      </c>
      <c r="D505" s="104">
        <v>44422</v>
      </c>
      <c r="E505" s="102">
        <v>255</v>
      </c>
      <c r="F505" s="105">
        <v>218</v>
      </c>
      <c r="G505" s="104">
        <v>45882</v>
      </c>
      <c r="H505" s="103" t="s">
        <v>423</v>
      </c>
      <c r="I505" s="103" t="s">
        <v>428</v>
      </c>
      <c r="J505" s="103" t="s">
        <v>913</v>
      </c>
      <c r="L505">
        <f t="shared" si="65"/>
        <v>10</v>
      </c>
      <c r="M505">
        <f t="shared" si="66"/>
        <v>10</v>
      </c>
      <c r="N505">
        <f t="shared" si="67"/>
        <v>100</v>
      </c>
      <c r="O505" s="158">
        <f t="shared" si="68"/>
        <v>2.5499999999999998</v>
      </c>
      <c r="P505" s="159">
        <f t="shared" si="69"/>
        <v>-37</v>
      </c>
    </row>
    <row r="506" spans="2:16" x14ac:dyDescent="0.3">
      <c r="B506" s="98" t="s">
        <v>1407</v>
      </c>
      <c r="C506" s="99" t="s">
        <v>1408</v>
      </c>
      <c r="D506" s="100">
        <v>45780</v>
      </c>
      <c r="E506" s="98">
        <v>111</v>
      </c>
      <c r="F506" s="101">
        <v>218</v>
      </c>
      <c r="G506" s="100">
        <v>45871</v>
      </c>
      <c r="H506" s="99" t="s">
        <v>423</v>
      </c>
      <c r="I506" s="99" t="s">
        <v>428</v>
      </c>
      <c r="J506" s="99" t="s">
        <v>913</v>
      </c>
      <c r="L506">
        <f t="shared" si="65"/>
        <v>10</v>
      </c>
      <c r="M506">
        <f t="shared" si="66"/>
        <v>10</v>
      </c>
      <c r="N506">
        <f t="shared" si="67"/>
        <v>100</v>
      </c>
      <c r="O506" s="158">
        <f t="shared" si="68"/>
        <v>1.1100000000000001</v>
      </c>
      <c r="P506" s="159">
        <f t="shared" si="69"/>
        <v>107</v>
      </c>
    </row>
    <row r="507" spans="2:16" hidden="1" x14ac:dyDescent="0.3">
      <c r="B507" s="102" t="s">
        <v>1191</v>
      </c>
      <c r="C507" s="103" t="s">
        <v>1409</v>
      </c>
      <c r="D507" s="104">
        <v>44361</v>
      </c>
      <c r="E507" s="102">
        <v>121</v>
      </c>
      <c r="F507" s="105">
        <v>75</v>
      </c>
      <c r="G507" s="104">
        <v>45882</v>
      </c>
      <c r="H507" s="103" t="s">
        <v>423</v>
      </c>
      <c r="I507" s="103" t="s">
        <v>482</v>
      </c>
      <c r="J507" s="103" t="s">
        <v>913</v>
      </c>
      <c r="L507">
        <f t="shared" si="65"/>
        <v>5</v>
      </c>
      <c r="M507">
        <f t="shared" si="66"/>
        <v>5</v>
      </c>
      <c r="N507">
        <f t="shared" si="67"/>
        <v>25</v>
      </c>
      <c r="O507" s="158">
        <f t="shared" si="68"/>
        <v>4.84</v>
      </c>
      <c r="P507" s="159">
        <f t="shared" si="69"/>
        <v>-46</v>
      </c>
    </row>
    <row r="508" spans="2:16" x14ac:dyDescent="0.3">
      <c r="B508" s="98"/>
      <c r="C508" s="99" t="s">
        <v>1410</v>
      </c>
      <c r="D508" s="99"/>
      <c r="E508" s="98"/>
      <c r="F508" s="101">
        <v>75</v>
      </c>
      <c r="G508" s="99"/>
      <c r="H508" s="99" t="s">
        <v>1411</v>
      </c>
      <c r="I508" s="99" t="s">
        <v>482</v>
      </c>
      <c r="J508" s="99" t="s">
        <v>913</v>
      </c>
      <c r="L508">
        <f t="shared" si="65"/>
        <v>5</v>
      </c>
      <c r="M508">
        <f t="shared" si="66"/>
        <v>5</v>
      </c>
      <c r="N508">
        <f t="shared" si="67"/>
        <v>25</v>
      </c>
      <c r="O508" s="158">
        <f t="shared" si="68"/>
        <v>0</v>
      </c>
      <c r="P508" s="159">
        <f t="shared" si="69"/>
        <v>75</v>
      </c>
    </row>
    <row r="509" spans="2:16" hidden="1" x14ac:dyDescent="0.3">
      <c r="B509" s="102" t="s">
        <v>1412</v>
      </c>
      <c r="C509" s="103" t="s">
        <v>1413</v>
      </c>
      <c r="D509" s="104">
        <v>45125</v>
      </c>
      <c r="E509" s="102">
        <v>150</v>
      </c>
      <c r="F509" s="105">
        <v>124</v>
      </c>
      <c r="G509" s="104">
        <v>45890</v>
      </c>
      <c r="H509" s="103" t="s">
        <v>423</v>
      </c>
      <c r="I509" s="103" t="s">
        <v>463</v>
      </c>
      <c r="J509" s="103" t="s">
        <v>913</v>
      </c>
      <c r="L509">
        <f t="shared" si="65"/>
        <v>5</v>
      </c>
      <c r="M509">
        <f t="shared" si="66"/>
        <v>10</v>
      </c>
      <c r="N509">
        <f t="shared" si="67"/>
        <v>50</v>
      </c>
      <c r="O509" s="158">
        <f t="shared" si="68"/>
        <v>3</v>
      </c>
      <c r="P509" s="159">
        <f t="shared" si="69"/>
        <v>-26</v>
      </c>
    </row>
    <row r="510" spans="2:16" x14ac:dyDescent="0.3">
      <c r="B510" s="98" t="s">
        <v>1414</v>
      </c>
      <c r="C510" s="99" t="s">
        <v>1415</v>
      </c>
      <c r="D510" s="100">
        <v>44002</v>
      </c>
      <c r="E510" s="98">
        <v>107</v>
      </c>
      <c r="F510" s="101">
        <v>124</v>
      </c>
      <c r="G510" s="100">
        <v>45919</v>
      </c>
      <c r="H510" s="99" t="s">
        <v>423</v>
      </c>
      <c r="I510" s="99" t="s">
        <v>463</v>
      </c>
      <c r="J510" s="99" t="s">
        <v>913</v>
      </c>
      <c r="L510">
        <f t="shared" si="65"/>
        <v>5</v>
      </c>
      <c r="M510">
        <f t="shared" si="66"/>
        <v>10</v>
      </c>
      <c r="N510">
        <f t="shared" si="67"/>
        <v>50</v>
      </c>
      <c r="O510" s="158">
        <f t="shared" si="68"/>
        <v>2.14</v>
      </c>
      <c r="P510" s="159">
        <f t="shared" si="69"/>
        <v>17</v>
      </c>
    </row>
    <row r="511" spans="2:16" hidden="1" x14ac:dyDescent="0.3">
      <c r="B511" s="102" t="s">
        <v>1416</v>
      </c>
      <c r="C511" s="103" t="s">
        <v>1417</v>
      </c>
      <c r="D511" s="104">
        <v>44713</v>
      </c>
      <c r="E511" s="102">
        <v>240</v>
      </c>
      <c r="F511" s="105">
        <v>168</v>
      </c>
      <c r="G511" s="104">
        <v>45869</v>
      </c>
      <c r="H511" s="103" t="s">
        <v>423</v>
      </c>
      <c r="I511" s="103" t="s">
        <v>431</v>
      </c>
      <c r="J511" s="103" t="s">
        <v>913</v>
      </c>
      <c r="L511">
        <f t="shared" si="65"/>
        <v>5</v>
      </c>
      <c r="M511">
        <f t="shared" si="66"/>
        <v>15</v>
      </c>
      <c r="N511">
        <f t="shared" si="67"/>
        <v>75</v>
      </c>
      <c r="O511" s="158">
        <f t="shared" si="68"/>
        <v>3.2</v>
      </c>
      <c r="P511" s="159">
        <f t="shared" si="69"/>
        <v>-72</v>
      </c>
    </row>
    <row r="512" spans="2:16" x14ac:dyDescent="0.3">
      <c r="B512" s="98" t="s">
        <v>1418</v>
      </c>
      <c r="C512" s="99" t="s">
        <v>1419</v>
      </c>
      <c r="D512" s="100">
        <v>45755</v>
      </c>
      <c r="E512" s="98">
        <v>197</v>
      </c>
      <c r="F512" s="101">
        <v>306</v>
      </c>
      <c r="G512" s="100">
        <v>45876</v>
      </c>
      <c r="H512" s="99" t="s">
        <v>423</v>
      </c>
      <c r="I512" s="99" t="s">
        <v>1420</v>
      </c>
      <c r="J512" s="99" t="s">
        <v>913</v>
      </c>
      <c r="L512">
        <f t="shared" si="65"/>
        <v>10</v>
      </c>
      <c r="M512">
        <f t="shared" si="66"/>
        <v>16</v>
      </c>
      <c r="N512">
        <f t="shared" si="67"/>
        <v>160</v>
      </c>
      <c r="O512" s="158">
        <f t="shared" si="68"/>
        <v>1.23125</v>
      </c>
      <c r="P512" s="159">
        <f t="shared" si="69"/>
        <v>109</v>
      </c>
    </row>
    <row r="513" spans="2:16" x14ac:dyDescent="0.3">
      <c r="B513" s="102" t="s">
        <v>1421</v>
      </c>
      <c r="C513" s="103" t="s">
        <v>1422</v>
      </c>
      <c r="D513" s="104">
        <v>45790</v>
      </c>
      <c r="E513" s="102">
        <v>130</v>
      </c>
      <c r="F513" s="105">
        <v>218</v>
      </c>
      <c r="G513" s="104">
        <v>45881</v>
      </c>
      <c r="H513" s="103" t="s">
        <v>423</v>
      </c>
      <c r="I513" s="103" t="s">
        <v>428</v>
      </c>
      <c r="J513" s="103" t="s">
        <v>913</v>
      </c>
      <c r="L513">
        <f t="shared" si="65"/>
        <v>10</v>
      </c>
      <c r="M513">
        <f t="shared" si="66"/>
        <v>10</v>
      </c>
      <c r="N513">
        <f t="shared" si="67"/>
        <v>100</v>
      </c>
      <c r="O513" s="158">
        <f t="shared" si="68"/>
        <v>1.3</v>
      </c>
      <c r="P513" s="159">
        <f t="shared" si="69"/>
        <v>88</v>
      </c>
    </row>
    <row r="514" spans="2:16" hidden="1" x14ac:dyDescent="0.3">
      <c r="B514" s="98" t="s">
        <v>1423</v>
      </c>
      <c r="C514" s="99" t="s">
        <v>1424</v>
      </c>
      <c r="D514" s="100">
        <v>43993</v>
      </c>
      <c r="E514" s="98">
        <v>354</v>
      </c>
      <c r="F514" s="101">
        <v>306</v>
      </c>
      <c r="G514" s="100">
        <v>45879</v>
      </c>
      <c r="H514" s="99" t="s">
        <v>423</v>
      </c>
      <c r="I514" s="99" t="s">
        <v>1420</v>
      </c>
      <c r="J514" s="99" t="s">
        <v>913</v>
      </c>
      <c r="L514">
        <f t="shared" si="65"/>
        <v>10</v>
      </c>
      <c r="M514">
        <f t="shared" si="66"/>
        <v>16</v>
      </c>
      <c r="N514">
        <f t="shared" si="67"/>
        <v>160</v>
      </c>
      <c r="O514" s="158">
        <f t="shared" si="68"/>
        <v>2.2124999999999999</v>
      </c>
      <c r="P514" s="159">
        <f t="shared" si="69"/>
        <v>-48</v>
      </c>
    </row>
    <row r="515" spans="2:16" x14ac:dyDescent="0.3">
      <c r="B515" s="102" t="s">
        <v>1425</v>
      </c>
      <c r="C515" s="103" t="s">
        <v>1426</v>
      </c>
      <c r="D515" s="104">
        <v>45027</v>
      </c>
      <c r="E515" s="102">
        <v>170</v>
      </c>
      <c r="F515" s="105">
        <v>438</v>
      </c>
      <c r="G515" s="104">
        <v>46001</v>
      </c>
      <c r="H515" s="103" t="s">
        <v>423</v>
      </c>
      <c r="I515" s="103" t="s">
        <v>1427</v>
      </c>
      <c r="J515" s="103" t="s">
        <v>1081</v>
      </c>
      <c r="L515">
        <f t="shared" si="65"/>
        <v>26</v>
      </c>
      <c r="M515">
        <f t="shared" si="66"/>
        <v>10</v>
      </c>
      <c r="N515">
        <f t="shared" si="67"/>
        <v>260</v>
      </c>
      <c r="O515" s="158">
        <f t="shared" si="68"/>
        <v>0.65384615384615385</v>
      </c>
      <c r="P515" s="159">
        <f t="shared" si="69"/>
        <v>268</v>
      </c>
    </row>
    <row r="516" spans="2:16" hidden="1" x14ac:dyDescent="0.3">
      <c r="B516" s="98" t="s">
        <v>1428</v>
      </c>
      <c r="C516" s="99" t="s">
        <v>1429</v>
      </c>
      <c r="D516" s="100">
        <v>44629</v>
      </c>
      <c r="E516" s="98">
        <v>120</v>
      </c>
      <c r="F516" s="101">
        <v>85</v>
      </c>
      <c r="G516" s="100">
        <v>45877</v>
      </c>
      <c r="H516" s="99" t="s">
        <v>423</v>
      </c>
      <c r="I516" s="99" t="s">
        <v>1430</v>
      </c>
      <c r="J516" s="99" t="s">
        <v>913</v>
      </c>
      <c r="L516">
        <f t="shared" si="65"/>
        <v>5</v>
      </c>
      <c r="M516">
        <f t="shared" si="66"/>
        <v>6</v>
      </c>
      <c r="N516">
        <f t="shared" si="67"/>
        <v>30</v>
      </c>
      <c r="O516" s="158">
        <f t="shared" si="68"/>
        <v>4</v>
      </c>
      <c r="P516" s="159">
        <f t="shared" si="69"/>
        <v>-35</v>
      </c>
    </row>
    <row r="517" spans="2:16" hidden="1" x14ac:dyDescent="0.3">
      <c r="B517" s="102" t="s">
        <v>1431</v>
      </c>
      <c r="C517" s="103" t="s">
        <v>1432</v>
      </c>
      <c r="D517" s="104">
        <v>44123</v>
      </c>
      <c r="E517" s="102">
        <v>95</v>
      </c>
      <c r="F517" s="105">
        <v>85</v>
      </c>
      <c r="G517" s="104">
        <v>45856</v>
      </c>
      <c r="H517" s="103" t="s">
        <v>442</v>
      </c>
      <c r="I517" s="103" t="s">
        <v>1430</v>
      </c>
      <c r="J517" s="103" t="s">
        <v>913</v>
      </c>
      <c r="L517">
        <f t="shared" si="65"/>
        <v>5</v>
      </c>
      <c r="M517">
        <f t="shared" si="66"/>
        <v>6</v>
      </c>
      <c r="N517">
        <f t="shared" si="67"/>
        <v>30</v>
      </c>
      <c r="O517" s="158">
        <f t="shared" si="68"/>
        <v>3.1666666666666665</v>
      </c>
      <c r="P517" s="159">
        <f t="shared" si="69"/>
        <v>-10</v>
      </c>
    </row>
    <row r="518" spans="2:16" x14ac:dyDescent="0.3">
      <c r="B518" s="98" t="s">
        <v>1433</v>
      </c>
      <c r="C518" s="99" t="s">
        <v>1434</v>
      </c>
      <c r="D518" s="100">
        <v>45791</v>
      </c>
      <c r="E518" s="98">
        <v>152</v>
      </c>
      <c r="F518" s="101">
        <v>168</v>
      </c>
      <c r="G518" s="100">
        <v>45883</v>
      </c>
      <c r="H518" s="99" t="s">
        <v>423</v>
      </c>
      <c r="I518" s="99" t="s">
        <v>446</v>
      </c>
      <c r="J518" s="99" t="s">
        <v>913</v>
      </c>
      <c r="L518">
        <f t="shared" si="65"/>
        <v>15</v>
      </c>
      <c r="M518">
        <f t="shared" si="66"/>
        <v>5</v>
      </c>
      <c r="N518">
        <f t="shared" si="67"/>
        <v>75</v>
      </c>
      <c r="O518" s="158">
        <f t="shared" si="68"/>
        <v>2.0266666666666668</v>
      </c>
      <c r="P518" s="159">
        <f t="shared" si="69"/>
        <v>16</v>
      </c>
    </row>
    <row r="519" spans="2:16" x14ac:dyDescent="0.3">
      <c r="B519" s="102" t="s">
        <v>1435</v>
      </c>
      <c r="C519" s="103" t="s">
        <v>1436</v>
      </c>
      <c r="D519" s="104">
        <v>45029</v>
      </c>
      <c r="E519" s="102">
        <v>205</v>
      </c>
      <c r="F519" s="105">
        <v>361</v>
      </c>
      <c r="G519" s="104">
        <v>45887</v>
      </c>
      <c r="H519" s="103" t="s">
        <v>423</v>
      </c>
      <c r="I519" s="103" t="s">
        <v>609</v>
      </c>
      <c r="J519" s="103" t="s">
        <v>913</v>
      </c>
      <c r="L519">
        <f t="shared" ref="L519:L582" si="70">--LEFT(I519,FIND("X",I519)-1)</f>
        <v>10</v>
      </c>
      <c r="M519">
        <f t="shared" ref="M519:M582" si="71">--RIGHT(I519,LEN(I519)-FIND("X",I519))</f>
        <v>20</v>
      </c>
      <c r="N519">
        <f t="shared" ref="N519:N582" si="72">L519*M519</f>
        <v>200</v>
      </c>
      <c r="O519" s="158">
        <f t="shared" si="68"/>
        <v>1.0249999999999999</v>
      </c>
      <c r="P519" s="159">
        <f t="shared" si="69"/>
        <v>156</v>
      </c>
    </row>
    <row r="520" spans="2:16" hidden="1" x14ac:dyDescent="0.3">
      <c r="B520" s="98" t="s">
        <v>1304</v>
      </c>
      <c r="C520" s="99" t="s">
        <v>1437</v>
      </c>
      <c r="D520" s="100">
        <v>45804</v>
      </c>
      <c r="E520" s="98">
        <v>351</v>
      </c>
      <c r="F520" s="101">
        <v>218</v>
      </c>
      <c r="G520" s="100">
        <v>45895</v>
      </c>
      <c r="H520" s="99" t="s">
        <v>423</v>
      </c>
      <c r="I520" s="99" t="s">
        <v>428</v>
      </c>
      <c r="J520" s="99" t="s">
        <v>913</v>
      </c>
      <c r="L520">
        <f t="shared" si="70"/>
        <v>10</v>
      </c>
      <c r="M520">
        <f t="shared" si="71"/>
        <v>10</v>
      </c>
      <c r="N520">
        <f t="shared" si="72"/>
        <v>100</v>
      </c>
      <c r="O520" s="158">
        <f t="shared" si="68"/>
        <v>3.51</v>
      </c>
      <c r="P520" s="159">
        <f t="shared" si="69"/>
        <v>-133</v>
      </c>
    </row>
    <row r="521" spans="2:16" hidden="1" x14ac:dyDescent="0.3">
      <c r="B521" s="102"/>
      <c r="C521" s="103" t="s">
        <v>1438</v>
      </c>
      <c r="D521" s="103"/>
      <c r="E521" s="102"/>
      <c r="F521" s="105">
        <v>124</v>
      </c>
      <c r="G521" s="103"/>
      <c r="H521" s="103" t="s">
        <v>445</v>
      </c>
      <c r="I521" s="103" t="s">
        <v>443</v>
      </c>
      <c r="J521" s="103" t="s">
        <v>913</v>
      </c>
      <c r="L521">
        <f t="shared" si="70"/>
        <v>10</v>
      </c>
      <c r="M521">
        <f t="shared" si="71"/>
        <v>5</v>
      </c>
      <c r="N521">
        <f t="shared" si="72"/>
        <v>50</v>
      </c>
    </row>
    <row r="522" spans="2:16" hidden="1" x14ac:dyDescent="0.3">
      <c r="B522" s="98" t="s">
        <v>1439</v>
      </c>
      <c r="C522" s="99" t="s">
        <v>1440</v>
      </c>
      <c r="D522" s="100">
        <v>44460</v>
      </c>
      <c r="E522" s="98">
        <v>284</v>
      </c>
      <c r="F522" s="101">
        <v>218</v>
      </c>
      <c r="G522" s="100">
        <v>45889</v>
      </c>
      <c r="H522" s="99" t="s">
        <v>423</v>
      </c>
      <c r="I522" s="99" t="s">
        <v>428</v>
      </c>
      <c r="J522" s="99" t="s">
        <v>913</v>
      </c>
      <c r="L522">
        <f t="shared" si="70"/>
        <v>10</v>
      </c>
      <c r="M522">
        <f t="shared" si="71"/>
        <v>10</v>
      </c>
      <c r="N522">
        <f t="shared" si="72"/>
        <v>100</v>
      </c>
      <c r="O522" s="158">
        <f t="shared" ref="O522:O526" si="73">E522/N522</f>
        <v>2.84</v>
      </c>
      <c r="P522" s="159">
        <f t="shared" ref="P522:P526" si="74">F522-E522</f>
        <v>-66</v>
      </c>
    </row>
    <row r="523" spans="2:16" x14ac:dyDescent="0.3">
      <c r="B523" s="102" t="s">
        <v>1441</v>
      </c>
      <c r="C523" s="103" t="s">
        <v>1442</v>
      </c>
      <c r="D523" s="104">
        <v>45778</v>
      </c>
      <c r="E523" s="102">
        <v>66</v>
      </c>
      <c r="F523" s="105">
        <v>168</v>
      </c>
      <c r="G523" s="104">
        <v>45876</v>
      </c>
      <c r="H523" s="103" t="s">
        <v>423</v>
      </c>
      <c r="I523" s="103" t="s">
        <v>431</v>
      </c>
      <c r="J523" s="103" t="s">
        <v>913</v>
      </c>
      <c r="L523">
        <f t="shared" si="70"/>
        <v>5</v>
      </c>
      <c r="M523">
        <f t="shared" si="71"/>
        <v>15</v>
      </c>
      <c r="N523">
        <f t="shared" si="72"/>
        <v>75</v>
      </c>
      <c r="O523" s="158">
        <f t="shared" si="73"/>
        <v>0.88</v>
      </c>
      <c r="P523" s="159">
        <f t="shared" si="74"/>
        <v>102</v>
      </c>
    </row>
    <row r="524" spans="2:16" hidden="1" x14ac:dyDescent="0.3">
      <c r="B524" s="98" t="s">
        <v>1443</v>
      </c>
      <c r="C524" s="99" t="s">
        <v>1444</v>
      </c>
      <c r="D524" s="100">
        <v>45818</v>
      </c>
      <c r="E524" s="98">
        <v>235</v>
      </c>
      <c r="F524" s="101">
        <v>218</v>
      </c>
      <c r="G524" s="100">
        <v>45878</v>
      </c>
      <c r="H524" s="99" t="s">
        <v>423</v>
      </c>
      <c r="I524" s="99" t="s">
        <v>428</v>
      </c>
      <c r="J524" s="99" t="s">
        <v>913</v>
      </c>
      <c r="L524">
        <f t="shared" si="70"/>
        <v>10</v>
      </c>
      <c r="M524">
        <f t="shared" si="71"/>
        <v>10</v>
      </c>
      <c r="N524">
        <f t="shared" si="72"/>
        <v>100</v>
      </c>
      <c r="O524" s="158">
        <f t="shared" si="73"/>
        <v>2.35</v>
      </c>
      <c r="P524" s="159">
        <f t="shared" si="74"/>
        <v>-17</v>
      </c>
    </row>
    <row r="525" spans="2:16" hidden="1" x14ac:dyDescent="0.3">
      <c r="B525" s="102" t="s">
        <v>1445</v>
      </c>
      <c r="C525" s="103" t="s">
        <v>1446</v>
      </c>
      <c r="D525" s="104">
        <v>44666</v>
      </c>
      <c r="E525" s="102">
        <v>293</v>
      </c>
      <c r="F525" s="105">
        <v>218</v>
      </c>
      <c r="G525" s="104">
        <v>45884</v>
      </c>
      <c r="H525" s="103" t="s">
        <v>423</v>
      </c>
      <c r="I525" s="103" t="s">
        <v>428</v>
      </c>
      <c r="J525" s="103" t="s">
        <v>913</v>
      </c>
      <c r="L525">
        <f t="shared" si="70"/>
        <v>10</v>
      </c>
      <c r="M525">
        <f t="shared" si="71"/>
        <v>10</v>
      </c>
      <c r="N525">
        <f t="shared" si="72"/>
        <v>100</v>
      </c>
      <c r="O525" s="158">
        <f t="shared" si="73"/>
        <v>2.93</v>
      </c>
      <c r="P525" s="159">
        <f t="shared" si="74"/>
        <v>-75</v>
      </c>
    </row>
    <row r="526" spans="2:16" x14ac:dyDescent="0.3">
      <c r="B526" s="98" t="s">
        <v>1447</v>
      </c>
      <c r="C526" s="99" t="s">
        <v>1448</v>
      </c>
      <c r="D526" s="100">
        <v>44949</v>
      </c>
      <c r="E526" s="98">
        <v>88</v>
      </c>
      <c r="F526" s="101">
        <v>168</v>
      </c>
      <c r="G526" s="100">
        <v>45902</v>
      </c>
      <c r="H526" s="99" t="s">
        <v>423</v>
      </c>
      <c r="I526" s="99" t="s">
        <v>431</v>
      </c>
      <c r="J526" s="99" t="s">
        <v>913</v>
      </c>
      <c r="L526">
        <f t="shared" si="70"/>
        <v>5</v>
      </c>
      <c r="M526">
        <f t="shared" si="71"/>
        <v>15</v>
      </c>
      <c r="N526">
        <f t="shared" si="72"/>
        <v>75</v>
      </c>
      <c r="O526" s="158">
        <f t="shared" si="73"/>
        <v>1.1733333333333333</v>
      </c>
      <c r="P526" s="159">
        <f t="shared" si="74"/>
        <v>80</v>
      </c>
    </row>
    <row r="527" spans="2:16" hidden="1" x14ac:dyDescent="0.3">
      <c r="B527" s="102"/>
      <c r="C527" s="103" t="s">
        <v>1449</v>
      </c>
      <c r="D527" s="103"/>
      <c r="E527" s="102"/>
      <c r="F527" s="105">
        <v>218</v>
      </c>
      <c r="G527" s="103"/>
      <c r="H527" s="103" t="s">
        <v>445</v>
      </c>
      <c r="I527" s="103" t="s">
        <v>428</v>
      </c>
      <c r="J527" s="103" t="s">
        <v>913</v>
      </c>
      <c r="L527">
        <f t="shared" si="70"/>
        <v>10</v>
      </c>
      <c r="M527">
        <f t="shared" si="71"/>
        <v>10</v>
      </c>
      <c r="N527">
        <f t="shared" si="72"/>
        <v>100</v>
      </c>
    </row>
    <row r="528" spans="2:16" x14ac:dyDescent="0.3">
      <c r="B528" s="98" t="s">
        <v>1450</v>
      </c>
      <c r="C528" s="99" t="s">
        <v>1451</v>
      </c>
      <c r="D528" s="100">
        <v>45773</v>
      </c>
      <c r="E528" s="98">
        <v>63</v>
      </c>
      <c r="F528" s="101">
        <v>168</v>
      </c>
      <c r="G528" s="100">
        <v>45894</v>
      </c>
      <c r="H528" s="99" t="s">
        <v>423</v>
      </c>
      <c r="I528" s="99" t="s">
        <v>431</v>
      </c>
      <c r="J528" s="99" t="s">
        <v>913</v>
      </c>
      <c r="L528">
        <f t="shared" si="70"/>
        <v>5</v>
      </c>
      <c r="M528">
        <f t="shared" si="71"/>
        <v>15</v>
      </c>
      <c r="N528">
        <f t="shared" si="72"/>
        <v>75</v>
      </c>
      <c r="O528" s="158">
        <f t="shared" ref="O528:O533" si="75">E528/N528</f>
        <v>0.84</v>
      </c>
      <c r="P528" s="159">
        <f t="shared" ref="P528:P533" si="76">F528-E528</f>
        <v>105</v>
      </c>
    </row>
    <row r="529" spans="2:16" hidden="1" x14ac:dyDescent="0.3">
      <c r="B529" s="102" t="s">
        <v>1452</v>
      </c>
      <c r="C529" s="103" t="s">
        <v>1453</v>
      </c>
      <c r="D529" s="104">
        <v>45573</v>
      </c>
      <c r="E529" s="102">
        <v>229</v>
      </c>
      <c r="F529" s="105">
        <v>218</v>
      </c>
      <c r="G529" s="104">
        <v>45876</v>
      </c>
      <c r="H529" s="103" t="s">
        <v>423</v>
      </c>
      <c r="I529" s="103" t="s">
        <v>428</v>
      </c>
      <c r="J529" s="103" t="s">
        <v>913</v>
      </c>
      <c r="L529">
        <f t="shared" si="70"/>
        <v>10</v>
      </c>
      <c r="M529">
        <f t="shared" si="71"/>
        <v>10</v>
      </c>
      <c r="N529">
        <f t="shared" si="72"/>
        <v>100</v>
      </c>
      <c r="O529" s="158">
        <f t="shared" si="75"/>
        <v>2.29</v>
      </c>
      <c r="P529" s="159">
        <f t="shared" si="76"/>
        <v>-11</v>
      </c>
    </row>
    <row r="530" spans="2:16" hidden="1" x14ac:dyDescent="0.3">
      <c r="B530" s="98" t="s">
        <v>1454</v>
      </c>
      <c r="C530" s="99" t="s">
        <v>1455</v>
      </c>
      <c r="D530" s="100">
        <v>45171</v>
      </c>
      <c r="E530" s="98">
        <v>78</v>
      </c>
      <c r="F530" s="101">
        <v>57</v>
      </c>
      <c r="G530" s="100">
        <v>45872</v>
      </c>
      <c r="H530" s="99" t="s">
        <v>423</v>
      </c>
      <c r="I530" s="99" t="s">
        <v>699</v>
      </c>
      <c r="J530" s="99" t="s">
        <v>913</v>
      </c>
      <c r="L530">
        <f t="shared" si="70"/>
        <v>5</v>
      </c>
      <c r="M530">
        <f t="shared" si="71"/>
        <v>4</v>
      </c>
      <c r="N530">
        <f t="shared" si="72"/>
        <v>20</v>
      </c>
      <c r="O530" s="158">
        <f t="shared" si="75"/>
        <v>3.9</v>
      </c>
      <c r="P530" s="159">
        <f t="shared" si="76"/>
        <v>-21</v>
      </c>
    </row>
    <row r="531" spans="2:16" x14ac:dyDescent="0.3">
      <c r="B531" s="102" t="s">
        <v>1456</v>
      </c>
      <c r="C531" s="103" t="s">
        <v>1457</v>
      </c>
      <c r="D531" s="104">
        <v>44399</v>
      </c>
      <c r="E531" s="102">
        <v>116</v>
      </c>
      <c r="F531" s="105">
        <v>124</v>
      </c>
      <c r="G531" s="104">
        <v>45890</v>
      </c>
      <c r="H531" s="103" t="s">
        <v>423</v>
      </c>
      <c r="I531" s="103" t="s">
        <v>463</v>
      </c>
      <c r="J531" s="103" t="s">
        <v>913</v>
      </c>
      <c r="L531">
        <f t="shared" si="70"/>
        <v>5</v>
      </c>
      <c r="M531">
        <f t="shared" si="71"/>
        <v>10</v>
      </c>
      <c r="N531">
        <f t="shared" si="72"/>
        <v>50</v>
      </c>
      <c r="O531" s="158">
        <f t="shared" si="75"/>
        <v>2.3199999999999998</v>
      </c>
      <c r="P531" s="159">
        <f t="shared" si="76"/>
        <v>8</v>
      </c>
    </row>
    <row r="532" spans="2:16" hidden="1" x14ac:dyDescent="0.3">
      <c r="B532" s="98" t="s">
        <v>1458</v>
      </c>
      <c r="C532" s="99" t="s">
        <v>1459</v>
      </c>
      <c r="D532" s="100">
        <v>44851</v>
      </c>
      <c r="E532" s="98">
        <v>69</v>
      </c>
      <c r="F532" s="101">
        <v>57</v>
      </c>
      <c r="G532" s="100">
        <v>45885</v>
      </c>
      <c r="H532" s="99" t="s">
        <v>423</v>
      </c>
      <c r="I532" s="99" t="s">
        <v>699</v>
      </c>
      <c r="J532" s="99" t="s">
        <v>913</v>
      </c>
      <c r="L532">
        <f t="shared" si="70"/>
        <v>5</v>
      </c>
      <c r="M532">
        <f t="shared" si="71"/>
        <v>4</v>
      </c>
      <c r="N532">
        <f t="shared" si="72"/>
        <v>20</v>
      </c>
      <c r="O532" s="158">
        <f t="shared" si="75"/>
        <v>3.45</v>
      </c>
      <c r="P532" s="159">
        <f t="shared" si="76"/>
        <v>-12</v>
      </c>
    </row>
    <row r="533" spans="2:16" hidden="1" x14ac:dyDescent="0.3">
      <c r="B533" s="102" t="s">
        <v>1460</v>
      </c>
      <c r="C533" s="103" t="s">
        <v>1461</v>
      </c>
      <c r="D533" s="104">
        <v>45171</v>
      </c>
      <c r="E533" s="102">
        <v>143</v>
      </c>
      <c r="F533" s="105">
        <v>133</v>
      </c>
      <c r="G533" s="104">
        <v>45870</v>
      </c>
      <c r="H533" s="103" t="s">
        <v>423</v>
      </c>
      <c r="I533" s="103" t="s">
        <v>630</v>
      </c>
      <c r="J533" s="103" t="s">
        <v>913</v>
      </c>
      <c r="L533">
        <f t="shared" si="70"/>
        <v>11</v>
      </c>
      <c r="M533">
        <f t="shared" si="71"/>
        <v>5</v>
      </c>
      <c r="N533">
        <f t="shared" si="72"/>
        <v>55</v>
      </c>
      <c r="O533" s="158">
        <f t="shared" si="75"/>
        <v>2.6</v>
      </c>
      <c r="P533" s="159">
        <f t="shared" si="76"/>
        <v>-10</v>
      </c>
    </row>
    <row r="534" spans="2:16" hidden="1" x14ac:dyDescent="0.3">
      <c r="B534" s="98"/>
      <c r="C534" s="99" t="s">
        <v>1462</v>
      </c>
      <c r="D534" s="99"/>
      <c r="E534" s="98"/>
      <c r="F534" s="101">
        <v>168</v>
      </c>
      <c r="G534" s="99"/>
      <c r="H534" s="99" t="s">
        <v>445</v>
      </c>
      <c r="I534" s="99" t="s">
        <v>446</v>
      </c>
      <c r="J534" s="99" t="s">
        <v>913</v>
      </c>
      <c r="L534">
        <f t="shared" si="70"/>
        <v>15</v>
      </c>
      <c r="M534">
        <f t="shared" si="71"/>
        <v>5</v>
      </c>
      <c r="N534">
        <f t="shared" si="72"/>
        <v>75</v>
      </c>
    </row>
    <row r="535" spans="2:16" x14ac:dyDescent="0.3">
      <c r="B535" s="102" t="s">
        <v>1463</v>
      </c>
      <c r="C535" s="103" t="s">
        <v>1464</v>
      </c>
      <c r="D535" s="104">
        <v>45855</v>
      </c>
      <c r="E535" s="102">
        <v>39</v>
      </c>
      <c r="F535" s="105">
        <v>75</v>
      </c>
      <c r="G535" s="104">
        <v>45885</v>
      </c>
      <c r="H535" s="103" t="s">
        <v>423</v>
      </c>
      <c r="I535" s="103" t="s">
        <v>482</v>
      </c>
      <c r="J535" s="103" t="s">
        <v>913</v>
      </c>
      <c r="L535">
        <f t="shared" si="70"/>
        <v>5</v>
      </c>
      <c r="M535">
        <f t="shared" si="71"/>
        <v>5</v>
      </c>
      <c r="N535">
        <f t="shared" si="72"/>
        <v>25</v>
      </c>
      <c r="O535" s="158">
        <f t="shared" ref="O535:O536" si="77">E535/N535</f>
        <v>1.56</v>
      </c>
      <c r="P535" s="159">
        <f t="shared" ref="P535:P536" si="78">F535-E535</f>
        <v>36</v>
      </c>
    </row>
    <row r="536" spans="2:16" x14ac:dyDescent="0.3">
      <c r="B536" s="98" t="s">
        <v>1465</v>
      </c>
      <c r="C536" s="99" t="s">
        <v>1466</v>
      </c>
      <c r="D536" s="100">
        <v>45867</v>
      </c>
      <c r="E536" s="98">
        <v>39</v>
      </c>
      <c r="F536" s="101">
        <v>75</v>
      </c>
      <c r="G536" s="100">
        <v>45900</v>
      </c>
      <c r="H536" s="99" t="s">
        <v>423</v>
      </c>
      <c r="I536" s="99" t="s">
        <v>482</v>
      </c>
      <c r="J536" s="99" t="s">
        <v>913</v>
      </c>
      <c r="L536">
        <f t="shared" si="70"/>
        <v>5</v>
      </c>
      <c r="M536">
        <f t="shared" si="71"/>
        <v>5</v>
      </c>
      <c r="N536">
        <f t="shared" si="72"/>
        <v>25</v>
      </c>
      <c r="O536" s="158">
        <f t="shared" si="77"/>
        <v>1.56</v>
      </c>
      <c r="P536" s="159">
        <f t="shared" si="78"/>
        <v>36</v>
      </c>
    </row>
    <row r="537" spans="2:16" hidden="1" x14ac:dyDescent="0.3">
      <c r="B537" s="102"/>
      <c r="C537" s="103" t="s">
        <v>1467</v>
      </c>
      <c r="D537" s="103"/>
      <c r="E537" s="102"/>
      <c r="F537" s="105">
        <v>75</v>
      </c>
      <c r="G537" s="103"/>
      <c r="H537" s="103" t="s">
        <v>445</v>
      </c>
      <c r="I537" s="103" t="s">
        <v>482</v>
      </c>
      <c r="J537" s="103" t="s">
        <v>913</v>
      </c>
      <c r="L537">
        <f t="shared" si="70"/>
        <v>5</v>
      </c>
      <c r="M537">
        <f t="shared" si="71"/>
        <v>5</v>
      </c>
      <c r="N537">
        <f t="shared" si="72"/>
        <v>25</v>
      </c>
    </row>
    <row r="538" spans="2:16" hidden="1" x14ac:dyDescent="0.3">
      <c r="B538" s="98"/>
      <c r="C538" s="99" t="s">
        <v>1468</v>
      </c>
      <c r="D538" s="99"/>
      <c r="E538" s="98"/>
      <c r="F538" s="101">
        <v>75</v>
      </c>
      <c r="G538" s="99"/>
      <c r="H538" s="99" t="s">
        <v>445</v>
      </c>
      <c r="I538" s="99" t="s">
        <v>482</v>
      </c>
      <c r="J538" s="99" t="s">
        <v>913</v>
      </c>
      <c r="L538">
        <f t="shared" si="70"/>
        <v>5</v>
      </c>
      <c r="M538">
        <f t="shared" si="71"/>
        <v>5</v>
      </c>
      <c r="N538">
        <f t="shared" si="72"/>
        <v>25</v>
      </c>
    </row>
    <row r="539" spans="2:16" hidden="1" x14ac:dyDescent="0.3">
      <c r="B539" s="102"/>
      <c r="C539" s="103" t="s">
        <v>1469</v>
      </c>
      <c r="D539" s="103"/>
      <c r="E539" s="102"/>
      <c r="F539" s="105">
        <v>75</v>
      </c>
      <c r="G539" s="103"/>
      <c r="H539" s="103" t="s">
        <v>445</v>
      </c>
      <c r="I539" s="103" t="s">
        <v>482</v>
      </c>
      <c r="J539" s="103" t="s">
        <v>913</v>
      </c>
      <c r="L539">
        <f t="shared" si="70"/>
        <v>5</v>
      </c>
      <c r="M539">
        <f t="shared" si="71"/>
        <v>5</v>
      </c>
      <c r="N539">
        <f t="shared" si="72"/>
        <v>25</v>
      </c>
    </row>
    <row r="540" spans="2:16" hidden="1" x14ac:dyDescent="0.3">
      <c r="B540" s="98"/>
      <c r="C540" s="99" t="s">
        <v>1470</v>
      </c>
      <c r="D540" s="99"/>
      <c r="E540" s="98"/>
      <c r="F540" s="101">
        <v>124</v>
      </c>
      <c r="G540" s="99"/>
      <c r="H540" s="99" t="s">
        <v>445</v>
      </c>
      <c r="I540" s="99" t="s">
        <v>463</v>
      </c>
      <c r="J540" s="99" t="s">
        <v>913</v>
      </c>
      <c r="L540">
        <f t="shared" si="70"/>
        <v>5</v>
      </c>
      <c r="M540">
        <f t="shared" si="71"/>
        <v>10</v>
      </c>
      <c r="N540">
        <f t="shared" si="72"/>
        <v>50</v>
      </c>
    </row>
    <row r="541" spans="2:16" hidden="1" x14ac:dyDescent="0.3">
      <c r="B541" s="102"/>
      <c r="C541" s="103" t="s">
        <v>1471</v>
      </c>
      <c r="D541" s="103"/>
      <c r="E541" s="102"/>
      <c r="F541" s="105">
        <v>75</v>
      </c>
      <c r="G541" s="103"/>
      <c r="H541" s="103" t="s">
        <v>445</v>
      </c>
      <c r="I541" s="103" t="s">
        <v>482</v>
      </c>
      <c r="J541" s="103" t="s">
        <v>913</v>
      </c>
      <c r="L541">
        <f t="shared" si="70"/>
        <v>5</v>
      </c>
      <c r="M541">
        <f t="shared" si="71"/>
        <v>5</v>
      </c>
      <c r="N541">
        <f t="shared" si="72"/>
        <v>25</v>
      </c>
    </row>
    <row r="542" spans="2:16" hidden="1" x14ac:dyDescent="0.3">
      <c r="B542" s="98"/>
      <c r="C542" s="99" t="s">
        <v>1472</v>
      </c>
      <c r="D542" s="99"/>
      <c r="E542" s="98"/>
      <c r="F542" s="101">
        <v>75</v>
      </c>
      <c r="G542" s="99"/>
      <c r="H542" s="99" t="s">
        <v>445</v>
      </c>
      <c r="I542" s="99" t="s">
        <v>482</v>
      </c>
      <c r="J542" s="99" t="s">
        <v>913</v>
      </c>
      <c r="L542">
        <f t="shared" si="70"/>
        <v>5</v>
      </c>
      <c r="M542">
        <f t="shared" si="71"/>
        <v>5</v>
      </c>
      <c r="N542">
        <f t="shared" si="72"/>
        <v>25</v>
      </c>
    </row>
    <row r="543" spans="2:16" x14ac:dyDescent="0.3">
      <c r="B543" s="102" t="s">
        <v>1473</v>
      </c>
      <c r="C543" s="103" t="s">
        <v>1474</v>
      </c>
      <c r="D543" s="104">
        <v>45856</v>
      </c>
      <c r="E543" s="102">
        <v>28</v>
      </c>
      <c r="F543" s="105">
        <v>57</v>
      </c>
      <c r="G543" s="104">
        <v>45886</v>
      </c>
      <c r="H543" s="103" t="s">
        <v>423</v>
      </c>
      <c r="I543" s="103" t="s">
        <v>699</v>
      </c>
      <c r="J543" s="103" t="s">
        <v>913</v>
      </c>
      <c r="L543">
        <f t="shared" si="70"/>
        <v>5</v>
      </c>
      <c r="M543">
        <f t="shared" si="71"/>
        <v>4</v>
      </c>
      <c r="N543">
        <f t="shared" si="72"/>
        <v>20</v>
      </c>
      <c r="O543" s="158">
        <f>E543/N543</f>
        <v>1.4</v>
      </c>
      <c r="P543" s="159">
        <f>F543-E543</f>
        <v>29</v>
      </c>
    </row>
    <row r="544" spans="2:16" hidden="1" x14ac:dyDescent="0.3">
      <c r="B544" s="98"/>
      <c r="C544" s="99" t="s">
        <v>1475</v>
      </c>
      <c r="D544" s="99"/>
      <c r="E544" s="98"/>
      <c r="F544" s="101">
        <v>218</v>
      </c>
      <c r="G544" s="99"/>
      <c r="H544" s="99" t="s">
        <v>445</v>
      </c>
      <c r="I544" s="99" t="s">
        <v>428</v>
      </c>
      <c r="J544" s="99" t="s">
        <v>913</v>
      </c>
      <c r="L544">
        <f t="shared" si="70"/>
        <v>10</v>
      </c>
      <c r="M544">
        <f t="shared" si="71"/>
        <v>10</v>
      </c>
      <c r="N544">
        <f t="shared" si="72"/>
        <v>100</v>
      </c>
    </row>
    <row r="545" spans="2:16" hidden="1" x14ac:dyDescent="0.3">
      <c r="B545" s="102"/>
      <c r="C545" s="103" t="s">
        <v>1476</v>
      </c>
      <c r="D545" s="103"/>
      <c r="E545" s="102"/>
      <c r="F545" s="105">
        <v>75</v>
      </c>
      <c r="G545" s="103"/>
      <c r="H545" s="103" t="s">
        <v>445</v>
      </c>
      <c r="I545" s="103" t="s">
        <v>482</v>
      </c>
      <c r="J545" s="103" t="s">
        <v>913</v>
      </c>
      <c r="L545">
        <f t="shared" si="70"/>
        <v>5</v>
      </c>
      <c r="M545">
        <f t="shared" si="71"/>
        <v>5</v>
      </c>
      <c r="N545">
        <f t="shared" si="72"/>
        <v>25</v>
      </c>
    </row>
    <row r="546" spans="2:16" hidden="1" x14ac:dyDescent="0.3">
      <c r="B546" s="98"/>
      <c r="C546" s="99" t="s">
        <v>1477</v>
      </c>
      <c r="D546" s="99"/>
      <c r="E546" s="98"/>
      <c r="F546" s="101">
        <v>75</v>
      </c>
      <c r="G546" s="99"/>
      <c r="H546" s="99" t="s">
        <v>445</v>
      </c>
      <c r="I546" s="99" t="s">
        <v>482</v>
      </c>
      <c r="J546" s="99" t="s">
        <v>913</v>
      </c>
      <c r="L546">
        <f t="shared" si="70"/>
        <v>5</v>
      </c>
      <c r="M546">
        <f t="shared" si="71"/>
        <v>5</v>
      </c>
      <c r="N546">
        <f t="shared" si="72"/>
        <v>25</v>
      </c>
    </row>
    <row r="547" spans="2:16" hidden="1" x14ac:dyDescent="0.3">
      <c r="B547" s="102"/>
      <c r="C547" s="103" t="s">
        <v>1478</v>
      </c>
      <c r="D547" s="103"/>
      <c r="E547" s="102"/>
      <c r="F547" s="105">
        <v>75</v>
      </c>
      <c r="G547" s="103"/>
      <c r="H547" s="103" t="s">
        <v>445</v>
      </c>
      <c r="I547" s="103" t="s">
        <v>482</v>
      </c>
      <c r="J547" s="103" t="s">
        <v>913</v>
      </c>
      <c r="L547">
        <f t="shared" si="70"/>
        <v>5</v>
      </c>
      <c r="M547">
        <f t="shared" si="71"/>
        <v>5</v>
      </c>
      <c r="N547">
        <f t="shared" si="72"/>
        <v>25</v>
      </c>
    </row>
    <row r="548" spans="2:16" hidden="1" x14ac:dyDescent="0.3">
      <c r="B548" s="98"/>
      <c r="C548" s="99" t="s">
        <v>1479</v>
      </c>
      <c r="D548" s="99"/>
      <c r="E548" s="98"/>
      <c r="F548" s="101">
        <v>75</v>
      </c>
      <c r="G548" s="99"/>
      <c r="H548" s="99" t="s">
        <v>445</v>
      </c>
      <c r="I548" s="99" t="s">
        <v>482</v>
      </c>
      <c r="J548" s="99" t="s">
        <v>913</v>
      </c>
      <c r="L548">
        <f t="shared" si="70"/>
        <v>5</v>
      </c>
      <c r="M548">
        <f t="shared" si="71"/>
        <v>5</v>
      </c>
      <c r="N548">
        <f t="shared" si="72"/>
        <v>25</v>
      </c>
    </row>
    <row r="549" spans="2:16" hidden="1" x14ac:dyDescent="0.3">
      <c r="B549" s="102"/>
      <c r="C549" s="103" t="s">
        <v>1480</v>
      </c>
      <c r="D549" s="103"/>
      <c r="E549" s="102"/>
      <c r="F549" s="105">
        <v>124</v>
      </c>
      <c r="G549" s="103"/>
      <c r="H549" s="103" t="s">
        <v>445</v>
      </c>
      <c r="I549" s="103" t="s">
        <v>443</v>
      </c>
      <c r="J549" s="103" t="s">
        <v>913</v>
      </c>
      <c r="L549">
        <f t="shared" si="70"/>
        <v>10</v>
      </c>
      <c r="M549">
        <f t="shared" si="71"/>
        <v>5</v>
      </c>
      <c r="N549">
        <f t="shared" si="72"/>
        <v>50</v>
      </c>
    </row>
    <row r="550" spans="2:16" hidden="1" x14ac:dyDescent="0.3">
      <c r="B550" s="98"/>
      <c r="C550" s="99" t="s">
        <v>1481</v>
      </c>
      <c r="D550" s="99"/>
      <c r="E550" s="98"/>
      <c r="F550" s="101">
        <v>75</v>
      </c>
      <c r="G550" s="99"/>
      <c r="H550" s="99" t="s">
        <v>445</v>
      </c>
      <c r="I550" s="99" t="s">
        <v>482</v>
      </c>
      <c r="J550" s="99" t="s">
        <v>913</v>
      </c>
      <c r="L550">
        <f t="shared" si="70"/>
        <v>5</v>
      </c>
      <c r="M550">
        <f t="shared" si="71"/>
        <v>5</v>
      </c>
      <c r="N550">
        <f t="shared" si="72"/>
        <v>25</v>
      </c>
    </row>
    <row r="551" spans="2:16" hidden="1" x14ac:dyDescent="0.3">
      <c r="B551" s="102"/>
      <c r="C551" s="103" t="s">
        <v>1482</v>
      </c>
      <c r="D551" s="103"/>
      <c r="E551" s="102"/>
      <c r="F551" s="105">
        <v>75</v>
      </c>
      <c r="G551" s="103"/>
      <c r="H551" s="103" t="s">
        <v>445</v>
      </c>
      <c r="I551" s="103" t="s">
        <v>482</v>
      </c>
      <c r="J551" s="103" t="s">
        <v>913</v>
      </c>
      <c r="L551">
        <f t="shared" si="70"/>
        <v>5</v>
      </c>
      <c r="M551">
        <f t="shared" si="71"/>
        <v>5</v>
      </c>
      <c r="N551">
        <f t="shared" si="72"/>
        <v>25</v>
      </c>
    </row>
    <row r="552" spans="2:16" hidden="1" x14ac:dyDescent="0.3">
      <c r="B552" s="98"/>
      <c r="C552" s="99" t="s">
        <v>1483</v>
      </c>
      <c r="D552" s="99"/>
      <c r="E552" s="98"/>
      <c r="F552" s="101">
        <v>75</v>
      </c>
      <c r="G552" s="99"/>
      <c r="H552" s="99" t="s">
        <v>445</v>
      </c>
      <c r="I552" s="99" t="s">
        <v>482</v>
      </c>
      <c r="J552" s="99" t="s">
        <v>913</v>
      </c>
      <c r="L552">
        <f t="shared" si="70"/>
        <v>5</v>
      </c>
      <c r="M552">
        <f t="shared" si="71"/>
        <v>5</v>
      </c>
      <c r="N552">
        <f t="shared" si="72"/>
        <v>25</v>
      </c>
    </row>
    <row r="553" spans="2:16" hidden="1" x14ac:dyDescent="0.3">
      <c r="B553" s="102"/>
      <c r="C553" s="103" t="s">
        <v>1484</v>
      </c>
      <c r="D553" s="103"/>
      <c r="E553" s="102"/>
      <c r="F553" s="105">
        <v>75</v>
      </c>
      <c r="G553" s="103"/>
      <c r="H553" s="103" t="s">
        <v>445</v>
      </c>
      <c r="I553" s="103" t="s">
        <v>482</v>
      </c>
      <c r="J553" s="103" t="s">
        <v>913</v>
      </c>
      <c r="L553">
        <f t="shared" si="70"/>
        <v>5</v>
      </c>
      <c r="M553">
        <f t="shared" si="71"/>
        <v>5</v>
      </c>
      <c r="N553">
        <f t="shared" si="72"/>
        <v>25</v>
      </c>
    </row>
    <row r="554" spans="2:16" hidden="1" x14ac:dyDescent="0.3">
      <c r="B554" s="98"/>
      <c r="C554" s="99" t="s">
        <v>1485</v>
      </c>
      <c r="D554" s="99"/>
      <c r="E554" s="98"/>
      <c r="F554" s="101">
        <v>75</v>
      </c>
      <c r="G554" s="99"/>
      <c r="H554" s="99" t="s">
        <v>445</v>
      </c>
      <c r="I554" s="99" t="s">
        <v>482</v>
      </c>
      <c r="J554" s="99" t="s">
        <v>913</v>
      </c>
      <c r="L554">
        <f t="shared" si="70"/>
        <v>5</v>
      </c>
      <c r="M554">
        <f t="shared" si="71"/>
        <v>5</v>
      </c>
      <c r="N554">
        <f t="shared" si="72"/>
        <v>25</v>
      </c>
    </row>
    <row r="555" spans="2:16" hidden="1" x14ac:dyDescent="0.3">
      <c r="B555" s="102"/>
      <c r="C555" s="103" t="s">
        <v>1486</v>
      </c>
      <c r="D555" s="103"/>
      <c r="E555" s="102"/>
      <c r="F555" s="105">
        <v>75</v>
      </c>
      <c r="G555" s="103"/>
      <c r="H555" s="103" t="s">
        <v>445</v>
      </c>
      <c r="I555" s="103" t="s">
        <v>482</v>
      </c>
      <c r="J555" s="103" t="s">
        <v>913</v>
      </c>
      <c r="L555">
        <f t="shared" si="70"/>
        <v>5</v>
      </c>
      <c r="M555">
        <f t="shared" si="71"/>
        <v>5</v>
      </c>
      <c r="N555">
        <f t="shared" si="72"/>
        <v>25</v>
      </c>
    </row>
    <row r="556" spans="2:16" hidden="1" x14ac:dyDescent="0.3">
      <c r="B556" s="98"/>
      <c r="C556" s="99" t="s">
        <v>1487</v>
      </c>
      <c r="D556" s="99"/>
      <c r="E556" s="98"/>
      <c r="F556" s="101">
        <v>75</v>
      </c>
      <c r="G556" s="99"/>
      <c r="H556" s="99" t="s">
        <v>445</v>
      </c>
      <c r="I556" s="99" t="s">
        <v>482</v>
      </c>
      <c r="J556" s="99" t="s">
        <v>913</v>
      </c>
      <c r="L556">
        <f t="shared" si="70"/>
        <v>5</v>
      </c>
      <c r="M556">
        <f t="shared" si="71"/>
        <v>5</v>
      </c>
      <c r="N556">
        <f t="shared" si="72"/>
        <v>25</v>
      </c>
    </row>
    <row r="557" spans="2:16" x14ac:dyDescent="0.3">
      <c r="B557" s="102" t="s">
        <v>1488</v>
      </c>
      <c r="C557" s="103" t="s">
        <v>1489</v>
      </c>
      <c r="D557" s="104">
        <v>45857</v>
      </c>
      <c r="E557" s="102">
        <v>28</v>
      </c>
      <c r="F557" s="105">
        <v>57</v>
      </c>
      <c r="G557" s="104">
        <v>46071</v>
      </c>
      <c r="H557" s="103" t="s">
        <v>423</v>
      </c>
      <c r="I557" s="103" t="s">
        <v>699</v>
      </c>
      <c r="J557" s="103" t="s">
        <v>913</v>
      </c>
      <c r="L557">
        <f t="shared" si="70"/>
        <v>5</v>
      </c>
      <c r="M557">
        <f t="shared" si="71"/>
        <v>4</v>
      </c>
      <c r="N557">
        <f t="shared" si="72"/>
        <v>20</v>
      </c>
      <c r="O557" s="158">
        <f>E557/N557</f>
        <v>1.4</v>
      </c>
      <c r="P557" s="159">
        <f>F557-E557</f>
        <v>29</v>
      </c>
    </row>
    <row r="558" spans="2:16" hidden="1" x14ac:dyDescent="0.3">
      <c r="B558" s="98"/>
      <c r="C558" s="99" t="s">
        <v>1490</v>
      </c>
      <c r="D558" s="99"/>
      <c r="E558" s="98"/>
      <c r="F558" s="101">
        <v>124</v>
      </c>
      <c r="G558" s="99"/>
      <c r="H558" s="99" t="s">
        <v>445</v>
      </c>
      <c r="I558" s="99" t="s">
        <v>443</v>
      </c>
      <c r="J558" s="99" t="s">
        <v>913</v>
      </c>
      <c r="L558">
        <f t="shared" si="70"/>
        <v>10</v>
      </c>
      <c r="M558">
        <f t="shared" si="71"/>
        <v>5</v>
      </c>
      <c r="N558">
        <f t="shared" si="72"/>
        <v>50</v>
      </c>
    </row>
    <row r="559" spans="2:16" hidden="1" x14ac:dyDescent="0.3">
      <c r="B559" s="102"/>
      <c r="C559" s="103" t="s">
        <v>1491</v>
      </c>
      <c r="D559" s="103"/>
      <c r="E559" s="102"/>
      <c r="F559" s="105">
        <v>75</v>
      </c>
      <c r="G559" s="103"/>
      <c r="H559" s="103" t="s">
        <v>445</v>
      </c>
      <c r="I559" s="103" t="s">
        <v>482</v>
      </c>
      <c r="J559" s="103" t="s">
        <v>913</v>
      </c>
      <c r="L559">
        <f t="shared" si="70"/>
        <v>5</v>
      </c>
      <c r="M559">
        <f t="shared" si="71"/>
        <v>5</v>
      </c>
      <c r="N559">
        <f t="shared" si="72"/>
        <v>25</v>
      </c>
    </row>
    <row r="560" spans="2:16" hidden="1" x14ac:dyDescent="0.3">
      <c r="B560" s="98"/>
      <c r="C560" s="99" t="s">
        <v>1492</v>
      </c>
      <c r="D560" s="99"/>
      <c r="E560" s="98"/>
      <c r="F560" s="101">
        <v>75</v>
      </c>
      <c r="G560" s="99"/>
      <c r="H560" s="99" t="s">
        <v>445</v>
      </c>
      <c r="I560" s="99" t="s">
        <v>482</v>
      </c>
      <c r="J560" s="99" t="s">
        <v>913</v>
      </c>
      <c r="L560">
        <f t="shared" si="70"/>
        <v>5</v>
      </c>
      <c r="M560">
        <f t="shared" si="71"/>
        <v>5</v>
      </c>
      <c r="N560">
        <f t="shared" si="72"/>
        <v>25</v>
      </c>
    </row>
    <row r="561" spans="2:16" hidden="1" x14ac:dyDescent="0.3">
      <c r="B561" s="102"/>
      <c r="C561" s="103" t="s">
        <v>1493</v>
      </c>
      <c r="D561" s="103"/>
      <c r="E561" s="102"/>
      <c r="F561" s="105">
        <v>75</v>
      </c>
      <c r="G561" s="103"/>
      <c r="H561" s="103" t="s">
        <v>445</v>
      </c>
      <c r="I561" s="103" t="s">
        <v>482</v>
      </c>
      <c r="J561" s="103" t="s">
        <v>913</v>
      </c>
      <c r="L561">
        <f t="shared" si="70"/>
        <v>5</v>
      </c>
      <c r="M561">
        <f t="shared" si="71"/>
        <v>5</v>
      </c>
      <c r="N561">
        <f t="shared" si="72"/>
        <v>25</v>
      </c>
    </row>
    <row r="562" spans="2:16" hidden="1" x14ac:dyDescent="0.3">
      <c r="B562" s="98"/>
      <c r="C562" s="99" t="s">
        <v>1494</v>
      </c>
      <c r="D562" s="99"/>
      <c r="E562" s="98"/>
      <c r="F562" s="101">
        <v>75</v>
      </c>
      <c r="G562" s="99"/>
      <c r="H562" s="99" t="s">
        <v>445</v>
      </c>
      <c r="I562" s="99" t="s">
        <v>482</v>
      </c>
      <c r="J562" s="99" t="s">
        <v>913</v>
      </c>
      <c r="L562">
        <f t="shared" si="70"/>
        <v>5</v>
      </c>
      <c r="M562">
        <f t="shared" si="71"/>
        <v>5</v>
      </c>
      <c r="N562">
        <f t="shared" si="72"/>
        <v>25</v>
      </c>
    </row>
    <row r="563" spans="2:16" hidden="1" x14ac:dyDescent="0.3">
      <c r="B563" s="102"/>
      <c r="C563" s="103" t="s">
        <v>1495</v>
      </c>
      <c r="D563" s="103"/>
      <c r="E563" s="102"/>
      <c r="F563" s="105">
        <v>75</v>
      </c>
      <c r="G563" s="103"/>
      <c r="H563" s="103" t="s">
        <v>445</v>
      </c>
      <c r="I563" s="103" t="s">
        <v>482</v>
      </c>
      <c r="J563" s="103" t="s">
        <v>913</v>
      </c>
      <c r="L563">
        <f t="shared" si="70"/>
        <v>5</v>
      </c>
      <c r="M563">
        <f t="shared" si="71"/>
        <v>5</v>
      </c>
      <c r="N563">
        <f t="shared" si="72"/>
        <v>25</v>
      </c>
    </row>
    <row r="564" spans="2:16" hidden="1" x14ac:dyDescent="0.3">
      <c r="B564" s="98"/>
      <c r="C564" s="99" t="s">
        <v>1496</v>
      </c>
      <c r="D564" s="99"/>
      <c r="E564" s="98"/>
      <c r="F564" s="101">
        <v>75</v>
      </c>
      <c r="G564" s="99"/>
      <c r="H564" s="99" t="s">
        <v>445</v>
      </c>
      <c r="I564" s="99" t="s">
        <v>482</v>
      </c>
      <c r="J564" s="99" t="s">
        <v>913</v>
      </c>
      <c r="L564">
        <f t="shared" si="70"/>
        <v>5</v>
      </c>
      <c r="M564">
        <f t="shared" si="71"/>
        <v>5</v>
      </c>
      <c r="N564">
        <f t="shared" si="72"/>
        <v>25</v>
      </c>
    </row>
    <row r="565" spans="2:16" hidden="1" x14ac:dyDescent="0.3">
      <c r="B565" s="102"/>
      <c r="C565" s="103" t="s">
        <v>1497</v>
      </c>
      <c r="D565" s="103"/>
      <c r="E565" s="102"/>
      <c r="F565" s="105">
        <v>75</v>
      </c>
      <c r="G565" s="103"/>
      <c r="H565" s="103" t="s">
        <v>445</v>
      </c>
      <c r="I565" s="103" t="s">
        <v>482</v>
      </c>
      <c r="J565" s="103" t="s">
        <v>913</v>
      </c>
      <c r="L565">
        <f t="shared" si="70"/>
        <v>5</v>
      </c>
      <c r="M565">
        <f t="shared" si="71"/>
        <v>5</v>
      </c>
      <c r="N565">
        <f t="shared" si="72"/>
        <v>25</v>
      </c>
    </row>
    <row r="566" spans="2:16" hidden="1" x14ac:dyDescent="0.3">
      <c r="B566" s="98"/>
      <c r="C566" s="99" t="s">
        <v>1498</v>
      </c>
      <c r="D566" s="99"/>
      <c r="E566" s="98"/>
      <c r="F566" s="101">
        <v>75</v>
      </c>
      <c r="G566" s="99"/>
      <c r="H566" s="99" t="s">
        <v>445</v>
      </c>
      <c r="I566" s="99" t="s">
        <v>482</v>
      </c>
      <c r="J566" s="99" t="s">
        <v>913</v>
      </c>
      <c r="L566">
        <f t="shared" si="70"/>
        <v>5</v>
      </c>
      <c r="M566">
        <f t="shared" si="71"/>
        <v>5</v>
      </c>
      <c r="N566">
        <f t="shared" si="72"/>
        <v>25</v>
      </c>
    </row>
    <row r="567" spans="2:16" hidden="1" x14ac:dyDescent="0.3">
      <c r="B567" s="102"/>
      <c r="C567" s="103" t="s">
        <v>1499</v>
      </c>
      <c r="D567" s="103"/>
      <c r="E567" s="102"/>
      <c r="F567" s="105">
        <v>75</v>
      </c>
      <c r="G567" s="103"/>
      <c r="H567" s="103" t="s">
        <v>445</v>
      </c>
      <c r="I567" s="103" t="s">
        <v>482</v>
      </c>
      <c r="J567" s="103" t="s">
        <v>913</v>
      </c>
      <c r="L567">
        <f t="shared" si="70"/>
        <v>5</v>
      </c>
      <c r="M567">
        <f t="shared" si="71"/>
        <v>5</v>
      </c>
      <c r="N567">
        <f t="shared" si="72"/>
        <v>25</v>
      </c>
    </row>
    <row r="568" spans="2:16" x14ac:dyDescent="0.3">
      <c r="B568" s="98" t="s">
        <v>1500</v>
      </c>
      <c r="C568" s="99" t="s">
        <v>1501</v>
      </c>
      <c r="D568" s="100">
        <v>45859</v>
      </c>
      <c r="E568" s="98">
        <v>28</v>
      </c>
      <c r="F568" s="101">
        <v>57</v>
      </c>
      <c r="G568" s="100">
        <v>45889</v>
      </c>
      <c r="H568" s="99" t="s">
        <v>423</v>
      </c>
      <c r="I568" s="99" t="s">
        <v>699</v>
      </c>
      <c r="J568" s="99" t="s">
        <v>913</v>
      </c>
      <c r="L568">
        <f t="shared" si="70"/>
        <v>5</v>
      </c>
      <c r="M568">
        <f t="shared" si="71"/>
        <v>4</v>
      </c>
      <c r="N568">
        <f t="shared" si="72"/>
        <v>20</v>
      </c>
      <c r="O568" s="158">
        <f>E568/N568</f>
        <v>1.4</v>
      </c>
      <c r="P568" s="159">
        <f>F568-E568</f>
        <v>29</v>
      </c>
    </row>
    <row r="569" spans="2:16" hidden="1" x14ac:dyDescent="0.3">
      <c r="B569" s="102"/>
      <c r="C569" s="103" t="s">
        <v>1502</v>
      </c>
      <c r="D569" s="103"/>
      <c r="E569" s="102"/>
      <c r="F569" s="105">
        <v>124</v>
      </c>
      <c r="G569" s="103"/>
      <c r="H569" s="103" t="s">
        <v>445</v>
      </c>
      <c r="I569" s="103" t="s">
        <v>443</v>
      </c>
      <c r="J569" s="103" t="s">
        <v>913</v>
      </c>
      <c r="L569">
        <f t="shared" si="70"/>
        <v>10</v>
      </c>
      <c r="M569">
        <f t="shared" si="71"/>
        <v>5</v>
      </c>
      <c r="N569">
        <f t="shared" si="72"/>
        <v>50</v>
      </c>
    </row>
    <row r="570" spans="2:16" hidden="1" x14ac:dyDescent="0.3">
      <c r="B570" s="98"/>
      <c r="C570" s="99" t="s">
        <v>1503</v>
      </c>
      <c r="D570" s="99"/>
      <c r="E570" s="98"/>
      <c r="F570" s="101">
        <v>124</v>
      </c>
      <c r="G570" s="99"/>
      <c r="H570" s="99" t="s">
        <v>445</v>
      </c>
      <c r="I570" s="99" t="s">
        <v>443</v>
      </c>
      <c r="J570" s="99" t="s">
        <v>913</v>
      </c>
      <c r="L570">
        <f t="shared" si="70"/>
        <v>10</v>
      </c>
      <c r="M570">
        <f t="shared" si="71"/>
        <v>5</v>
      </c>
      <c r="N570">
        <f t="shared" si="72"/>
        <v>50</v>
      </c>
    </row>
    <row r="571" spans="2:16" hidden="1" x14ac:dyDescent="0.3">
      <c r="B571" s="102"/>
      <c r="C571" s="103" t="s">
        <v>1504</v>
      </c>
      <c r="D571" s="103"/>
      <c r="E571" s="102"/>
      <c r="F571" s="105">
        <v>124</v>
      </c>
      <c r="G571" s="103"/>
      <c r="H571" s="103" t="s">
        <v>445</v>
      </c>
      <c r="I571" s="103" t="s">
        <v>443</v>
      </c>
      <c r="J571" s="103" t="s">
        <v>913</v>
      </c>
      <c r="L571">
        <f t="shared" si="70"/>
        <v>10</v>
      </c>
      <c r="M571">
        <f t="shared" si="71"/>
        <v>5</v>
      </c>
      <c r="N571">
        <f t="shared" si="72"/>
        <v>50</v>
      </c>
    </row>
    <row r="572" spans="2:16" hidden="1" x14ac:dyDescent="0.3">
      <c r="B572" s="98"/>
      <c r="C572" s="99" t="s">
        <v>1505</v>
      </c>
      <c r="D572" s="99"/>
      <c r="E572" s="98"/>
      <c r="F572" s="101">
        <v>124</v>
      </c>
      <c r="G572" s="99"/>
      <c r="H572" s="99" t="s">
        <v>445</v>
      </c>
      <c r="I572" s="99" t="s">
        <v>443</v>
      </c>
      <c r="J572" s="99" t="s">
        <v>913</v>
      </c>
      <c r="L572">
        <f t="shared" si="70"/>
        <v>10</v>
      </c>
      <c r="M572">
        <f t="shared" si="71"/>
        <v>5</v>
      </c>
      <c r="N572">
        <f t="shared" si="72"/>
        <v>50</v>
      </c>
    </row>
    <row r="573" spans="2:16" hidden="1" x14ac:dyDescent="0.3">
      <c r="B573" s="102"/>
      <c r="C573" s="103" t="s">
        <v>1506</v>
      </c>
      <c r="D573" s="103"/>
      <c r="E573" s="102"/>
      <c r="F573" s="105">
        <v>124</v>
      </c>
      <c r="G573" s="103"/>
      <c r="H573" s="103" t="s">
        <v>445</v>
      </c>
      <c r="I573" s="103" t="s">
        <v>463</v>
      </c>
      <c r="J573" s="103" t="s">
        <v>913</v>
      </c>
      <c r="L573">
        <f t="shared" si="70"/>
        <v>5</v>
      </c>
      <c r="M573">
        <f t="shared" si="71"/>
        <v>10</v>
      </c>
      <c r="N573">
        <f t="shared" si="72"/>
        <v>50</v>
      </c>
    </row>
    <row r="574" spans="2:16" hidden="1" x14ac:dyDescent="0.3">
      <c r="B574" s="98"/>
      <c r="C574" s="99" t="s">
        <v>1507</v>
      </c>
      <c r="D574" s="99"/>
      <c r="E574" s="98"/>
      <c r="F574" s="101">
        <v>75</v>
      </c>
      <c r="G574" s="99"/>
      <c r="H574" s="99" t="s">
        <v>445</v>
      </c>
      <c r="I574" s="99" t="s">
        <v>482</v>
      </c>
      <c r="J574" s="99" t="s">
        <v>913</v>
      </c>
      <c r="L574">
        <f t="shared" si="70"/>
        <v>5</v>
      </c>
      <c r="M574">
        <f t="shared" si="71"/>
        <v>5</v>
      </c>
      <c r="N574">
        <f t="shared" si="72"/>
        <v>25</v>
      </c>
    </row>
    <row r="575" spans="2:16" hidden="1" x14ac:dyDescent="0.3">
      <c r="B575" s="102"/>
      <c r="C575" s="103" t="s">
        <v>1508</v>
      </c>
      <c r="D575" s="103"/>
      <c r="E575" s="102"/>
      <c r="F575" s="105">
        <v>75</v>
      </c>
      <c r="G575" s="103"/>
      <c r="H575" s="103" t="s">
        <v>445</v>
      </c>
      <c r="I575" s="103" t="s">
        <v>482</v>
      </c>
      <c r="J575" s="103" t="s">
        <v>913</v>
      </c>
      <c r="L575">
        <f t="shared" si="70"/>
        <v>5</v>
      </c>
      <c r="M575">
        <f t="shared" si="71"/>
        <v>5</v>
      </c>
      <c r="N575">
        <f t="shared" si="72"/>
        <v>25</v>
      </c>
    </row>
    <row r="576" spans="2:16" hidden="1" x14ac:dyDescent="0.3">
      <c r="B576" s="98"/>
      <c r="C576" s="99" t="s">
        <v>1509</v>
      </c>
      <c r="D576" s="99"/>
      <c r="E576" s="98"/>
      <c r="F576" s="101">
        <v>75</v>
      </c>
      <c r="G576" s="99"/>
      <c r="H576" s="99" t="s">
        <v>445</v>
      </c>
      <c r="I576" s="99" t="s">
        <v>482</v>
      </c>
      <c r="J576" s="99" t="s">
        <v>913</v>
      </c>
      <c r="L576">
        <f t="shared" si="70"/>
        <v>5</v>
      </c>
      <c r="M576">
        <f t="shared" si="71"/>
        <v>5</v>
      </c>
      <c r="N576">
        <f t="shared" si="72"/>
        <v>25</v>
      </c>
    </row>
    <row r="577" spans="2:16" x14ac:dyDescent="0.3">
      <c r="B577" s="102"/>
      <c r="C577" s="103" t="s">
        <v>1510</v>
      </c>
      <c r="D577" s="103"/>
      <c r="E577" s="102"/>
      <c r="F577" s="105">
        <v>75</v>
      </c>
      <c r="G577" s="103"/>
      <c r="H577" s="103" t="s">
        <v>1411</v>
      </c>
      <c r="I577" s="103" t="s">
        <v>482</v>
      </c>
      <c r="J577" s="103" t="s">
        <v>913</v>
      </c>
      <c r="L577">
        <f t="shared" si="70"/>
        <v>5</v>
      </c>
      <c r="M577">
        <f t="shared" si="71"/>
        <v>5</v>
      </c>
      <c r="N577">
        <f t="shared" si="72"/>
        <v>25</v>
      </c>
      <c r="O577" s="158">
        <f>E577/N577</f>
        <v>0</v>
      </c>
      <c r="P577" s="159">
        <f>F577-E577</f>
        <v>75</v>
      </c>
    </row>
    <row r="578" spans="2:16" hidden="1" x14ac:dyDescent="0.3">
      <c r="B578" s="98"/>
      <c r="C578" s="99" t="s">
        <v>1511</v>
      </c>
      <c r="D578" s="99"/>
      <c r="E578" s="98"/>
      <c r="F578" s="101">
        <v>124</v>
      </c>
      <c r="G578" s="99"/>
      <c r="H578" s="99" t="s">
        <v>445</v>
      </c>
      <c r="I578" s="99" t="s">
        <v>443</v>
      </c>
      <c r="J578" s="99" t="s">
        <v>913</v>
      </c>
      <c r="L578">
        <f t="shared" si="70"/>
        <v>10</v>
      </c>
      <c r="M578">
        <f t="shared" si="71"/>
        <v>5</v>
      </c>
      <c r="N578">
        <f t="shared" si="72"/>
        <v>50</v>
      </c>
    </row>
    <row r="579" spans="2:16" hidden="1" x14ac:dyDescent="0.3">
      <c r="B579" s="102"/>
      <c r="C579" s="103" t="s">
        <v>1512</v>
      </c>
      <c r="D579" s="103"/>
      <c r="E579" s="102"/>
      <c r="F579" s="105">
        <v>124</v>
      </c>
      <c r="G579" s="103"/>
      <c r="H579" s="103" t="s">
        <v>445</v>
      </c>
      <c r="I579" s="103" t="s">
        <v>443</v>
      </c>
      <c r="J579" s="103" t="s">
        <v>913</v>
      </c>
      <c r="L579">
        <f t="shared" si="70"/>
        <v>10</v>
      </c>
      <c r="M579">
        <f t="shared" si="71"/>
        <v>5</v>
      </c>
      <c r="N579">
        <f t="shared" si="72"/>
        <v>50</v>
      </c>
    </row>
    <row r="580" spans="2:16" x14ac:dyDescent="0.3">
      <c r="B580" s="98"/>
      <c r="C580" s="99" t="s">
        <v>1513</v>
      </c>
      <c r="D580" s="99"/>
      <c r="E580" s="98"/>
      <c r="F580" s="101">
        <v>75</v>
      </c>
      <c r="G580" s="99"/>
      <c r="H580" s="99" t="s">
        <v>1411</v>
      </c>
      <c r="I580" s="99" t="s">
        <v>482</v>
      </c>
      <c r="J580" s="99" t="s">
        <v>913</v>
      </c>
      <c r="L580">
        <f t="shared" si="70"/>
        <v>5</v>
      </c>
      <c r="M580">
        <f t="shared" si="71"/>
        <v>5</v>
      </c>
      <c r="N580">
        <f t="shared" si="72"/>
        <v>25</v>
      </c>
      <c r="O580" s="158">
        <f t="shared" ref="O580:O581" si="79">E580/N580</f>
        <v>0</v>
      </c>
      <c r="P580" s="159">
        <f t="shared" ref="P580:P581" si="80">F580-E580</f>
        <v>75</v>
      </c>
    </row>
    <row r="581" spans="2:16" x14ac:dyDescent="0.3">
      <c r="B581" s="102" t="s">
        <v>1514</v>
      </c>
      <c r="C581" s="103" t="s">
        <v>1515</v>
      </c>
      <c r="D581" s="104">
        <v>45868</v>
      </c>
      <c r="E581" s="102">
        <v>48</v>
      </c>
      <c r="F581" s="105">
        <v>92</v>
      </c>
      <c r="G581" s="104">
        <v>45898</v>
      </c>
      <c r="H581" s="103" t="s">
        <v>423</v>
      </c>
      <c r="I581" s="103" t="s">
        <v>1516</v>
      </c>
      <c r="J581" s="103" t="s">
        <v>1517</v>
      </c>
      <c r="L581">
        <f t="shared" si="70"/>
        <v>8</v>
      </c>
      <c r="M581">
        <f t="shared" si="71"/>
        <v>19</v>
      </c>
      <c r="N581">
        <f t="shared" si="72"/>
        <v>152</v>
      </c>
      <c r="O581" s="158">
        <f t="shared" si="79"/>
        <v>0.31578947368421051</v>
      </c>
      <c r="P581" s="159">
        <f t="shared" si="80"/>
        <v>44</v>
      </c>
    </row>
    <row r="582" spans="2:16" hidden="1" x14ac:dyDescent="0.3">
      <c r="B582" s="98"/>
      <c r="C582" s="99" t="s">
        <v>1518</v>
      </c>
      <c r="D582" s="99"/>
      <c r="E582" s="98"/>
      <c r="F582" s="101">
        <v>92</v>
      </c>
      <c r="G582" s="99"/>
      <c r="H582" s="99" t="s">
        <v>445</v>
      </c>
      <c r="I582" s="99" t="s">
        <v>1516</v>
      </c>
      <c r="J582" s="99" t="s">
        <v>1517</v>
      </c>
      <c r="L582">
        <f t="shared" si="70"/>
        <v>8</v>
      </c>
      <c r="M582">
        <f t="shared" si="71"/>
        <v>19</v>
      </c>
      <c r="N582">
        <f t="shared" si="72"/>
        <v>152</v>
      </c>
    </row>
    <row r="583" spans="2:16" hidden="1" x14ac:dyDescent="0.3">
      <c r="B583" s="102"/>
      <c r="C583" s="103" t="s">
        <v>1519</v>
      </c>
      <c r="D583" s="103"/>
      <c r="E583" s="102"/>
      <c r="F583" s="105">
        <v>92</v>
      </c>
      <c r="G583" s="103"/>
      <c r="H583" s="103" t="s">
        <v>445</v>
      </c>
      <c r="I583" s="103" t="s">
        <v>1516</v>
      </c>
      <c r="J583" s="103" t="s">
        <v>1517</v>
      </c>
      <c r="L583">
        <f t="shared" ref="L583:L602" si="81">--LEFT(I583,FIND("X",I583)-1)</f>
        <v>8</v>
      </c>
      <c r="M583">
        <f t="shared" ref="M583:M602" si="82">--RIGHT(I583,LEN(I583)-FIND("X",I583))</f>
        <v>19</v>
      </c>
      <c r="N583">
        <f t="shared" ref="N583:N602" si="83">L583*M583</f>
        <v>152</v>
      </c>
    </row>
    <row r="584" spans="2:16" hidden="1" x14ac:dyDescent="0.3">
      <c r="B584" s="98"/>
      <c r="C584" s="99" t="s">
        <v>1520</v>
      </c>
      <c r="D584" s="99"/>
      <c r="E584" s="98"/>
      <c r="F584" s="101">
        <v>92</v>
      </c>
      <c r="G584" s="99"/>
      <c r="H584" s="99" t="s">
        <v>445</v>
      </c>
      <c r="I584" s="99" t="s">
        <v>1516</v>
      </c>
      <c r="J584" s="99" t="s">
        <v>1517</v>
      </c>
      <c r="L584">
        <f t="shared" si="81"/>
        <v>8</v>
      </c>
      <c r="M584">
        <f t="shared" si="82"/>
        <v>19</v>
      </c>
      <c r="N584">
        <f t="shared" si="83"/>
        <v>152</v>
      </c>
    </row>
    <row r="585" spans="2:16" x14ac:dyDescent="0.3">
      <c r="B585" s="102" t="s">
        <v>1521</v>
      </c>
      <c r="C585" s="103" t="s">
        <v>1522</v>
      </c>
      <c r="D585" s="104">
        <v>45848</v>
      </c>
      <c r="E585" s="102">
        <v>65</v>
      </c>
      <c r="F585" s="105">
        <v>126</v>
      </c>
      <c r="G585" s="104">
        <v>45884</v>
      </c>
      <c r="H585" s="103" t="s">
        <v>423</v>
      </c>
      <c r="I585" s="103" t="s">
        <v>1523</v>
      </c>
      <c r="J585" s="103" t="s">
        <v>1517</v>
      </c>
      <c r="L585">
        <f t="shared" si="81"/>
        <v>9</v>
      </c>
      <c r="M585">
        <f t="shared" si="82"/>
        <v>19</v>
      </c>
      <c r="N585">
        <f t="shared" si="83"/>
        <v>171</v>
      </c>
      <c r="O585" s="158">
        <f>E585/N585</f>
        <v>0.38011695906432746</v>
      </c>
      <c r="P585" s="159">
        <f>F585-E585</f>
        <v>61</v>
      </c>
    </row>
    <row r="586" spans="2:16" hidden="1" x14ac:dyDescent="0.3">
      <c r="B586" s="98"/>
      <c r="C586" s="99" t="s">
        <v>1524</v>
      </c>
      <c r="D586" s="99"/>
      <c r="E586" s="98"/>
      <c r="F586" s="101">
        <v>126</v>
      </c>
      <c r="G586" s="99"/>
      <c r="H586" s="99" t="s">
        <v>445</v>
      </c>
      <c r="I586" s="99" t="s">
        <v>1523</v>
      </c>
      <c r="J586" s="99" t="s">
        <v>1517</v>
      </c>
      <c r="L586">
        <f t="shared" si="81"/>
        <v>9</v>
      </c>
      <c r="M586">
        <f t="shared" si="82"/>
        <v>19</v>
      </c>
      <c r="N586">
        <f t="shared" si="83"/>
        <v>171</v>
      </c>
    </row>
    <row r="587" spans="2:16" hidden="1" x14ac:dyDescent="0.3">
      <c r="B587" s="102"/>
      <c r="C587" s="103" t="s">
        <v>1525</v>
      </c>
      <c r="D587" s="103"/>
      <c r="E587" s="102"/>
      <c r="F587" s="105">
        <v>126</v>
      </c>
      <c r="G587" s="103"/>
      <c r="H587" s="103" t="s">
        <v>445</v>
      </c>
      <c r="I587" s="103" t="s">
        <v>1523</v>
      </c>
      <c r="J587" s="103" t="s">
        <v>1517</v>
      </c>
      <c r="L587">
        <f t="shared" si="81"/>
        <v>9</v>
      </c>
      <c r="M587">
        <f t="shared" si="82"/>
        <v>19</v>
      </c>
      <c r="N587">
        <f t="shared" si="83"/>
        <v>171</v>
      </c>
    </row>
    <row r="588" spans="2:16" x14ac:dyDescent="0.3">
      <c r="B588" s="98" t="s">
        <v>1526</v>
      </c>
      <c r="C588" s="99" t="s">
        <v>1527</v>
      </c>
      <c r="D588" s="100">
        <v>45867</v>
      </c>
      <c r="E588" s="98">
        <v>48</v>
      </c>
      <c r="F588" s="101">
        <v>92</v>
      </c>
      <c r="G588" s="100">
        <v>45898</v>
      </c>
      <c r="H588" s="99" t="s">
        <v>423</v>
      </c>
      <c r="I588" s="99" t="s">
        <v>1516</v>
      </c>
      <c r="J588" s="99" t="s">
        <v>1517</v>
      </c>
      <c r="L588">
        <f t="shared" si="81"/>
        <v>8</v>
      </c>
      <c r="M588">
        <f t="shared" si="82"/>
        <v>19</v>
      </c>
      <c r="N588">
        <f t="shared" si="83"/>
        <v>152</v>
      </c>
      <c r="O588" s="158">
        <f>E588/N588</f>
        <v>0.31578947368421051</v>
      </c>
      <c r="P588" s="159">
        <f>F588-E588</f>
        <v>44</v>
      </c>
    </row>
    <row r="589" spans="2:16" hidden="1" x14ac:dyDescent="0.3">
      <c r="B589" s="102"/>
      <c r="C589" s="103" t="s">
        <v>1528</v>
      </c>
      <c r="D589" s="103"/>
      <c r="E589" s="102"/>
      <c r="F589" s="105">
        <v>126</v>
      </c>
      <c r="G589" s="103"/>
      <c r="H589" s="103" t="s">
        <v>445</v>
      </c>
      <c r="I589" s="103" t="s">
        <v>1523</v>
      </c>
      <c r="J589" s="103" t="s">
        <v>1517</v>
      </c>
      <c r="L589">
        <f t="shared" si="81"/>
        <v>9</v>
      </c>
      <c r="M589">
        <f t="shared" si="82"/>
        <v>19</v>
      </c>
      <c r="N589">
        <f t="shared" si="83"/>
        <v>171</v>
      </c>
    </row>
    <row r="590" spans="2:16" hidden="1" x14ac:dyDescent="0.3">
      <c r="B590" s="98"/>
      <c r="C590" s="99" t="s">
        <v>1529</v>
      </c>
      <c r="D590" s="99"/>
      <c r="E590" s="98"/>
      <c r="F590" s="101">
        <v>126</v>
      </c>
      <c r="G590" s="99"/>
      <c r="H590" s="99" t="s">
        <v>445</v>
      </c>
      <c r="I590" s="99" t="s">
        <v>1523</v>
      </c>
      <c r="J590" s="99" t="s">
        <v>1517</v>
      </c>
      <c r="L590">
        <f t="shared" si="81"/>
        <v>9</v>
      </c>
      <c r="M590">
        <f t="shared" si="82"/>
        <v>19</v>
      </c>
      <c r="N590">
        <f t="shared" si="83"/>
        <v>171</v>
      </c>
    </row>
    <row r="591" spans="2:16" hidden="1" x14ac:dyDescent="0.3">
      <c r="B591" s="102"/>
      <c r="C591" s="103" t="s">
        <v>1530</v>
      </c>
      <c r="D591" s="103"/>
      <c r="E591" s="102"/>
      <c r="F591" s="105">
        <v>126</v>
      </c>
      <c r="G591" s="103"/>
      <c r="H591" s="103" t="s">
        <v>445</v>
      </c>
      <c r="I591" s="103" t="s">
        <v>1523</v>
      </c>
      <c r="J591" s="103" t="s">
        <v>1517</v>
      </c>
      <c r="L591">
        <f t="shared" si="81"/>
        <v>9</v>
      </c>
      <c r="M591">
        <f t="shared" si="82"/>
        <v>19</v>
      </c>
      <c r="N591">
        <f t="shared" si="83"/>
        <v>171</v>
      </c>
    </row>
    <row r="592" spans="2:16" hidden="1" x14ac:dyDescent="0.3">
      <c r="B592" s="98" t="s">
        <v>1531</v>
      </c>
      <c r="C592" s="99" t="s">
        <v>1532</v>
      </c>
      <c r="D592" s="100">
        <v>45402</v>
      </c>
      <c r="E592" s="98">
        <v>242</v>
      </c>
      <c r="F592" s="101">
        <v>111</v>
      </c>
      <c r="G592" s="100">
        <v>45894</v>
      </c>
      <c r="H592" s="99" t="s">
        <v>423</v>
      </c>
      <c r="I592" s="99" t="s">
        <v>1533</v>
      </c>
      <c r="J592" s="99" t="s">
        <v>1517</v>
      </c>
      <c r="L592">
        <f t="shared" si="81"/>
        <v>8</v>
      </c>
      <c r="M592">
        <f t="shared" si="82"/>
        <v>18</v>
      </c>
      <c r="N592">
        <f t="shared" si="83"/>
        <v>144</v>
      </c>
      <c r="O592" s="158">
        <f>E592/N592</f>
        <v>1.6805555555555556</v>
      </c>
      <c r="P592" s="159">
        <f>F592-E592</f>
        <v>-131</v>
      </c>
    </row>
    <row r="593" spans="2:16" hidden="1" x14ac:dyDescent="0.3">
      <c r="B593" s="102"/>
      <c r="C593" s="103" t="s">
        <v>1534</v>
      </c>
      <c r="D593" s="103"/>
      <c r="E593" s="102"/>
      <c r="F593" s="105">
        <v>111</v>
      </c>
      <c r="G593" s="103"/>
      <c r="H593" s="103" t="s">
        <v>445</v>
      </c>
      <c r="I593" s="103" t="s">
        <v>1533</v>
      </c>
      <c r="J593" s="103" t="s">
        <v>1517</v>
      </c>
      <c r="L593">
        <f t="shared" si="81"/>
        <v>8</v>
      </c>
      <c r="M593">
        <f t="shared" si="82"/>
        <v>18</v>
      </c>
      <c r="N593">
        <f t="shared" si="83"/>
        <v>144</v>
      </c>
    </row>
    <row r="594" spans="2:16" hidden="1" x14ac:dyDescent="0.3">
      <c r="B594" s="98"/>
      <c r="C594" s="99" t="s">
        <v>1535</v>
      </c>
      <c r="D594" s="99"/>
      <c r="E594" s="98"/>
      <c r="F594" s="101">
        <v>92</v>
      </c>
      <c r="G594" s="99"/>
      <c r="H594" s="99" t="s">
        <v>445</v>
      </c>
      <c r="I594" s="99" t="s">
        <v>1516</v>
      </c>
      <c r="J594" s="99" t="s">
        <v>1517</v>
      </c>
      <c r="L594">
        <f t="shared" si="81"/>
        <v>8</v>
      </c>
      <c r="M594">
        <f t="shared" si="82"/>
        <v>19</v>
      </c>
      <c r="N594">
        <f t="shared" si="83"/>
        <v>152</v>
      </c>
    </row>
    <row r="595" spans="2:16" hidden="1" x14ac:dyDescent="0.3">
      <c r="B595" s="102" t="s">
        <v>1536</v>
      </c>
      <c r="C595" s="103" t="s">
        <v>1537</v>
      </c>
      <c r="D595" s="104">
        <v>45860</v>
      </c>
      <c r="E595" s="102">
        <v>111</v>
      </c>
      <c r="F595" s="105">
        <v>111</v>
      </c>
      <c r="G595" s="104">
        <v>45890</v>
      </c>
      <c r="H595" s="103" t="s">
        <v>423</v>
      </c>
      <c r="I595" s="103" t="s">
        <v>1533</v>
      </c>
      <c r="J595" s="103" t="s">
        <v>1517</v>
      </c>
      <c r="L595">
        <f t="shared" si="81"/>
        <v>8</v>
      </c>
      <c r="M595">
        <f t="shared" si="82"/>
        <v>18</v>
      </c>
      <c r="N595">
        <f t="shared" si="83"/>
        <v>144</v>
      </c>
      <c r="O595" s="158">
        <f>E595/N595</f>
        <v>0.77083333333333337</v>
      </c>
      <c r="P595" s="159">
        <f>F595-E595</f>
        <v>0</v>
      </c>
    </row>
    <row r="596" spans="2:16" hidden="1" x14ac:dyDescent="0.3">
      <c r="B596" s="98"/>
      <c r="C596" s="99" t="s">
        <v>1538</v>
      </c>
      <c r="D596" s="99"/>
      <c r="E596" s="98"/>
      <c r="F596" s="101">
        <v>111</v>
      </c>
      <c r="G596" s="99"/>
      <c r="H596" s="99" t="s">
        <v>445</v>
      </c>
      <c r="I596" s="99" t="s">
        <v>1533</v>
      </c>
      <c r="J596" s="99" t="s">
        <v>1517</v>
      </c>
      <c r="L596">
        <f t="shared" si="81"/>
        <v>8</v>
      </c>
      <c r="M596">
        <f t="shared" si="82"/>
        <v>18</v>
      </c>
      <c r="N596">
        <f t="shared" si="83"/>
        <v>144</v>
      </c>
    </row>
    <row r="597" spans="2:16" hidden="1" x14ac:dyDescent="0.3">
      <c r="B597" s="102"/>
      <c r="C597" s="103" t="s">
        <v>1539</v>
      </c>
      <c r="D597" s="103"/>
      <c r="E597" s="102"/>
      <c r="F597" s="105">
        <v>111</v>
      </c>
      <c r="G597" s="103"/>
      <c r="H597" s="103" t="s">
        <v>445</v>
      </c>
      <c r="I597" s="103" t="s">
        <v>1533</v>
      </c>
      <c r="J597" s="103" t="s">
        <v>1517</v>
      </c>
      <c r="L597">
        <f t="shared" si="81"/>
        <v>8</v>
      </c>
      <c r="M597">
        <f t="shared" si="82"/>
        <v>18</v>
      </c>
      <c r="N597">
        <f t="shared" si="83"/>
        <v>144</v>
      </c>
    </row>
    <row r="598" spans="2:16" x14ac:dyDescent="0.3">
      <c r="B598" s="98" t="s">
        <v>1540</v>
      </c>
      <c r="C598" s="99" t="s">
        <v>1541</v>
      </c>
      <c r="D598" s="100">
        <v>45848</v>
      </c>
      <c r="E598" s="98">
        <v>59</v>
      </c>
      <c r="F598" s="101">
        <v>92</v>
      </c>
      <c r="G598" s="100">
        <v>45878</v>
      </c>
      <c r="H598" s="99" t="s">
        <v>423</v>
      </c>
      <c r="I598" s="99" t="s">
        <v>1516</v>
      </c>
      <c r="J598" s="99" t="s">
        <v>1517</v>
      </c>
      <c r="L598">
        <f t="shared" si="81"/>
        <v>8</v>
      </c>
      <c r="M598">
        <f t="shared" si="82"/>
        <v>19</v>
      </c>
      <c r="N598">
        <f t="shared" si="83"/>
        <v>152</v>
      </c>
      <c r="O598" s="158">
        <f>E598/N598</f>
        <v>0.38815789473684209</v>
      </c>
      <c r="P598" s="159">
        <f>F598-E598</f>
        <v>33</v>
      </c>
    </row>
    <row r="599" spans="2:16" hidden="1" x14ac:dyDescent="0.3">
      <c r="B599" s="102"/>
      <c r="C599" s="103" t="s">
        <v>1542</v>
      </c>
      <c r="D599" s="103"/>
      <c r="E599" s="102"/>
      <c r="F599" s="105">
        <v>111</v>
      </c>
      <c r="G599" s="103"/>
      <c r="H599" s="103" t="s">
        <v>445</v>
      </c>
      <c r="I599" s="103" t="s">
        <v>1533</v>
      </c>
      <c r="J599" s="103" t="s">
        <v>1517</v>
      </c>
      <c r="L599">
        <f t="shared" si="81"/>
        <v>8</v>
      </c>
      <c r="M599">
        <f t="shared" si="82"/>
        <v>18</v>
      </c>
      <c r="N599">
        <f t="shared" si="83"/>
        <v>144</v>
      </c>
    </row>
    <row r="600" spans="2:16" hidden="1" x14ac:dyDescent="0.3">
      <c r="B600" s="98" t="s">
        <v>1543</v>
      </c>
      <c r="C600" s="99" t="s">
        <v>1544</v>
      </c>
      <c r="D600" s="100">
        <v>45300</v>
      </c>
      <c r="E600" s="98">
        <v>177</v>
      </c>
      <c r="F600" s="101">
        <v>111</v>
      </c>
      <c r="G600" s="100">
        <v>45878</v>
      </c>
      <c r="H600" s="99" t="s">
        <v>423</v>
      </c>
      <c r="I600" s="99" t="s">
        <v>1533</v>
      </c>
      <c r="J600" s="99" t="s">
        <v>1517</v>
      </c>
      <c r="L600">
        <f t="shared" si="81"/>
        <v>8</v>
      </c>
      <c r="M600">
        <f t="shared" si="82"/>
        <v>18</v>
      </c>
      <c r="N600">
        <f t="shared" si="83"/>
        <v>144</v>
      </c>
      <c r="O600" s="158">
        <f>E600/N600</f>
        <v>1.2291666666666667</v>
      </c>
      <c r="P600" s="159">
        <f>F600-E600</f>
        <v>-66</v>
      </c>
    </row>
    <row r="601" spans="2:16" hidden="1" x14ac:dyDescent="0.3">
      <c r="B601" s="102"/>
      <c r="C601" s="103" t="s">
        <v>1545</v>
      </c>
      <c r="D601" s="103"/>
      <c r="E601" s="102"/>
      <c r="F601" s="105">
        <v>111</v>
      </c>
      <c r="G601" s="103"/>
      <c r="H601" s="103" t="s">
        <v>445</v>
      </c>
      <c r="I601" s="103" t="s">
        <v>1533</v>
      </c>
      <c r="J601" s="103" t="s">
        <v>1517</v>
      </c>
      <c r="L601">
        <f t="shared" si="81"/>
        <v>8</v>
      </c>
      <c r="M601">
        <f t="shared" si="82"/>
        <v>18</v>
      </c>
      <c r="N601">
        <f t="shared" si="83"/>
        <v>144</v>
      </c>
    </row>
    <row r="602" spans="2:16" hidden="1" x14ac:dyDescent="0.3">
      <c r="B602" s="98"/>
      <c r="C602" s="99" t="s">
        <v>1546</v>
      </c>
      <c r="D602" s="99"/>
      <c r="E602" s="98"/>
      <c r="F602" s="101">
        <v>111</v>
      </c>
      <c r="G602" s="99"/>
      <c r="H602" s="99" t="s">
        <v>445</v>
      </c>
      <c r="I602" s="99" t="s">
        <v>1533</v>
      </c>
      <c r="J602" s="99" t="s">
        <v>1517</v>
      </c>
      <c r="L602">
        <f t="shared" si="81"/>
        <v>8</v>
      </c>
      <c r="M602">
        <f t="shared" si="82"/>
        <v>18</v>
      </c>
      <c r="N602">
        <f t="shared" si="83"/>
        <v>144</v>
      </c>
    </row>
  </sheetData>
  <autoFilter ref="B5:Q602" xr:uid="{00000000-0001-0000-0D00-000000000000}">
    <filterColumn colId="6">
      <filters>
        <filter val="Current"/>
        <filter val="Delinquent"/>
        <filter val="Rented"/>
        <filter val="Reserved"/>
      </filters>
    </filterColumn>
    <filterColumn colId="14">
      <customFilters>
        <customFilter operator="greaterThan" val="0"/>
      </customFilters>
    </filterColumn>
  </autoFilter>
  <mergeCells count="3">
    <mergeCell ref="C2:I2"/>
    <mergeCell ref="C3:I3"/>
    <mergeCell ref="C4:G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58"/>
  <sheetViews>
    <sheetView showGridLines="0" workbookViewId="0"/>
  </sheetViews>
  <sheetFormatPr defaultRowHeight="14.4" x14ac:dyDescent="0.3"/>
  <cols>
    <col min="1" max="1" width="2.44140625" customWidth="1"/>
    <col min="2" max="2" width="21.33203125" customWidth="1"/>
    <col min="3" max="14" width="10.33203125" customWidth="1"/>
    <col min="15" max="15" width="0" hidden="1" customWidth="1"/>
    <col min="16" max="16" width="85" customWidth="1"/>
  </cols>
  <sheetData>
    <row r="1" spans="2:14" ht="6.75" customHeight="1" x14ac:dyDescent="0.3"/>
    <row r="2" spans="2:14" ht="18" customHeight="1" x14ac:dyDescent="0.3">
      <c r="C2" s="121" t="s">
        <v>1547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2:14" ht="15" x14ac:dyDescent="0.3">
      <c r="B3" s="106" t="s">
        <v>4</v>
      </c>
      <c r="C3" s="127" t="s">
        <v>2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2:14" ht="27" x14ac:dyDescent="0.3">
      <c r="B4" s="107" t="s">
        <v>1548</v>
      </c>
      <c r="C4" s="107" t="s">
        <v>1549</v>
      </c>
      <c r="D4" s="107" t="s">
        <v>88</v>
      </c>
      <c r="E4" s="107" t="s">
        <v>1550</v>
      </c>
      <c r="F4" s="107" t="s">
        <v>1551</v>
      </c>
      <c r="G4" s="107" t="s">
        <v>1552</v>
      </c>
      <c r="H4" s="107" t="s">
        <v>1553</v>
      </c>
      <c r="I4" s="107" t="s">
        <v>1554</v>
      </c>
      <c r="J4" s="107" t="s">
        <v>1555</v>
      </c>
      <c r="K4" s="107" t="s">
        <v>1556</v>
      </c>
      <c r="L4" s="107" t="s">
        <v>183</v>
      </c>
      <c r="M4" s="107" t="s">
        <v>1557</v>
      </c>
      <c r="N4" s="107" t="s">
        <v>1558</v>
      </c>
    </row>
    <row r="5" spans="2:14" x14ac:dyDescent="0.3">
      <c r="B5" s="95" t="s">
        <v>146</v>
      </c>
      <c r="C5" s="108">
        <v>20</v>
      </c>
      <c r="D5" s="109">
        <v>8</v>
      </c>
      <c r="E5" s="110">
        <v>160</v>
      </c>
      <c r="F5" s="111">
        <v>8</v>
      </c>
      <c r="G5" s="111">
        <v>0</v>
      </c>
      <c r="H5" s="111">
        <v>0</v>
      </c>
      <c r="I5" s="111">
        <v>0</v>
      </c>
      <c r="J5" s="111">
        <v>0</v>
      </c>
      <c r="K5" s="110">
        <v>160</v>
      </c>
      <c r="L5" s="110">
        <v>71</v>
      </c>
      <c r="M5" s="110">
        <v>568</v>
      </c>
      <c r="N5" s="110">
        <v>665.75</v>
      </c>
    </row>
    <row r="6" spans="2:14" x14ac:dyDescent="0.3">
      <c r="B6" s="7" t="s">
        <v>148</v>
      </c>
      <c r="C6" s="112">
        <v>20</v>
      </c>
      <c r="D6" s="113">
        <v>9</v>
      </c>
      <c r="E6" s="114">
        <v>180</v>
      </c>
      <c r="F6" s="115">
        <v>9</v>
      </c>
      <c r="G6" s="115">
        <v>0</v>
      </c>
      <c r="H6" s="115">
        <v>0</v>
      </c>
      <c r="I6" s="115">
        <v>0</v>
      </c>
      <c r="J6" s="115">
        <v>0</v>
      </c>
      <c r="K6" s="114">
        <v>180</v>
      </c>
      <c r="L6" s="114">
        <v>57</v>
      </c>
      <c r="M6" s="114">
        <v>513</v>
      </c>
      <c r="N6" s="114">
        <v>632</v>
      </c>
    </row>
    <row r="7" spans="2:14" x14ac:dyDescent="0.3">
      <c r="B7" s="95" t="s">
        <v>149</v>
      </c>
      <c r="C7" s="108">
        <v>25</v>
      </c>
      <c r="D7" s="109">
        <v>27</v>
      </c>
      <c r="E7" s="110">
        <v>675</v>
      </c>
      <c r="F7" s="111">
        <v>24</v>
      </c>
      <c r="G7" s="111">
        <v>3</v>
      </c>
      <c r="H7" s="111">
        <v>0</v>
      </c>
      <c r="I7" s="111">
        <v>0</v>
      </c>
      <c r="J7" s="111">
        <v>0</v>
      </c>
      <c r="K7" s="110">
        <v>600</v>
      </c>
      <c r="L7" s="110">
        <v>83</v>
      </c>
      <c r="M7" s="110">
        <v>2241</v>
      </c>
      <c r="N7" s="110">
        <v>2283</v>
      </c>
    </row>
    <row r="8" spans="2:14" x14ac:dyDescent="0.3">
      <c r="B8" s="7" t="s">
        <v>150</v>
      </c>
      <c r="C8" s="112">
        <v>25</v>
      </c>
      <c r="D8" s="113">
        <v>71</v>
      </c>
      <c r="E8" s="114">
        <v>1775</v>
      </c>
      <c r="F8" s="115">
        <v>40</v>
      </c>
      <c r="G8" s="115">
        <v>28</v>
      </c>
      <c r="H8" s="115">
        <v>3</v>
      </c>
      <c r="I8" s="115">
        <v>0</v>
      </c>
      <c r="J8" s="115">
        <v>0</v>
      </c>
      <c r="K8" s="114">
        <v>1000</v>
      </c>
      <c r="L8" s="114">
        <v>75</v>
      </c>
      <c r="M8" s="114">
        <v>5325</v>
      </c>
      <c r="N8" s="114">
        <v>3556.2</v>
      </c>
    </row>
    <row r="9" spans="2:14" x14ac:dyDescent="0.3">
      <c r="B9" s="95" t="s">
        <v>152</v>
      </c>
      <c r="C9" s="108">
        <v>30</v>
      </c>
      <c r="D9" s="109">
        <v>2</v>
      </c>
      <c r="E9" s="110">
        <v>60</v>
      </c>
      <c r="F9" s="111">
        <v>2</v>
      </c>
      <c r="G9" s="111">
        <v>0</v>
      </c>
      <c r="H9" s="111">
        <v>0</v>
      </c>
      <c r="I9" s="111">
        <v>0</v>
      </c>
      <c r="J9" s="111">
        <v>0</v>
      </c>
      <c r="K9" s="110">
        <v>60</v>
      </c>
      <c r="L9" s="110">
        <v>85</v>
      </c>
      <c r="M9" s="110">
        <v>170</v>
      </c>
      <c r="N9" s="110">
        <v>215</v>
      </c>
    </row>
    <row r="10" spans="2:14" x14ac:dyDescent="0.3">
      <c r="B10" s="7" t="s">
        <v>140</v>
      </c>
      <c r="C10" s="112">
        <v>50</v>
      </c>
      <c r="D10" s="113">
        <v>9</v>
      </c>
      <c r="E10" s="114">
        <v>450</v>
      </c>
      <c r="F10" s="115">
        <v>9</v>
      </c>
      <c r="G10" s="115">
        <v>0</v>
      </c>
      <c r="H10" s="115">
        <v>0</v>
      </c>
      <c r="I10" s="115">
        <v>0</v>
      </c>
      <c r="J10" s="115">
        <v>0</v>
      </c>
      <c r="K10" s="114">
        <v>450</v>
      </c>
      <c r="L10" s="114">
        <v>139</v>
      </c>
      <c r="M10" s="114">
        <v>1251</v>
      </c>
      <c r="N10" s="114">
        <v>1158</v>
      </c>
    </row>
    <row r="11" spans="2:14" x14ac:dyDescent="0.3">
      <c r="B11" s="95" t="s">
        <v>141</v>
      </c>
      <c r="C11" s="108">
        <v>50</v>
      </c>
      <c r="D11" s="109">
        <v>16</v>
      </c>
      <c r="E11" s="110">
        <v>800</v>
      </c>
      <c r="F11" s="111">
        <v>13</v>
      </c>
      <c r="G11" s="111">
        <v>3</v>
      </c>
      <c r="H11" s="111">
        <v>0</v>
      </c>
      <c r="I11" s="111">
        <v>0</v>
      </c>
      <c r="J11" s="111">
        <v>0</v>
      </c>
      <c r="K11" s="110">
        <v>650</v>
      </c>
      <c r="L11" s="110">
        <v>124</v>
      </c>
      <c r="M11" s="110">
        <v>1984</v>
      </c>
      <c r="N11" s="110">
        <v>1360.4</v>
      </c>
    </row>
    <row r="12" spans="2:14" x14ac:dyDescent="0.3">
      <c r="B12" s="7" t="s">
        <v>142</v>
      </c>
      <c r="C12" s="112">
        <v>55</v>
      </c>
      <c r="D12" s="113">
        <v>2</v>
      </c>
      <c r="E12" s="114">
        <v>110</v>
      </c>
      <c r="F12" s="115">
        <v>2</v>
      </c>
      <c r="G12" s="115">
        <v>0</v>
      </c>
      <c r="H12" s="115">
        <v>0</v>
      </c>
      <c r="I12" s="115">
        <v>0</v>
      </c>
      <c r="J12" s="115">
        <v>0</v>
      </c>
      <c r="K12" s="114">
        <v>110</v>
      </c>
      <c r="L12" s="114">
        <v>149</v>
      </c>
      <c r="M12" s="114">
        <v>298</v>
      </c>
      <c r="N12" s="114">
        <v>345</v>
      </c>
    </row>
    <row r="13" spans="2:14" x14ac:dyDescent="0.3">
      <c r="B13" s="95" t="s">
        <v>143</v>
      </c>
      <c r="C13" s="108">
        <v>75</v>
      </c>
      <c r="D13" s="109">
        <v>18</v>
      </c>
      <c r="E13" s="110">
        <v>1350</v>
      </c>
      <c r="F13" s="111">
        <v>14</v>
      </c>
      <c r="G13" s="111">
        <v>4</v>
      </c>
      <c r="H13" s="111">
        <v>0</v>
      </c>
      <c r="I13" s="111">
        <v>0</v>
      </c>
      <c r="J13" s="111">
        <v>0</v>
      </c>
      <c r="K13" s="110">
        <v>1050</v>
      </c>
      <c r="L13" s="110">
        <v>187</v>
      </c>
      <c r="M13" s="110">
        <v>3366</v>
      </c>
      <c r="N13" s="110">
        <v>2597</v>
      </c>
    </row>
    <row r="14" spans="2:14" x14ac:dyDescent="0.3">
      <c r="B14" s="7" t="s">
        <v>144</v>
      </c>
      <c r="C14" s="112">
        <v>75</v>
      </c>
      <c r="D14" s="113">
        <v>33</v>
      </c>
      <c r="E14" s="114">
        <v>2475</v>
      </c>
      <c r="F14" s="115">
        <v>32</v>
      </c>
      <c r="G14" s="115">
        <v>1</v>
      </c>
      <c r="H14" s="115">
        <v>0</v>
      </c>
      <c r="I14" s="115">
        <v>0</v>
      </c>
      <c r="J14" s="115">
        <v>0</v>
      </c>
      <c r="K14" s="114">
        <v>2400</v>
      </c>
      <c r="L14" s="114">
        <v>168</v>
      </c>
      <c r="M14" s="114">
        <v>5544</v>
      </c>
      <c r="N14" s="114">
        <v>5141.45</v>
      </c>
    </row>
    <row r="15" spans="2:14" x14ac:dyDescent="0.3">
      <c r="B15" s="95" t="s">
        <v>153</v>
      </c>
      <c r="C15" s="108">
        <v>30</v>
      </c>
      <c r="D15" s="109">
        <v>1</v>
      </c>
      <c r="E15" s="110">
        <v>30</v>
      </c>
      <c r="F15" s="111">
        <v>1</v>
      </c>
      <c r="G15" s="111">
        <v>0</v>
      </c>
      <c r="H15" s="111">
        <v>0</v>
      </c>
      <c r="I15" s="111">
        <v>0</v>
      </c>
      <c r="J15" s="111">
        <v>0</v>
      </c>
      <c r="K15" s="110">
        <v>30</v>
      </c>
      <c r="L15" s="110">
        <v>95</v>
      </c>
      <c r="M15" s="110">
        <v>95</v>
      </c>
      <c r="N15" s="110">
        <v>139</v>
      </c>
    </row>
    <row r="16" spans="2:14" x14ac:dyDescent="0.3">
      <c r="B16" s="7" t="s">
        <v>156</v>
      </c>
      <c r="C16" s="112">
        <v>144</v>
      </c>
      <c r="D16" s="113">
        <v>9</v>
      </c>
      <c r="E16" s="114">
        <v>1296</v>
      </c>
      <c r="F16" s="115">
        <v>3</v>
      </c>
      <c r="G16" s="115">
        <v>6</v>
      </c>
      <c r="H16" s="115">
        <v>0</v>
      </c>
      <c r="I16" s="115">
        <v>0</v>
      </c>
      <c r="J16" s="115">
        <v>0</v>
      </c>
      <c r="K16" s="114">
        <v>432</v>
      </c>
      <c r="L16" s="114">
        <v>111</v>
      </c>
      <c r="M16" s="114">
        <v>999</v>
      </c>
      <c r="N16" s="114">
        <v>530</v>
      </c>
    </row>
    <row r="17" spans="2:14" x14ac:dyDescent="0.3">
      <c r="B17" s="95" t="s">
        <v>157</v>
      </c>
      <c r="C17" s="108">
        <v>152</v>
      </c>
      <c r="D17" s="109">
        <v>7</v>
      </c>
      <c r="E17" s="110">
        <v>1064</v>
      </c>
      <c r="F17" s="111">
        <v>3</v>
      </c>
      <c r="G17" s="111">
        <v>4</v>
      </c>
      <c r="H17" s="111">
        <v>0</v>
      </c>
      <c r="I17" s="111">
        <v>0</v>
      </c>
      <c r="J17" s="111">
        <v>0</v>
      </c>
      <c r="K17" s="110">
        <v>456</v>
      </c>
      <c r="L17" s="110">
        <v>92</v>
      </c>
      <c r="M17" s="110">
        <v>644</v>
      </c>
      <c r="N17" s="110">
        <v>155</v>
      </c>
    </row>
    <row r="18" spans="2:14" x14ac:dyDescent="0.3">
      <c r="B18" s="7" t="s">
        <v>165</v>
      </c>
      <c r="C18" s="112">
        <v>45</v>
      </c>
      <c r="D18" s="113">
        <v>1</v>
      </c>
      <c r="E18" s="114">
        <v>45</v>
      </c>
      <c r="F18" s="115">
        <v>1</v>
      </c>
      <c r="G18" s="115">
        <v>0</v>
      </c>
      <c r="H18" s="115">
        <v>0</v>
      </c>
      <c r="I18" s="115">
        <v>0</v>
      </c>
      <c r="J18" s="115">
        <v>0</v>
      </c>
      <c r="K18" s="114">
        <v>45</v>
      </c>
      <c r="L18" s="114">
        <v>116</v>
      </c>
      <c r="M18" s="114">
        <v>116</v>
      </c>
      <c r="N18" s="114">
        <v>167</v>
      </c>
    </row>
    <row r="19" spans="2:14" x14ac:dyDescent="0.3">
      <c r="B19" s="95" t="s">
        <v>160</v>
      </c>
      <c r="C19" s="108">
        <v>90</v>
      </c>
      <c r="D19" s="109">
        <v>1</v>
      </c>
      <c r="E19" s="110">
        <v>90</v>
      </c>
      <c r="F19" s="111">
        <v>1</v>
      </c>
      <c r="G19" s="111">
        <v>0</v>
      </c>
      <c r="H19" s="111">
        <v>0</v>
      </c>
      <c r="I19" s="111">
        <v>0</v>
      </c>
      <c r="J19" s="111">
        <v>0</v>
      </c>
      <c r="K19" s="110">
        <v>90</v>
      </c>
      <c r="L19" s="110">
        <v>258</v>
      </c>
      <c r="M19" s="110">
        <v>258</v>
      </c>
      <c r="N19" s="110">
        <v>203</v>
      </c>
    </row>
    <row r="20" spans="2:14" x14ac:dyDescent="0.3">
      <c r="B20" s="7" t="s">
        <v>162</v>
      </c>
      <c r="C20" s="112">
        <v>135</v>
      </c>
      <c r="D20" s="113">
        <v>1</v>
      </c>
      <c r="E20" s="114">
        <v>135</v>
      </c>
      <c r="F20" s="115">
        <v>1</v>
      </c>
      <c r="G20" s="115">
        <v>0</v>
      </c>
      <c r="H20" s="115">
        <v>0</v>
      </c>
      <c r="I20" s="115">
        <v>0</v>
      </c>
      <c r="J20" s="115">
        <v>0</v>
      </c>
      <c r="K20" s="114">
        <v>135</v>
      </c>
      <c r="L20" s="114">
        <v>270</v>
      </c>
      <c r="M20" s="114">
        <v>270</v>
      </c>
      <c r="N20" s="114">
        <v>361</v>
      </c>
    </row>
    <row r="21" spans="2:14" x14ac:dyDescent="0.3">
      <c r="B21" s="95" t="s">
        <v>163</v>
      </c>
      <c r="C21" s="108">
        <v>171</v>
      </c>
      <c r="D21" s="109">
        <v>6</v>
      </c>
      <c r="E21" s="110">
        <v>1026</v>
      </c>
      <c r="F21" s="111">
        <v>1</v>
      </c>
      <c r="G21" s="111">
        <v>5</v>
      </c>
      <c r="H21" s="111">
        <v>0</v>
      </c>
      <c r="I21" s="111">
        <v>0</v>
      </c>
      <c r="J21" s="111">
        <v>0</v>
      </c>
      <c r="K21" s="110">
        <v>171</v>
      </c>
      <c r="L21" s="110">
        <v>126</v>
      </c>
      <c r="M21" s="110">
        <v>756</v>
      </c>
      <c r="N21" s="110">
        <v>65</v>
      </c>
    </row>
    <row r="22" spans="2:14" x14ac:dyDescent="0.3">
      <c r="B22" s="7" t="s">
        <v>108</v>
      </c>
      <c r="C22" s="112">
        <v>40</v>
      </c>
      <c r="D22" s="113">
        <v>1</v>
      </c>
      <c r="E22" s="114">
        <v>40</v>
      </c>
      <c r="F22" s="115">
        <v>1</v>
      </c>
      <c r="G22" s="115">
        <v>0</v>
      </c>
      <c r="H22" s="115">
        <v>0</v>
      </c>
      <c r="I22" s="115">
        <v>0</v>
      </c>
      <c r="J22" s="115">
        <v>0</v>
      </c>
      <c r="K22" s="114">
        <v>40</v>
      </c>
      <c r="L22" s="114">
        <v>118</v>
      </c>
      <c r="M22" s="114">
        <v>118</v>
      </c>
      <c r="N22" s="114">
        <v>177</v>
      </c>
    </row>
    <row r="23" spans="2:14" x14ac:dyDescent="0.3">
      <c r="B23" s="95" t="s">
        <v>109</v>
      </c>
      <c r="C23" s="108">
        <v>50</v>
      </c>
      <c r="D23" s="109">
        <v>48</v>
      </c>
      <c r="E23" s="110">
        <v>2400</v>
      </c>
      <c r="F23" s="111">
        <v>45</v>
      </c>
      <c r="G23" s="111">
        <v>3</v>
      </c>
      <c r="H23" s="111">
        <v>0</v>
      </c>
      <c r="I23" s="111">
        <v>0</v>
      </c>
      <c r="J23" s="111">
        <v>0</v>
      </c>
      <c r="K23" s="110">
        <v>2250</v>
      </c>
      <c r="L23" s="110">
        <v>139</v>
      </c>
      <c r="M23" s="110">
        <v>6672</v>
      </c>
      <c r="N23" s="110">
        <v>6108</v>
      </c>
    </row>
    <row r="24" spans="2:14" x14ac:dyDescent="0.3">
      <c r="B24" s="7" t="s">
        <v>110</v>
      </c>
      <c r="C24" s="112">
        <v>50</v>
      </c>
      <c r="D24" s="113">
        <v>49</v>
      </c>
      <c r="E24" s="114">
        <v>2450</v>
      </c>
      <c r="F24" s="115">
        <v>39</v>
      </c>
      <c r="G24" s="115">
        <v>10</v>
      </c>
      <c r="H24" s="115">
        <v>0</v>
      </c>
      <c r="I24" s="115">
        <v>0</v>
      </c>
      <c r="J24" s="115">
        <v>0</v>
      </c>
      <c r="K24" s="114">
        <v>1950</v>
      </c>
      <c r="L24" s="114">
        <v>124</v>
      </c>
      <c r="M24" s="114">
        <v>6076</v>
      </c>
      <c r="N24" s="114">
        <v>5395.75</v>
      </c>
    </row>
    <row r="25" spans="2:14" x14ac:dyDescent="0.3">
      <c r="B25" s="95" t="s">
        <v>90</v>
      </c>
      <c r="C25" s="108">
        <v>100</v>
      </c>
      <c r="D25" s="109">
        <v>61</v>
      </c>
      <c r="E25" s="110">
        <v>6100</v>
      </c>
      <c r="F25" s="111">
        <v>58</v>
      </c>
      <c r="G25" s="111">
        <v>3</v>
      </c>
      <c r="H25" s="111">
        <v>0</v>
      </c>
      <c r="I25" s="111">
        <v>0</v>
      </c>
      <c r="J25" s="111">
        <v>0</v>
      </c>
      <c r="K25" s="110">
        <v>5800</v>
      </c>
      <c r="L25" s="110">
        <v>278</v>
      </c>
      <c r="M25" s="110">
        <v>16958</v>
      </c>
      <c r="N25" s="110">
        <v>15697</v>
      </c>
    </row>
    <row r="26" spans="2:14" x14ac:dyDescent="0.3">
      <c r="B26" s="7" t="s">
        <v>91</v>
      </c>
      <c r="C26" s="112">
        <v>100</v>
      </c>
      <c r="D26" s="113">
        <v>67</v>
      </c>
      <c r="E26" s="114">
        <v>6700</v>
      </c>
      <c r="F26" s="115">
        <v>63</v>
      </c>
      <c r="G26" s="115">
        <v>4</v>
      </c>
      <c r="H26" s="115">
        <v>0</v>
      </c>
      <c r="I26" s="115">
        <v>0</v>
      </c>
      <c r="J26" s="115">
        <v>0</v>
      </c>
      <c r="K26" s="114">
        <v>6300</v>
      </c>
      <c r="L26" s="114">
        <v>218</v>
      </c>
      <c r="M26" s="114">
        <v>14606</v>
      </c>
      <c r="N26" s="114">
        <v>14520</v>
      </c>
    </row>
    <row r="27" spans="2:14" x14ac:dyDescent="0.3">
      <c r="B27" s="95" t="s">
        <v>92</v>
      </c>
      <c r="C27" s="108">
        <v>110</v>
      </c>
      <c r="D27" s="109">
        <v>3</v>
      </c>
      <c r="E27" s="110">
        <v>330</v>
      </c>
      <c r="F27" s="111">
        <v>3</v>
      </c>
      <c r="G27" s="111">
        <v>0</v>
      </c>
      <c r="H27" s="111">
        <v>0</v>
      </c>
      <c r="I27" s="111">
        <v>0</v>
      </c>
      <c r="J27" s="111">
        <v>0</v>
      </c>
      <c r="K27" s="110">
        <v>330</v>
      </c>
      <c r="L27" s="110">
        <v>298</v>
      </c>
      <c r="M27" s="110">
        <v>894</v>
      </c>
      <c r="N27" s="110">
        <v>766</v>
      </c>
    </row>
    <row r="28" spans="2:14" x14ac:dyDescent="0.3">
      <c r="B28" s="7" t="s">
        <v>93</v>
      </c>
      <c r="C28" s="112">
        <v>110</v>
      </c>
      <c r="D28" s="113">
        <v>1</v>
      </c>
      <c r="E28" s="114">
        <v>110</v>
      </c>
      <c r="F28" s="115">
        <v>1</v>
      </c>
      <c r="G28" s="115">
        <v>0</v>
      </c>
      <c r="H28" s="115">
        <v>0</v>
      </c>
      <c r="I28" s="115">
        <v>0</v>
      </c>
      <c r="J28" s="115">
        <v>0</v>
      </c>
      <c r="K28" s="114">
        <v>110</v>
      </c>
      <c r="L28" s="114">
        <v>233</v>
      </c>
      <c r="M28" s="114">
        <v>233</v>
      </c>
      <c r="N28" s="114">
        <v>276</v>
      </c>
    </row>
    <row r="29" spans="2:14" x14ac:dyDescent="0.3">
      <c r="B29" s="95" t="s">
        <v>94</v>
      </c>
      <c r="C29" s="108">
        <v>140</v>
      </c>
      <c r="D29" s="109">
        <v>2</v>
      </c>
      <c r="E29" s="110">
        <v>280</v>
      </c>
      <c r="F29" s="111">
        <v>2</v>
      </c>
      <c r="G29" s="111">
        <v>0</v>
      </c>
      <c r="H29" s="111">
        <v>0</v>
      </c>
      <c r="I29" s="111">
        <v>0</v>
      </c>
      <c r="J29" s="111">
        <v>0</v>
      </c>
      <c r="K29" s="110">
        <v>280</v>
      </c>
      <c r="L29" s="110">
        <v>278</v>
      </c>
      <c r="M29" s="110">
        <v>556</v>
      </c>
      <c r="N29" s="110">
        <v>537</v>
      </c>
    </row>
    <row r="30" spans="2:14" x14ac:dyDescent="0.3">
      <c r="B30" s="7" t="s">
        <v>95</v>
      </c>
      <c r="C30" s="112">
        <v>150</v>
      </c>
      <c r="D30" s="113">
        <v>20</v>
      </c>
      <c r="E30" s="114">
        <v>3000</v>
      </c>
      <c r="F30" s="115">
        <v>20</v>
      </c>
      <c r="G30" s="115">
        <v>0</v>
      </c>
      <c r="H30" s="115">
        <v>0</v>
      </c>
      <c r="I30" s="115">
        <v>0</v>
      </c>
      <c r="J30" s="115">
        <v>0</v>
      </c>
      <c r="K30" s="114">
        <v>3000</v>
      </c>
      <c r="L30" s="114">
        <v>373</v>
      </c>
      <c r="M30" s="114">
        <v>7460</v>
      </c>
      <c r="N30" s="114">
        <v>7163</v>
      </c>
    </row>
    <row r="31" spans="2:14" x14ac:dyDescent="0.3">
      <c r="B31" s="95" t="s">
        <v>97</v>
      </c>
      <c r="C31" s="108">
        <v>150</v>
      </c>
      <c r="D31" s="109">
        <v>22</v>
      </c>
      <c r="E31" s="110">
        <v>3300</v>
      </c>
      <c r="F31" s="111">
        <v>22</v>
      </c>
      <c r="G31" s="111">
        <v>0</v>
      </c>
      <c r="H31" s="111">
        <v>0</v>
      </c>
      <c r="I31" s="111">
        <v>0</v>
      </c>
      <c r="J31" s="111">
        <v>0</v>
      </c>
      <c r="K31" s="110">
        <v>3300</v>
      </c>
      <c r="L31" s="110">
        <v>292</v>
      </c>
      <c r="M31" s="110">
        <v>6424</v>
      </c>
      <c r="N31" s="110">
        <v>5845</v>
      </c>
    </row>
    <row r="32" spans="2:14" x14ac:dyDescent="0.3">
      <c r="B32" s="7" t="s">
        <v>99</v>
      </c>
      <c r="C32" s="112">
        <v>160</v>
      </c>
      <c r="D32" s="113">
        <v>2</v>
      </c>
      <c r="E32" s="114">
        <v>320</v>
      </c>
      <c r="F32" s="115">
        <v>2</v>
      </c>
      <c r="G32" s="115">
        <v>0</v>
      </c>
      <c r="H32" s="115">
        <v>0</v>
      </c>
      <c r="I32" s="115">
        <v>0</v>
      </c>
      <c r="J32" s="115">
        <v>0</v>
      </c>
      <c r="K32" s="114">
        <v>320</v>
      </c>
      <c r="L32" s="114">
        <v>306</v>
      </c>
      <c r="M32" s="114">
        <v>612</v>
      </c>
      <c r="N32" s="114">
        <v>551</v>
      </c>
    </row>
    <row r="33" spans="2:14" x14ac:dyDescent="0.3">
      <c r="B33" s="95" t="s">
        <v>100</v>
      </c>
      <c r="C33" s="108">
        <v>200</v>
      </c>
      <c r="D33" s="109">
        <v>17</v>
      </c>
      <c r="E33" s="110">
        <v>3400</v>
      </c>
      <c r="F33" s="111">
        <v>17</v>
      </c>
      <c r="G33" s="111">
        <v>0</v>
      </c>
      <c r="H33" s="111">
        <v>0</v>
      </c>
      <c r="I33" s="111">
        <v>0</v>
      </c>
      <c r="J33" s="111">
        <v>0</v>
      </c>
      <c r="K33" s="110">
        <v>3400</v>
      </c>
      <c r="L33" s="110">
        <v>476</v>
      </c>
      <c r="M33" s="110">
        <v>8092</v>
      </c>
      <c r="N33" s="110">
        <v>8471</v>
      </c>
    </row>
    <row r="34" spans="2:14" x14ac:dyDescent="0.3">
      <c r="B34" s="7" t="s">
        <v>101</v>
      </c>
      <c r="C34" s="112">
        <v>200</v>
      </c>
      <c r="D34" s="113">
        <v>2</v>
      </c>
      <c r="E34" s="114">
        <v>400</v>
      </c>
      <c r="F34" s="115">
        <v>2</v>
      </c>
      <c r="G34" s="115">
        <v>0</v>
      </c>
      <c r="H34" s="115">
        <v>0</v>
      </c>
      <c r="I34" s="115">
        <v>0</v>
      </c>
      <c r="J34" s="115">
        <v>0</v>
      </c>
      <c r="K34" s="114">
        <v>400</v>
      </c>
      <c r="L34" s="114">
        <v>476</v>
      </c>
      <c r="M34" s="114">
        <v>952</v>
      </c>
      <c r="N34" s="114">
        <v>911</v>
      </c>
    </row>
    <row r="35" spans="2:14" x14ac:dyDescent="0.3">
      <c r="B35" s="95" t="s">
        <v>102</v>
      </c>
      <c r="C35" s="108">
        <v>200</v>
      </c>
      <c r="D35" s="109">
        <v>29</v>
      </c>
      <c r="E35" s="110">
        <v>5800</v>
      </c>
      <c r="F35" s="111">
        <v>27</v>
      </c>
      <c r="G35" s="111">
        <v>2</v>
      </c>
      <c r="H35" s="111">
        <v>0</v>
      </c>
      <c r="I35" s="111">
        <v>0</v>
      </c>
      <c r="J35" s="111">
        <v>0</v>
      </c>
      <c r="K35" s="110">
        <v>5400</v>
      </c>
      <c r="L35" s="110">
        <v>361</v>
      </c>
      <c r="M35" s="110">
        <v>10469</v>
      </c>
      <c r="N35" s="110">
        <v>10817.8</v>
      </c>
    </row>
    <row r="36" spans="2:14" x14ac:dyDescent="0.3">
      <c r="B36" s="7" t="s">
        <v>103</v>
      </c>
      <c r="C36" s="112">
        <v>210</v>
      </c>
      <c r="D36" s="113">
        <v>1</v>
      </c>
      <c r="E36" s="114">
        <v>210</v>
      </c>
      <c r="F36" s="115">
        <v>1</v>
      </c>
      <c r="G36" s="115">
        <v>0</v>
      </c>
      <c r="H36" s="115">
        <v>0</v>
      </c>
      <c r="I36" s="115">
        <v>0</v>
      </c>
      <c r="J36" s="115">
        <v>0</v>
      </c>
      <c r="K36" s="114">
        <v>210</v>
      </c>
      <c r="L36" s="114">
        <v>493</v>
      </c>
      <c r="M36" s="114">
        <v>493</v>
      </c>
      <c r="N36" s="114">
        <v>517</v>
      </c>
    </row>
    <row r="37" spans="2:14" x14ac:dyDescent="0.3">
      <c r="B37" s="95" t="s">
        <v>105</v>
      </c>
      <c r="C37" s="108">
        <v>300</v>
      </c>
      <c r="D37" s="109">
        <v>3</v>
      </c>
      <c r="E37" s="110">
        <v>900</v>
      </c>
      <c r="F37" s="111">
        <v>2</v>
      </c>
      <c r="G37" s="111">
        <v>1</v>
      </c>
      <c r="H37" s="111">
        <v>0</v>
      </c>
      <c r="I37" s="111">
        <v>0</v>
      </c>
      <c r="J37" s="111">
        <v>0</v>
      </c>
      <c r="K37" s="110">
        <v>600</v>
      </c>
      <c r="L37" s="110">
        <v>641</v>
      </c>
      <c r="M37" s="110">
        <v>1923</v>
      </c>
      <c r="N37" s="110">
        <v>878</v>
      </c>
    </row>
    <row r="38" spans="2:14" x14ac:dyDescent="0.3">
      <c r="B38" s="7" t="s">
        <v>107</v>
      </c>
      <c r="C38" s="112">
        <v>300</v>
      </c>
      <c r="D38" s="113">
        <v>1</v>
      </c>
      <c r="E38" s="114">
        <v>300</v>
      </c>
      <c r="F38" s="115">
        <v>1</v>
      </c>
      <c r="G38" s="115">
        <v>0</v>
      </c>
      <c r="H38" s="115">
        <v>0</v>
      </c>
      <c r="I38" s="115">
        <v>0</v>
      </c>
      <c r="J38" s="115">
        <v>0</v>
      </c>
      <c r="K38" s="114">
        <v>300</v>
      </c>
      <c r="L38" s="114">
        <v>486</v>
      </c>
      <c r="M38" s="114">
        <v>486</v>
      </c>
      <c r="N38" s="114">
        <v>492</v>
      </c>
    </row>
    <row r="39" spans="2:14" x14ac:dyDescent="0.3">
      <c r="B39" s="95" t="s">
        <v>115</v>
      </c>
      <c r="C39" s="108">
        <v>44</v>
      </c>
      <c r="D39" s="109">
        <v>1</v>
      </c>
      <c r="E39" s="110">
        <v>44</v>
      </c>
      <c r="F39" s="111">
        <v>1</v>
      </c>
      <c r="G39" s="111">
        <v>0</v>
      </c>
      <c r="H39" s="111">
        <v>0</v>
      </c>
      <c r="I39" s="111">
        <v>0</v>
      </c>
      <c r="J39" s="111">
        <v>0</v>
      </c>
      <c r="K39" s="110">
        <v>44</v>
      </c>
      <c r="L39" s="110">
        <v>126</v>
      </c>
      <c r="M39" s="110">
        <v>126</v>
      </c>
      <c r="N39" s="110">
        <v>189</v>
      </c>
    </row>
    <row r="40" spans="2:14" x14ac:dyDescent="0.3">
      <c r="B40" s="7" t="s">
        <v>116</v>
      </c>
      <c r="C40" s="112">
        <v>55</v>
      </c>
      <c r="D40" s="113">
        <v>1</v>
      </c>
      <c r="E40" s="114">
        <v>55</v>
      </c>
      <c r="F40" s="115">
        <v>1</v>
      </c>
      <c r="G40" s="115">
        <v>0</v>
      </c>
      <c r="H40" s="115">
        <v>0</v>
      </c>
      <c r="I40" s="115">
        <v>0</v>
      </c>
      <c r="J40" s="115">
        <v>0</v>
      </c>
      <c r="K40" s="114">
        <v>55</v>
      </c>
      <c r="L40" s="114">
        <v>149</v>
      </c>
      <c r="M40" s="114">
        <v>149</v>
      </c>
      <c r="N40" s="114">
        <v>183</v>
      </c>
    </row>
    <row r="41" spans="2:14" x14ac:dyDescent="0.3">
      <c r="B41" s="95" t="s">
        <v>117</v>
      </c>
      <c r="C41" s="108">
        <v>55</v>
      </c>
      <c r="D41" s="109">
        <v>2</v>
      </c>
      <c r="E41" s="110">
        <v>110</v>
      </c>
      <c r="F41" s="111">
        <v>2</v>
      </c>
      <c r="G41" s="111">
        <v>0</v>
      </c>
      <c r="H41" s="111">
        <v>0</v>
      </c>
      <c r="I41" s="111">
        <v>0</v>
      </c>
      <c r="J41" s="111">
        <v>0</v>
      </c>
      <c r="K41" s="110">
        <v>110</v>
      </c>
      <c r="L41" s="110">
        <v>133</v>
      </c>
      <c r="M41" s="110">
        <v>266</v>
      </c>
      <c r="N41" s="110">
        <v>265.35000000000002</v>
      </c>
    </row>
    <row r="42" spans="2:14" x14ac:dyDescent="0.3">
      <c r="B42" s="7" t="s">
        <v>112</v>
      </c>
      <c r="C42" s="112">
        <v>110</v>
      </c>
      <c r="D42" s="113">
        <v>1</v>
      </c>
      <c r="E42" s="114">
        <v>110</v>
      </c>
      <c r="F42" s="115">
        <v>1</v>
      </c>
      <c r="G42" s="115">
        <v>0</v>
      </c>
      <c r="H42" s="115">
        <v>0</v>
      </c>
      <c r="I42" s="115">
        <v>0</v>
      </c>
      <c r="J42" s="115">
        <v>0</v>
      </c>
      <c r="K42" s="114">
        <v>110</v>
      </c>
      <c r="L42" s="114">
        <v>298</v>
      </c>
      <c r="M42" s="114">
        <v>298</v>
      </c>
      <c r="N42" s="114">
        <v>359</v>
      </c>
    </row>
    <row r="43" spans="2:14" x14ac:dyDescent="0.3">
      <c r="B43" s="95" t="s">
        <v>114</v>
      </c>
      <c r="C43" s="108">
        <v>121</v>
      </c>
      <c r="D43" s="109">
        <v>1</v>
      </c>
      <c r="E43" s="110">
        <v>121</v>
      </c>
      <c r="F43" s="111">
        <v>1</v>
      </c>
      <c r="G43" s="111">
        <v>0</v>
      </c>
      <c r="H43" s="111">
        <v>0</v>
      </c>
      <c r="I43" s="111">
        <v>0</v>
      </c>
      <c r="J43" s="111">
        <v>0</v>
      </c>
      <c r="K43" s="110">
        <v>121</v>
      </c>
      <c r="L43" s="110">
        <v>250</v>
      </c>
      <c r="M43" s="110">
        <v>250</v>
      </c>
      <c r="N43" s="110">
        <v>146</v>
      </c>
    </row>
    <row r="44" spans="2:14" x14ac:dyDescent="0.3">
      <c r="B44" s="7" t="s">
        <v>121</v>
      </c>
      <c r="C44" s="112">
        <v>60</v>
      </c>
      <c r="D44" s="113">
        <v>1</v>
      </c>
      <c r="E44" s="114">
        <v>60</v>
      </c>
      <c r="F44" s="115">
        <v>1</v>
      </c>
      <c r="G44" s="115">
        <v>0</v>
      </c>
      <c r="H44" s="115">
        <v>0</v>
      </c>
      <c r="I44" s="115">
        <v>0</v>
      </c>
      <c r="J44" s="115">
        <v>0</v>
      </c>
      <c r="K44" s="114">
        <v>60</v>
      </c>
      <c r="L44" s="114">
        <v>142</v>
      </c>
      <c r="M44" s="114">
        <v>142</v>
      </c>
      <c r="N44" s="114">
        <v>177.4</v>
      </c>
    </row>
    <row r="45" spans="2:14" x14ac:dyDescent="0.3">
      <c r="B45" s="95" t="s">
        <v>122</v>
      </c>
      <c r="C45" s="108">
        <v>75</v>
      </c>
      <c r="D45" s="109">
        <v>7</v>
      </c>
      <c r="E45" s="110">
        <v>525</v>
      </c>
      <c r="F45" s="111">
        <v>6</v>
      </c>
      <c r="G45" s="111">
        <v>1</v>
      </c>
      <c r="H45" s="111">
        <v>0</v>
      </c>
      <c r="I45" s="111">
        <v>0</v>
      </c>
      <c r="J45" s="111">
        <v>0</v>
      </c>
      <c r="K45" s="110">
        <v>450</v>
      </c>
      <c r="L45" s="110">
        <v>187</v>
      </c>
      <c r="M45" s="110">
        <v>1309</v>
      </c>
      <c r="N45" s="110">
        <v>1336</v>
      </c>
    </row>
    <row r="46" spans="2:14" x14ac:dyDescent="0.3">
      <c r="B46" s="7" t="s">
        <v>123</v>
      </c>
      <c r="C46" s="112">
        <v>75</v>
      </c>
      <c r="D46" s="113">
        <v>13</v>
      </c>
      <c r="E46" s="114">
        <v>975</v>
      </c>
      <c r="F46" s="115">
        <v>11</v>
      </c>
      <c r="G46" s="115">
        <v>2</v>
      </c>
      <c r="H46" s="115">
        <v>0</v>
      </c>
      <c r="I46" s="115">
        <v>0</v>
      </c>
      <c r="J46" s="115">
        <v>0</v>
      </c>
      <c r="K46" s="114">
        <v>825</v>
      </c>
      <c r="L46" s="114">
        <v>168</v>
      </c>
      <c r="M46" s="114">
        <v>2184</v>
      </c>
      <c r="N46" s="114">
        <v>1742</v>
      </c>
    </row>
    <row r="47" spans="2:14" x14ac:dyDescent="0.3">
      <c r="B47" s="95" t="s">
        <v>118</v>
      </c>
      <c r="C47" s="108">
        <v>150</v>
      </c>
      <c r="D47" s="109">
        <v>1</v>
      </c>
      <c r="E47" s="110">
        <v>150</v>
      </c>
      <c r="F47" s="111">
        <v>1</v>
      </c>
      <c r="G47" s="111">
        <v>0</v>
      </c>
      <c r="H47" s="111">
        <v>0</v>
      </c>
      <c r="I47" s="111">
        <v>0</v>
      </c>
      <c r="J47" s="111">
        <v>0</v>
      </c>
      <c r="K47" s="110">
        <v>150</v>
      </c>
      <c r="L47" s="110">
        <v>292</v>
      </c>
      <c r="M47" s="110">
        <v>292</v>
      </c>
      <c r="N47" s="110">
        <v>198</v>
      </c>
    </row>
    <row r="48" spans="2:14" x14ac:dyDescent="0.3">
      <c r="B48" s="7" t="s">
        <v>119</v>
      </c>
      <c r="C48" s="112">
        <v>225</v>
      </c>
      <c r="D48" s="113">
        <v>1</v>
      </c>
      <c r="E48" s="114">
        <v>225</v>
      </c>
      <c r="F48" s="115">
        <v>1</v>
      </c>
      <c r="G48" s="115">
        <v>0</v>
      </c>
      <c r="H48" s="115">
        <v>0</v>
      </c>
      <c r="I48" s="115">
        <v>0</v>
      </c>
      <c r="J48" s="115">
        <v>0</v>
      </c>
      <c r="K48" s="114">
        <v>225</v>
      </c>
      <c r="L48" s="114">
        <v>501</v>
      </c>
      <c r="M48" s="114">
        <v>501</v>
      </c>
      <c r="N48" s="114">
        <v>321</v>
      </c>
    </row>
    <row r="49" spans="2:14" x14ac:dyDescent="0.3">
      <c r="B49" s="95" t="s">
        <v>125</v>
      </c>
      <c r="C49" s="108">
        <v>200</v>
      </c>
      <c r="D49" s="109">
        <v>7</v>
      </c>
      <c r="E49" s="110">
        <v>1400</v>
      </c>
      <c r="F49" s="111">
        <v>7</v>
      </c>
      <c r="G49" s="111">
        <v>0</v>
      </c>
      <c r="H49" s="111">
        <v>0</v>
      </c>
      <c r="I49" s="111">
        <v>0</v>
      </c>
      <c r="J49" s="111">
        <v>0</v>
      </c>
      <c r="K49" s="110">
        <v>1400</v>
      </c>
      <c r="L49" s="110">
        <v>476</v>
      </c>
      <c r="M49" s="110">
        <v>3332</v>
      </c>
      <c r="N49" s="110">
        <v>2307</v>
      </c>
    </row>
    <row r="50" spans="2:14" x14ac:dyDescent="0.3">
      <c r="B50" s="7" t="s">
        <v>126</v>
      </c>
      <c r="C50" s="112">
        <v>200</v>
      </c>
      <c r="D50" s="113">
        <v>1</v>
      </c>
      <c r="E50" s="114">
        <v>200</v>
      </c>
      <c r="F50" s="115">
        <v>1</v>
      </c>
      <c r="G50" s="115">
        <v>0</v>
      </c>
      <c r="H50" s="115">
        <v>0</v>
      </c>
      <c r="I50" s="115">
        <v>0</v>
      </c>
      <c r="J50" s="115">
        <v>0</v>
      </c>
      <c r="K50" s="114">
        <v>200</v>
      </c>
      <c r="L50" s="114">
        <v>361</v>
      </c>
      <c r="M50" s="114">
        <v>361</v>
      </c>
      <c r="N50" s="114">
        <v>508</v>
      </c>
    </row>
    <row r="51" spans="2:14" x14ac:dyDescent="0.3">
      <c r="B51" s="95" t="s">
        <v>128</v>
      </c>
      <c r="C51" s="108">
        <v>300</v>
      </c>
      <c r="D51" s="109">
        <v>1</v>
      </c>
      <c r="E51" s="110">
        <v>300</v>
      </c>
      <c r="F51" s="111">
        <v>1</v>
      </c>
      <c r="G51" s="111">
        <v>0</v>
      </c>
      <c r="H51" s="111">
        <v>0</v>
      </c>
      <c r="I51" s="111">
        <v>0</v>
      </c>
      <c r="J51" s="111">
        <v>0</v>
      </c>
      <c r="K51" s="110">
        <v>300</v>
      </c>
      <c r="L51" s="110">
        <v>641</v>
      </c>
      <c r="M51" s="110">
        <v>641</v>
      </c>
      <c r="N51" s="110">
        <v>409</v>
      </c>
    </row>
    <row r="52" spans="2:14" x14ac:dyDescent="0.3">
      <c r="B52" s="7" t="s">
        <v>129</v>
      </c>
      <c r="C52" s="112">
        <v>300</v>
      </c>
      <c r="D52" s="113">
        <v>1</v>
      </c>
      <c r="E52" s="114">
        <v>300</v>
      </c>
      <c r="F52" s="115">
        <v>1</v>
      </c>
      <c r="G52" s="115">
        <v>0</v>
      </c>
      <c r="H52" s="115">
        <v>0</v>
      </c>
      <c r="I52" s="115">
        <v>0</v>
      </c>
      <c r="J52" s="115">
        <v>0</v>
      </c>
      <c r="K52" s="114">
        <v>300</v>
      </c>
      <c r="L52" s="114">
        <v>486</v>
      </c>
      <c r="M52" s="114">
        <v>486</v>
      </c>
      <c r="N52" s="114">
        <v>532</v>
      </c>
    </row>
    <row r="53" spans="2:14" x14ac:dyDescent="0.3">
      <c r="B53" s="95" t="s">
        <v>130</v>
      </c>
      <c r="C53" s="108">
        <v>400</v>
      </c>
      <c r="D53" s="109">
        <v>3</v>
      </c>
      <c r="E53" s="110">
        <v>1200</v>
      </c>
      <c r="F53" s="111">
        <v>3</v>
      </c>
      <c r="G53" s="111">
        <v>0</v>
      </c>
      <c r="H53" s="111">
        <v>0</v>
      </c>
      <c r="I53" s="111">
        <v>0</v>
      </c>
      <c r="J53" s="111">
        <v>0</v>
      </c>
      <c r="K53" s="110">
        <v>1200</v>
      </c>
      <c r="L53" s="110">
        <v>791</v>
      </c>
      <c r="M53" s="110">
        <v>2373</v>
      </c>
      <c r="N53" s="110">
        <v>2162</v>
      </c>
    </row>
    <row r="54" spans="2:14" x14ac:dyDescent="0.3">
      <c r="B54" s="7" t="s">
        <v>131</v>
      </c>
      <c r="C54" s="112">
        <v>400</v>
      </c>
      <c r="D54" s="113">
        <v>1</v>
      </c>
      <c r="E54" s="114">
        <v>400</v>
      </c>
      <c r="F54" s="115">
        <v>1</v>
      </c>
      <c r="G54" s="115">
        <v>0</v>
      </c>
      <c r="H54" s="115">
        <v>0</v>
      </c>
      <c r="I54" s="115">
        <v>0</v>
      </c>
      <c r="J54" s="115">
        <v>0</v>
      </c>
      <c r="K54" s="114">
        <v>400</v>
      </c>
      <c r="L54" s="114">
        <v>600</v>
      </c>
      <c r="M54" s="114">
        <v>600</v>
      </c>
      <c r="N54" s="114">
        <v>682</v>
      </c>
    </row>
    <row r="55" spans="2:14" x14ac:dyDescent="0.3">
      <c r="B55" s="95" t="s">
        <v>132</v>
      </c>
      <c r="C55" s="108">
        <v>420</v>
      </c>
      <c r="D55" s="109">
        <v>2</v>
      </c>
      <c r="E55" s="110">
        <v>840</v>
      </c>
      <c r="F55" s="111">
        <v>2</v>
      </c>
      <c r="G55" s="111">
        <v>0</v>
      </c>
      <c r="H55" s="111">
        <v>0</v>
      </c>
      <c r="I55" s="111">
        <v>0</v>
      </c>
      <c r="J55" s="111">
        <v>0</v>
      </c>
      <c r="K55" s="110">
        <v>840</v>
      </c>
      <c r="L55" s="110">
        <v>798</v>
      </c>
      <c r="M55" s="110">
        <v>1596</v>
      </c>
      <c r="N55" s="110">
        <v>1758</v>
      </c>
    </row>
    <row r="56" spans="2:14" x14ac:dyDescent="0.3">
      <c r="B56" s="7" t="s">
        <v>135</v>
      </c>
      <c r="C56" s="112">
        <v>260</v>
      </c>
      <c r="D56" s="113">
        <v>1</v>
      </c>
      <c r="E56" s="114">
        <v>260</v>
      </c>
      <c r="F56" s="115">
        <v>1</v>
      </c>
      <c r="G56" s="115">
        <v>0</v>
      </c>
      <c r="H56" s="115">
        <v>0</v>
      </c>
      <c r="I56" s="115">
        <v>0</v>
      </c>
      <c r="J56" s="115">
        <v>0</v>
      </c>
      <c r="K56" s="114">
        <v>260</v>
      </c>
      <c r="L56" s="114">
        <v>438</v>
      </c>
      <c r="M56" s="114">
        <v>438</v>
      </c>
      <c r="N56" s="114">
        <v>170</v>
      </c>
    </row>
    <row r="57" spans="2:14" x14ac:dyDescent="0.3">
      <c r="B57" s="95" t="s">
        <v>136</v>
      </c>
      <c r="C57" s="108">
        <v>300</v>
      </c>
      <c r="D57" s="109">
        <v>1</v>
      </c>
      <c r="E57" s="110">
        <v>300</v>
      </c>
      <c r="F57" s="111">
        <v>1</v>
      </c>
      <c r="G57" s="111">
        <v>0</v>
      </c>
      <c r="H57" s="111">
        <v>0</v>
      </c>
      <c r="I57" s="111">
        <v>0</v>
      </c>
      <c r="J57" s="111">
        <v>0</v>
      </c>
      <c r="K57" s="110">
        <v>300</v>
      </c>
      <c r="L57" s="110">
        <v>486</v>
      </c>
      <c r="M57" s="110">
        <v>486</v>
      </c>
      <c r="N57" s="110">
        <v>382</v>
      </c>
    </row>
    <row r="58" spans="2:14" ht="0" hidden="1" customHeight="1" x14ac:dyDescent="0.3"/>
  </sheetData>
  <mergeCells count="2">
    <mergeCell ref="C2:N2"/>
    <mergeCell ref="C3:N3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80c777-e872-4d59-8b9a-2b36d06b2f02" xsi:nil="true"/>
    <lcf76f155ced4ddcb4097134ff3c332f xmlns="804e7e93-574e-4a60-971f-e0b3338e4d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110409D0F39E4EA51B389888FDED90" ma:contentTypeVersion="15" ma:contentTypeDescription="Create a new document." ma:contentTypeScope="" ma:versionID="b171387ecb6b87cde18223e46bfa2992">
  <xsd:schema xmlns:xsd="http://www.w3.org/2001/XMLSchema" xmlns:xs="http://www.w3.org/2001/XMLSchema" xmlns:p="http://schemas.microsoft.com/office/2006/metadata/properties" xmlns:ns2="804e7e93-574e-4a60-971f-e0b3338e4d9e" xmlns:ns3="4980c777-e872-4d59-8b9a-2b36d06b2f02" targetNamespace="http://schemas.microsoft.com/office/2006/metadata/properties" ma:root="true" ma:fieldsID="ca12c17defa05ef7c4e14ecebb9836fe" ns2:_="" ns3:_="">
    <xsd:import namespace="804e7e93-574e-4a60-971f-e0b3338e4d9e"/>
    <xsd:import namespace="4980c777-e872-4d59-8b9a-2b36d06b2f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e7e93-574e-4a60-971f-e0b3338e4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e671e0-2aae-4c8d-b367-8bb3494c1b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0c777-e872-4d59-8b9a-2b36d06b2f0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ecd82a-30c4-4ed8-bf67-7cfdddc1e191}" ma:internalName="TaxCatchAll" ma:showField="CatchAllData" ma:web="4980c777-e872-4d59-8b9a-2b36d06b2f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BD8CC-EC69-4D9C-8A00-C6A224E91D39}">
  <ds:schemaRefs>
    <ds:schemaRef ds:uri="http://schemas.microsoft.com/office/2006/metadata/properties"/>
    <ds:schemaRef ds:uri="http://schemas.microsoft.com/office/infopath/2007/PartnerControls"/>
    <ds:schemaRef ds:uri="4980c777-e872-4d59-8b9a-2b36d06b2f02"/>
    <ds:schemaRef ds:uri="804e7e93-574e-4a60-971f-e0b3338e4d9e"/>
  </ds:schemaRefs>
</ds:datastoreItem>
</file>

<file path=customXml/itemProps2.xml><?xml version="1.0" encoding="utf-8"?>
<ds:datastoreItem xmlns:ds="http://schemas.openxmlformats.org/officeDocument/2006/customXml" ds:itemID="{169B06F5-383B-4BB2-B03F-230CAC303B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01452-D726-4CF0-8EA2-A51BF631E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e7e93-574e-4a60-971f-e0b3338e4d9e"/>
    <ds:schemaRef ds:uri="4980c777-e872-4d59-8b9a-2b36d06b2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Ops Sum 7272</vt:lpstr>
      <vt:lpstr>ISYTD 7272</vt:lpstr>
      <vt:lpstr>Unit Status 7272</vt:lpstr>
      <vt:lpstr>Unit Rate 7272</vt:lpstr>
      <vt:lpstr>Rolling IS 7272</vt:lpstr>
      <vt:lpstr>FvA 7272</vt:lpstr>
      <vt:lpstr>CvP 7272</vt:lpstr>
      <vt:lpstr>BvA 7272</vt:lpstr>
      <vt:lpstr>Rent Roll 7272</vt:lpstr>
      <vt:lpstr>Unit Mix 7272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McGee, Reilly</dc:creator>
  <cp:lastModifiedBy>Javier Gonzalez</cp:lastModifiedBy>
  <dcterms:created xsi:type="dcterms:W3CDTF">2025-08-15T13:27:26Z</dcterms:created>
  <dcterms:modified xsi:type="dcterms:W3CDTF">2026-03-25T21:22:48Z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0x01010049110409D0F39E4EA51B389888FDED90</vt:lpwstr>
  </property>
  <property fmtid="{D5CDD505-2E9C-101B-9397-08002B2CF9AE}" pid="3" name="MediaServiceImageTags">
    <vt:lpwstr/>
  </property>
</Properties>
</file>