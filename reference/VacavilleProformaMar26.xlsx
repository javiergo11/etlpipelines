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orspacesmanagement-my.sharepoint.com/personal/javier_storestorage_com/Documents/Desktop/JaviWorkingFOlder/3.10 Proformas/Vacaville/"/>
    </mc:Choice>
  </mc:AlternateContent>
  <xr:revisionPtr revIDLastSave="583" documentId="8_{2D74ABD6-8CF5-4B21-926E-AD78FD7707B0}" xr6:coauthVersionLast="47" xr6:coauthVersionMax="47" xr10:uidLastSave="{C8F9B01A-DF5B-4994-8790-13CCAF04A3AA}"/>
  <bookViews>
    <workbookView xWindow="-96" yWindow="-96" windowWidth="23232" windowHeight="13872" activeTab="3" xr2:uid="{B9973E1F-A585-4BC4-AD72-81ECCE6F3637}"/>
  </bookViews>
  <sheets>
    <sheet name="Proforma" sheetId="14" r:id="rId1"/>
    <sheet name="5 Year Proforma" sheetId="16" r:id="rId2"/>
    <sheet name="Inputs &amp; Drivers" sheetId="12" r:id="rId3"/>
    <sheet name="Model2.0" sheetId="11" r:id="rId4"/>
    <sheet name="P-Builder" sheetId="4" r:id="rId5"/>
    <sheet name="Data Drop" sheetId="2" r:id="rId6"/>
    <sheet name="COA Translation" sheetId="1" r:id="rId7"/>
    <sheet name="Valuation Sheet" sheetId="15" r:id="rId8"/>
    <sheet name="Claude Log" sheetId="17" r:id="rId9"/>
    <sheet name="Roadmap" sheetId="1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123Graph_A" hidden="1">[1]P!#REF!</definedName>
    <definedName name="__123Graph_AChart1" hidden="1">[1]P!#REF!</definedName>
    <definedName name="__123Graph_ACurrent" hidden="1">[1]P!#REF!</definedName>
    <definedName name="__123Graph_AGATHERING" hidden="1">[2]COC!#REF!</definedName>
    <definedName name="__123Graph_B" hidden="1">[3]XOM!#REF!</definedName>
    <definedName name="__123Graph_BSPREADS" hidden="1">[4]TSO!#REF!</definedName>
    <definedName name="__123Graph_X" hidden="1">[3]XOM!#REF!</definedName>
    <definedName name="__123Graph_XChart1" hidden="1">[5]P!$R$29:$AK$29</definedName>
    <definedName name="__123Graph_XCurrent" hidden="1">[5]P!$R$29:$AK$29</definedName>
    <definedName name="__123Graph_XGATHERING" hidden="1">[2]COC!#REF!</definedName>
    <definedName name="__FDS_HYPERLINK_TOGGLE_STATE__" hidden="1">"ON"</definedName>
    <definedName name="_10__123Graph_BGASOLINE\_2" hidden="1">[4]TSO!#REF!</definedName>
    <definedName name="_12__123Graph_XGASOLINE\_2" hidden="1">[4]TSO!#REF!</definedName>
    <definedName name="_13__123Graph_XLIQUIDS" hidden="1">[5]P!$R$29:$AK$29</definedName>
    <definedName name="_15__123Graph_XOP_COSTS" hidden="1">[4]TSO!#REF!</definedName>
    <definedName name="_16__123Graph_XR_M_MARG" hidden="1">[5]P!$R$29:$AK$29</definedName>
    <definedName name="_2__123Graph_AGASOLINE\_2" hidden="1">[4]TSO!#REF!</definedName>
    <definedName name="_4__123Graph_ALIQUIDS" hidden="1">[6]COP!#REF!</definedName>
    <definedName name="_6__123Graph_AOP_COSTS" hidden="1">[4]TSO!#REF!</definedName>
    <definedName name="_8__123Graph_AR_M_MARG" hidden="1">[1]P!#REF!</definedName>
    <definedName name="_bdm.27A67F90C7C644ABA5AEE92323AE8841.edm" hidden="1">'[7]New Source Charts'!$A:$IV</definedName>
    <definedName name="_bdm.2F994D6394314D65966806B0027B7ED0.edm" hidden="1">[8]Plants!$A:$IV</definedName>
    <definedName name="_bdm.3D459AB342314C87AF28EE2023B5B5D2.edm" hidden="1">[7]Modelware!$A:$IV</definedName>
    <definedName name="_bdm.4AF7B9937D644F5F89369844785EF279.edm" hidden="1">[8]VeraSun!$A:$IV</definedName>
    <definedName name="_bdm.51DB0A22AC534FDAAE0186334B0F5CC7.edm" hidden="1">#REF!</definedName>
    <definedName name="_bdm.556C0F41CE9F461F93C646A4B737FE37.edm" hidden="1">'[8]Forecast Change'!$A:$IV</definedName>
    <definedName name="_bdm.6A05919F37494F38ACE807AC7DE0AF1C.edm" hidden="1">#REF!</definedName>
    <definedName name="_bdm.6C3127543B3B4F248937555D27DB740A.edm" hidden="1">[9]PXP!$A:$IV</definedName>
    <definedName name="_bdm.80AA8F96F3EC41DCA0719BEA7F3C72E4.edm" hidden="1">'[7]Segment ROCE'!$A:$IV</definedName>
    <definedName name="_bdm.A167D12DAE3248FDB8A1CC583636203E.edm" hidden="1">#REF!</definedName>
    <definedName name="_bdm.AA6C2D22BE3E4F2895813DA1409C2ED5.edm" hidden="1">[7]BS!$A:$IV</definedName>
    <definedName name="_bdm.B187957A40074E88B68BA9B13084EB53.edm" hidden="1">[7]COP!$A:$IV</definedName>
    <definedName name="_bdm.B2DA56CA5AA740E6AFBE3497C6982B4B.edm" hidden="1">'[7]R&amp;MIS'!$A:$IV</definedName>
    <definedName name="_bdm.BC1DD9D4902146ED81E611A5BC71C3AD.edm" hidden="1">[8]INPUTS!$A:$IV</definedName>
    <definedName name="_bdm.FD343515BA234434BE623D650D6B8A99.edm" hidden="1">'[7]E&amp;P Growth &amp; Returns'!$A:$IV</definedName>
    <definedName name="_xlnm._FilterDatabase" localSheetId="6" hidden="1">'COA Translation'!$A$1:$E$70</definedName>
    <definedName name="_xlnm._FilterDatabase" localSheetId="5" hidden="1">'Data Drop'!$A$1:$J$1080</definedName>
    <definedName name="_xlnm._FilterDatabase" localSheetId="0" hidden="1">Proforma!$E$8:$V$47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countList">#REF!</definedName>
    <definedName name="beta_observed">#REF!</definedName>
    <definedName name="beta_unlev_comps">#REF!</definedName>
    <definedName name="check">#REF!</definedName>
    <definedName name="conversionfactor">'[10]E&amp;P'!$D$6</definedName>
    <definedName name="convfactor">#REF!</definedName>
    <definedName name="costdebtfirm">#REF!</definedName>
    <definedName name="costequity">#REF!</definedName>
    <definedName name="days_per_year">#REF!</definedName>
    <definedName name="debt">#REF!</definedName>
    <definedName name="debt_weight">#REF!</definedName>
    <definedName name="market_equity">#REF!</definedName>
    <definedName name="_xlnm.Print_Area" localSheetId="7">'Valuation Sheet'!$B$50:$H$93</definedName>
    <definedName name="relevered_beta">#REF!</definedName>
    <definedName name="risk_free_rate">#REF!</definedName>
    <definedName name="risk_premium">#REF!</definedName>
    <definedName name="stubyear">#REF!</definedName>
    <definedName name="totalcap">#REF!</definedName>
    <definedName name="wacc">#REF!</definedName>
    <definedName name="wrn.2._.pagers." hidden="1">{"Cover",#N/A,FALSE,"Cover";"Summary",#N/A,FALSE,"Summarpage"}</definedName>
    <definedName name="wrn.allpages." hidden="1">{#N/A,#N/A,TRUE,"Historicals";#N/A,#N/A,TRUE,"Charts";#N/A,#N/A,TRUE,"Forecasts"}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LBO._.Summary." hidden="1">{"LBO Summary",#N/A,FALSE,"Summary"}</definedName>
    <definedName name="wrn.MOBIL." hidden="1">{"quarter",#N/A,FALSE,"MOB"}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 hidden="1">{"off_at",#N/A,FALSE,"Off AT POT";"off_bt",#N/A,FALSE,"Off POT"}</definedName>
    <definedName name="wrn.Pulp." hidden="1">{"Pulp Production",#N/A,FALSE,"Pulp";"Pulp Earnings",#N/A,FALSE,"Pulp"}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1" l="1"/>
  <c r="G71" i="12"/>
  <c r="F53" i="4" l="1"/>
  <c r="F55" i="4"/>
  <c r="G53" i="4"/>
  <c r="H53" i="4"/>
  <c r="I53" i="4"/>
  <c r="J53" i="4"/>
  <c r="K53" i="4"/>
  <c r="L53" i="4"/>
  <c r="M53" i="4"/>
  <c r="N53" i="4"/>
  <c r="O53" i="4"/>
  <c r="P53" i="4"/>
  <c r="Q53" i="4"/>
  <c r="J43" i="12"/>
  <c r="AI17" i="14" l="1"/>
  <c r="AI18" i="14"/>
  <c r="AI19" i="14"/>
  <c r="AI20" i="14"/>
  <c r="AH18" i="14"/>
  <c r="AH19" i="14"/>
  <c r="AH20" i="14"/>
  <c r="AH17" i="14"/>
  <c r="Z14" i="14"/>
  <c r="I56" i="11" l="1"/>
  <c r="I41" i="11"/>
  <c r="BS45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E24" i="11" l="1"/>
  <c r="BR54" i="11" l="1"/>
  <c r="BS55" i="11"/>
  <c r="I54" i="11"/>
  <c r="I55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I9" i="11"/>
  <c r="H27" i="11"/>
  <c r="F17" i="11"/>
  <c r="E17" i="11"/>
  <c r="I15" i="11"/>
  <c r="H15" i="11"/>
  <c r="F15" i="11"/>
  <c r="E15" i="11"/>
  <c r="H59" i="11"/>
  <c r="H43" i="11"/>
  <c r="M55" i="1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AB42" i="16" l="1"/>
  <c r="M43" i="16"/>
  <c r="R43" i="16"/>
  <c r="W43" i="16"/>
  <c r="I56" i="12"/>
  <c r="J55" i="12"/>
  <c r="G7" i="15"/>
  <c r="J100" i="15"/>
  <c r="J99" i="15"/>
  <c r="J98" i="15"/>
  <c r="J97" i="15"/>
  <c r="J96" i="15"/>
  <c r="O86" i="15"/>
  <c r="N86" i="15"/>
  <c r="M86" i="15"/>
  <c r="L86" i="15"/>
  <c r="K86" i="15"/>
  <c r="S50" i="11"/>
  <c r="R50" i="11"/>
  <c r="Q50" i="11"/>
  <c r="P50" i="11"/>
  <c r="O50" i="11"/>
  <c r="N50" i="11"/>
  <c r="M50" i="11"/>
  <c r="L50" i="11"/>
  <c r="K50" i="11"/>
  <c r="J50" i="11"/>
  <c r="I50" i="11"/>
  <c r="H14" i="15"/>
  <c r="G29" i="15"/>
  <c r="F29" i="15"/>
  <c r="E29" i="15"/>
  <c r="D29" i="15"/>
  <c r="C29" i="15"/>
  <c r="I16" i="12"/>
  <c r="V15" i="15"/>
  <c r="H43" i="14" l="1"/>
  <c r="J56" i="11"/>
  <c r="C103" i="15"/>
  <c r="C102" i="15"/>
  <c r="C98" i="15"/>
  <c r="C99" i="15" s="1"/>
  <c r="I84" i="12"/>
  <c r="I83" i="12"/>
  <c r="I79" i="12"/>
  <c r="D86" i="12"/>
  <c r="D80" i="12"/>
  <c r="I85" i="12" l="1"/>
  <c r="H85" i="12" s="1"/>
  <c r="G53" i="15"/>
  <c r="G27" i="15"/>
  <c r="F27" i="15"/>
  <c r="E27" i="15"/>
  <c r="D27" i="15"/>
  <c r="C27" i="15"/>
  <c r="H12" i="15"/>
  <c r="H8" i="15"/>
  <c r="H7" i="15"/>
  <c r="H5" i="15"/>
  <c r="E9" i="15"/>
  <c r="E7" i="15"/>
  <c r="E6" i="15"/>
  <c r="I24" i="12"/>
  <c r="I19" i="12"/>
  <c r="I16" i="11"/>
  <c r="B71" i="12"/>
  <c r="B72" i="12" s="1"/>
  <c r="B73" i="12" s="1"/>
  <c r="B74" i="12" s="1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0" i="12"/>
  <c r="M39" i="12"/>
  <c r="M38" i="12"/>
  <c r="M36" i="12"/>
  <c r="J55" i="11"/>
  <c r="K55" i="11" s="1"/>
  <c r="L55" i="11" s="1"/>
  <c r="M55" i="11" s="1"/>
  <c r="N55" i="11" s="1"/>
  <c r="O55" i="11" s="1"/>
  <c r="P55" i="11" s="1"/>
  <c r="Q55" i="11" s="1"/>
  <c r="R55" i="11" s="1"/>
  <c r="S55" i="11" s="1"/>
  <c r="E54" i="12"/>
  <c r="W31" i="16" s="1"/>
  <c r="M42" i="16"/>
  <c r="W42" i="16"/>
  <c r="R42" i="16"/>
  <c r="J16" i="11" l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AH16" i="11" s="1"/>
  <c r="AI16" i="11" s="1"/>
  <c r="AJ16" i="11" s="1"/>
  <c r="AK16" i="11" s="1"/>
  <c r="AL16" i="11" s="1"/>
  <c r="AM16" i="11" s="1"/>
  <c r="AN16" i="11" s="1"/>
  <c r="AO16" i="11" s="1"/>
  <c r="AP16" i="11" s="1"/>
  <c r="AQ16" i="11" s="1"/>
  <c r="AR16" i="11" s="1"/>
  <c r="AS16" i="11" s="1"/>
  <c r="AT16" i="11" s="1"/>
  <c r="AU16" i="11" s="1"/>
  <c r="AV16" i="11" s="1"/>
  <c r="AW16" i="11" s="1"/>
  <c r="AX16" i="11" s="1"/>
  <c r="AY16" i="11" s="1"/>
  <c r="AZ16" i="11" s="1"/>
  <c r="BA16" i="11" s="1"/>
  <c r="BB16" i="11" s="1"/>
  <c r="BC16" i="11" s="1"/>
  <c r="BD16" i="11" s="1"/>
  <c r="BE16" i="11" s="1"/>
  <c r="BF16" i="11" s="1"/>
  <c r="BG16" i="11" s="1"/>
  <c r="BH16" i="11" s="1"/>
  <c r="BI16" i="11" s="1"/>
  <c r="BJ16" i="11" s="1"/>
  <c r="BK16" i="11" s="1"/>
  <c r="BL16" i="11" s="1"/>
  <c r="BM16" i="11" s="1"/>
  <c r="BN16" i="11" s="1"/>
  <c r="BO16" i="11" s="1"/>
  <c r="BP16" i="11" s="1"/>
  <c r="H31" i="16"/>
  <c r="K87" i="15"/>
  <c r="L87" i="15"/>
  <c r="M87" i="15"/>
  <c r="O87" i="15"/>
  <c r="K94" i="15"/>
  <c r="L94" i="15"/>
  <c r="M94" i="15"/>
  <c r="O94" i="15"/>
  <c r="N94" i="15"/>
  <c r="N87" i="15"/>
  <c r="H13" i="15"/>
  <c r="E13" i="15"/>
  <c r="H11" i="15"/>
  <c r="E19" i="15"/>
  <c r="I87" i="12"/>
  <c r="I90" i="12" s="1"/>
  <c r="E44" i="15"/>
  <c r="C6" i="15"/>
  <c r="F19" i="15"/>
  <c r="C17" i="15"/>
  <c r="C18" i="15"/>
  <c r="C19" i="15"/>
  <c r="G19" i="15"/>
  <c r="H9" i="15"/>
  <c r="D19" i="15"/>
  <c r="AB31" i="16"/>
  <c r="R31" i="16"/>
  <c r="M31" i="16"/>
  <c r="J45" i="12"/>
  <c r="C7" i="15" l="1"/>
  <c r="I92" i="12"/>
  <c r="H90" i="12"/>
  <c r="E18" i="15"/>
  <c r="C20" i="15"/>
  <c r="C22" i="15" s="1"/>
  <c r="D17" i="15" s="1"/>
  <c r="G18" i="15"/>
  <c r="C28" i="15"/>
  <c r="F18" i="15"/>
  <c r="D18" i="15"/>
  <c r="U30" i="14"/>
  <c r="V29" i="14"/>
  <c r="T29" i="14"/>
  <c r="U26" i="14"/>
  <c r="V25" i="14"/>
  <c r="T25" i="14"/>
  <c r="U17" i="14"/>
  <c r="V16" i="14"/>
  <c r="T16" i="14"/>
  <c r="H37" i="14"/>
  <c r="G26" i="14"/>
  <c r="F26" i="14" s="1"/>
  <c r="G10" i="14"/>
  <c r="F10" i="14" s="1"/>
  <c r="BS20" i="11"/>
  <c r="U10" i="14" s="1"/>
  <c r="J27" i="11"/>
  <c r="I14" i="14" s="1"/>
  <c r="K27" i="11"/>
  <c r="J14" i="14" s="1"/>
  <c r="L27" i="11"/>
  <c r="K14" i="14" s="1"/>
  <c r="M27" i="11"/>
  <c r="L14" i="14" s="1"/>
  <c r="N27" i="11"/>
  <c r="M14" i="14" s="1"/>
  <c r="O27" i="11"/>
  <c r="N14" i="14" s="1"/>
  <c r="P27" i="11"/>
  <c r="O14" i="14" s="1"/>
  <c r="Q27" i="11"/>
  <c r="P14" i="14" s="1"/>
  <c r="R27" i="11"/>
  <c r="Q14" i="14" s="1"/>
  <c r="S27" i="11"/>
  <c r="R14" i="14" s="1"/>
  <c r="T27" i="11"/>
  <c r="S14" i="14" s="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I27" i="11"/>
  <c r="U5" i="11"/>
  <c r="V5" i="11"/>
  <c r="V50" i="11" s="1"/>
  <c r="W5" i="11"/>
  <c r="X5" i="11"/>
  <c r="X50" i="11" s="1"/>
  <c r="Y5" i="11"/>
  <c r="Y50" i="11" s="1"/>
  <c r="Z5" i="11"/>
  <c r="AA5" i="11"/>
  <c r="AB5" i="11"/>
  <c r="AC5" i="11"/>
  <c r="AC50" i="11" s="1"/>
  <c r="AD5" i="11"/>
  <c r="AE5" i="11"/>
  <c r="T5" i="11"/>
  <c r="T50" i="11" s="1"/>
  <c r="CC50" i="11" s="1"/>
  <c r="F4" i="11"/>
  <c r="I39" i="11"/>
  <c r="J40" i="12"/>
  <c r="J39" i="12"/>
  <c r="I40" i="11" s="1"/>
  <c r="R42" i="14"/>
  <c r="J44" i="12"/>
  <c r="I45" i="11" s="1"/>
  <c r="I46" i="11"/>
  <c r="J46" i="12"/>
  <c r="J47" i="12"/>
  <c r="I48" i="11" s="1"/>
  <c r="J48" i="12"/>
  <c r="I49" i="11" s="1"/>
  <c r="J49" i="12"/>
  <c r="J50" i="12"/>
  <c r="J51" i="12"/>
  <c r="I52" i="11" s="1"/>
  <c r="J52" i="12"/>
  <c r="I53" i="11" s="1"/>
  <c r="J53" i="12"/>
  <c r="J54" i="12"/>
  <c r="C7" i="11"/>
  <c r="C6" i="11"/>
  <c r="C5" i="11"/>
  <c r="C4" i="11"/>
  <c r="J36" i="12"/>
  <c r="J37" i="11" s="1"/>
  <c r="BW27" i="11" l="1"/>
  <c r="H38" i="14"/>
  <c r="J51" i="11"/>
  <c r="AQ5" i="11"/>
  <c r="AE50" i="11"/>
  <c r="AP5" i="11"/>
  <c r="AD50" i="11"/>
  <c r="AL5" i="11"/>
  <c r="Z50" i="11"/>
  <c r="AN5" i="11"/>
  <c r="AB50" i="11"/>
  <c r="AM5" i="11"/>
  <c r="AA50" i="11"/>
  <c r="AI5" i="11"/>
  <c r="W50" i="11"/>
  <c r="AG5" i="11"/>
  <c r="U50" i="11"/>
  <c r="C65" i="15"/>
  <c r="J79" i="15" s="1"/>
  <c r="L88" i="15"/>
  <c r="K88" i="15"/>
  <c r="N88" i="15"/>
  <c r="M88" i="15"/>
  <c r="O88" i="15"/>
  <c r="F28" i="15"/>
  <c r="G28" i="15"/>
  <c r="C13" i="15"/>
  <c r="H10" i="15"/>
  <c r="J38" i="15"/>
  <c r="D99" i="15"/>
  <c r="J172" i="15" s="1"/>
  <c r="D100" i="15"/>
  <c r="E109" i="15" s="1"/>
  <c r="D98" i="15"/>
  <c r="J138" i="15" s="1"/>
  <c r="J158" i="15"/>
  <c r="G20" i="15"/>
  <c r="F20" i="15"/>
  <c r="D20" i="15"/>
  <c r="D22" i="15" s="1"/>
  <c r="E17" i="15" s="1"/>
  <c r="D28" i="15"/>
  <c r="E28" i="15"/>
  <c r="E20" i="15"/>
  <c r="AF5" i="11"/>
  <c r="T55" i="11"/>
  <c r="J45" i="1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S32" i="14" s="1"/>
  <c r="H34" i="14"/>
  <c r="CD27" i="11"/>
  <c r="J39" i="11"/>
  <c r="K39" i="11" s="1"/>
  <c r="L39" i="11" s="1"/>
  <c r="M39" i="11" s="1"/>
  <c r="N39" i="11" s="1"/>
  <c r="O39" i="11" s="1"/>
  <c r="P39" i="11" s="1"/>
  <c r="Q39" i="11" s="1"/>
  <c r="R39" i="11" s="1"/>
  <c r="S39" i="11" s="1"/>
  <c r="R26" i="14" s="1"/>
  <c r="J46" i="1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S33" i="14" s="1"/>
  <c r="CE27" i="11"/>
  <c r="CF27" i="11"/>
  <c r="CG27" i="11"/>
  <c r="H14" i="14"/>
  <c r="X14" i="14" s="1"/>
  <c r="CC27" i="11"/>
  <c r="K37" i="11"/>
  <c r="J24" i="14" s="1"/>
  <c r="P42" i="14"/>
  <c r="Q42" i="14"/>
  <c r="O42" i="14"/>
  <c r="N42" i="14"/>
  <c r="I24" i="14"/>
  <c r="J41" i="11"/>
  <c r="H28" i="14"/>
  <c r="J40" i="11"/>
  <c r="K40" i="11" s="1"/>
  <c r="H27" i="14"/>
  <c r="K42" i="14"/>
  <c r="J42" i="14"/>
  <c r="H32" i="14"/>
  <c r="H33" i="14"/>
  <c r="M42" i="14"/>
  <c r="L42" i="14"/>
  <c r="H42" i="14"/>
  <c r="J53" i="11"/>
  <c r="H40" i="14"/>
  <c r="J52" i="11"/>
  <c r="H39" i="14"/>
  <c r="AO5" i="11"/>
  <c r="I37" i="14"/>
  <c r="J49" i="11"/>
  <c r="H36" i="14"/>
  <c r="J48" i="11"/>
  <c r="H35" i="14"/>
  <c r="AJ5" i="11"/>
  <c r="J54" i="11"/>
  <c r="H41" i="14"/>
  <c r="H24" i="14"/>
  <c r="I42" i="14"/>
  <c r="H24" i="11"/>
  <c r="H26" i="14"/>
  <c r="BR27" i="11"/>
  <c r="T14" i="14" s="1"/>
  <c r="J47" i="11"/>
  <c r="AK5" i="11"/>
  <c r="AK50" i="11" s="1"/>
  <c r="AH5" i="11"/>
  <c r="AH50" i="11" s="1"/>
  <c r="I11" i="11"/>
  <c r="I24" i="11"/>
  <c r="J15" i="11"/>
  <c r="F30" i="11"/>
  <c r="G17" i="14" s="1"/>
  <c r="F17" i="14" s="1"/>
  <c r="E30" i="11"/>
  <c r="H5" i="14" l="1"/>
  <c r="I17" i="11"/>
  <c r="K51" i="11"/>
  <c r="I38" i="14"/>
  <c r="AU5" i="11"/>
  <c r="AI50" i="11"/>
  <c r="AS5" i="11"/>
  <c r="AG50" i="11"/>
  <c r="AX5" i="11"/>
  <c r="AL50" i="11"/>
  <c r="BB5" i="11"/>
  <c r="AP50" i="11"/>
  <c r="BA5" i="11"/>
  <c r="AO50" i="11"/>
  <c r="AY5" i="11"/>
  <c r="AM50" i="11"/>
  <c r="AR5" i="11"/>
  <c r="AF50" i="11"/>
  <c r="CD50" i="11" s="1"/>
  <c r="AZ5" i="11"/>
  <c r="AN50" i="11"/>
  <c r="AV5" i="11"/>
  <c r="AJ50" i="11"/>
  <c r="BC5" i="11"/>
  <c r="AQ50" i="11"/>
  <c r="J77" i="15"/>
  <c r="J82" i="15"/>
  <c r="J78" i="15"/>
  <c r="J80" i="15"/>
  <c r="J76" i="15"/>
  <c r="J81" i="15"/>
  <c r="J83" i="15"/>
  <c r="J139" i="15"/>
  <c r="J148" i="15"/>
  <c r="D134" i="15"/>
  <c r="J170" i="15"/>
  <c r="J146" i="15"/>
  <c r="C134" i="15"/>
  <c r="J40" i="15"/>
  <c r="C109" i="15"/>
  <c r="C110" i="15" s="1"/>
  <c r="J162" i="15"/>
  <c r="D109" i="15"/>
  <c r="F109" i="15"/>
  <c r="G109" i="15"/>
  <c r="J44" i="15"/>
  <c r="E22" i="15"/>
  <c r="CC55" i="11"/>
  <c r="J32" i="14"/>
  <c r="T39" i="11"/>
  <c r="CC39" i="11" s="1"/>
  <c r="N32" i="14"/>
  <c r="J33" i="14"/>
  <c r="I32" i="14"/>
  <c r="K32" i="14"/>
  <c r="BR45" i="11"/>
  <c r="T32" i="14" s="1"/>
  <c r="Q32" i="14"/>
  <c r="L32" i="14"/>
  <c r="L33" i="14"/>
  <c r="N33" i="14"/>
  <c r="M33" i="14"/>
  <c r="O32" i="14"/>
  <c r="P32" i="14"/>
  <c r="K33" i="14"/>
  <c r="R32" i="14"/>
  <c r="P33" i="14"/>
  <c r="BR46" i="11"/>
  <c r="T33" i="14" s="1"/>
  <c r="Q33" i="14"/>
  <c r="O33" i="14"/>
  <c r="M32" i="14"/>
  <c r="R33" i="14"/>
  <c r="I33" i="14"/>
  <c r="O26" i="14"/>
  <c r="M26" i="14"/>
  <c r="K26" i="14"/>
  <c r="J26" i="14"/>
  <c r="P26" i="14"/>
  <c r="CC46" i="11"/>
  <c r="CC45" i="11"/>
  <c r="Q26" i="14"/>
  <c r="I26" i="14"/>
  <c r="L26" i="14"/>
  <c r="N26" i="14"/>
  <c r="I27" i="14"/>
  <c r="K41" i="11"/>
  <c r="I28" i="14"/>
  <c r="L40" i="11"/>
  <c r="J27" i="14"/>
  <c r="J37" i="14"/>
  <c r="S42" i="14"/>
  <c r="X42" i="14" s="1"/>
  <c r="K47" i="11"/>
  <c r="I34" i="14"/>
  <c r="K48" i="11"/>
  <c r="I35" i="14"/>
  <c r="K49" i="11"/>
  <c r="I36" i="14"/>
  <c r="K52" i="11"/>
  <c r="I39" i="14"/>
  <c r="K54" i="11"/>
  <c r="I41" i="14"/>
  <c r="K53" i="11"/>
  <c r="I40" i="14"/>
  <c r="AW5" i="11"/>
  <c r="E46" i="12"/>
  <c r="AT5" i="11"/>
  <c r="AT50" i="11" s="1"/>
  <c r="J24" i="11"/>
  <c r="J11" i="11"/>
  <c r="K15" i="11"/>
  <c r="D65" i="12"/>
  <c r="I65" i="12"/>
  <c r="B62" i="12"/>
  <c r="U42" i="14"/>
  <c r="BS46" i="11"/>
  <c r="U33" i="14" s="1"/>
  <c r="U32" i="14"/>
  <c r="BS27" i="11"/>
  <c r="U14" i="14" s="1"/>
  <c r="Y14" i="14" s="1"/>
  <c r="BR55" i="11"/>
  <c r="T42" i="14" s="1"/>
  <c r="F9" i="11"/>
  <c r="E9" i="11"/>
  <c r="F24" i="11"/>
  <c r="I6" i="1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AJ6" i="11" s="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BD6" i="11" s="1"/>
  <c r="BE6" i="11" s="1"/>
  <c r="BF6" i="11" s="1"/>
  <c r="BG6" i="11" s="1"/>
  <c r="BH6" i="11" s="1"/>
  <c r="BI6" i="11" s="1"/>
  <c r="BJ6" i="11" s="1"/>
  <c r="BK6" i="11" s="1"/>
  <c r="BL6" i="11" s="1"/>
  <c r="BM6" i="11" s="1"/>
  <c r="BN6" i="11" s="1"/>
  <c r="BO6" i="11" s="1"/>
  <c r="BP6" i="11" s="1"/>
  <c r="H7" i="11"/>
  <c r="I7" i="11" s="1"/>
  <c r="AJ6" i="4"/>
  <c r="AF9" i="4"/>
  <c r="AF13" i="4"/>
  <c r="AF16" i="4"/>
  <c r="AF18" i="4"/>
  <c r="AF19" i="4"/>
  <c r="AF40" i="4"/>
  <c r="AF42" i="4"/>
  <c r="I5" i="14" l="1"/>
  <c r="J17" i="11"/>
  <c r="L51" i="11"/>
  <c r="J38" i="14"/>
  <c r="BJ5" i="11"/>
  <c r="BJ50" i="11" s="1"/>
  <c r="AX50" i="11"/>
  <c r="BE5" i="11"/>
  <c r="BE50" i="11" s="1"/>
  <c r="AS50" i="11"/>
  <c r="BD5" i="11"/>
  <c r="AR50" i="11"/>
  <c r="CE50" i="11" s="1"/>
  <c r="BK5" i="11"/>
  <c r="BK50" i="11" s="1"/>
  <c r="AY50" i="11"/>
  <c r="BM5" i="11"/>
  <c r="BM50" i="11" s="1"/>
  <c r="BA50" i="11"/>
  <c r="BH5" i="11"/>
  <c r="BH50" i="11" s="1"/>
  <c r="AV50" i="11"/>
  <c r="BL5" i="11"/>
  <c r="BL50" i="11" s="1"/>
  <c r="AZ50" i="11"/>
  <c r="BG5" i="11"/>
  <c r="BG50" i="11" s="1"/>
  <c r="AU50" i="11"/>
  <c r="BI5" i="11"/>
  <c r="BI50" i="11" s="1"/>
  <c r="AW50" i="11"/>
  <c r="BN5" i="11"/>
  <c r="BN50" i="11" s="1"/>
  <c r="BB50" i="11"/>
  <c r="BO5" i="11"/>
  <c r="BO50" i="11" s="1"/>
  <c r="BC50" i="11"/>
  <c r="S26" i="14"/>
  <c r="X26" i="14" s="1"/>
  <c r="H109" i="15"/>
  <c r="F17" i="15"/>
  <c r="F22" i="15" s="1"/>
  <c r="G17" i="15" s="1"/>
  <c r="G22" i="15" s="1"/>
  <c r="D44" i="15" s="1"/>
  <c r="C44" i="15"/>
  <c r="BR39" i="11"/>
  <c r="T26" i="14" s="1"/>
  <c r="U39" i="11"/>
  <c r="V39" i="11" s="1"/>
  <c r="W39" i="11" s="1"/>
  <c r="X39" i="11" s="1"/>
  <c r="Y39" i="11" s="1"/>
  <c r="Z39" i="11" s="1"/>
  <c r="AA39" i="11" s="1"/>
  <c r="AB39" i="11" s="1"/>
  <c r="AC39" i="11" s="1"/>
  <c r="AD39" i="11" s="1"/>
  <c r="AE39" i="11" s="1"/>
  <c r="AF39" i="11" s="1"/>
  <c r="U55" i="11"/>
  <c r="X33" i="14"/>
  <c r="Y33" i="14" s="1"/>
  <c r="X32" i="14"/>
  <c r="Y32" i="14" s="1"/>
  <c r="Y42" i="14"/>
  <c r="J7" i="11"/>
  <c r="H8" i="14"/>
  <c r="L41" i="11"/>
  <c r="J28" i="14"/>
  <c r="B63" i="12"/>
  <c r="U45" i="11"/>
  <c r="U46" i="11"/>
  <c r="M40" i="11"/>
  <c r="K27" i="14"/>
  <c r="K37" i="14"/>
  <c r="BF5" i="11"/>
  <c r="L49" i="11"/>
  <c r="J36" i="14"/>
  <c r="L53" i="11"/>
  <c r="J40" i="14"/>
  <c r="L52" i="11"/>
  <c r="J39" i="14"/>
  <c r="L47" i="11"/>
  <c r="J34" i="14"/>
  <c r="L54" i="11"/>
  <c r="J41" i="14"/>
  <c r="L48" i="11"/>
  <c r="J35" i="14"/>
  <c r="BT27" i="11"/>
  <c r="V14" i="14" s="1"/>
  <c r="K24" i="11"/>
  <c r="L15" i="11"/>
  <c r="K11" i="11"/>
  <c r="BT45" i="11"/>
  <c r="V32" i="14" s="1"/>
  <c r="BT55" i="11"/>
  <c r="V42" i="14" s="1"/>
  <c r="BT46" i="11"/>
  <c r="V33" i="14" s="1"/>
  <c r="L37" i="11"/>
  <c r="E11" i="11"/>
  <c r="E36" i="12"/>
  <c r="F11" i="11"/>
  <c r="J5" i="14" l="1"/>
  <c r="K17" i="11"/>
  <c r="M51" i="11"/>
  <c r="K38" i="14"/>
  <c r="BF50" i="11"/>
  <c r="BP5" i="11"/>
  <c r="BD50" i="11"/>
  <c r="CF50" i="11" s="1"/>
  <c r="G58" i="15"/>
  <c r="BW45" i="11"/>
  <c r="G32" i="16" s="1"/>
  <c r="CA27" i="11"/>
  <c r="CM27" i="11" s="1"/>
  <c r="AG39" i="11"/>
  <c r="AH39" i="11" s="1"/>
  <c r="AI39" i="11" s="1"/>
  <c r="AJ39" i="11" s="1"/>
  <c r="AK39" i="11" s="1"/>
  <c r="AL39" i="11" s="1"/>
  <c r="AM39" i="11" s="1"/>
  <c r="AN39" i="11" s="1"/>
  <c r="AO39" i="11" s="1"/>
  <c r="AP39" i="11" s="1"/>
  <c r="AQ39" i="11" s="1"/>
  <c r="AR39" i="11" s="1"/>
  <c r="V55" i="11"/>
  <c r="W55" i="11" s="1"/>
  <c r="X55" i="11" s="1"/>
  <c r="Y55" i="11" s="1"/>
  <c r="Z55" i="11" s="1"/>
  <c r="AA55" i="11" s="1"/>
  <c r="AB55" i="11" s="1"/>
  <c r="AC55" i="11" s="1"/>
  <c r="AD55" i="11" s="1"/>
  <c r="AE55" i="11" s="1"/>
  <c r="AF55" i="11" s="1"/>
  <c r="AG55" i="11" s="1"/>
  <c r="Z33" i="14"/>
  <c r="CD39" i="11"/>
  <c r="V46" i="11"/>
  <c r="W46" i="11" s="1"/>
  <c r="X46" i="11" s="1"/>
  <c r="Y46" i="11" s="1"/>
  <c r="Z46" i="11" s="1"/>
  <c r="AA46" i="11" s="1"/>
  <c r="AB46" i="11" s="1"/>
  <c r="AC46" i="11" s="1"/>
  <c r="AD46" i="11" s="1"/>
  <c r="AE46" i="11" s="1"/>
  <c r="AF46" i="11" s="1"/>
  <c r="BW46" i="11"/>
  <c r="Z42" i="14"/>
  <c r="Z32" i="14"/>
  <c r="V45" i="11"/>
  <c r="W45" i="11" s="1"/>
  <c r="X45" i="11" s="1"/>
  <c r="Y45" i="11" s="1"/>
  <c r="Z45" i="11" s="1"/>
  <c r="AA45" i="11" s="1"/>
  <c r="AB45" i="11" s="1"/>
  <c r="AC45" i="11" s="1"/>
  <c r="AD45" i="11" s="1"/>
  <c r="AE45" i="11" s="1"/>
  <c r="AF45" i="11" s="1"/>
  <c r="AG45" i="11" s="1"/>
  <c r="M41" i="11"/>
  <c r="K28" i="14"/>
  <c r="B64" i="12"/>
  <c r="N40" i="11"/>
  <c r="L27" i="14"/>
  <c r="K7" i="11"/>
  <c r="I8" i="14"/>
  <c r="M47" i="11"/>
  <c r="K34" i="14"/>
  <c r="M48" i="11"/>
  <c r="K35" i="14"/>
  <c r="M53" i="11"/>
  <c r="K40" i="14"/>
  <c r="BW55" i="11"/>
  <c r="CI55" i="11" s="1"/>
  <c r="BX39" i="11"/>
  <c r="L26" i="16" s="1"/>
  <c r="L37" i="14"/>
  <c r="M52" i="11"/>
  <c r="K39" i="14"/>
  <c r="K24" i="14"/>
  <c r="M49" i="11"/>
  <c r="K36" i="14"/>
  <c r="M54" i="11"/>
  <c r="K41" i="14"/>
  <c r="BW39" i="11"/>
  <c r="L11" i="11"/>
  <c r="L24" i="11"/>
  <c r="M15" i="11"/>
  <c r="M37" i="11"/>
  <c r="L24" i="14" s="1"/>
  <c r="K5" i="14" l="1"/>
  <c r="L17" i="11"/>
  <c r="N51" i="11"/>
  <c r="L38" i="14"/>
  <c r="AA14" i="16"/>
  <c r="BP50" i="11"/>
  <c r="CG50" i="11" s="1"/>
  <c r="BY27" i="11"/>
  <c r="Q14" i="16" s="1"/>
  <c r="BZ27" i="11"/>
  <c r="CI45" i="11"/>
  <c r="BX27" i="11"/>
  <c r="BX46" i="11"/>
  <c r="L33" i="16" s="1"/>
  <c r="BX55" i="11"/>
  <c r="CD55" i="11"/>
  <c r="AH55" i="11"/>
  <c r="AI55" i="11" s="1"/>
  <c r="AJ55" i="11" s="1"/>
  <c r="AK55" i="11" s="1"/>
  <c r="AL55" i="11" s="1"/>
  <c r="AM55" i="11" s="1"/>
  <c r="AN55" i="11" s="1"/>
  <c r="AO55" i="11" s="1"/>
  <c r="AP55" i="11" s="1"/>
  <c r="AQ55" i="11" s="1"/>
  <c r="AR55" i="11" s="1"/>
  <c r="AS55" i="11" s="1"/>
  <c r="AS39" i="11"/>
  <c r="AT39" i="11" s="1"/>
  <c r="AU39" i="11" s="1"/>
  <c r="AV39" i="11" s="1"/>
  <c r="AW39" i="11" s="1"/>
  <c r="AX39" i="11" s="1"/>
  <c r="AY39" i="11" s="1"/>
  <c r="AZ39" i="11" s="1"/>
  <c r="BA39" i="11" s="1"/>
  <c r="BB39" i="11" s="1"/>
  <c r="BC39" i="11" s="1"/>
  <c r="BD39" i="11" s="1"/>
  <c r="AG46" i="11"/>
  <c r="AH46" i="11" s="1"/>
  <c r="AI46" i="11" s="1"/>
  <c r="AJ46" i="11" s="1"/>
  <c r="AK46" i="11" s="1"/>
  <c r="AL46" i="11" s="1"/>
  <c r="AM46" i="11" s="1"/>
  <c r="AN46" i="11" s="1"/>
  <c r="AO46" i="11" s="1"/>
  <c r="AP46" i="11" s="1"/>
  <c r="AQ46" i="11" s="1"/>
  <c r="AR46" i="11" s="1"/>
  <c r="AS46" i="11" s="1"/>
  <c r="CD46" i="11"/>
  <c r="AH45" i="11"/>
  <c r="AI45" i="11" s="1"/>
  <c r="AJ45" i="11" s="1"/>
  <c r="AK45" i="11" s="1"/>
  <c r="AL45" i="11" s="1"/>
  <c r="AM45" i="11" s="1"/>
  <c r="AN45" i="11" s="1"/>
  <c r="AO45" i="11" s="1"/>
  <c r="AP45" i="11" s="1"/>
  <c r="AQ45" i="11" s="1"/>
  <c r="AR45" i="11" s="1"/>
  <c r="AS45" i="11" s="1"/>
  <c r="G26" i="16"/>
  <c r="CI39" i="11"/>
  <c r="G33" i="16"/>
  <c r="CI46" i="11"/>
  <c r="CE39" i="11"/>
  <c r="CJ39" i="11"/>
  <c r="CD45" i="11"/>
  <c r="G42" i="16"/>
  <c r="L42" i="16"/>
  <c r="L7" i="11"/>
  <c r="J8" i="14"/>
  <c r="B65" i="12"/>
  <c r="BX45" i="11"/>
  <c r="L32" i="16" s="1"/>
  <c r="N41" i="11"/>
  <c r="L28" i="14"/>
  <c r="O40" i="11"/>
  <c r="M27" i="14"/>
  <c r="BY39" i="11"/>
  <c r="Q26" i="16" s="1"/>
  <c r="N47" i="11"/>
  <c r="L34" i="14"/>
  <c r="M37" i="14"/>
  <c r="N54" i="11"/>
  <c r="L41" i="14"/>
  <c r="N53" i="11"/>
  <c r="L40" i="14"/>
  <c r="N49" i="11"/>
  <c r="L36" i="14"/>
  <c r="N48" i="11"/>
  <c r="L35" i="14"/>
  <c r="N52" i="11"/>
  <c r="L39" i="14"/>
  <c r="N15" i="11"/>
  <c r="M24" i="11"/>
  <c r="M11" i="11"/>
  <c r="N37" i="11"/>
  <c r="M24" i="14" s="1"/>
  <c r="CK27" i="11" l="1"/>
  <c r="L5" i="14"/>
  <c r="M17" i="11"/>
  <c r="O51" i="11"/>
  <c r="M38" i="14"/>
  <c r="CJ55" i="11"/>
  <c r="CJ46" i="11"/>
  <c r="L14" i="16"/>
  <c r="CJ27" i="11"/>
  <c r="V14" i="16"/>
  <c r="CL27" i="11"/>
  <c r="G14" i="16"/>
  <c r="CI27" i="11"/>
  <c r="AT55" i="11"/>
  <c r="AU55" i="11" s="1"/>
  <c r="AV55" i="11" s="1"/>
  <c r="AW55" i="11" s="1"/>
  <c r="AX55" i="11" s="1"/>
  <c r="AY55" i="11" s="1"/>
  <c r="AZ55" i="11" s="1"/>
  <c r="BA55" i="11" s="1"/>
  <c r="BB55" i="11" s="1"/>
  <c r="BC55" i="11" s="1"/>
  <c r="BD55" i="11" s="1"/>
  <c r="BE55" i="11" s="1"/>
  <c r="BY55" i="11"/>
  <c r="Q42" i="16" s="1"/>
  <c r="CE55" i="11"/>
  <c r="CJ45" i="11"/>
  <c r="CF39" i="11"/>
  <c r="CE45" i="11"/>
  <c r="AT45" i="11"/>
  <c r="AU45" i="11" s="1"/>
  <c r="AV45" i="11" s="1"/>
  <c r="AW45" i="11" s="1"/>
  <c r="AX45" i="11" s="1"/>
  <c r="AY45" i="11" s="1"/>
  <c r="AZ45" i="11" s="1"/>
  <c r="BA45" i="11" s="1"/>
  <c r="BB45" i="11" s="1"/>
  <c r="BC45" i="11" s="1"/>
  <c r="BD45" i="11" s="1"/>
  <c r="BE45" i="11" s="1"/>
  <c r="BY45" i="11"/>
  <c r="Q32" i="16" s="1"/>
  <c r="CK39" i="11"/>
  <c r="CE46" i="11"/>
  <c r="BE39" i="11"/>
  <c r="AT46" i="11"/>
  <c r="AU46" i="11" s="1"/>
  <c r="AV46" i="11" s="1"/>
  <c r="AW46" i="11" s="1"/>
  <c r="AX46" i="11" s="1"/>
  <c r="AY46" i="11" s="1"/>
  <c r="AZ46" i="11" s="1"/>
  <c r="BA46" i="11" s="1"/>
  <c r="BB46" i="11" s="1"/>
  <c r="BC46" i="11" s="1"/>
  <c r="BD46" i="11" s="1"/>
  <c r="BE46" i="11" s="1"/>
  <c r="BY46" i="11"/>
  <c r="Q33" i="16" s="1"/>
  <c r="O41" i="11"/>
  <c r="M28" i="14"/>
  <c r="M7" i="11"/>
  <c r="K8" i="14"/>
  <c r="P40" i="11"/>
  <c r="N27" i="14"/>
  <c r="O49" i="11"/>
  <c r="M36" i="14"/>
  <c r="N37" i="14"/>
  <c r="O47" i="11"/>
  <c r="M34" i="14"/>
  <c r="O53" i="11"/>
  <c r="M40" i="14"/>
  <c r="O52" i="11"/>
  <c r="M39" i="14"/>
  <c r="BZ39" i="11"/>
  <c r="V26" i="16" s="1"/>
  <c r="O48" i="11"/>
  <c r="M35" i="14"/>
  <c r="O54" i="11"/>
  <c r="M41" i="14"/>
  <c r="N11" i="11"/>
  <c r="O15" i="11"/>
  <c r="N24" i="11"/>
  <c r="O37" i="11"/>
  <c r="N24" i="14" s="1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5" i="2"/>
  <c r="I365" i="2"/>
  <c r="J365" i="2"/>
  <c r="H366" i="2"/>
  <c r="I366" i="2"/>
  <c r="J366" i="2"/>
  <c r="H367" i="2"/>
  <c r="I367" i="2"/>
  <c r="J367" i="2"/>
  <c r="H368" i="2"/>
  <c r="I368" i="2"/>
  <c r="J368" i="2"/>
  <c r="H369" i="2"/>
  <c r="I369" i="2"/>
  <c r="J369" i="2"/>
  <c r="H370" i="2"/>
  <c r="I370" i="2"/>
  <c r="J370" i="2"/>
  <c r="H371" i="2"/>
  <c r="I371" i="2"/>
  <c r="J371" i="2"/>
  <c r="H372" i="2"/>
  <c r="I372" i="2"/>
  <c r="J372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H382" i="2"/>
  <c r="I382" i="2"/>
  <c r="J382" i="2"/>
  <c r="H383" i="2"/>
  <c r="I383" i="2"/>
  <c r="J383" i="2"/>
  <c r="H384" i="2"/>
  <c r="I384" i="2"/>
  <c r="J384" i="2"/>
  <c r="H385" i="2"/>
  <c r="I385" i="2"/>
  <c r="J385" i="2"/>
  <c r="H386" i="2"/>
  <c r="I386" i="2"/>
  <c r="J386" i="2"/>
  <c r="H387" i="2"/>
  <c r="I387" i="2"/>
  <c r="J387" i="2"/>
  <c r="H388" i="2"/>
  <c r="I388" i="2"/>
  <c r="J388" i="2"/>
  <c r="H389" i="2"/>
  <c r="I389" i="2"/>
  <c r="J389" i="2"/>
  <c r="H390" i="2"/>
  <c r="I390" i="2"/>
  <c r="J390" i="2"/>
  <c r="H391" i="2"/>
  <c r="I391" i="2"/>
  <c r="J391" i="2"/>
  <c r="M5" i="14" l="1"/>
  <c r="N17" i="11"/>
  <c r="P51" i="11"/>
  <c r="N38" i="14"/>
  <c r="BZ45" i="11"/>
  <c r="V32" i="16" s="1"/>
  <c r="CK45" i="11"/>
  <c r="BF55" i="11"/>
  <c r="BG55" i="11" s="1"/>
  <c r="BH55" i="11" s="1"/>
  <c r="BI55" i="11" s="1"/>
  <c r="BJ55" i="11" s="1"/>
  <c r="BK55" i="11" s="1"/>
  <c r="BL55" i="11" s="1"/>
  <c r="BM55" i="11" s="1"/>
  <c r="BN55" i="11" s="1"/>
  <c r="BO55" i="11" s="1"/>
  <c r="BP55" i="11" s="1"/>
  <c r="CG55" i="11" s="1"/>
  <c r="BZ55" i="11"/>
  <c r="V42" i="16" s="1"/>
  <c r="CK55" i="11"/>
  <c r="CF55" i="11"/>
  <c r="CF45" i="11"/>
  <c r="CL45" i="11" s="1"/>
  <c r="BF45" i="11"/>
  <c r="BG45" i="11" s="1"/>
  <c r="BH45" i="11" s="1"/>
  <c r="BI45" i="11" s="1"/>
  <c r="BJ45" i="11" s="1"/>
  <c r="BK45" i="11" s="1"/>
  <c r="BL45" i="11" s="1"/>
  <c r="BM45" i="11" s="1"/>
  <c r="BN45" i="11" s="1"/>
  <c r="BO45" i="11" s="1"/>
  <c r="BP45" i="11" s="1"/>
  <c r="CL39" i="11"/>
  <c r="CK46" i="11"/>
  <c r="CF46" i="11"/>
  <c r="BF39" i="11"/>
  <c r="BG39" i="11" s="1"/>
  <c r="BH39" i="11" s="1"/>
  <c r="BI39" i="11" s="1"/>
  <c r="BJ39" i="11" s="1"/>
  <c r="BK39" i="11" s="1"/>
  <c r="BL39" i="11" s="1"/>
  <c r="BM39" i="11" s="1"/>
  <c r="BN39" i="11" s="1"/>
  <c r="BO39" i="11" s="1"/>
  <c r="BP39" i="11" s="1"/>
  <c r="N7" i="11"/>
  <c r="L8" i="14"/>
  <c r="P41" i="11"/>
  <c r="N28" i="14"/>
  <c r="Q40" i="11"/>
  <c r="O27" i="14"/>
  <c r="BF46" i="11"/>
  <c r="BG46" i="11" s="1"/>
  <c r="BH46" i="11" s="1"/>
  <c r="BI46" i="11" s="1"/>
  <c r="BJ46" i="11" s="1"/>
  <c r="BK46" i="11" s="1"/>
  <c r="BL46" i="11" s="1"/>
  <c r="BM46" i="11" s="1"/>
  <c r="BN46" i="11" s="1"/>
  <c r="BO46" i="11" s="1"/>
  <c r="BP46" i="11" s="1"/>
  <c r="BZ46" i="11"/>
  <c r="V33" i="16" s="1"/>
  <c r="P52" i="11"/>
  <c r="N39" i="14"/>
  <c r="P47" i="11"/>
  <c r="N34" i="14"/>
  <c r="P48" i="11"/>
  <c r="N35" i="14"/>
  <c r="O37" i="14"/>
  <c r="P49" i="11"/>
  <c r="N36" i="14"/>
  <c r="P53" i="11"/>
  <c r="N40" i="14"/>
  <c r="P54" i="11"/>
  <c r="N41" i="14"/>
  <c r="P15" i="11"/>
  <c r="O24" i="11"/>
  <c r="O11" i="11"/>
  <c r="P37" i="11"/>
  <c r="O24" i="14" s="1"/>
  <c r="N5" i="14" l="1"/>
  <c r="O17" i="11"/>
  <c r="Q51" i="11"/>
  <c r="O38" i="14"/>
  <c r="CA55" i="11"/>
  <c r="CM55" i="11" s="1"/>
  <c r="CL55" i="11"/>
  <c r="CA39" i="11"/>
  <c r="AA26" i="16" s="1"/>
  <c r="CA45" i="11"/>
  <c r="AA32" i="16" s="1"/>
  <c r="CL46" i="11"/>
  <c r="CG46" i="11"/>
  <c r="CG45" i="11"/>
  <c r="CG39" i="11"/>
  <c r="CM39" i="11" s="1"/>
  <c r="AA42" i="16"/>
  <c r="R40" i="11"/>
  <c r="P27" i="14"/>
  <c r="Q41" i="11"/>
  <c r="O28" i="14"/>
  <c r="O7" i="11"/>
  <c r="M8" i="14"/>
  <c r="CA46" i="11"/>
  <c r="AA33" i="16" s="1"/>
  <c r="P37" i="14"/>
  <c r="Q54" i="11"/>
  <c r="O41" i="14"/>
  <c r="Q47" i="11"/>
  <c r="O34" i="14"/>
  <c r="Q52" i="11"/>
  <c r="O39" i="14"/>
  <c r="Q49" i="11"/>
  <c r="O36" i="14"/>
  <c r="Q48" i="11"/>
  <c r="O35" i="14"/>
  <c r="Q53" i="11"/>
  <c r="O40" i="14"/>
  <c r="P24" i="11"/>
  <c r="Q15" i="11"/>
  <c r="P11" i="11"/>
  <c r="Q37" i="11"/>
  <c r="P24" i="14" s="1"/>
  <c r="O5" i="14" l="1"/>
  <c r="P17" i="11"/>
  <c r="R51" i="11"/>
  <c r="P38" i="14"/>
  <c r="CM45" i="11"/>
  <c r="CM46" i="11"/>
  <c r="R41" i="11"/>
  <c r="P28" i="14"/>
  <c r="S40" i="11"/>
  <c r="Q27" i="14"/>
  <c r="P7" i="11"/>
  <c r="N8" i="14"/>
  <c r="R47" i="11"/>
  <c r="P34" i="14"/>
  <c r="R54" i="11"/>
  <c r="P41" i="14"/>
  <c r="Q37" i="14"/>
  <c r="R48" i="11"/>
  <c r="P35" i="14"/>
  <c r="R53" i="11"/>
  <c r="P40" i="14"/>
  <c r="R49" i="11"/>
  <c r="P36" i="14"/>
  <c r="R52" i="11"/>
  <c r="P39" i="14"/>
  <c r="Q24" i="11"/>
  <c r="R15" i="11"/>
  <c r="Q11" i="11"/>
  <c r="R37" i="11"/>
  <c r="Q24" i="14" s="1"/>
  <c r="P5" i="14" l="1"/>
  <c r="Q17" i="11"/>
  <c r="S51" i="11"/>
  <c r="Q38" i="14"/>
  <c r="Q7" i="11"/>
  <c r="O8" i="14"/>
  <c r="T40" i="11"/>
  <c r="R27" i="14"/>
  <c r="S41" i="11"/>
  <c r="Q28" i="14"/>
  <c r="S49" i="11"/>
  <c r="Q36" i="14"/>
  <c r="S53" i="11"/>
  <c r="Q40" i="14"/>
  <c r="S48" i="11"/>
  <c r="Q35" i="14"/>
  <c r="R37" i="14"/>
  <c r="S54" i="11"/>
  <c r="Q41" i="14"/>
  <c r="S52" i="11"/>
  <c r="Q39" i="14"/>
  <c r="S47" i="11"/>
  <c r="Q34" i="14"/>
  <c r="R24" i="11"/>
  <c r="S15" i="11"/>
  <c r="R11" i="11"/>
  <c r="S37" i="11"/>
  <c r="R24" i="14" s="1"/>
  <c r="Q5" i="14" l="1"/>
  <c r="R17" i="11"/>
  <c r="T51" i="11"/>
  <c r="R38" i="14"/>
  <c r="BW40" i="11"/>
  <c r="G27" i="16" s="1"/>
  <c r="CC40" i="11"/>
  <c r="T41" i="11"/>
  <c r="CC41" i="11" s="1"/>
  <c r="R28" i="14"/>
  <c r="S27" i="14"/>
  <c r="X27" i="14" s="1"/>
  <c r="U40" i="11"/>
  <c r="BS40" i="11"/>
  <c r="BR40" i="11"/>
  <c r="T27" i="14" s="1"/>
  <c r="R7" i="11"/>
  <c r="P8" i="14"/>
  <c r="BR50" i="11"/>
  <c r="T37" i="14" s="1"/>
  <c r="S37" i="14"/>
  <c r="X37" i="14" s="1"/>
  <c r="R39" i="14"/>
  <c r="T52" i="11"/>
  <c r="R41" i="14"/>
  <c r="T54" i="11"/>
  <c r="CC54" i="11" s="1"/>
  <c r="R35" i="14"/>
  <c r="T48" i="11"/>
  <c r="CC48" i="11" s="1"/>
  <c r="R40" i="14"/>
  <c r="T53" i="11"/>
  <c r="CC53" i="11" s="1"/>
  <c r="T47" i="11"/>
  <c r="CC47" i="11" s="1"/>
  <c r="R34" i="14"/>
  <c r="R36" i="14"/>
  <c r="T49" i="11"/>
  <c r="S24" i="11"/>
  <c r="S11" i="11"/>
  <c r="T15" i="11"/>
  <c r="T37" i="11"/>
  <c r="CC37" i="11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2" i="2"/>
  <c r="H2" i="2"/>
  <c r="R5" i="14" l="1"/>
  <c r="S17" i="11"/>
  <c r="U51" i="11"/>
  <c r="S38" i="14"/>
  <c r="CC51" i="11"/>
  <c r="BR51" i="11"/>
  <c r="T38" i="14" s="1"/>
  <c r="BR49" i="11"/>
  <c r="T36" i="14" s="1"/>
  <c r="CC49" i="11"/>
  <c r="CI40" i="11"/>
  <c r="BS52" i="11"/>
  <c r="U39" i="14" s="1"/>
  <c r="CC52" i="11"/>
  <c r="T41" i="14"/>
  <c r="S24" i="14"/>
  <c r="X24" i="14" s="1"/>
  <c r="BS37" i="11"/>
  <c r="U24" i="14" s="1"/>
  <c r="U27" i="14"/>
  <c r="Y27" i="14" s="1"/>
  <c r="BT40" i="11"/>
  <c r="V27" i="14" s="1"/>
  <c r="V40" i="11"/>
  <c r="W40" i="11" s="1"/>
  <c r="X40" i="11" s="1"/>
  <c r="Y40" i="11" s="1"/>
  <c r="Z40" i="11" s="1"/>
  <c r="AA40" i="11" s="1"/>
  <c r="AB40" i="11" s="1"/>
  <c r="AC40" i="11" s="1"/>
  <c r="AD40" i="11" s="1"/>
  <c r="AE40" i="11" s="1"/>
  <c r="AF40" i="11" s="1"/>
  <c r="AG40" i="11" s="1"/>
  <c r="S7" i="11"/>
  <c r="Q8" i="14"/>
  <c r="U41" i="11"/>
  <c r="S28" i="14"/>
  <c r="X28" i="14" s="1"/>
  <c r="BS41" i="11"/>
  <c r="BW41" i="11"/>
  <c r="G28" i="16" s="1"/>
  <c r="BR41" i="11"/>
  <c r="T28" i="14" s="1"/>
  <c r="BR48" i="11"/>
  <c r="T35" i="14" s="1"/>
  <c r="S35" i="14"/>
  <c r="X35" i="14" s="1"/>
  <c r="U48" i="11"/>
  <c r="BS48" i="11"/>
  <c r="BR47" i="11"/>
  <c r="T34" i="14" s="1"/>
  <c r="S34" i="14"/>
  <c r="X34" i="14" s="1"/>
  <c r="U47" i="11"/>
  <c r="U53" i="11"/>
  <c r="S40" i="14"/>
  <c r="X40" i="14" s="1"/>
  <c r="BS53" i="11"/>
  <c r="BR53" i="11"/>
  <c r="T40" i="14" s="1"/>
  <c r="U54" i="11"/>
  <c r="S41" i="14"/>
  <c r="X41" i="14" s="1"/>
  <c r="BS54" i="11"/>
  <c r="BR52" i="11"/>
  <c r="T39" i="14" s="1"/>
  <c r="S39" i="14"/>
  <c r="X39" i="14" s="1"/>
  <c r="U52" i="11"/>
  <c r="U49" i="11"/>
  <c r="S36" i="14"/>
  <c r="X36" i="14" s="1"/>
  <c r="BS49" i="11"/>
  <c r="U37" i="11"/>
  <c r="BR37" i="11"/>
  <c r="U15" i="11"/>
  <c r="T24" i="11"/>
  <c r="T11" i="11"/>
  <c r="S5" i="14" l="1"/>
  <c r="T17" i="11"/>
  <c r="V51" i="11"/>
  <c r="W51" i="11" s="1"/>
  <c r="X51" i="11" s="1"/>
  <c r="Y51" i="11" s="1"/>
  <c r="Z51" i="11" s="1"/>
  <c r="AA51" i="11" s="1"/>
  <c r="AB51" i="11" s="1"/>
  <c r="AC51" i="11" s="1"/>
  <c r="AD51" i="11" s="1"/>
  <c r="AE51" i="11" s="1"/>
  <c r="AF51" i="11" s="1"/>
  <c r="AG51" i="11" s="1"/>
  <c r="Y24" i="14"/>
  <c r="T24" i="14"/>
  <c r="CI41" i="11"/>
  <c r="CD40" i="11"/>
  <c r="Y39" i="14"/>
  <c r="Z27" i="14"/>
  <c r="V41" i="11"/>
  <c r="W41" i="11" s="1"/>
  <c r="X41" i="11" s="1"/>
  <c r="Y41" i="11" s="1"/>
  <c r="Z41" i="11" s="1"/>
  <c r="AA41" i="11" s="1"/>
  <c r="AB41" i="11" s="1"/>
  <c r="AC41" i="11" s="1"/>
  <c r="AD41" i="11" s="1"/>
  <c r="AE41" i="11" s="1"/>
  <c r="AF41" i="11" s="1"/>
  <c r="AG41" i="11" s="1"/>
  <c r="T7" i="11"/>
  <c r="R8" i="14"/>
  <c r="BX40" i="11"/>
  <c r="L27" i="16" s="1"/>
  <c r="U28" i="14"/>
  <c r="Y28" i="14" s="1"/>
  <c r="BT41" i="11"/>
  <c r="V28" i="14" s="1"/>
  <c r="AH40" i="11"/>
  <c r="AI40" i="11" s="1"/>
  <c r="AJ40" i="11" s="1"/>
  <c r="AK40" i="11" s="1"/>
  <c r="AL40" i="11" s="1"/>
  <c r="AM40" i="11" s="1"/>
  <c r="AN40" i="11" s="1"/>
  <c r="AO40" i="11" s="1"/>
  <c r="AP40" i="11" s="1"/>
  <c r="AQ40" i="11" s="1"/>
  <c r="AR40" i="11" s="1"/>
  <c r="AS40" i="11" s="1"/>
  <c r="U41" i="14"/>
  <c r="Y41" i="14" s="1"/>
  <c r="BT54" i="11"/>
  <c r="V41" i="14" s="1"/>
  <c r="V54" i="11"/>
  <c r="W54" i="11" s="1"/>
  <c r="X54" i="11" s="1"/>
  <c r="Y54" i="11" s="1"/>
  <c r="Z54" i="11" s="1"/>
  <c r="AA54" i="11" s="1"/>
  <c r="AB54" i="11" s="1"/>
  <c r="AC54" i="11" s="1"/>
  <c r="AD54" i="11" s="1"/>
  <c r="AE54" i="11" s="1"/>
  <c r="AF54" i="11" s="1"/>
  <c r="AG54" i="11" s="1"/>
  <c r="U36" i="14"/>
  <c r="Y36" i="14" s="1"/>
  <c r="BT49" i="11"/>
  <c r="V36" i="14" s="1"/>
  <c r="U40" i="14"/>
  <c r="Y40" i="14" s="1"/>
  <c r="BT53" i="11"/>
  <c r="V40" i="14" s="1"/>
  <c r="V49" i="11"/>
  <c r="W49" i="11" s="1"/>
  <c r="X49" i="11" s="1"/>
  <c r="Y49" i="11" s="1"/>
  <c r="Z49" i="11" s="1"/>
  <c r="AA49" i="11" s="1"/>
  <c r="AB49" i="11" s="1"/>
  <c r="AC49" i="11" s="1"/>
  <c r="AD49" i="11" s="1"/>
  <c r="AE49" i="11" s="1"/>
  <c r="AF49" i="11" s="1"/>
  <c r="AG49" i="11" s="1"/>
  <c r="V37" i="11"/>
  <c r="W37" i="11" s="1"/>
  <c r="X37" i="11" s="1"/>
  <c r="Y37" i="11" s="1"/>
  <c r="Z37" i="11" s="1"/>
  <c r="AA37" i="11" s="1"/>
  <c r="AB37" i="11" s="1"/>
  <c r="AC37" i="11" s="1"/>
  <c r="AD37" i="11" s="1"/>
  <c r="AE37" i="11" s="1"/>
  <c r="AF37" i="11" s="1"/>
  <c r="AG37" i="11" s="1"/>
  <c r="U34" i="14"/>
  <c r="Y34" i="14" s="1"/>
  <c r="BT47" i="11"/>
  <c r="V34" i="14" s="1"/>
  <c r="V53" i="11"/>
  <c r="W53" i="11" s="1"/>
  <c r="X53" i="11" s="1"/>
  <c r="Y53" i="11" s="1"/>
  <c r="Z53" i="11" s="1"/>
  <c r="AA53" i="11" s="1"/>
  <c r="AB53" i="11" s="1"/>
  <c r="AC53" i="11" s="1"/>
  <c r="AD53" i="11" s="1"/>
  <c r="AE53" i="11" s="1"/>
  <c r="AF53" i="11" s="1"/>
  <c r="AG53" i="11" s="1"/>
  <c r="BX50" i="11"/>
  <c r="V47" i="11"/>
  <c r="W47" i="11" s="1"/>
  <c r="X47" i="11" s="1"/>
  <c r="Y47" i="11" s="1"/>
  <c r="Z47" i="11" s="1"/>
  <c r="AA47" i="11" s="1"/>
  <c r="AB47" i="11" s="1"/>
  <c r="AC47" i="11" s="1"/>
  <c r="AD47" i="11" s="1"/>
  <c r="AE47" i="11" s="1"/>
  <c r="AF47" i="11" s="1"/>
  <c r="AG47" i="11" s="1"/>
  <c r="V52" i="11"/>
  <c r="W52" i="11" s="1"/>
  <c r="X52" i="11" s="1"/>
  <c r="Y52" i="11" s="1"/>
  <c r="Z52" i="11" s="1"/>
  <c r="AA52" i="11" s="1"/>
  <c r="AB52" i="11" s="1"/>
  <c r="AC52" i="11" s="1"/>
  <c r="AD52" i="11" s="1"/>
  <c r="AE52" i="11" s="1"/>
  <c r="AF52" i="11" s="1"/>
  <c r="AG52" i="11" s="1"/>
  <c r="U35" i="14"/>
  <c r="Y35" i="14" s="1"/>
  <c r="BT48" i="11"/>
  <c r="V35" i="14" s="1"/>
  <c r="V48" i="11"/>
  <c r="W48" i="11" s="1"/>
  <c r="X48" i="11" s="1"/>
  <c r="Y48" i="11" s="1"/>
  <c r="Z48" i="11" s="1"/>
  <c r="AA48" i="11" s="1"/>
  <c r="AB48" i="11" s="1"/>
  <c r="AC48" i="11" s="1"/>
  <c r="AD48" i="11" s="1"/>
  <c r="AE48" i="11" s="1"/>
  <c r="AF48" i="11" s="1"/>
  <c r="AG48" i="11" s="1"/>
  <c r="BT52" i="11"/>
  <c r="V39" i="14" s="1"/>
  <c r="U11" i="11"/>
  <c r="U17" i="11" s="1"/>
  <c r="U24" i="11"/>
  <c r="V15" i="11"/>
  <c r="BT37" i="1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T13" i="4"/>
  <c r="T42" i="4"/>
  <c r="AB42" i="4"/>
  <c r="Z42" i="4" a="1"/>
  <c r="Z42" i="4" s="1"/>
  <c r="F3" i="4"/>
  <c r="M10" i="4" l="1"/>
  <c r="M11" i="4"/>
  <c r="K10" i="4"/>
  <c r="K11" i="4"/>
  <c r="J10" i="4"/>
  <c r="J11" i="4"/>
  <c r="F10" i="4"/>
  <c r="P10" i="4"/>
  <c r="P11" i="4"/>
  <c r="O11" i="4"/>
  <c r="O10" i="4"/>
  <c r="L10" i="4"/>
  <c r="L11" i="4"/>
  <c r="I10" i="4"/>
  <c r="I11" i="4"/>
  <c r="H11" i="4"/>
  <c r="H10" i="4"/>
  <c r="F11" i="4"/>
  <c r="G11" i="4"/>
  <c r="G10" i="4"/>
  <c r="Q11" i="4"/>
  <c r="Q10" i="4"/>
  <c r="N10" i="4"/>
  <c r="N11" i="4"/>
  <c r="CD51" i="11"/>
  <c r="BX51" i="11"/>
  <c r="L38" i="16" s="1"/>
  <c r="AH51" i="11"/>
  <c r="AI51" i="11" s="1"/>
  <c r="AJ51" i="11" s="1"/>
  <c r="AK51" i="11" s="1"/>
  <c r="AL51" i="11" s="1"/>
  <c r="AM51" i="11" s="1"/>
  <c r="AN51" i="11" s="1"/>
  <c r="AO51" i="11" s="1"/>
  <c r="AP51" i="11" s="1"/>
  <c r="AQ51" i="11" s="1"/>
  <c r="AR51" i="11" s="1"/>
  <c r="AS51" i="11" s="1"/>
  <c r="P20" i="4"/>
  <c r="P33" i="4"/>
  <c r="O20" i="4"/>
  <c r="O33" i="4"/>
  <c r="N20" i="4"/>
  <c r="N33" i="4"/>
  <c r="Q33" i="4"/>
  <c r="H50" i="11" s="1"/>
  <c r="Q20" i="4"/>
  <c r="H37" i="11" s="1"/>
  <c r="M33" i="4"/>
  <c r="K20" i="4"/>
  <c r="K33" i="4"/>
  <c r="H33" i="4"/>
  <c r="H20" i="4"/>
  <c r="M20" i="4"/>
  <c r="G20" i="4"/>
  <c r="G33" i="4"/>
  <c r="J33" i="4"/>
  <c r="J20" i="4"/>
  <c r="I33" i="4"/>
  <c r="I20" i="4"/>
  <c r="F20" i="4"/>
  <c r="F33" i="4"/>
  <c r="L33" i="4"/>
  <c r="L20" i="4"/>
  <c r="F39" i="4"/>
  <c r="F21" i="4"/>
  <c r="F22" i="4"/>
  <c r="F38" i="4"/>
  <c r="CJ40" i="11"/>
  <c r="CE40" i="11"/>
  <c r="CD49" i="11"/>
  <c r="CD47" i="11"/>
  <c r="CD53" i="11"/>
  <c r="CD52" i="11"/>
  <c r="CD54" i="11"/>
  <c r="CD48" i="11"/>
  <c r="L37" i="16"/>
  <c r="CJ50" i="11"/>
  <c r="CD37" i="11"/>
  <c r="CD41" i="11"/>
  <c r="Z39" i="14"/>
  <c r="BX48" i="11"/>
  <c r="L35" i="16" s="1"/>
  <c r="Z36" i="14"/>
  <c r="Z35" i="14"/>
  <c r="Z41" i="14"/>
  <c r="V24" i="14"/>
  <c r="Z24" i="14" s="1"/>
  <c r="Z34" i="14"/>
  <c r="Z28" i="14"/>
  <c r="Z40" i="14"/>
  <c r="BY40" i="11"/>
  <c r="Q27" i="16" s="1"/>
  <c r="BX52" i="11"/>
  <c r="L39" i="16" s="1"/>
  <c r="U7" i="1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S8" i="14"/>
  <c r="BX54" i="11"/>
  <c r="L41" i="16" s="1"/>
  <c r="BX41" i="11"/>
  <c r="L28" i="16" s="1"/>
  <c r="AT40" i="11"/>
  <c r="AU40" i="11" s="1"/>
  <c r="AV40" i="11" s="1"/>
  <c r="AW40" i="11" s="1"/>
  <c r="AX40" i="11" s="1"/>
  <c r="AY40" i="11" s="1"/>
  <c r="AZ40" i="11" s="1"/>
  <c r="BA40" i="11" s="1"/>
  <c r="BB40" i="11" s="1"/>
  <c r="BC40" i="11" s="1"/>
  <c r="BD40" i="11" s="1"/>
  <c r="BE40" i="11" s="1"/>
  <c r="BX49" i="11"/>
  <c r="L36" i="16" s="1"/>
  <c r="BX47" i="11"/>
  <c r="L34" i="16" s="1"/>
  <c r="AH41" i="11"/>
  <c r="AI41" i="11" s="1"/>
  <c r="AJ41" i="11" s="1"/>
  <c r="AK41" i="11" s="1"/>
  <c r="AL41" i="11" s="1"/>
  <c r="AM41" i="11" s="1"/>
  <c r="AN41" i="11" s="1"/>
  <c r="AO41" i="11" s="1"/>
  <c r="AP41" i="11" s="1"/>
  <c r="AQ41" i="11" s="1"/>
  <c r="AR41" i="11" s="1"/>
  <c r="AS41" i="11" s="1"/>
  <c r="BX37" i="11"/>
  <c r="L24" i="16" s="1"/>
  <c r="AH48" i="11"/>
  <c r="AI48" i="11" s="1"/>
  <c r="AJ48" i="11" s="1"/>
  <c r="AK48" i="11" s="1"/>
  <c r="AL48" i="11" s="1"/>
  <c r="AM48" i="11" s="1"/>
  <c r="AN48" i="11" s="1"/>
  <c r="AO48" i="11" s="1"/>
  <c r="AP48" i="11" s="1"/>
  <c r="AQ48" i="11" s="1"/>
  <c r="AR48" i="11" s="1"/>
  <c r="AS48" i="11" s="1"/>
  <c r="AH49" i="11"/>
  <c r="AI49" i="11" s="1"/>
  <c r="AJ49" i="11" s="1"/>
  <c r="AK49" i="11" s="1"/>
  <c r="AL49" i="11" s="1"/>
  <c r="AM49" i="11" s="1"/>
  <c r="AN49" i="11" s="1"/>
  <c r="AO49" i="11" s="1"/>
  <c r="AP49" i="11" s="1"/>
  <c r="AQ49" i="11" s="1"/>
  <c r="AR49" i="11" s="1"/>
  <c r="AS49" i="11" s="1"/>
  <c r="BY50" i="11"/>
  <c r="AH37" i="11"/>
  <c r="AI37" i="11" s="1"/>
  <c r="AJ37" i="11" s="1"/>
  <c r="AK37" i="11" s="1"/>
  <c r="AH52" i="11"/>
  <c r="AI52" i="11" s="1"/>
  <c r="AJ52" i="11" s="1"/>
  <c r="AK52" i="11" s="1"/>
  <c r="AL52" i="11" s="1"/>
  <c r="AM52" i="11" s="1"/>
  <c r="AN52" i="11" s="1"/>
  <c r="AO52" i="11" s="1"/>
  <c r="AP52" i="11" s="1"/>
  <c r="AQ52" i="11" s="1"/>
  <c r="AR52" i="11" s="1"/>
  <c r="AS52" i="11" s="1"/>
  <c r="AH47" i="11"/>
  <c r="AI47" i="11" s="1"/>
  <c r="AJ47" i="11" s="1"/>
  <c r="AK47" i="11" s="1"/>
  <c r="AL47" i="11" s="1"/>
  <c r="AM47" i="11" s="1"/>
  <c r="AN47" i="11" s="1"/>
  <c r="AO47" i="11" s="1"/>
  <c r="AP47" i="11" s="1"/>
  <c r="AQ47" i="11" s="1"/>
  <c r="AR47" i="11" s="1"/>
  <c r="AS47" i="11" s="1"/>
  <c r="AH54" i="11"/>
  <c r="AI54" i="11" s="1"/>
  <c r="AJ54" i="11" s="1"/>
  <c r="AK54" i="11" s="1"/>
  <c r="AL54" i="11" s="1"/>
  <c r="AM54" i="11" s="1"/>
  <c r="AN54" i="11" s="1"/>
  <c r="AO54" i="11" s="1"/>
  <c r="AP54" i="11" s="1"/>
  <c r="AQ54" i="11" s="1"/>
  <c r="AR54" i="11" s="1"/>
  <c r="AS54" i="11" s="1"/>
  <c r="BX53" i="11"/>
  <c r="L40" i="16" s="1"/>
  <c r="AH53" i="11"/>
  <c r="AI53" i="11" s="1"/>
  <c r="AJ53" i="11" s="1"/>
  <c r="AK53" i="11" s="1"/>
  <c r="AL53" i="11" s="1"/>
  <c r="AM53" i="11" s="1"/>
  <c r="AN53" i="11" s="1"/>
  <c r="AO53" i="11" s="1"/>
  <c r="AP53" i="11" s="1"/>
  <c r="AQ53" i="11" s="1"/>
  <c r="AR53" i="11" s="1"/>
  <c r="AS53" i="11" s="1"/>
  <c r="V24" i="11"/>
  <c r="V11" i="11"/>
  <c r="V17" i="11" s="1"/>
  <c r="W15" i="11"/>
  <c r="F25" i="4"/>
  <c r="F69" i="4"/>
  <c r="F60" i="4"/>
  <c r="F65" i="4"/>
  <c r="F12" i="4"/>
  <c r="F14" i="4"/>
  <c r="F37" i="4"/>
  <c r="F5" i="4"/>
  <c r="F31" i="4"/>
  <c r="F32" i="4"/>
  <c r="F6" i="4"/>
  <c r="F7" i="4"/>
  <c r="F23" i="4"/>
  <c r="F27" i="4"/>
  <c r="F24" i="4"/>
  <c r="F28" i="4"/>
  <c r="F36" i="4"/>
  <c r="F48" i="4" s="1"/>
  <c r="F35" i="4"/>
  <c r="F34" i="4"/>
  <c r="F30" i="4"/>
  <c r="F29" i="4"/>
  <c r="AB18" i="4"/>
  <c r="F15" i="4"/>
  <c r="AB19" i="4"/>
  <c r="Z19" i="4" a="1"/>
  <c r="Z19" i="4" s="1"/>
  <c r="Z13" i="4" a="1"/>
  <c r="Z13" i="4" s="1"/>
  <c r="AB13" i="4"/>
  <c r="AD13" i="4"/>
  <c r="AD19" i="4"/>
  <c r="AD42" i="4"/>
  <c r="G3" i="4"/>
  <c r="G38" i="4" s="1"/>
  <c r="BY51" i="11" l="1"/>
  <c r="Q38" i="16" s="1"/>
  <c r="CE51" i="11"/>
  <c r="AT51" i="11"/>
  <c r="AU51" i="11" s="1"/>
  <c r="AV51" i="11" s="1"/>
  <c r="AW51" i="11" s="1"/>
  <c r="AX51" i="11" s="1"/>
  <c r="AY51" i="11" s="1"/>
  <c r="AZ51" i="11" s="1"/>
  <c r="BA51" i="11" s="1"/>
  <c r="BB51" i="11" s="1"/>
  <c r="BC51" i="11" s="1"/>
  <c r="BD51" i="11" s="1"/>
  <c r="BE51" i="11" s="1"/>
  <c r="CJ51" i="11"/>
  <c r="CJ37" i="11"/>
  <c r="G39" i="4"/>
  <c r="CJ47" i="11"/>
  <c r="CK40" i="11"/>
  <c r="CJ53" i="11"/>
  <c r="CE49" i="11"/>
  <c r="CJ54" i="11"/>
  <c r="CF40" i="11"/>
  <c r="CJ48" i="11"/>
  <c r="CE54" i="11"/>
  <c r="CJ52" i="11"/>
  <c r="CE53" i="11"/>
  <c r="CJ41" i="11"/>
  <c r="CE52" i="11"/>
  <c r="CE41" i="11"/>
  <c r="CJ49" i="11"/>
  <c r="Q37" i="16"/>
  <c r="CK50" i="11"/>
  <c r="CE47" i="11"/>
  <c r="CE48" i="11"/>
  <c r="BZ40" i="11"/>
  <c r="V27" i="16" s="1"/>
  <c r="BF40" i="11"/>
  <c r="BG40" i="11" s="1"/>
  <c r="BH40" i="11" s="1"/>
  <c r="BI40" i="11" s="1"/>
  <c r="BJ40" i="11" s="1"/>
  <c r="BK40" i="11" s="1"/>
  <c r="BL40" i="11" s="1"/>
  <c r="BM40" i="11" s="1"/>
  <c r="BN40" i="11" s="1"/>
  <c r="BO40" i="11" s="1"/>
  <c r="BP40" i="11" s="1"/>
  <c r="BY52" i="11"/>
  <c r="Q39" i="16" s="1"/>
  <c r="AT41" i="11"/>
  <c r="AU41" i="11" s="1"/>
  <c r="AV41" i="11" s="1"/>
  <c r="AW41" i="11" s="1"/>
  <c r="AX41" i="11" s="1"/>
  <c r="AY41" i="11" s="1"/>
  <c r="AZ41" i="11" s="1"/>
  <c r="BA41" i="11" s="1"/>
  <c r="BB41" i="11" s="1"/>
  <c r="BC41" i="11" s="1"/>
  <c r="BD41" i="11" s="1"/>
  <c r="BE41" i="11" s="1"/>
  <c r="BY49" i="11"/>
  <c r="Q36" i="16" s="1"/>
  <c r="BY41" i="11"/>
  <c r="Q28" i="16" s="1"/>
  <c r="BZ50" i="11"/>
  <c r="AT54" i="11"/>
  <c r="AU54" i="11" s="1"/>
  <c r="AV54" i="11" s="1"/>
  <c r="AW54" i="11" s="1"/>
  <c r="AX54" i="11" s="1"/>
  <c r="AY54" i="11" s="1"/>
  <c r="AZ54" i="11" s="1"/>
  <c r="BA54" i="11" s="1"/>
  <c r="BB54" i="11" s="1"/>
  <c r="BC54" i="11" s="1"/>
  <c r="BD54" i="11" s="1"/>
  <c r="BE54" i="11" s="1"/>
  <c r="BY47" i="11"/>
  <c r="Q34" i="16" s="1"/>
  <c r="AT52" i="11"/>
  <c r="AU52" i="11" s="1"/>
  <c r="AV52" i="11" s="1"/>
  <c r="AW52" i="11" s="1"/>
  <c r="AX52" i="11" s="1"/>
  <c r="AY52" i="11" s="1"/>
  <c r="AZ52" i="11" s="1"/>
  <c r="BA52" i="11" s="1"/>
  <c r="BB52" i="11" s="1"/>
  <c r="BC52" i="11" s="1"/>
  <c r="BD52" i="11" s="1"/>
  <c r="BE52" i="11" s="1"/>
  <c r="AT49" i="11"/>
  <c r="AU49" i="11" s="1"/>
  <c r="AV49" i="11" s="1"/>
  <c r="AW49" i="11" s="1"/>
  <c r="AX49" i="11" s="1"/>
  <c r="AY49" i="11" s="1"/>
  <c r="AZ49" i="11" s="1"/>
  <c r="BA49" i="11" s="1"/>
  <c r="BB49" i="11" s="1"/>
  <c r="BC49" i="11" s="1"/>
  <c r="BD49" i="11" s="1"/>
  <c r="BE49" i="11" s="1"/>
  <c r="BW50" i="11"/>
  <c r="BY48" i="11"/>
  <c r="Q35" i="16" s="1"/>
  <c r="BY53" i="11"/>
  <c r="Q40" i="16" s="1"/>
  <c r="AT48" i="11"/>
  <c r="AU48" i="11" s="1"/>
  <c r="AV48" i="11" s="1"/>
  <c r="AW48" i="11" s="1"/>
  <c r="AX48" i="11" s="1"/>
  <c r="AY48" i="11" s="1"/>
  <c r="AZ48" i="11" s="1"/>
  <c r="BA48" i="11" s="1"/>
  <c r="BB48" i="11" s="1"/>
  <c r="BC48" i="11" s="1"/>
  <c r="BD48" i="11" s="1"/>
  <c r="BE48" i="11" s="1"/>
  <c r="AT47" i="11"/>
  <c r="AU47" i="11" s="1"/>
  <c r="AV47" i="11" s="1"/>
  <c r="AW47" i="11" s="1"/>
  <c r="AX47" i="11" s="1"/>
  <c r="AY47" i="11" s="1"/>
  <c r="AZ47" i="11" s="1"/>
  <c r="BA47" i="11" s="1"/>
  <c r="BB47" i="11" s="1"/>
  <c r="BC47" i="11" s="1"/>
  <c r="BD47" i="11" s="1"/>
  <c r="BE47" i="11" s="1"/>
  <c r="AT53" i="11"/>
  <c r="AU53" i="11" s="1"/>
  <c r="AV53" i="11" s="1"/>
  <c r="AW53" i="11" s="1"/>
  <c r="AX53" i="11" s="1"/>
  <c r="AY53" i="11" s="1"/>
  <c r="AZ53" i="11" s="1"/>
  <c r="BA53" i="11" s="1"/>
  <c r="BB53" i="11" s="1"/>
  <c r="BC53" i="11" s="1"/>
  <c r="BD53" i="11" s="1"/>
  <c r="BE53" i="11" s="1"/>
  <c r="BY54" i="11"/>
  <c r="Q41" i="16" s="1"/>
  <c r="X15" i="11"/>
  <c r="W11" i="11"/>
  <c r="W17" i="11" s="1"/>
  <c r="W24" i="11"/>
  <c r="AL37" i="11"/>
  <c r="F92" i="4"/>
  <c r="F78" i="4"/>
  <c r="F80" i="4" s="1"/>
  <c r="G12" i="4"/>
  <c r="G25" i="4"/>
  <c r="F91" i="4"/>
  <c r="F86" i="4"/>
  <c r="F87" i="4" s="1"/>
  <c r="G36" i="4"/>
  <c r="G48" i="4" s="1"/>
  <c r="G15" i="4"/>
  <c r="G23" i="4"/>
  <c r="G29" i="4"/>
  <c r="G35" i="4"/>
  <c r="G30" i="4"/>
  <c r="G32" i="4"/>
  <c r="G37" i="4"/>
  <c r="G6" i="4"/>
  <c r="G92" i="4" s="1"/>
  <c r="G31" i="4"/>
  <c r="G28" i="4"/>
  <c r="G14" i="4"/>
  <c r="G7" i="4"/>
  <c r="G60" i="4"/>
  <c r="G65" i="4"/>
  <c r="G69" i="4"/>
  <c r="G22" i="4"/>
  <c r="G27" i="4"/>
  <c r="G34" i="4"/>
  <c r="G24" i="4"/>
  <c r="G78" i="4"/>
  <c r="G80" i="4" s="1"/>
  <c r="G21" i="4"/>
  <c r="G5" i="4"/>
  <c r="G91" i="4" s="1"/>
  <c r="F41" i="4"/>
  <c r="F70" i="4" s="1"/>
  <c r="F71" i="4" s="1"/>
  <c r="F8" i="4"/>
  <c r="F17" i="4" s="1"/>
  <c r="T19" i="4"/>
  <c r="Z40" i="4" a="1"/>
  <c r="Z40" i="4" s="1"/>
  <c r="AB40" i="4"/>
  <c r="AD18" i="4"/>
  <c r="T18" i="4"/>
  <c r="T40" i="4"/>
  <c r="AD40" i="4"/>
  <c r="Z18" i="4" a="1"/>
  <c r="Z18" i="4" s="1"/>
  <c r="H3" i="4"/>
  <c r="CK51" i="11" l="1"/>
  <c r="CF51" i="11"/>
  <c r="BF51" i="11"/>
  <c r="BG51" i="11" s="1"/>
  <c r="BH51" i="11" s="1"/>
  <c r="BI51" i="11" s="1"/>
  <c r="BJ51" i="11" s="1"/>
  <c r="BK51" i="11" s="1"/>
  <c r="BL51" i="11" s="1"/>
  <c r="BM51" i="11" s="1"/>
  <c r="BN51" i="11" s="1"/>
  <c r="BO51" i="11" s="1"/>
  <c r="BP51" i="11" s="1"/>
  <c r="BW51" i="11" s="1"/>
  <c r="BZ51" i="11"/>
  <c r="V38" i="16" s="1"/>
  <c r="H39" i="4"/>
  <c r="H38" i="4"/>
  <c r="G86" i="4"/>
  <c r="G87" i="4" s="1"/>
  <c r="H25" i="4"/>
  <c r="CK41" i="11"/>
  <c r="CK53" i="11"/>
  <c r="CF54" i="11"/>
  <c r="CK47" i="11"/>
  <c r="CK48" i="11"/>
  <c r="CK54" i="11"/>
  <c r="CK49" i="11"/>
  <c r="CF41" i="11"/>
  <c r="V37" i="16"/>
  <c r="CL50" i="11"/>
  <c r="CF52" i="11"/>
  <c r="CF49" i="11"/>
  <c r="CF48" i="11"/>
  <c r="G37" i="16"/>
  <c r="CI50" i="11"/>
  <c r="CL40" i="11"/>
  <c r="CG40" i="11"/>
  <c r="CK52" i="11"/>
  <c r="CF47" i="11"/>
  <c r="CF53" i="11"/>
  <c r="CA40" i="11"/>
  <c r="AA27" i="16" s="1"/>
  <c r="BZ49" i="11"/>
  <c r="V36" i="16" s="1"/>
  <c r="BZ52" i="11"/>
  <c r="V39" i="16" s="1"/>
  <c r="BZ53" i="11"/>
  <c r="V40" i="16" s="1"/>
  <c r="BZ41" i="11"/>
  <c r="V28" i="16" s="1"/>
  <c r="BF41" i="11"/>
  <c r="BG41" i="11" s="1"/>
  <c r="BH41" i="11" s="1"/>
  <c r="BI41" i="11" s="1"/>
  <c r="BJ41" i="11" s="1"/>
  <c r="BK41" i="11" s="1"/>
  <c r="BL41" i="11" s="1"/>
  <c r="BM41" i="11" s="1"/>
  <c r="BN41" i="11" s="1"/>
  <c r="BO41" i="11" s="1"/>
  <c r="BP41" i="11" s="1"/>
  <c r="BF48" i="11"/>
  <c r="BG48" i="11" s="1"/>
  <c r="BH48" i="11" s="1"/>
  <c r="BI48" i="11" s="1"/>
  <c r="BJ48" i="11" s="1"/>
  <c r="BK48" i="11" s="1"/>
  <c r="BL48" i="11" s="1"/>
  <c r="BM48" i="11" s="1"/>
  <c r="BN48" i="11" s="1"/>
  <c r="BO48" i="11" s="1"/>
  <c r="BP48" i="11" s="1"/>
  <c r="BW48" i="11" s="1"/>
  <c r="CA50" i="11"/>
  <c r="BF49" i="11"/>
  <c r="BG49" i="11" s="1"/>
  <c r="BH49" i="11" s="1"/>
  <c r="BI49" i="11" s="1"/>
  <c r="BJ49" i="11" s="1"/>
  <c r="BK49" i="11" s="1"/>
  <c r="BL49" i="11" s="1"/>
  <c r="BM49" i="11" s="1"/>
  <c r="BN49" i="11" s="1"/>
  <c r="BO49" i="11" s="1"/>
  <c r="BP49" i="11" s="1"/>
  <c r="BW49" i="11" s="1"/>
  <c r="BF52" i="11"/>
  <c r="BG52" i="11" s="1"/>
  <c r="BH52" i="11" s="1"/>
  <c r="BI52" i="11" s="1"/>
  <c r="BJ52" i="11" s="1"/>
  <c r="BK52" i="11" s="1"/>
  <c r="BL52" i="11" s="1"/>
  <c r="BM52" i="11" s="1"/>
  <c r="BN52" i="11" s="1"/>
  <c r="BO52" i="11" s="1"/>
  <c r="BP52" i="11" s="1"/>
  <c r="BW52" i="11" s="1"/>
  <c r="BF53" i="11"/>
  <c r="BG53" i="11" s="1"/>
  <c r="BH53" i="11" s="1"/>
  <c r="BI53" i="11" s="1"/>
  <c r="BJ53" i="11" s="1"/>
  <c r="BK53" i="11" s="1"/>
  <c r="BL53" i="11" s="1"/>
  <c r="BM53" i="11" s="1"/>
  <c r="BN53" i="11" s="1"/>
  <c r="BO53" i="11" s="1"/>
  <c r="BP53" i="11" s="1"/>
  <c r="BW53" i="11" s="1"/>
  <c r="BZ54" i="11"/>
  <c r="V41" i="16" s="1"/>
  <c r="BF54" i="11"/>
  <c r="BG54" i="11" s="1"/>
  <c r="BH54" i="11" s="1"/>
  <c r="BI54" i="11" s="1"/>
  <c r="BJ54" i="11" s="1"/>
  <c r="BK54" i="11" s="1"/>
  <c r="BL54" i="11" s="1"/>
  <c r="BM54" i="11" s="1"/>
  <c r="BN54" i="11" s="1"/>
  <c r="BO54" i="11" s="1"/>
  <c r="BP54" i="11" s="1"/>
  <c r="BW54" i="11" s="1"/>
  <c r="BZ48" i="11"/>
  <c r="V35" i="16" s="1"/>
  <c r="BF47" i="11"/>
  <c r="BG47" i="11" s="1"/>
  <c r="BH47" i="11" s="1"/>
  <c r="BI47" i="11" s="1"/>
  <c r="BJ47" i="11" s="1"/>
  <c r="BK47" i="11" s="1"/>
  <c r="BL47" i="11" s="1"/>
  <c r="BM47" i="11" s="1"/>
  <c r="BN47" i="11" s="1"/>
  <c r="BO47" i="11" s="1"/>
  <c r="BP47" i="11" s="1"/>
  <c r="BW47" i="11" s="1"/>
  <c r="BZ47" i="11"/>
  <c r="V34" i="16" s="1"/>
  <c r="Y15" i="11"/>
  <c r="X24" i="11"/>
  <c r="X11" i="11"/>
  <c r="X17" i="11" s="1"/>
  <c r="AM37" i="11"/>
  <c r="F94" i="4"/>
  <c r="F66" i="4"/>
  <c r="F77" i="4"/>
  <c r="F81" i="4" s="1"/>
  <c r="G94" i="4"/>
  <c r="G8" i="4"/>
  <c r="G17" i="4" s="1"/>
  <c r="H69" i="4"/>
  <c r="H65" i="4"/>
  <c r="H60" i="4"/>
  <c r="H15" i="4"/>
  <c r="H28" i="4"/>
  <c r="H32" i="4"/>
  <c r="H31" i="4"/>
  <c r="H37" i="4"/>
  <c r="H22" i="4"/>
  <c r="H5" i="4"/>
  <c r="H91" i="4" s="1"/>
  <c r="H78" i="4"/>
  <c r="H80" i="4" s="1"/>
  <c r="H36" i="4"/>
  <c r="H48" i="4" s="1"/>
  <c r="H34" i="4"/>
  <c r="H24" i="4"/>
  <c r="H27" i="4"/>
  <c r="H30" i="4"/>
  <c r="H21" i="4"/>
  <c r="H35" i="4"/>
  <c r="H29" i="4"/>
  <c r="H23" i="4"/>
  <c r="H14" i="4"/>
  <c r="H6" i="4"/>
  <c r="H92" i="4" s="1"/>
  <c r="H12" i="4"/>
  <c r="H7" i="4"/>
  <c r="G41" i="4"/>
  <c r="G70" i="4" s="1"/>
  <c r="G71" i="4" s="1"/>
  <c r="I3" i="4"/>
  <c r="CA51" i="11" l="1"/>
  <c r="CM51" i="11" s="1"/>
  <c r="CG51" i="11"/>
  <c r="G38" i="16"/>
  <c r="CI51" i="11"/>
  <c r="CL51" i="11"/>
  <c r="I38" i="4"/>
  <c r="I39" i="4"/>
  <c r="I25" i="4"/>
  <c r="CL49" i="11"/>
  <c r="CL41" i="11"/>
  <c r="CG41" i="11"/>
  <c r="G34" i="16"/>
  <c r="CI47" i="11"/>
  <c r="CG49" i="11"/>
  <c r="G39" i="16"/>
  <c r="CI52" i="11"/>
  <c r="CG52" i="11"/>
  <c r="G41" i="16"/>
  <c r="CI54" i="11"/>
  <c r="CL47" i="11"/>
  <c r="G35" i="16"/>
  <c r="CI48" i="11"/>
  <c r="G40" i="16"/>
  <c r="CI53" i="11"/>
  <c r="CG54" i="11"/>
  <c r="CG47" i="11"/>
  <c r="CM40" i="11"/>
  <c r="CL48" i="11"/>
  <c r="CL54" i="11"/>
  <c r="CL52" i="11"/>
  <c r="CL53" i="11"/>
  <c r="G36" i="16"/>
  <c r="CI49" i="11"/>
  <c r="AA37" i="16"/>
  <c r="CM50" i="11"/>
  <c r="CG48" i="11"/>
  <c r="CG53" i="11"/>
  <c r="CA52" i="11"/>
  <c r="AA39" i="16" s="1"/>
  <c r="CA49" i="11"/>
  <c r="AA36" i="16" s="1"/>
  <c r="CA41" i="11"/>
  <c r="AA28" i="16" s="1"/>
  <c r="CA47" i="11"/>
  <c r="AA34" i="16" s="1"/>
  <c r="CA48" i="11"/>
  <c r="AA35" i="16" s="1"/>
  <c r="CA54" i="11"/>
  <c r="AA41" i="16" s="1"/>
  <c r="CA53" i="11"/>
  <c r="AA40" i="16" s="1"/>
  <c r="Y11" i="11"/>
  <c r="Y17" i="11" s="1"/>
  <c r="Z15" i="11"/>
  <c r="Y24" i="11"/>
  <c r="AN37" i="11"/>
  <c r="H86" i="4"/>
  <c r="H87" i="4" s="1"/>
  <c r="H94" i="4"/>
  <c r="G66" i="4"/>
  <c r="G77" i="4"/>
  <c r="G81" i="4" s="1"/>
  <c r="G43" i="4"/>
  <c r="G61" i="4" s="1"/>
  <c r="G62" i="4" s="1"/>
  <c r="H41" i="4"/>
  <c r="H70" i="4" s="1"/>
  <c r="H71" i="4" s="1"/>
  <c r="H8" i="4"/>
  <c r="H77" i="4" s="1"/>
  <c r="H81" i="4" s="1"/>
  <c r="I69" i="4"/>
  <c r="I65" i="4"/>
  <c r="I60" i="4"/>
  <c r="I36" i="4"/>
  <c r="I48" i="4" s="1"/>
  <c r="I34" i="4"/>
  <c r="I27" i="4"/>
  <c r="I12" i="4"/>
  <c r="I32" i="4"/>
  <c r="I15" i="4"/>
  <c r="I23" i="4"/>
  <c r="I24" i="4"/>
  <c r="I29" i="4"/>
  <c r="I31" i="4"/>
  <c r="I37" i="4"/>
  <c r="I14" i="4"/>
  <c r="I78" i="4"/>
  <c r="I80" i="4" s="1"/>
  <c r="I6" i="4"/>
  <c r="I92" i="4" s="1"/>
  <c r="I30" i="4"/>
  <c r="I21" i="4"/>
  <c r="I35" i="4"/>
  <c r="I28" i="4"/>
  <c r="I5" i="4"/>
  <c r="I91" i="4" s="1"/>
  <c r="I7" i="4"/>
  <c r="I22" i="4"/>
  <c r="F43" i="4"/>
  <c r="F61" i="4" s="1"/>
  <c r="F62" i="4" s="1"/>
  <c r="J3" i="4"/>
  <c r="AA38" i="16" l="1"/>
  <c r="J38" i="4"/>
  <c r="J39" i="4"/>
  <c r="H17" i="4"/>
  <c r="I86" i="4"/>
  <c r="I87" i="4" s="1"/>
  <c r="J25" i="4"/>
  <c r="CM49" i="11"/>
  <c r="CM41" i="11"/>
  <c r="CM53" i="11"/>
  <c r="CM48" i="11"/>
  <c r="CM52" i="11"/>
  <c r="CM47" i="11"/>
  <c r="CM54" i="11"/>
  <c r="AA15" i="11"/>
  <c r="Z11" i="11"/>
  <c r="Z17" i="11" s="1"/>
  <c r="Z24" i="11"/>
  <c r="AO37" i="11"/>
  <c r="I94" i="4"/>
  <c r="G55" i="4"/>
  <c r="F2" i="4"/>
  <c r="G2" i="4"/>
  <c r="I41" i="4"/>
  <c r="I70" i="4" s="1"/>
  <c r="I71" i="4" s="1"/>
  <c r="H66" i="4"/>
  <c r="J69" i="4"/>
  <c r="J60" i="4"/>
  <c r="J65" i="4"/>
  <c r="J27" i="4"/>
  <c r="J14" i="4"/>
  <c r="J35" i="4"/>
  <c r="J23" i="4"/>
  <c r="J15" i="4"/>
  <c r="J28" i="4"/>
  <c r="J12" i="4"/>
  <c r="J7" i="4"/>
  <c r="J6" i="4"/>
  <c r="J92" i="4" s="1"/>
  <c r="J5" i="4"/>
  <c r="J91" i="4" s="1"/>
  <c r="J24" i="4"/>
  <c r="J30" i="4"/>
  <c r="J34" i="4"/>
  <c r="J37" i="4"/>
  <c r="J22" i="4"/>
  <c r="J29" i="4"/>
  <c r="J32" i="4"/>
  <c r="J31" i="4"/>
  <c r="J21" i="4"/>
  <c r="J36" i="4"/>
  <c r="J48" i="4" s="1"/>
  <c r="I8" i="4"/>
  <c r="I17" i="4" s="1"/>
  <c r="K3" i="4"/>
  <c r="K38" i="4" l="1"/>
  <c r="K39" i="4"/>
  <c r="J86" i="4"/>
  <c r="J87" i="4" s="1"/>
  <c r="K25" i="4"/>
  <c r="AA24" i="11"/>
  <c r="AA11" i="11"/>
  <c r="AA17" i="11" s="1"/>
  <c r="AB15" i="11"/>
  <c r="AP37" i="11"/>
  <c r="J78" i="4"/>
  <c r="J80" i="4" s="1"/>
  <c r="J94" i="4"/>
  <c r="H55" i="4"/>
  <c r="I66" i="4"/>
  <c r="I77" i="4"/>
  <c r="I81" i="4" s="1"/>
  <c r="K69" i="4"/>
  <c r="K60" i="4"/>
  <c r="K65" i="4"/>
  <c r="K34" i="4"/>
  <c r="K15" i="4"/>
  <c r="K21" i="4"/>
  <c r="K78" i="4"/>
  <c r="K80" i="4" s="1"/>
  <c r="K30" i="4"/>
  <c r="K29" i="4"/>
  <c r="K31" i="4"/>
  <c r="K37" i="4"/>
  <c r="K22" i="4"/>
  <c r="K7" i="4"/>
  <c r="K36" i="4"/>
  <c r="K48" i="4" s="1"/>
  <c r="K12" i="4"/>
  <c r="K28" i="4"/>
  <c r="K5" i="4"/>
  <c r="K24" i="4"/>
  <c r="K14" i="4"/>
  <c r="K6" i="4"/>
  <c r="K92" i="4" s="1"/>
  <c r="K23" i="4"/>
  <c r="K35" i="4"/>
  <c r="K32" i="4"/>
  <c r="K27" i="4"/>
  <c r="J8" i="4"/>
  <c r="J17" i="4" s="1"/>
  <c r="H43" i="4"/>
  <c r="H2" i="4" s="1"/>
  <c r="J41" i="4"/>
  <c r="L3" i="4"/>
  <c r="L39" i="4" l="1"/>
  <c r="L38" i="4"/>
  <c r="L25" i="4"/>
  <c r="AB24" i="11"/>
  <c r="AC15" i="11"/>
  <c r="AB11" i="11"/>
  <c r="AB17" i="11" s="1"/>
  <c r="AQ37" i="11"/>
  <c r="K91" i="4"/>
  <c r="K94" i="4" s="1"/>
  <c r="K86" i="4"/>
  <c r="K87" i="4" s="1"/>
  <c r="J66" i="4"/>
  <c r="J77" i="4"/>
  <c r="J81" i="4" s="1"/>
  <c r="I43" i="4"/>
  <c r="I61" i="4" s="1"/>
  <c r="I62" i="4" s="1"/>
  <c r="I55" i="4"/>
  <c r="H61" i="4"/>
  <c r="H62" i="4" s="1"/>
  <c r="L65" i="4"/>
  <c r="L60" i="4"/>
  <c r="L69" i="4"/>
  <c r="L78" i="4"/>
  <c r="L80" i="4" s="1"/>
  <c r="L23" i="4"/>
  <c r="L12" i="4"/>
  <c r="L14" i="4"/>
  <c r="L34" i="4"/>
  <c r="L27" i="4"/>
  <c r="L22" i="4"/>
  <c r="L5" i="4"/>
  <c r="L91" i="4" s="1"/>
  <c r="L31" i="4"/>
  <c r="L32" i="4"/>
  <c r="L15" i="4"/>
  <c r="L36" i="4"/>
  <c r="L48" i="4" s="1"/>
  <c r="L28" i="4"/>
  <c r="L30" i="4"/>
  <c r="L24" i="4"/>
  <c r="L6" i="4"/>
  <c r="L92" i="4" s="1"/>
  <c r="L21" i="4"/>
  <c r="L37" i="4"/>
  <c r="L7" i="4"/>
  <c r="L35" i="4"/>
  <c r="L29" i="4"/>
  <c r="J70" i="4"/>
  <c r="J71" i="4" s="1"/>
  <c r="K41" i="4"/>
  <c r="K70" i="4" s="1"/>
  <c r="K71" i="4" s="1"/>
  <c r="K8" i="4"/>
  <c r="K17" i="4" s="1"/>
  <c r="M3" i="4"/>
  <c r="M38" i="4" l="1"/>
  <c r="M39" i="4"/>
  <c r="L86" i="4"/>
  <c r="L87" i="4" s="1"/>
  <c r="M25" i="4"/>
  <c r="AD15" i="11"/>
  <c r="AC11" i="11"/>
  <c r="AC17" i="11" s="1"/>
  <c r="AC24" i="11"/>
  <c r="AR37" i="11"/>
  <c r="CE37" i="11" s="1"/>
  <c r="I2" i="4"/>
  <c r="L94" i="4"/>
  <c r="K66" i="4"/>
  <c r="K77" i="4"/>
  <c r="K81" i="4" s="1"/>
  <c r="J55" i="4"/>
  <c r="L8" i="4"/>
  <c r="L77" i="4" s="1"/>
  <c r="L81" i="4" s="1"/>
  <c r="L41" i="4"/>
  <c r="M65" i="4"/>
  <c r="M69" i="4"/>
  <c r="M60" i="4"/>
  <c r="M7" i="4"/>
  <c r="M12" i="4"/>
  <c r="M14" i="4"/>
  <c r="M27" i="4"/>
  <c r="M32" i="4"/>
  <c r="M30" i="4"/>
  <c r="M35" i="4"/>
  <c r="M34" i="4"/>
  <c r="M6" i="4"/>
  <c r="M92" i="4" s="1"/>
  <c r="M23" i="4"/>
  <c r="M15" i="4"/>
  <c r="M78" i="4"/>
  <c r="M80" i="4" s="1"/>
  <c r="M29" i="4"/>
  <c r="M36" i="4"/>
  <c r="M48" i="4" s="1"/>
  <c r="M21" i="4"/>
  <c r="M22" i="4"/>
  <c r="M37" i="4"/>
  <c r="M24" i="4"/>
  <c r="M31" i="4"/>
  <c r="M5" i="4"/>
  <c r="M91" i="4" s="1"/>
  <c r="M28" i="4"/>
  <c r="J43" i="4"/>
  <c r="N3" i="4"/>
  <c r="N38" i="4" l="1"/>
  <c r="N39" i="4"/>
  <c r="L17" i="4"/>
  <c r="M86" i="4"/>
  <c r="M87" i="4" s="1"/>
  <c r="N25" i="4"/>
  <c r="AD11" i="11"/>
  <c r="AD17" i="11" s="1"/>
  <c r="AD24" i="11"/>
  <c r="AE15" i="11"/>
  <c r="AS37" i="11"/>
  <c r="M94" i="4"/>
  <c r="K55" i="4"/>
  <c r="J2" i="4"/>
  <c r="K43" i="4"/>
  <c r="K61" i="4" s="1"/>
  <c r="K62" i="4" s="1"/>
  <c r="J61" i="4"/>
  <c r="J62" i="4" s="1"/>
  <c r="L66" i="4"/>
  <c r="L70" i="4"/>
  <c r="L71" i="4" s="1"/>
  <c r="M8" i="4"/>
  <c r="M77" i="4" s="1"/>
  <c r="M81" i="4" s="1"/>
  <c r="M41" i="4"/>
  <c r="N60" i="4"/>
  <c r="N65" i="4"/>
  <c r="N69" i="4"/>
  <c r="N34" i="4"/>
  <c r="N23" i="4"/>
  <c r="N36" i="4"/>
  <c r="N48" i="4" s="1"/>
  <c r="N29" i="4"/>
  <c r="N7" i="4"/>
  <c r="N15" i="4"/>
  <c r="N35" i="4"/>
  <c r="N30" i="4"/>
  <c r="N32" i="4"/>
  <c r="N27" i="4"/>
  <c r="N28" i="4"/>
  <c r="N31" i="4"/>
  <c r="N24" i="4"/>
  <c r="N22" i="4"/>
  <c r="N12" i="4"/>
  <c r="N21" i="4"/>
  <c r="N78" i="4"/>
  <c r="N80" i="4" s="1"/>
  <c r="N6" i="4"/>
  <c r="N92" i="4" s="1"/>
  <c r="N37" i="4"/>
  <c r="N5" i="4"/>
  <c r="N91" i="4" s="1"/>
  <c r="N14" i="4"/>
  <c r="O3" i="4"/>
  <c r="O38" i="4" l="1"/>
  <c r="O39" i="4"/>
  <c r="M17" i="4"/>
  <c r="N86" i="4"/>
  <c r="N87" i="4" s="1"/>
  <c r="O25" i="4"/>
  <c r="AE11" i="11"/>
  <c r="AE17" i="11" s="1"/>
  <c r="AE24" i="11"/>
  <c r="AF15" i="11"/>
  <c r="AT37" i="11"/>
  <c r="N94" i="4"/>
  <c r="L55" i="4"/>
  <c r="K2" i="4"/>
  <c r="N8" i="4"/>
  <c r="N17" i="4" s="1"/>
  <c r="M66" i="4"/>
  <c r="N41" i="4"/>
  <c r="L43" i="4"/>
  <c r="L2" i="4" s="1"/>
  <c r="M70" i="4"/>
  <c r="M71" i="4" s="1"/>
  <c r="O60" i="4"/>
  <c r="O65" i="4"/>
  <c r="O69" i="4"/>
  <c r="O21" i="4"/>
  <c r="O22" i="4"/>
  <c r="O31" i="4"/>
  <c r="O32" i="4"/>
  <c r="O12" i="4"/>
  <c r="O6" i="4"/>
  <c r="O36" i="4"/>
  <c r="O48" i="4" s="1"/>
  <c r="O34" i="4"/>
  <c r="O29" i="4"/>
  <c r="O30" i="4"/>
  <c r="O37" i="4"/>
  <c r="O5" i="4"/>
  <c r="O15" i="4"/>
  <c r="O35" i="4"/>
  <c r="O23" i="4"/>
  <c r="O14" i="4"/>
  <c r="O7" i="4"/>
  <c r="O27" i="4"/>
  <c r="O28" i="4"/>
  <c r="O24" i="4"/>
  <c r="P3" i="4"/>
  <c r="P39" i="4" l="1"/>
  <c r="Z39" i="4" s="1" a="1"/>
  <c r="Z39" i="4" s="1"/>
  <c r="P38" i="4"/>
  <c r="Z38" i="4" a="1"/>
  <c r="Z38" i="4" s="1"/>
  <c r="P25" i="4"/>
  <c r="AG15" i="11"/>
  <c r="AF24" i="11"/>
  <c r="AF11" i="11"/>
  <c r="AF17" i="11" s="1"/>
  <c r="AU37" i="11"/>
  <c r="O92" i="4"/>
  <c r="O78" i="4"/>
  <c r="O80" i="4" s="1"/>
  <c r="O86" i="4"/>
  <c r="O87" i="4" s="1"/>
  <c r="O91" i="4"/>
  <c r="M43" i="4"/>
  <c r="M61" i="4" s="1"/>
  <c r="M62" i="4" s="1"/>
  <c r="M55" i="4"/>
  <c r="N66" i="4"/>
  <c r="N77" i="4"/>
  <c r="N81" i="4" s="1"/>
  <c r="O41" i="4"/>
  <c r="L61" i="4"/>
  <c r="L62" i="4" s="1"/>
  <c r="O8" i="4"/>
  <c r="O17" i="4" s="1"/>
  <c r="N70" i="4"/>
  <c r="N71" i="4" s="1"/>
  <c r="P65" i="4"/>
  <c r="P69" i="4"/>
  <c r="P60" i="4"/>
  <c r="P29" i="4"/>
  <c r="P7" i="4"/>
  <c r="P78" i="4"/>
  <c r="P80" i="4" s="1"/>
  <c r="P35" i="4"/>
  <c r="P31" i="4"/>
  <c r="P14" i="4"/>
  <c r="P36" i="4"/>
  <c r="P48" i="4" s="1"/>
  <c r="P5" i="4"/>
  <c r="P91" i="4" s="1"/>
  <c r="P28" i="4"/>
  <c r="P24" i="4"/>
  <c r="P12" i="4"/>
  <c r="P37" i="4"/>
  <c r="P30" i="4"/>
  <c r="P32" i="4"/>
  <c r="P22" i="4"/>
  <c r="P15" i="4"/>
  <c r="P6" i="4"/>
  <c r="P92" i="4" s="1"/>
  <c r="P23" i="4"/>
  <c r="Z23" i="4" s="1" a="1"/>
  <c r="Z23" i="4" s="1"/>
  <c r="P27" i="4"/>
  <c r="P21" i="4"/>
  <c r="P34" i="4"/>
  <c r="Q3" i="4"/>
  <c r="Q39" i="4" l="1"/>
  <c r="H56" i="11" s="1"/>
  <c r="Q38" i="4"/>
  <c r="P86" i="4"/>
  <c r="P87" i="4" s="1"/>
  <c r="O94" i="4"/>
  <c r="Q25" i="4"/>
  <c r="AG24" i="11"/>
  <c r="AH15" i="11"/>
  <c r="AG11" i="11"/>
  <c r="AG17" i="11" s="1"/>
  <c r="AV37" i="11"/>
  <c r="O77" i="4"/>
  <c r="O81" i="4" s="1"/>
  <c r="M2" i="4"/>
  <c r="P94" i="4"/>
  <c r="N55" i="4"/>
  <c r="N43" i="4"/>
  <c r="N2" i="4" s="1"/>
  <c r="O66" i="4"/>
  <c r="P41" i="4"/>
  <c r="P70" i="4" s="1"/>
  <c r="P71" i="4" s="1"/>
  <c r="Q60" i="4"/>
  <c r="Q65" i="4"/>
  <c r="Q69" i="4"/>
  <c r="Q5" i="4"/>
  <c r="Q24" i="4"/>
  <c r="H41" i="11" s="1"/>
  <c r="Q28" i="4"/>
  <c r="H45" i="11" s="1"/>
  <c r="Q6" i="4"/>
  <c r="F21" i="11" s="1"/>
  <c r="G11" i="14" s="1"/>
  <c r="F11" i="14" s="1"/>
  <c r="Q30" i="4"/>
  <c r="Q34" i="4"/>
  <c r="Q37" i="4"/>
  <c r="Q23" i="4"/>
  <c r="Q22" i="4"/>
  <c r="H39" i="11" s="1"/>
  <c r="Q12" i="4"/>
  <c r="Q7" i="4"/>
  <c r="H21" i="11" s="1"/>
  <c r="Q21" i="4"/>
  <c r="Q36" i="4"/>
  <c r="H53" i="11" s="1"/>
  <c r="Q31" i="4"/>
  <c r="Q15" i="4"/>
  <c r="Q14" i="4"/>
  <c r="F31" i="11" s="1"/>
  <c r="G18" i="14" s="1"/>
  <c r="F18" i="14" s="1"/>
  <c r="Q32" i="4"/>
  <c r="Q35" i="4"/>
  <c r="F43" i="11"/>
  <c r="G30" i="14" s="1"/>
  <c r="F30" i="14" s="1"/>
  <c r="Q29" i="4"/>
  <c r="H46" i="11" s="1"/>
  <c r="Q27" i="4"/>
  <c r="H44" i="11" s="1"/>
  <c r="O70" i="4"/>
  <c r="O71" i="4" s="1"/>
  <c r="P8" i="4"/>
  <c r="P17" i="4" s="1"/>
  <c r="F51" i="11" l="1"/>
  <c r="G38" i="14" s="1"/>
  <c r="F38" i="14" s="1"/>
  <c r="H51" i="11"/>
  <c r="E52" i="11"/>
  <c r="H52" i="11"/>
  <c r="F47" i="11"/>
  <c r="G34" i="14" s="1"/>
  <c r="F34" i="14" s="1"/>
  <c r="H47" i="11"/>
  <c r="E49" i="11"/>
  <c r="H49" i="11"/>
  <c r="F48" i="11"/>
  <c r="G35" i="14" s="1"/>
  <c r="F35" i="14" s="1"/>
  <c r="H48" i="11"/>
  <c r="H19" i="11"/>
  <c r="AD5" i="4"/>
  <c r="F38" i="11"/>
  <c r="G25" i="14" s="1"/>
  <c r="F25" i="14" s="1"/>
  <c r="H38" i="11"/>
  <c r="Z25" i="4" a="1"/>
  <c r="Z25" i="4" s="1"/>
  <c r="H42" i="11"/>
  <c r="H55" i="11"/>
  <c r="F55" i="11"/>
  <c r="G42" i="14" s="1"/>
  <c r="F42" i="14" s="1"/>
  <c r="F40" i="11"/>
  <c r="G27" i="14" s="1"/>
  <c r="F27" i="14" s="1"/>
  <c r="H40" i="11"/>
  <c r="H54" i="11"/>
  <c r="F54" i="11"/>
  <c r="G41" i="14" s="1"/>
  <c r="F41" i="14" s="1"/>
  <c r="E55" i="11"/>
  <c r="E54" i="11"/>
  <c r="AB25" i="4"/>
  <c r="E51" i="11"/>
  <c r="BS51" i="11" s="1"/>
  <c r="AF39" i="4"/>
  <c r="F56" i="11"/>
  <c r="G43" i="14" s="1"/>
  <c r="F43" i="14" s="1"/>
  <c r="E56" i="11"/>
  <c r="AB38" i="4"/>
  <c r="AD38" i="4"/>
  <c r="T38" i="4"/>
  <c r="AB39" i="4"/>
  <c r="AD39" i="4"/>
  <c r="T39" i="4"/>
  <c r="AF38" i="4"/>
  <c r="AF25" i="4"/>
  <c r="F44" i="11"/>
  <c r="T25" i="4"/>
  <c r="F42" i="11"/>
  <c r="G29" i="14" s="1"/>
  <c r="F29" i="14" s="1"/>
  <c r="E42" i="11"/>
  <c r="AD25" i="4"/>
  <c r="E21" i="11"/>
  <c r="E31" i="11"/>
  <c r="E44" i="11"/>
  <c r="AI15" i="11"/>
  <c r="AH24" i="11"/>
  <c r="AH11" i="11"/>
  <c r="AH17" i="11" s="1"/>
  <c r="AW37" i="11"/>
  <c r="F27" i="11"/>
  <c r="G14" i="14" s="1"/>
  <c r="F14" i="14" s="1"/>
  <c r="F19" i="11"/>
  <c r="F28" i="11"/>
  <c r="G15" i="14" s="1"/>
  <c r="F15" i="14" s="1"/>
  <c r="F32" i="11"/>
  <c r="G19" i="14" s="1"/>
  <c r="F19" i="14" s="1"/>
  <c r="E37" i="11"/>
  <c r="F53" i="11"/>
  <c r="G40" i="14" s="1"/>
  <c r="F40" i="14" s="1"/>
  <c r="Q48" i="4"/>
  <c r="AF30" i="4"/>
  <c r="AF34" i="4"/>
  <c r="E32" i="11"/>
  <c r="F45" i="11"/>
  <c r="G32" i="14" s="1"/>
  <c r="F32" i="14" s="1"/>
  <c r="E45" i="11"/>
  <c r="E48" i="11"/>
  <c r="F41" i="11"/>
  <c r="G28" i="14" s="1"/>
  <c r="F28" i="14" s="1"/>
  <c r="E41" i="11"/>
  <c r="E19" i="11"/>
  <c r="AF12" i="4"/>
  <c r="F29" i="11"/>
  <c r="E29" i="11"/>
  <c r="AF22" i="4"/>
  <c r="F46" i="11"/>
  <c r="G33" i="14" s="1"/>
  <c r="F33" i="14" s="1"/>
  <c r="E46" i="11"/>
  <c r="E27" i="11"/>
  <c r="E47" i="11"/>
  <c r="AF20" i="4"/>
  <c r="F37" i="11"/>
  <c r="G24" i="14" s="1"/>
  <c r="F24" i="14" s="1"/>
  <c r="AF27" i="4"/>
  <c r="E38" i="11"/>
  <c r="E28" i="11"/>
  <c r="AF35" i="4"/>
  <c r="F52" i="11"/>
  <c r="G39" i="14" s="1"/>
  <c r="F39" i="14" s="1"/>
  <c r="AF24" i="4"/>
  <c r="E40" i="11"/>
  <c r="F50" i="11"/>
  <c r="G37" i="14" s="1"/>
  <c r="F37" i="14" s="1"/>
  <c r="E50" i="11"/>
  <c r="E53" i="11"/>
  <c r="Z7" i="4" a="1"/>
  <c r="Z7" i="4" s="1"/>
  <c r="AF32" i="4"/>
  <c r="F49" i="11"/>
  <c r="G36" i="14" s="1"/>
  <c r="F36" i="14" s="1"/>
  <c r="AF21" i="4"/>
  <c r="E43" i="11"/>
  <c r="AF10" i="4"/>
  <c r="AF5" i="4"/>
  <c r="AF23" i="4"/>
  <c r="AF37" i="4"/>
  <c r="AF7" i="4"/>
  <c r="AF11" i="4"/>
  <c r="AF31" i="4"/>
  <c r="AF6" i="4"/>
  <c r="AF29" i="4"/>
  <c r="AF14" i="4"/>
  <c r="AF15" i="4"/>
  <c r="AF36" i="4"/>
  <c r="AF26" i="4"/>
  <c r="AF28" i="4"/>
  <c r="AF33" i="4"/>
  <c r="Z30" i="4" a="1"/>
  <c r="Z30" i="4" s="1"/>
  <c r="Z32" i="4" a="1"/>
  <c r="Z32" i="4" s="1"/>
  <c r="Z22" i="4" a="1"/>
  <c r="Z22" i="4" s="1"/>
  <c r="Z31" i="4" a="1"/>
  <c r="Z31" i="4" s="1"/>
  <c r="Z20" i="4" a="1"/>
  <c r="Z20" i="4" s="1"/>
  <c r="Q92" i="4"/>
  <c r="Z34" i="4" a="1"/>
  <c r="Z34" i="4" s="1"/>
  <c r="Q86" i="4"/>
  <c r="Q87" i="4" s="1"/>
  <c r="F88" i="4" s="1"/>
  <c r="Q91" i="4"/>
  <c r="Z28" i="4" a="1"/>
  <c r="Z28" i="4" s="1"/>
  <c r="O55" i="4"/>
  <c r="Z21" i="4" a="1"/>
  <c r="Z21" i="4" s="1"/>
  <c r="P66" i="4"/>
  <c r="P77" i="4"/>
  <c r="P81" i="4" s="1"/>
  <c r="Q78" i="4"/>
  <c r="Q80" i="4" s="1"/>
  <c r="Z26" i="4" a="1"/>
  <c r="Z26" i="4" s="1"/>
  <c r="Z12" i="4" a="1"/>
  <c r="Z12" i="4" s="1"/>
  <c r="AD33" i="4"/>
  <c r="AB33" i="4"/>
  <c r="T33" i="4"/>
  <c r="AB10" i="4"/>
  <c r="AD10" i="4"/>
  <c r="T10" i="4"/>
  <c r="AB12" i="4"/>
  <c r="AD12" i="4"/>
  <c r="T12" i="4"/>
  <c r="O43" i="4"/>
  <c r="AB22" i="4"/>
  <c r="AD22" i="4"/>
  <c r="T22" i="4"/>
  <c r="AD35" i="4"/>
  <c r="AB35" i="4"/>
  <c r="T35" i="4"/>
  <c r="AB23" i="4"/>
  <c r="AD23" i="4"/>
  <c r="T23" i="4"/>
  <c r="AD37" i="4"/>
  <c r="AB37" i="4"/>
  <c r="T37" i="4"/>
  <c r="Z37" i="4" a="1"/>
  <c r="Z37" i="4" s="1"/>
  <c r="AD31" i="4"/>
  <c r="AB31" i="4"/>
  <c r="T31" i="4"/>
  <c r="AD28" i="4"/>
  <c r="AB28" i="4"/>
  <c r="T28" i="4"/>
  <c r="AD36" i="4"/>
  <c r="AB36" i="4"/>
  <c r="T36" i="4"/>
  <c r="AD21" i="4"/>
  <c r="AB21" i="4"/>
  <c r="T21" i="4"/>
  <c r="AB24" i="4"/>
  <c r="AD24" i="4"/>
  <c r="T24" i="4"/>
  <c r="Z24" i="4" a="1"/>
  <c r="Z24" i="4" s="1"/>
  <c r="Z10" i="4" a="1"/>
  <c r="Z10" i="4" s="1"/>
  <c r="Q8" i="4"/>
  <c r="AB5" i="4"/>
  <c r="Z5" i="4" a="1"/>
  <c r="Z5" i="4" s="1"/>
  <c r="AB7" i="4"/>
  <c r="AD7" i="4"/>
  <c r="T7" i="4"/>
  <c r="AB27" i="4"/>
  <c r="AD27" i="4"/>
  <c r="T27" i="4"/>
  <c r="AD29" i="4"/>
  <c r="AB29" i="4"/>
  <c r="T29" i="4"/>
  <c r="Z29" i="4" a="1"/>
  <c r="Z29" i="4" s="1"/>
  <c r="AD11" i="4"/>
  <c r="AB11" i="4"/>
  <c r="T11" i="4"/>
  <c r="Z27" i="4" a="1"/>
  <c r="Z27" i="4" s="1"/>
  <c r="AD26" i="4"/>
  <c r="AB26" i="4"/>
  <c r="T26" i="4"/>
  <c r="T5" i="4"/>
  <c r="Q41" i="4"/>
  <c r="AB20" i="4"/>
  <c r="AD20" i="4"/>
  <c r="T20" i="4"/>
  <c r="Z35" i="4" a="1"/>
  <c r="Z35" i="4" s="1"/>
  <c r="AB32" i="4"/>
  <c r="AD32" i="4"/>
  <c r="T32" i="4"/>
  <c r="AB34" i="4"/>
  <c r="AD34" i="4"/>
  <c r="T34" i="4"/>
  <c r="Z11" i="4" a="1"/>
  <c r="Z11" i="4" s="1"/>
  <c r="AD14" i="4"/>
  <c r="AB14" i="4"/>
  <c r="T14" i="4"/>
  <c r="Z14" i="4" a="1"/>
  <c r="Z14" i="4" s="1"/>
  <c r="AD30" i="4"/>
  <c r="AB30" i="4"/>
  <c r="T30" i="4"/>
  <c r="Z33" i="4" a="1"/>
  <c r="Z33" i="4" s="1"/>
  <c r="AD15" i="4"/>
  <c r="AB15" i="4"/>
  <c r="T15" i="4"/>
  <c r="Z15" i="4" a="1"/>
  <c r="Z15" i="4" s="1"/>
  <c r="AD6" i="4"/>
  <c r="AB6" i="4"/>
  <c r="T6" i="4"/>
  <c r="Z6" i="4" a="1"/>
  <c r="Z6" i="4" s="1"/>
  <c r="N61" i="4"/>
  <c r="N62" i="4" s="1"/>
  <c r="Z36" i="4" a="1"/>
  <c r="Z36" i="4" s="1"/>
  <c r="G31" i="14" l="1"/>
  <c r="F31" i="14" s="1"/>
  <c r="BS44" i="11"/>
  <c r="G16" i="14"/>
  <c r="F16" i="14" s="1"/>
  <c r="H29" i="11"/>
  <c r="F10" i="11"/>
  <c r="H10" i="11"/>
  <c r="I10" i="11" s="1"/>
  <c r="I19" i="11" s="1"/>
  <c r="U38" i="14"/>
  <c r="BT51" i="11"/>
  <c r="V38" i="14" s="1"/>
  <c r="AF8" i="4"/>
  <c r="H22" i="11"/>
  <c r="E10" i="11"/>
  <c r="AF41" i="4"/>
  <c r="H58" i="11"/>
  <c r="Q17" i="4"/>
  <c r="AF17" i="4" s="1"/>
  <c r="G9" i="14"/>
  <c r="F9" i="14" s="1"/>
  <c r="E58" i="11"/>
  <c r="H31" i="11"/>
  <c r="I31" i="11" s="1"/>
  <c r="E40" i="12"/>
  <c r="BS50" i="11"/>
  <c r="F23" i="11"/>
  <c r="E43" i="12"/>
  <c r="E48" i="12"/>
  <c r="H32" i="11"/>
  <c r="I32" i="11" s="1"/>
  <c r="E45" i="12"/>
  <c r="I29" i="11"/>
  <c r="E44" i="12"/>
  <c r="AI11" i="11"/>
  <c r="AI17" i="11" s="1"/>
  <c r="AJ15" i="11"/>
  <c r="AI24" i="11"/>
  <c r="H20" i="11"/>
  <c r="AX37" i="11"/>
  <c r="E23" i="11"/>
  <c r="E37" i="12" s="1"/>
  <c r="H23" i="11" s="1"/>
  <c r="F22" i="11"/>
  <c r="G12" i="14" s="1"/>
  <c r="F12" i="14" s="1"/>
  <c r="F58" i="11"/>
  <c r="G45" i="14" s="1"/>
  <c r="F45" i="14" s="1"/>
  <c r="E22" i="11"/>
  <c r="O2" i="4"/>
  <c r="Q94" i="4"/>
  <c r="Q66" i="4"/>
  <c r="Q77" i="4"/>
  <c r="Q81" i="4" s="1"/>
  <c r="F82" i="4" s="1"/>
  <c r="P43" i="4"/>
  <c r="P61" i="4" s="1"/>
  <c r="P62" i="4" s="1"/>
  <c r="P55" i="4"/>
  <c r="AD8" i="4"/>
  <c r="AB8" i="4"/>
  <c r="T8" i="4"/>
  <c r="Z8" i="4" a="1"/>
  <c r="Z8" i="4" s="1"/>
  <c r="Q70" i="4"/>
  <c r="Q71" i="4" s="1"/>
  <c r="AB41" i="4"/>
  <c r="AD41" i="4"/>
  <c r="T41" i="4"/>
  <c r="Z41" i="4" a="1"/>
  <c r="Z41" i="4" s="1"/>
  <c r="O61" i="4"/>
  <c r="O62" i="4" s="1"/>
  <c r="I21" i="11" l="1"/>
  <c r="D44" i="12"/>
  <c r="D56" i="12"/>
  <c r="H18" i="14"/>
  <c r="J31" i="11"/>
  <c r="U31" i="14"/>
  <c r="H16" i="14"/>
  <c r="H19" i="14"/>
  <c r="BT50" i="11"/>
  <c r="V37" i="14" s="1"/>
  <c r="U37" i="14"/>
  <c r="Y37" i="14" s="1"/>
  <c r="J29" i="11"/>
  <c r="J32" i="11"/>
  <c r="H4" i="14"/>
  <c r="AJ11" i="11"/>
  <c r="AJ17" i="11" s="1"/>
  <c r="AK15" i="11"/>
  <c r="AJ24" i="11"/>
  <c r="AY37" i="11"/>
  <c r="E39" i="12"/>
  <c r="D40" i="12" s="1"/>
  <c r="E34" i="11"/>
  <c r="E60" i="11" s="1"/>
  <c r="E47" i="12"/>
  <c r="F34" i="11"/>
  <c r="P2" i="4"/>
  <c r="X8" i="4" s="1" a="1"/>
  <c r="X8" i="4" s="1"/>
  <c r="F98" i="4"/>
  <c r="F96" i="4"/>
  <c r="F95" i="4"/>
  <c r="F97" i="4"/>
  <c r="F54" i="4"/>
  <c r="Q55" i="4"/>
  <c r="F56" i="4" s="1"/>
  <c r="AD17" i="4"/>
  <c r="AB17" i="4"/>
  <c r="Q43" i="4"/>
  <c r="T17" i="4"/>
  <c r="Z17" i="4" a="1"/>
  <c r="Z17" i="4" s="1"/>
  <c r="AF43" i="4" l="1"/>
  <c r="H60" i="11"/>
  <c r="H28" i="11"/>
  <c r="I44" i="11"/>
  <c r="X42" i="4" a="1"/>
  <c r="X42" i="4" s="1"/>
  <c r="X9" i="4" a="1"/>
  <c r="X9" i="4" s="1"/>
  <c r="X37" i="4" a="1"/>
  <c r="X37" i="4" s="1"/>
  <c r="X13" i="4" a="1"/>
  <c r="X13" i="4" s="1"/>
  <c r="X23" i="4" a="1"/>
  <c r="X23" i="4" s="1"/>
  <c r="X16" i="4" a="1"/>
  <c r="X16" i="4" s="1"/>
  <c r="X40" i="4" a="1"/>
  <c r="X40" i="4" s="1"/>
  <c r="X26" i="4" a="1"/>
  <c r="X26" i="4" s="1"/>
  <c r="X19" i="4" a="1"/>
  <c r="X19" i="4" s="1"/>
  <c r="X39" i="4" a="1"/>
  <c r="X39" i="4" s="1"/>
  <c r="X31" i="4" a="1"/>
  <c r="X31" i="4" s="1"/>
  <c r="X34" i="4" a="1"/>
  <c r="X34" i="4" s="1"/>
  <c r="X12" i="4" a="1"/>
  <c r="X12" i="4" s="1"/>
  <c r="X24" i="4" a="1"/>
  <c r="X24" i="4" s="1"/>
  <c r="X38" i="4" a="1"/>
  <c r="X38" i="4" s="1"/>
  <c r="X36" i="4" a="1"/>
  <c r="X36" i="4" s="1"/>
  <c r="X6" i="4" a="1"/>
  <c r="X6" i="4" s="1"/>
  <c r="X35" i="4" a="1"/>
  <c r="X35" i="4" s="1"/>
  <c r="X41" i="4" a="1"/>
  <c r="X41" i="4" s="1"/>
  <c r="X11" i="4" a="1"/>
  <c r="X11" i="4" s="1"/>
  <c r="X17" i="4" a="1"/>
  <c r="X17" i="4" s="1"/>
  <c r="X10" i="4" a="1"/>
  <c r="X10" i="4" s="1"/>
  <c r="K29" i="11"/>
  <c r="I16" i="14"/>
  <c r="Z37" i="14"/>
  <c r="K32" i="11"/>
  <c r="I19" i="14"/>
  <c r="K31" i="11"/>
  <c r="I18" i="14"/>
  <c r="J10" i="11"/>
  <c r="AL15" i="11"/>
  <c r="AK11" i="11"/>
  <c r="AK17" i="11" s="1"/>
  <c r="AK24" i="11"/>
  <c r="F60" i="11"/>
  <c r="G21" i="14"/>
  <c r="F21" i="14" s="1"/>
  <c r="AZ37" i="11"/>
  <c r="D41" i="12"/>
  <c r="E42" i="12"/>
  <c r="J41" i="12" s="1"/>
  <c r="X7" i="4" a="1"/>
  <c r="X7" i="4" s="1"/>
  <c r="X20" i="4" a="1"/>
  <c r="X20" i="4" s="1"/>
  <c r="X5" i="4" a="1"/>
  <c r="X5" i="4" s="1"/>
  <c r="X28" i="4" a="1"/>
  <c r="X28" i="4" s="1"/>
  <c r="X15" i="4" a="1"/>
  <c r="X15" i="4" s="1"/>
  <c r="X21" i="4" a="1"/>
  <c r="X21" i="4" s="1"/>
  <c r="X29" i="4" a="1"/>
  <c r="X29" i="4" s="1"/>
  <c r="X27" i="4" a="1"/>
  <c r="X27" i="4" s="1"/>
  <c r="X33" i="4" a="1"/>
  <c r="X33" i="4" s="1"/>
  <c r="X14" i="4" a="1"/>
  <c r="X14" i="4" s="1"/>
  <c r="X25" i="4" a="1"/>
  <c r="X25" i="4" s="1"/>
  <c r="X22" i="4" a="1"/>
  <c r="X22" i="4" s="1"/>
  <c r="X32" i="4" a="1"/>
  <c r="X32" i="4" s="1"/>
  <c r="X30" i="4" a="1"/>
  <c r="X30" i="4" s="1"/>
  <c r="X18" i="4" a="1"/>
  <c r="X18" i="4" s="1"/>
  <c r="Q2" i="4"/>
  <c r="X43" i="4" a="1"/>
  <c r="X43" i="4" s="1"/>
  <c r="Q61" i="4"/>
  <c r="Q62" i="4" s="1"/>
  <c r="AD43" i="4"/>
  <c r="AB43" i="4"/>
  <c r="Z43" i="4" a="1"/>
  <c r="Z43" i="4" s="1"/>
  <c r="T43" i="4"/>
  <c r="J19" i="11" l="1"/>
  <c r="J21" i="11"/>
  <c r="I11" i="14" s="1"/>
  <c r="J44" i="11"/>
  <c r="K44" i="11" s="1"/>
  <c r="H31" i="14"/>
  <c r="V38" i="4"/>
  <c r="V39" i="4"/>
  <c r="V37" i="4"/>
  <c r="G47" i="14"/>
  <c r="F47" i="14" s="1"/>
  <c r="I30" i="12"/>
  <c r="J37" i="12"/>
  <c r="I20" i="11"/>
  <c r="L31" i="11"/>
  <c r="J18" i="14"/>
  <c r="L32" i="11"/>
  <c r="J19" i="14"/>
  <c r="L29" i="11"/>
  <c r="J16" i="14"/>
  <c r="H9" i="14"/>
  <c r="K10" i="11"/>
  <c r="I4" i="14"/>
  <c r="H11" i="14"/>
  <c r="AM15" i="11"/>
  <c r="AL24" i="11"/>
  <c r="AL11" i="11"/>
  <c r="AL17" i="11" s="1"/>
  <c r="I28" i="11"/>
  <c r="I23" i="11"/>
  <c r="BA37" i="11"/>
  <c r="E49" i="12"/>
  <c r="J42" i="12"/>
  <c r="V6" i="4"/>
  <c r="V36" i="4"/>
  <c r="V8" i="4"/>
  <c r="V32" i="4"/>
  <c r="V15" i="4"/>
  <c r="V10" i="4"/>
  <c r="V30" i="4"/>
  <c r="V27" i="4"/>
  <c r="V22" i="4"/>
  <c r="V17" i="4"/>
  <c r="V14" i="4"/>
  <c r="V19" i="4"/>
  <c r="V13" i="4"/>
  <c r="V28" i="4"/>
  <c r="V21" i="4"/>
  <c r="V33" i="4"/>
  <c r="V42" i="4"/>
  <c r="V34" i="4"/>
  <c r="V26" i="4"/>
  <c r="V25" i="4"/>
  <c r="V12" i="4"/>
  <c r="V35" i="4"/>
  <c r="V23" i="4"/>
  <c r="V29" i="4"/>
  <c r="V31" i="4"/>
  <c r="V20" i="4"/>
  <c r="V7" i="4"/>
  <c r="V18" i="4"/>
  <c r="V41" i="4"/>
  <c r="V24" i="4"/>
  <c r="V11" i="4"/>
  <c r="V9" i="4"/>
  <c r="V43" i="4"/>
  <c r="V40" i="4"/>
  <c r="V16" i="4"/>
  <c r="V5" i="4"/>
  <c r="I31" i="14" l="1"/>
  <c r="K19" i="11"/>
  <c r="K21" i="11"/>
  <c r="J11" i="14" s="1"/>
  <c r="J56" i="12"/>
  <c r="J20" i="11"/>
  <c r="M32" i="11"/>
  <c r="K19" i="14"/>
  <c r="L44" i="11"/>
  <c r="J31" i="14"/>
  <c r="M31" i="11"/>
  <c r="K18" i="14"/>
  <c r="M29" i="11"/>
  <c r="K16" i="14"/>
  <c r="I9" i="14"/>
  <c r="H10" i="14"/>
  <c r="L10" i="11"/>
  <c r="J4" i="14"/>
  <c r="J28" i="11"/>
  <c r="H15" i="14"/>
  <c r="AM11" i="11"/>
  <c r="AM17" i="11" s="1"/>
  <c r="AN15" i="11"/>
  <c r="AM24" i="11"/>
  <c r="BB37" i="11"/>
  <c r="I22" i="11"/>
  <c r="L19" i="11" l="1"/>
  <c r="L21" i="11"/>
  <c r="K11" i="14" s="1"/>
  <c r="I34" i="11"/>
  <c r="I43" i="11"/>
  <c r="I58" i="11" s="1"/>
  <c r="K56" i="11"/>
  <c r="I43" i="14"/>
  <c r="K20" i="11"/>
  <c r="I42" i="11"/>
  <c r="J23" i="11"/>
  <c r="N31" i="11"/>
  <c r="L18" i="14"/>
  <c r="N32" i="11"/>
  <c r="L19" i="14"/>
  <c r="M44" i="11"/>
  <c r="K31" i="14"/>
  <c r="J22" i="11"/>
  <c r="N29" i="11"/>
  <c r="L16" i="14"/>
  <c r="K28" i="11"/>
  <c r="I15" i="14"/>
  <c r="H12" i="14"/>
  <c r="M10" i="11"/>
  <c r="K4" i="14"/>
  <c r="AN24" i="11"/>
  <c r="AN11" i="11"/>
  <c r="AN17" i="11" s="1"/>
  <c r="AO15" i="11"/>
  <c r="BC37" i="11"/>
  <c r="M19" i="11" l="1"/>
  <c r="M21" i="11"/>
  <c r="J43" i="11"/>
  <c r="J58" i="11" s="1"/>
  <c r="I38" i="11"/>
  <c r="I60" i="11"/>
  <c r="L56" i="11"/>
  <c r="J43" i="14"/>
  <c r="L20" i="11"/>
  <c r="H30" i="14"/>
  <c r="H29" i="14"/>
  <c r="I12" i="14"/>
  <c r="J42" i="11"/>
  <c r="I29" i="14" s="1"/>
  <c r="J9" i="14"/>
  <c r="N44" i="11"/>
  <c r="L31" i="14"/>
  <c r="I10" i="14"/>
  <c r="O32" i="11"/>
  <c r="M19" i="14"/>
  <c r="O31" i="11"/>
  <c r="M18" i="14"/>
  <c r="O29" i="11"/>
  <c r="M16" i="14"/>
  <c r="L28" i="11"/>
  <c r="J15" i="14"/>
  <c r="N10" i="11"/>
  <c r="L4" i="14"/>
  <c r="AO24" i="11"/>
  <c r="AP15" i="11"/>
  <c r="AO11" i="11"/>
  <c r="AO17" i="11" s="1"/>
  <c r="BD37" i="11"/>
  <c r="CF37" i="11" s="1"/>
  <c r="J10" i="14"/>
  <c r="N19" i="11" l="1"/>
  <c r="N21" i="11"/>
  <c r="M11" i="14" s="1"/>
  <c r="M56" i="11"/>
  <c r="K43" i="14"/>
  <c r="M20" i="11"/>
  <c r="L11" i="14"/>
  <c r="H45" i="14"/>
  <c r="I30" i="14"/>
  <c r="K23" i="11"/>
  <c r="P29" i="11"/>
  <c r="N16" i="14"/>
  <c r="P32" i="11"/>
  <c r="N19" i="14"/>
  <c r="P31" i="11"/>
  <c r="N18" i="14"/>
  <c r="O44" i="11"/>
  <c r="M31" i="14"/>
  <c r="I45" i="14"/>
  <c r="M28" i="11"/>
  <c r="K15" i="14"/>
  <c r="O10" i="11"/>
  <c r="M4" i="14"/>
  <c r="AP11" i="11"/>
  <c r="AP17" i="11" s="1"/>
  <c r="AP24" i="11"/>
  <c r="AQ15" i="11"/>
  <c r="BE37" i="11"/>
  <c r="K22" i="11"/>
  <c r="O19" i="11" l="1"/>
  <c r="O21" i="11"/>
  <c r="N11" i="14" s="1"/>
  <c r="K43" i="11"/>
  <c r="K58" i="11" s="1"/>
  <c r="N56" i="11"/>
  <c r="L43" i="14"/>
  <c r="N20" i="11"/>
  <c r="J12" i="14"/>
  <c r="K42" i="11"/>
  <c r="K9" i="14"/>
  <c r="Q31" i="11"/>
  <c r="O18" i="14"/>
  <c r="P44" i="11"/>
  <c r="N31" i="14"/>
  <c r="Q32" i="11"/>
  <c r="O19" i="14"/>
  <c r="Q29" i="11"/>
  <c r="O16" i="14"/>
  <c r="L23" i="11"/>
  <c r="N28" i="11"/>
  <c r="L15" i="14"/>
  <c r="P10" i="11"/>
  <c r="N4" i="14"/>
  <c r="AQ11" i="11"/>
  <c r="AQ17" i="11" s="1"/>
  <c r="AQ24" i="11"/>
  <c r="AR15" i="11"/>
  <c r="BF37" i="11"/>
  <c r="P19" i="11" l="1"/>
  <c r="P21" i="11"/>
  <c r="O11" i="14" s="1"/>
  <c r="O56" i="11"/>
  <c r="M43" i="14"/>
  <c r="O20" i="11"/>
  <c r="J45" i="14"/>
  <c r="J29" i="14"/>
  <c r="J30" i="14"/>
  <c r="L22" i="11"/>
  <c r="L9" i="14"/>
  <c r="M23" i="11"/>
  <c r="K10" i="14"/>
  <c r="R32" i="11"/>
  <c r="P19" i="14"/>
  <c r="Q44" i="11"/>
  <c r="O31" i="14"/>
  <c r="R29" i="11"/>
  <c r="P16" i="14"/>
  <c r="R31" i="11"/>
  <c r="P18" i="14"/>
  <c r="O28" i="11"/>
  <c r="M15" i="14"/>
  <c r="Q10" i="11"/>
  <c r="O4" i="14"/>
  <c r="AR11" i="11"/>
  <c r="AR17" i="11" s="1"/>
  <c r="AS15" i="11"/>
  <c r="AR24" i="11"/>
  <c r="BG37" i="11"/>
  <c r="Q19" i="11" l="1"/>
  <c r="Q23" i="11" s="1"/>
  <c r="Q21" i="11"/>
  <c r="P11" i="14" s="1"/>
  <c r="P20" i="11"/>
  <c r="L43" i="11"/>
  <c r="L58" i="11" s="1"/>
  <c r="P56" i="11"/>
  <c r="N43" i="14"/>
  <c r="K12" i="14"/>
  <c r="L42" i="11"/>
  <c r="S31" i="11"/>
  <c r="Q18" i="14"/>
  <c r="S29" i="11"/>
  <c r="Q16" i="14"/>
  <c r="R44" i="11"/>
  <c r="P31" i="14"/>
  <c r="M22" i="11"/>
  <c r="L10" i="14"/>
  <c r="S32" i="11"/>
  <c r="Q19" i="14"/>
  <c r="M9" i="14"/>
  <c r="N23" i="11"/>
  <c r="P28" i="11"/>
  <c r="N15" i="14"/>
  <c r="R10" i="11"/>
  <c r="P4" i="14"/>
  <c r="AT15" i="11"/>
  <c r="AS11" i="11"/>
  <c r="AS17" i="11" s="1"/>
  <c r="AS24" i="11"/>
  <c r="BH37" i="11"/>
  <c r="R19" i="11" l="1"/>
  <c r="R21" i="11"/>
  <c r="Q11" i="14" s="1"/>
  <c r="M43" i="11"/>
  <c r="M58" i="11" s="1"/>
  <c r="Q56" i="11"/>
  <c r="O43" i="14"/>
  <c r="Q20" i="11"/>
  <c r="K45" i="14"/>
  <c r="M42" i="11"/>
  <c r="L29" i="14" s="1"/>
  <c r="K30" i="14"/>
  <c r="K29" i="14"/>
  <c r="T32" i="11"/>
  <c r="CC32" i="11" s="1"/>
  <c r="R19" i="14"/>
  <c r="N22" i="11"/>
  <c r="S44" i="11"/>
  <c r="Q31" i="14"/>
  <c r="L12" i="14"/>
  <c r="T29" i="11"/>
  <c r="CC29" i="11" s="1"/>
  <c r="R16" i="14"/>
  <c r="M10" i="14"/>
  <c r="T31" i="11"/>
  <c r="CC31" i="11" s="1"/>
  <c r="R18" i="14"/>
  <c r="N9" i="14"/>
  <c r="O23" i="11"/>
  <c r="O22" i="11"/>
  <c r="Q28" i="11"/>
  <c r="O15" i="14"/>
  <c r="S10" i="11"/>
  <c r="Q4" i="14"/>
  <c r="AU15" i="11"/>
  <c r="AT24" i="11"/>
  <c r="AT11" i="11"/>
  <c r="AT17" i="11" s="1"/>
  <c r="BI37" i="11"/>
  <c r="S19" i="11" l="1"/>
  <c r="S21" i="11"/>
  <c r="R11" i="14" s="1"/>
  <c r="N43" i="11"/>
  <c r="N58" i="11" s="1"/>
  <c r="O43" i="11"/>
  <c r="O58" i="11" s="1"/>
  <c r="R56" i="11"/>
  <c r="P43" i="14"/>
  <c r="R20" i="11"/>
  <c r="N12" i="14"/>
  <c r="O42" i="11"/>
  <c r="N29" i="14" s="1"/>
  <c r="M12" i="14"/>
  <c r="N42" i="11"/>
  <c r="L30" i="14"/>
  <c r="N10" i="14"/>
  <c r="T44" i="11"/>
  <c r="CC44" i="11" s="1"/>
  <c r="R31" i="14"/>
  <c r="U29" i="11"/>
  <c r="S16" i="14"/>
  <c r="X16" i="14" s="1"/>
  <c r="BS29" i="11"/>
  <c r="U32" i="11"/>
  <c r="S19" i="14"/>
  <c r="X19" i="14" s="1"/>
  <c r="BR32" i="11"/>
  <c r="BS32" i="11"/>
  <c r="U19" i="14" s="1"/>
  <c r="U31" i="11"/>
  <c r="S18" i="14"/>
  <c r="X18" i="14" s="1"/>
  <c r="BR31" i="11"/>
  <c r="BS31" i="11"/>
  <c r="U18" i="14" s="1"/>
  <c r="R28" i="11"/>
  <c r="P15" i="14"/>
  <c r="T10" i="11"/>
  <c r="R4" i="14"/>
  <c r="AV15" i="11"/>
  <c r="AU24" i="11"/>
  <c r="AU11" i="11"/>
  <c r="AU17" i="11" s="1"/>
  <c r="BJ37" i="11"/>
  <c r="Y18" i="14" l="1"/>
  <c r="T19" i="11"/>
  <c r="T21" i="11"/>
  <c r="S56" i="11"/>
  <c r="Q43" i="14"/>
  <c r="S20" i="11"/>
  <c r="L45" i="14"/>
  <c r="M30" i="14"/>
  <c r="M45" i="14"/>
  <c r="M29" i="14"/>
  <c r="N30" i="14"/>
  <c r="N45" i="14"/>
  <c r="O9" i="14"/>
  <c r="P23" i="11"/>
  <c r="T19" i="14"/>
  <c r="BT32" i="11"/>
  <c r="V19" i="14" s="1"/>
  <c r="Y19" i="14"/>
  <c r="V32" i="1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U16" i="14"/>
  <c r="Y16" i="14" s="1"/>
  <c r="Z16" i="14" s="1"/>
  <c r="V29" i="1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T18" i="14"/>
  <c r="BT31" i="11"/>
  <c r="V18" i="14" s="1"/>
  <c r="V31" i="1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S31" i="14"/>
  <c r="X31" i="14" s="1"/>
  <c r="Y31" i="14" s="1"/>
  <c r="U44" i="11"/>
  <c r="BR44" i="11"/>
  <c r="S28" i="11"/>
  <c r="Q15" i="14"/>
  <c r="U10" i="11"/>
  <c r="U21" i="11" s="1"/>
  <c r="S4" i="14"/>
  <c r="AV24" i="11"/>
  <c r="AV11" i="11"/>
  <c r="AV17" i="11" s="1"/>
  <c r="AW15" i="11"/>
  <c r="BK37" i="11"/>
  <c r="T56" i="11" l="1"/>
  <c r="R43" i="14"/>
  <c r="V10" i="11"/>
  <c r="V21" i="11" s="1"/>
  <c r="U19" i="11"/>
  <c r="BX29" i="11"/>
  <c r="L16" i="16" s="1"/>
  <c r="CD29" i="11"/>
  <c r="CD31" i="11"/>
  <c r="Z18" i="14"/>
  <c r="CD32" i="11"/>
  <c r="S11" i="14"/>
  <c r="X11" i="14" s="1"/>
  <c r="CC21" i="11"/>
  <c r="Z19" i="14"/>
  <c r="O10" i="14"/>
  <c r="P22" i="11"/>
  <c r="AH31" i="1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H32" i="1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BX32" i="11"/>
  <c r="L19" i="16" s="1"/>
  <c r="AH29" i="1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V44" i="11"/>
  <c r="W44" i="11" s="1"/>
  <c r="X44" i="11" s="1"/>
  <c r="Y44" i="11" s="1"/>
  <c r="Z44" i="11" s="1"/>
  <c r="AA44" i="11" s="1"/>
  <c r="AB44" i="11" s="1"/>
  <c r="AC44" i="11" s="1"/>
  <c r="AD44" i="11" s="1"/>
  <c r="AE44" i="11" s="1"/>
  <c r="AF44" i="11" s="1"/>
  <c r="AG44" i="11" s="1"/>
  <c r="T31" i="14"/>
  <c r="BT44" i="11"/>
  <c r="V31" i="14" s="1"/>
  <c r="Z31" i="14" s="1"/>
  <c r="BX31" i="11"/>
  <c r="L18" i="16" s="1"/>
  <c r="T28" i="11"/>
  <c r="R15" i="14"/>
  <c r="AX15" i="11"/>
  <c r="AW11" i="11"/>
  <c r="AW17" i="11" s="1"/>
  <c r="AW24" i="11"/>
  <c r="BR21" i="11"/>
  <c r="BS19" i="11" s="1"/>
  <c r="BL37" i="11"/>
  <c r="CC56" i="11" l="1"/>
  <c r="BS56" i="11"/>
  <c r="BR56" i="11"/>
  <c r="T43" i="14" s="1"/>
  <c r="T11" i="14"/>
  <c r="BS21" i="11"/>
  <c r="BT21" i="11" s="1"/>
  <c r="V11" i="14" s="1"/>
  <c r="U9" i="14"/>
  <c r="P43" i="11"/>
  <c r="P58" i="11" s="1"/>
  <c r="U56" i="11"/>
  <c r="S43" i="14"/>
  <c r="CJ29" i="11"/>
  <c r="BY31" i="11"/>
  <c r="Q18" i="16" s="1"/>
  <c r="W10" i="11"/>
  <c r="W21" i="11" s="1"/>
  <c r="V19" i="11"/>
  <c r="T20" i="11"/>
  <c r="CC20" i="11" s="1"/>
  <c r="CC19" i="11"/>
  <c r="CJ32" i="11"/>
  <c r="BY29" i="11"/>
  <c r="Q16" i="16" s="1"/>
  <c r="CE29" i="11"/>
  <c r="CJ31" i="11"/>
  <c r="CE31" i="11"/>
  <c r="CE32" i="11"/>
  <c r="CD44" i="11"/>
  <c r="BW28" i="11"/>
  <c r="G15" i="16" s="1"/>
  <c r="CC28" i="11"/>
  <c r="P42" i="11"/>
  <c r="O29" i="14" s="1"/>
  <c r="O12" i="14"/>
  <c r="P9" i="14"/>
  <c r="BX44" i="11"/>
  <c r="L31" i="16" s="1"/>
  <c r="AT29" i="11"/>
  <c r="AU29" i="11" s="1"/>
  <c r="AV29" i="11" s="1"/>
  <c r="AW29" i="11" s="1"/>
  <c r="AX29" i="11" s="1"/>
  <c r="AY29" i="11" s="1"/>
  <c r="AZ29" i="11" s="1"/>
  <c r="BA29" i="11" s="1"/>
  <c r="BB29" i="11" s="1"/>
  <c r="BC29" i="11" s="1"/>
  <c r="BD29" i="11" s="1"/>
  <c r="BE29" i="11" s="1"/>
  <c r="AT32" i="11"/>
  <c r="AU32" i="11" s="1"/>
  <c r="AV32" i="11" s="1"/>
  <c r="AW32" i="11" s="1"/>
  <c r="AX32" i="11" s="1"/>
  <c r="AY32" i="11" s="1"/>
  <c r="AZ32" i="11" s="1"/>
  <c r="BA32" i="11" s="1"/>
  <c r="BB32" i="11" s="1"/>
  <c r="BC32" i="11" s="1"/>
  <c r="BD32" i="11" s="1"/>
  <c r="BE32" i="11" s="1"/>
  <c r="BY32" i="11"/>
  <c r="Q19" i="16" s="1"/>
  <c r="AH44" i="11"/>
  <c r="AI44" i="11" s="1"/>
  <c r="AJ44" i="11" s="1"/>
  <c r="AK44" i="11" s="1"/>
  <c r="AL44" i="11" s="1"/>
  <c r="AM44" i="11" s="1"/>
  <c r="AN44" i="11" s="1"/>
  <c r="AO44" i="11" s="1"/>
  <c r="AP44" i="11" s="1"/>
  <c r="AQ44" i="11" s="1"/>
  <c r="AR44" i="11" s="1"/>
  <c r="AS44" i="11" s="1"/>
  <c r="AT31" i="11"/>
  <c r="AU31" i="11" s="1"/>
  <c r="AV31" i="11" s="1"/>
  <c r="AW31" i="11" s="1"/>
  <c r="AX31" i="11" s="1"/>
  <c r="AY31" i="11" s="1"/>
  <c r="AZ31" i="11" s="1"/>
  <c r="BA31" i="11" s="1"/>
  <c r="BB31" i="11" s="1"/>
  <c r="BC31" i="11" s="1"/>
  <c r="BD31" i="11" s="1"/>
  <c r="BE31" i="11" s="1"/>
  <c r="U28" i="11"/>
  <c r="S15" i="14"/>
  <c r="X15" i="14" s="1"/>
  <c r="BR28" i="11"/>
  <c r="BS28" i="11"/>
  <c r="U15" i="14" s="1"/>
  <c r="AY15" i="11"/>
  <c r="AX11" i="11"/>
  <c r="AX17" i="11" s="1"/>
  <c r="AX24" i="11"/>
  <c r="BM37" i="11"/>
  <c r="BT56" i="11" l="1"/>
  <c r="V43" i="14" s="1"/>
  <c r="U43" i="14"/>
  <c r="U11" i="14"/>
  <c r="Y11" i="14" s="1"/>
  <c r="Z11" i="14" s="1"/>
  <c r="BS22" i="11"/>
  <c r="U12" i="14" s="1"/>
  <c r="V56" i="11"/>
  <c r="W56" i="11" s="1"/>
  <c r="X56" i="11" s="1"/>
  <c r="Y56" i="11" s="1"/>
  <c r="Z56" i="11" s="1"/>
  <c r="AA56" i="11" s="1"/>
  <c r="AB56" i="11" s="1"/>
  <c r="AC56" i="11" s="1"/>
  <c r="AD56" i="11" s="1"/>
  <c r="AE56" i="11" s="1"/>
  <c r="AF56" i="11" s="1"/>
  <c r="AG56" i="11" s="1"/>
  <c r="BX56" i="11"/>
  <c r="L43" i="16" s="1"/>
  <c r="CD56" i="11"/>
  <c r="CK31" i="11"/>
  <c r="BZ32" i="11"/>
  <c r="V19" i="16" s="1"/>
  <c r="CK32" i="11"/>
  <c r="BZ29" i="11"/>
  <c r="V16" i="16" s="1"/>
  <c r="X10" i="11"/>
  <c r="X21" i="11" s="1"/>
  <c r="W19" i="11"/>
  <c r="CF32" i="11"/>
  <c r="CF31" i="11"/>
  <c r="CK29" i="11"/>
  <c r="CF29" i="11"/>
  <c r="CJ44" i="11"/>
  <c r="CE44" i="11"/>
  <c r="CI28" i="11"/>
  <c r="O30" i="14"/>
  <c r="O45" i="14"/>
  <c r="Q22" i="11"/>
  <c r="P10" i="14"/>
  <c r="BZ31" i="11"/>
  <c r="V18" i="16" s="1"/>
  <c r="BY44" i="11"/>
  <c r="Q31" i="16" s="1"/>
  <c r="BF32" i="11"/>
  <c r="BG32" i="11" s="1"/>
  <c r="BH32" i="11" s="1"/>
  <c r="BI32" i="11" s="1"/>
  <c r="BJ32" i="11" s="1"/>
  <c r="BK32" i="11" s="1"/>
  <c r="BL32" i="11" s="1"/>
  <c r="BM32" i="11" s="1"/>
  <c r="BN32" i="11" s="1"/>
  <c r="BO32" i="11" s="1"/>
  <c r="BP32" i="11" s="1"/>
  <c r="BW32" i="11" s="1"/>
  <c r="BF29" i="11"/>
  <c r="BG29" i="11" s="1"/>
  <c r="BH29" i="11" s="1"/>
  <c r="BI29" i="11" s="1"/>
  <c r="BJ29" i="11" s="1"/>
  <c r="BK29" i="11" s="1"/>
  <c r="BL29" i="11" s="1"/>
  <c r="BM29" i="11" s="1"/>
  <c r="BN29" i="11" s="1"/>
  <c r="BO29" i="11" s="1"/>
  <c r="BP29" i="11" s="1"/>
  <c r="BW29" i="11" s="1"/>
  <c r="AT44" i="11"/>
  <c r="AU44" i="11" s="1"/>
  <c r="AV44" i="11" s="1"/>
  <c r="AW44" i="11" s="1"/>
  <c r="AX44" i="11" s="1"/>
  <c r="AY44" i="11" s="1"/>
  <c r="AZ44" i="11" s="1"/>
  <c r="BA44" i="11" s="1"/>
  <c r="BB44" i="11" s="1"/>
  <c r="BC44" i="11" s="1"/>
  <c r="BD44" i="11" s="1"/>
  <c r="BE44" i="11" s="1"/>
  <c r="BF31" i="11"/>
  <c r="BG31" i="11" s="1"/>
  <c r="BH31" i="11" s="1"/>
  <c r="BI31" i="11" s="1"/>
  <c r="BJ31" i="11" s="1"/>
  <c r="BK31" i="11" s="1"/>
  <c r="BL31" i="11" s="1"/>
  <c r="BM31" i="11" s="1"/>
  <c r="BN31" i="11" s="1"/>
  <c r="BO31" i="11" s="1"/>
  <c r="BP31" i="11" s="1"/>
  <c r="BW31" i="11" s="1"/>
  <c r="T15" i="14"/>
  <c r="BT28" i="11"/>
  <c r="V15" i="14" s="1"/>
  <c r="Y15" i="14"/>
  <c r="V28" i="1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Z15" i="11"/>
  <c r="AY24" i="11"/>
  <c r="AY11" i="11"/>
  <c r="AY17" i="11" s="1"/>
  <c r="BN37" i="11"/>
  <c r="BS34" i="11" l="1"/>
  <c r="U21" i="14" s="1"/>
  <c r="Q43" i="11"/>
  <c r="Q58" i="11" s="1"/>
  <c r="CJ56" i="11"/>
  <c r="AH56" i="11"/>
  <c r="AI56" i="11" s="1"/>
  <c r="AJ56" i="11" s="1"/>
  <c r="AK56" i="11" s="1"/>
  <c r="AL56" i="11" s="1"/>
  <c r="AM56" i="11" s="1"/>
  <c r="AN56" i="11" s="1"/>
  <c r="AO56" i="11" s="1"/>
  <c r="AP56" i="11" s="1"/>
  <c r="AQ56" i="11" s="1"/>
  <c r="AR56" i="11" s="1"/>
  <c r="AS56" i="11" s="1"/>
  <c r="CL32" i="11"/>
  <c r="CL29" i="11"/>
  <c r="Y10" i="11"/>
  <c r="Y21" i="11" s="1"/>
  <c r="X19" i="11"/>
  <c r="G18" i="16"/>
  <c r="CI31" i="11"/>
  <c r="G16" i="16"/>
  <c r="CI29" i="11"/>
  <c r="G19" i="16"/>
  <c r="CI32" i="11"/>
  <c r="CA29" i="11"/>
  <c r="AA16" i="16" s="1"/>
  <c r="CG29" i="11"/>
  <c r="CL31" i="11"/>
  <c r="CG32" i="11"/>
  <c r="CG31" i="11"/>
  <c r="CK44" i="11"/>
  <c r="CF44" i="11"/>
  <c r="CD28" i="11"/>
  <c r="P12" i="14"/>
  <c r="Q42" i="11"/>
  <c r="CA32" i="11"/>
  <c r="AA19" i="16" s="1"/>
  <c r="BX28" i="11"/>
  <c r="L15" i="16" s="1"/>
  <c r="BZ44" i="11"/>
  <c r="V31" i="16" s="1"/>
  <c r="Q9" i="14"/>
  <c r="R23" i="11"/>
  <c r="Z15" i="14"/>
  <c r="CA31" i="11"/>
  <c r="AA18" i="16" s="1"/>
  <c r="BF44" i="11"/>
  <c r="BG44" i="11" s="1"/>
  <c r="BH44" i="11" s="1"/>
  <c r="BI44" i="11" s="1"/>
  <c r="BJ44" i="11" s="1"/>
  <c r="BK44" i="11" s="1"/>
  <c r="BL44" i="11" s="1"/>
  <c r="BM44" i="11" s="1"/>
  <c r="BN44" i="11" s="1"/>
  <c r="BO44" i="11" s="1"/>
  <c r="BP44" i="11" s="1"/>
  <c r="BW44" i="11" s="1"/>
  <c r="AH28" i="1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BA15" i="11"/>
  <c r="AZ24" i="11"/>
  <c r="AZ11" i="11"/>
  <c r="AZ17" i="11" s="1"/>
  <c r="BO37" i="11"/>
  <c r="CE56" i="11" l="1"/>
  <c r="BY56" i="11"/>
  <c r="Q43" i="16" s="1"/>
  <c r="AT56" i="11"/>
  <c r="AU56" i="11" s="1"/>
  <c r="AV56" i="11" s="1"/>
  <c r="AW56" i="11" s="1"/>
  <c r="AX56" i="11" s="1"/>
  <c r="AY56" i="11" s="1"/>
  <c r="AZ56" i="11" s="1"/>
  <c r="BA56" i="11" s="1"/>
  <c r="BB56" i="11" s="1"/>
  <c r="BC56" i="11" s="1"/>
  <c r="BD56" i="11" s="1"/>
  <c r="BE56" i="11" s="1"/>
  <c r="CM32" i="11"/>
  <c r="CM29" i="11"/>
  <c r="Z10" i="11"/>
  <c r="Z21" i="11" s="1"/>
  <c r="Y19" i="11"/>
  <c r="CM31" i="11"/>
  <c r="G31" i="16"/>
  <c r="CI44" i="11"/>
  <c r="CG44" i="11"/>
  <c r="CL44" i="11"/>
  <c r="CJ28" i="11"/>
  <c r="CE28" i="11"/>
  <c r="P30" i="14"/>
  <c r="P29" i="14"/>
  <c r="Q10" i="14"/>
  <c r="R22" i="11"/>
  <c r="BY28" i="11"/>
  <c r="Q15" i="16" s="1"/>
  <c r="CA44" i="11"/>
  <c r="AA31" i="16" s="1"/>
  <c r="AT28" i="11"/>
  <c r="AU28" i="11" s="1"/>
  <c r="AV28" i="11" s="1"/>
  <c r="AW28" i="11" s="1"/>
  <c r="AX28" i="11" s="1"/>
  <c r="AY28" i="11" s="1"/>
  <c r="AZ28" i="11" s="1"/>
  <c r="BA28" i="11" s="1"/>
  <c r="BB28" i="11" s="1"/>
  <c r="BC28" i="11" s="1"/>
  <c r="BD28" i="11" s="1"/>
  <c r="BE28" i="11" s="1"/>
  <c r="BB15" i="11"/>
  <c r="BA11" i="11"/>
  <c r="BA17" i="11" s="1"/>
  <c r="BA24" i="11"/>
  <c r="BP37" i="11"/>
  <c r="CG37" i="11" s="1"/>
  <c r="CK56" i="11" l="1"/>
  <c r="R43" i="11"/>
  <c r="R58" i="11" s="1"/>
  <c r="BZ56" i="11"/>
  <c r="V43" i="16" s="1"/>
  <c r="CF56" i="11"/>
  <c r="CL56" i="11"/>
  <c r="BF56" i="11"/>
  <c r="BG56" i="11" s="1"/>
  <c r="BH56" i="11" s="1"/>
  <c r="BI56" i="11" s="1"/>
  <c r="BJ56" i="11" s="1"/>
  <c r="BK56" i="11" s="1"/>
  <c r="BL56" i="11" s="1"/>
  <c r="BM56" i="11" s="1"/>
  <c r="BN56" i="11" s="1"/>
  <c r="BO56" i="11" s="1"/>
  <c r="BP56" i="11" s="1"/>
  <c r="BW56" i="11" s="1"/>
  <c r="AA10" i="11"/>
  <c r="AA21" i="11" s="1"/>
  <c r="Z19" i="11"/>
  <c r="CM44" i="11"/>
  <c r="CK28" i="11"/>
  <c r="CF28" i="11"/>
  <c r="P45" i="14"/>
  <c r="R42" i="11"/>
  <c r="Q12" i="14"/>
  <c r="R9" i="14"/>
  <c r="S23" i="11"/>
  <c r="BZ28" i="11"/>
  <c r="V15" i="16" s="1"/>
  <c r="BF28" i="11"/>
  <c r="BG28" i="11" s="1"/>
  <c r="BH28" i="11" s="1"/>
  <c r="BI28" i="11" s="1"/>
  <c r="BJ28" i="11" s="1"/>
  <c r="BK28" i="11" s="1"/>
  <c r="BL28" i="11" s="1"/>
  <c r="BM28" i="11" s="1"/>
  <c r="BN28" i="11" s="1"/>
  <c r="BO28" i="11" s="1"/>
  <c r="BP28" i="11" s="1"/>
  <c r="BW37" i="11"/>
  <c r="BY37" i="11"/>
  <c r="BZ37" i="11"/>
  <c r="CA37" i="11"/>
  <c r="AA24" i="16" s="1"/>
  <c r="BB11" i="11"/>
  <c r="BB17" i="11" s="1"/>
  <c r="BC15" i="11"/>
  <c r="BB24" i="11"/>
  <c r="G43" i="16" l="1"/>
  <c r="CI56" i="11"/>
  <c r="CA56" i="11"/>
  <c r="AA43" i="16" s="1"/>
  <c r="CG56" i="11"/>
  <c r="AB10" i="11"/>
  <c r="AB21" i="11" s="1"/>
  <c r="AA19" i="11"/>
  <c r="V24" i="16"/>
  <c r="CL37" i="11"/>
  <c r="CG28" i="11"/>
  <c r="Q24" i="16"/>
  <c r="CK37" i="11"/>
  <c r="G24" i="16"/>
  <c r="CI37" i="11"/>
  <c r="CM37" i="11"/>
  <c r="CL28" i="11"/>
  <c r="Q30" i="14"/>
  <c r="Q45" i="14"/>
  <c r="Q29" i="14"/>
  <c r="S22" i="11"/>
  <c r="R10" i="14"/>
  <c r="CA28" i="11"/>
  <c r="AA15" i="16" s="1"/>
  <c r="BC11" i="11"/>
  <c r="BC17" i="11" s="1"/>
  <c r="BD15" i="11"/>
  <c r="BC24" i="11"/>
  <c r="S43" i="11" l="1"/>
  <c r="S58" i="11" s="1"/>
  <c r="CM56" i="11"/>
  <c r="AC10" i="11"/>
  <c r="AC21" i="11" s="1"/>
  <c r="AB19" i="11"/>
  <c r="CM28" i="11"/>
  <c r="R12" i="14"/>
  <c r="S42" i="11"/>
  <c r="S9" i="14"/>
  <c r="X9" i="14" s="1"/>
  <c r="Y9" i="14" s="1"/>
  <c r="T23" i="11"/>
  <c r="BR19" i="11"/>
  <c r="BT19" i="11" s="1"/>
  <c r="BD24" i="11"/>
  <c r="BD11" i="11"/>
  <c r="BD17" i="11" s="1"/>
  <c r="BE15" i="11"/>
  <c r="AD10" i="11" l="1"/>
  <c r="AD21" i="11" s="1"/>
  <c r="AC19" i="11"/>
  <c r="R30" i="14"/>
  <c r="R29" i="14"/>
  <c r="T9" i="14"/>
  <c r="V9" i="14"/>
  <c r="Z9" i="14" s="1"/>
  <c r="S10" i="14"/>
  <c r="X10" i="14" s="1"/>
  <c r="Y10" i="14" s="1"/>
  <c r="U20" i="11"/>
  <c r="BR20" i="11"/>
  <c r="T22" i="11"/>
  <c r="BE11" i="11"/>
  <c r="BE17" i="11" s="1"/>
  <c r="BE24" i="11"/>
  <c r="BF15" i="11"/>
  <c r="T43" i="11" l="1"/>
  <c r="T58" i="11" s="1"/>
  <c r="CC58" i="11" s="1"/>
  <c r="AE10" i="11"/>
  <c r="AE21" i="11" s="1"/>
  <c r="AD19" i="11"/>
  <c r="CC22" i="11"/>
  <c r="V20" i="11"/>
  <c r="R45" i="14"/>
  <c r="T42" i="11"/>
  <c r="CC42" i="11" s="1"/>
  <c r="S12" i="14"/>
  <c r="X12" i="14" s="1"/>
  <c r="BT20" i="11"/>
  <c r="V10" i="14" s="1"/>
  <c r="Z10" i="14" s="1"/>
  <c r="T10" i="14"/>
  <c r="U23" i="11"/>
  <c r="Y12" i="14"/>
  <c r="BR22" i="11"/>
  <c r="BG15" i="11"/>
  <c r="BF11" i="11"/>
  <c r="BF17" i="11" s="1"/>
  <c r="BF24" i="11"/>
  <c r="AF10" i="11" l="1"/>
  <c r="AF21" i="11" s="1"/>
  <c r="AE19" i="11"/>
  <c r="CC43" i="11"/>
  <c r="S30" i="14"/>
  <c r="X30" i="14" s="1"/>
  <c r="BW43" i="11"/>
  <c r="BW58" i="11" s="1"/>
  <c r="BR43" i="11"/>
  <c r="BR58" i="11" s="1"/>
  <c r="S29" i="14"/>
  <c r="X29" i="14" s="1"/>
  <c r="BS42" i="11"/>
  <c r="T12" i="14"/>
  <c r="BT22" i="11"/>
  <c r="V12" i="14" s="1"/>
  <c r="Z12" i="14" s="1"/>
  <c r="U22" i="11"/>
  <c r="V23" i="11"/>
  <c r="W20" i="11"/>
  <c r="BG11" i="11"/>
  <c r="BG17" i="11" s="1"/>
  <c r="BG24" i="11"/>
  <c r="BH15" i="11"/>
  <c r="BT43" i="11" l="1"/>
  <c r="V30" i="14" s="1"/>
  <c r="U43" i="11"/>
  <c r="U58" i="11" s="1"/>
  <c r="AG10" i="11"/>
  <c r="AG21" i="11" s="1"/>
  <c r="AF19" i="11"/>
  <c r="S45" i="14"/>
  <c r="X45" i="14" s="1"/>
  <c r="Y30" i="14"/>
  <c r="CI43" i="11"/>
  <c r="U29" i="14"/>
  <c r="Y29" i="14" s="1"/>
  <c r="Z29" i="14" s="1"/>
  <c r="G30" i="16"/>
  <c r="G45" i="16" s="1"/>
  <c r="CC59" i="11"/>
  <c r="U42" i="11"/>
  <c r="T45" i="14"/>
  <c r="T30" i="14"/>
  <c r="V22" i="11"/>
  <c r="X20" i="11"/>
  <c r="W23" i="11"/>
  <c r="BH11" i="11"/>
  <c r="BH17" i="11" s="1"/>
  <c r="BI15" i="11"/>
  <c r="BH24" i="11"/>
  <c r="CD21" i="11"/>
  <c r="V43" i="11" l="1"/>
  <c r="V58" i="11" s="1"/>
  <c r="AH10" i="11"/>
  <c r="AH21" i="11" s="1"/>
  <c r="AG19" i="11"/>
  <c r="Z30" i="14"/>
  <c r="V42" i="11"/>
  <c r="W22" i="11"/>
  <c r="X23" i="11"/>
  <c r="Y20" i="11"/>
  <c r="BI11" i="11"/>
  <c r="BI17" i="11" s="1"/>
  <c r="BJ15" i="11"/>
  <c r="BI24" i="11"/>
  <c r="W43" i="11" l="1"/>
  <c r="W58" i="11" s="1"/>
  <c r="AI10" i="11"/>
  <c r="AI21" i="11" s="1"/>
  <c r="AH19" i="11"/>
  <c r="W42" i="11"/>
  <c r="X22" i="11"/>
  <c r="Y23" i="11"/>
  <c r="Z20" i="11"/>
  <c r="BJ11" i="11"/>
  <c r="BJ17" i="11" s="1"/>
  <c r="BK15" i="11"/>
  <c r="BJ24" i="11"/>
  <c r="X43" i="11" l="1"/>
  <c r="X58" i="11" s="1"/>
  <c r="AJ10" i="11"/>
  <c r="AJ21" i="11" s="1"/>
  <c r="AI19" i="11"/>
  <c r="X42" i="11"/>
  <c r="Y22" i="11"/>
  <c r="Z23" i="11"/>
  <c r="AA20" i="11"/>
  <c r="BK11" i="11"/>
  <c r="BK17" i="11" s="1"/>
  <c r="BK24" i="11"/>
  <c r="BL15" i="11"/>
  <c r="Y43" i="11" l="1"/>
  <c r="Y58" i="11" s="1"/>
  <c r="AK10" i="11"/>
  <c r="AK21" i="11" s="1"/>
  <c r="AJ19" i="11"/>
  <c r="Y42" i="11"/>
  <c r="Z22" i="11"/>
  <c r="AA23" i="11"/>
  <c r="AB20" i="11"/>
  <c r="BM15" i="11"/>
  <c r="BL24" i="11"/>
  <c r="BL11" i="11"/>
  <c r="BL17" i="11" s="1"/>
  <c r="Z43" i="11" l="1"/>
  <c r="Z58" i="11" s="1"/>
  <c r="AL10" i="11"/>
  <c r="AL21" i="11" s="1"/>
  <c r="AK19" i="11"/>
  <c r="Z42" i="11"/>
  <c r="AA22" i="11"/>
  <c r="AB23" i="11"/>
  <c r="AC20" i="11"/>
  <c r="BM24" i="11"/>
  <c r="BM11" i="11"/>
  <c r="BM17" i="11" s="1"/>
  <c r="BN15" i="11"/>
  <c r="AA43" i="11" l="1"/>
  <c r="AA58" i="11" s="1"/>
  <c r="AM10" i="11"/>
  <c r="AM21" i="11" s="1"/>
  <c r="AL19" i="11"/>
  <c r="AA42" i="11"/>
  <c r="AB22" i="11"/>
  <c r="AC23" i="11"/>
  <c r="AD20" i="11"/>
  <c r="BN11" i="11"/>
  <c r="BN17" i="11" s="1"/>
  <c r="BO15" i="11"/>
  <c r="BN24" i="11"/>
  <c r="AB43" i="11" l="1"/>
  <c r="AB58" i="11" s="1"/>
  <c r="AN10" i="11"/>
  <c r="AN21" i="11" s="1"/>
  <c r="AM19" i="11"/>
  <c r="AB42" i="11"/>
  <c r="AC22" i="11"/>
  <c r="AD23" i="11"/>
  <c r="AE20" i="11"/>
  <c r="BO11" i="11"/>
  <c r="BO17" i="11" s="1"/>
  <c r="BO24" i="11"/>
  <c r="BP15" i="11"/>
  <c r="AC43" i="11" l="1"/>
  <c r="AC58" i="11" s="1"/>
  <c r="AO10" i="11"/>
  <c r="AO21" i="11" s="1"/>
  <c r="AN19" i="11"/>
  <c r="AC42" i="11"/>
  <c r="AD22" i="11"/>
  <c r="AE23" i="11"/>
  <c r="AF20" i="11"/>
  <c r="BP24" i="11"/>
  <c r="BP11" i="11"/>
  <c r="BP17" i="11" s="1"/>
  <c r="AD43" i="11" l="1"/>
  <c r="AD58" i="11" s="1"/>
  <c r="AP10" i="11"/>
  <c r="AP21" i="11" s="1"/>
  <c r="AO19" i="11"/>
  <c r="CD20" i="11"/>
  <c r="CD19" i="11"/>
  <c r="AD42" i="11"/>
  <c r="AF23" i="11"/>
  <c r="AE22" i="11"/>
  <c r="AE43" i="11" l="1"/>
  <c r="AE58" i="11" s="1"/>
  <c r="AQ10" i="11"/>
  <c r="AQ21" i="11" s="1"/>
  <c r="AP19" i="11"/>
  <c r="AE42" i="11"/>
  <c r="AF22" i="11"/>
  <c r="AF43" i="11" l="1"/>
  <c r="AF58" i="11" s="1"/>
  <c r="AR10" i="11"/>
  <c r="AR21" i="11" s="1"/>
  <c r="AQ19" i="11"/>
  <c r="AG23" i="11"/>
  <c r="AG20" i="11"/>
  <c r="CD22" i="11"/>
  <c r="AF42" i="11"/>
  <c r="CD42" i="11" s="1"/>
  <c r="AS10" i="11" l="1"/>
  <c r="AS21" i="11" s="1"/>
  <c r="AR19" i="11"/>
  <c r="AG22" i="11"/>
  <c r="CD58" i="11"/>
  <c r="CD43" i="11"/>
  <c r="AH20" i="11"/>
  <c r="CE21" i="11"/>
  <c r="AG43" i="11" l="1"/>
  <c r="AG58" i="11" s="1"/>
  <c r="AT10" i="11"/>
  <c r="AT21" i="11" s="1"/>
  <c r="AS19" i="11"/>
  <c r="AG42" i="11"/>
  <c r="AH22" i="11"/>
  <c r="AH23" i="11"/>
  <c r="AH43" i="11" l="1"/>
  <c r="AH58" i="11" s="1"/>
  <c r="AU10" i="11"/>
  <c r="AU21" i="11" s="1"/>
  <c r="AT19" i="11"/>
  <c r="AH42" i="11"/>
  <c r="AI20" i="11"/>
  <c r="AV10" i="11" l="1"/>
  <c r="AV21" i="11" s="1"/>
  <c r="AU19" i="11"/>
  <c r="AI22" i="11"/>
  <c r="AI23" i="11"/>
  <c r="AI43" i="11" l="1"/>
  <c r="AI58" i="11" s="1"/>
  <c r="AW10" i="11"/>
  <c r="AW21" i="11" s="1"/>
  <c r="AV19" i="11"/>
  <c r="AI42" i="11"/>
  <c r="AJ20" i="11"/>
  <c r="AX10" i="11" l="1"/>
  <c r="AX21" i="11" s="1"/>
  <c r="AW19" i="11"/>
  <c r="AK20" i="11"/>
  <c r="AJ23" i="11"/>
  <c r="AJ22" i="11"/>
  <c r="AJ43" i="11" l="1"/>
  <c r="AJ58" i="11" s="1"/>
  <c r="AY10" i="11"/>
  <c r="AY21" i="11" s="1"/>
  <c r="AX19" i="11"/>
  <c r="AJ42" i="11"/>
  <c r="AK23" i="11"/>
  <c r="AZ10" i="11" l="1"/>
  <c r="AZ21" i="11" s="1"/>
  <c r="AY19" i="11"/>
  <c r="AL20" i="11"/>
  <c r="AK22" i="11"/>
  <c r="AK43" i="11" l="1"/>
  <c r="AK58" i="11" s="1"/>
  <c r="BA10" i="11"/>
  <c r="BA21" i="11" s="1"/>
  <c r="AZ19" i="11"/>
  <c r="AK42" i="11"/>
  <c r="AL22" i="11"/>
  <c r="AL23" i="11"/>
  <c r="AL43" i="11" l="1"/>
  <c r="AL58" i="11" s="1"/>
  <c r="BB10" i="11"/>
  <c r="BB21" i="11" s="1"/>
  <c r="BA19" i="11"/>
  <c r="AL42" i="11"/>
  <c r="AM20" i="11"/>
  <c r="BC10" i="11" l="1"/>
  <c r="BC21" i="11" s="1"/>
  <c r="BB19" i="11"/>
  <c r="AN20" i="11"/>
  <c r="AM23" i="11"/>
  <c r="BD10" i="11" l="1"/>
  <c r="BD21" i="11" s="1"/>
  <c r="BC19" i="11"/>
  <c r="AM22" i="11"/>
  <c r="AO20" i="11"/>
  <c r="AN23" i="11"/>
  <c r="AN22" i="11"/>
  <c r="AN43" i="11" l="1"/>
  <c r="AN58" i="11" s="1"/>
  <c r="AM43" i="11"/>
  <c r="AM58" i="11" s="1"/>
  <c r="BE10" i="11"/>
  <c r="BE21" i="11" s="1"/>
  <c r="BD19" i="11"/>
  <c r="AM42" i="11"/>
  <c r="AN42" i="11"/>
  <c r="AP20" i="11"/>
  <c r="AO23" i="11"/>
  <c r="AO22" i="11"/>
  <c r="CF21" i="11"/>
  <c r="AO43" i="11" l="1"/>
  <c r="AO58" i="11" s="1"/>
  <c r="BF10" i="11"/>
  <c r="BF21" i="11" s="1"/>
  <c r="BE19" i="11"/>
  <c r="AP23" i="11"/>
  <c r="AP22" i="11"/>
  <c r="AQ20" i="11"/>
  <c r="AO42" i="11"/>
  <c r="AP43" i="11" l="1"/>
  <c r="AP58" i="11" s="1"/>
  <c r="BG10" i="11"/>
  <c r="BG21" i="11" s="1"/>
  <c r="BF19" i="11"/>
  <c r="AQ23" i="11"/>
  <c r="AP42" i="11"/>
  <c r="AQ22" i="11"/>
  <c r="CE19" i="11"/>
  <c r="AQ43" i="11" l="1"/>
  <c r="AQ58" i="11" s="1"/>
  <c r="BH10" i="11"/>
  <c r="BH21" i="11" s="1"/>
  <c r="BG19" i="11"/>
  <c r="AQ42" i="11"/>
  <c r="AR20" i="11"/>
  <c r="AR23" i="11"/>
  <c r="BI10" i="11" l="1"/>
  <c r="BI21" i="11" s="1"/>
  <c r="BH19" i="11"/>
  <c r="AS20" i="11"/>
  <c r="CE20" i="11"/>
  <c r="AR22" i="11"/>
  <c r="AR43" i="11" l="1"/>
  <c r="AR58" i="11" s="1"/>
  <c r="BJ10" i="11"/>
  <c r="BJ21" i="11" s="1"/>
  <c r="BI19" i="11"/>
  <c r="AT20" i="11"/>
  <c r="CE22" i="11"/>
  <c r="AS22" i="11"/>
  <c r="AS23" i="11"/>
  <c r="AR42" i="11"/>
  <c r="AT23" i="11"/>
  <c r="AS43" i="11" l="1"/>
  <c r="AS58" i="11" s="1"/>
  <c r="BK10" i="11"/>
  <c r="BK21" i="11" s="1"/>
  <c r="BJ19" i="11"/>
  <c r="AT22" i="11"/>
  <c r="CE42" i="11"/>
  <c r="CE58" i="11"/>
  <c r="CE43" i="11"/>
  <c r="AS42" i="11"/>
  <c r="AU20" i="11"/>
  <c r="AT43" i="11" l="1"/>
  <c r="AT58" i="11" s="1"/>
  <c r="BL10" i="11"/>
  <c r="BL21" i="11" s="1"/>
  <c r="BK19" i="11"/>
  <c r="AT42" i="11"/>
  <c r="AU23" i="11"/>
  <c r="BM10" i="11" l="1"/>
  <c r="BM21" i="11" s="1"/>
  <c r="BL19" i="11"/>
  <c r="AU22" i="11"/>
  <c r="AU43" i="11" l="1"/>
  <c r="AU58" i="11" s="1"/>
  <c r="BN10" i="11"/>
  <c r="BN21" i="11" s="1"/>
  <c r="BM19" i="11"/>
  <c r="AV23" i="11"/>
  <c r="AV20" i="11"/>
  <c r="AU42" i="11"/>
  <c r="BO10" i="11" l="1"/>
  <c r="BO21" i="11" s="1"/>
  <c r="BN19" i="11"/>
  <c r="AW23" i="11"/>
  <c r="AV22" i="11"/>
  <c r="AV43" i="11" l="1"/>
  <c r="AV58" i="11" s="1"/>
  <c r="BP10" i="11"/>
  <c r="BO19" i="11"/>
  <c r="AW20" i="11"/>
  <c r="AV42" i="11"/>
  <c r="BP19" i="11" l="1"/>
  <c r="BP21" i="11"/>
  <c r="CG21" i="11" s="1"/>
  <c r="AX20" i="11"/>
  <c r="AW22" i="11"/>
  <c r="BW21" i="11"/>
  <c r="BX21" i="11"/>
  <c r="BY21" i="11"/>
  <c r="BZ21" i="11"/>
  <c r="CA21" i="11" l="1"/>
  <c r="AA11" i="16" s="1"/>
  <c r="AW43" i="11"/>
  <c r="AW58" i="11" s="1"/>
  <c r="V11" i="16"/>
  <c r="CL21" i="11"/>
  <c r="G11" i="16"/>
  <c r="CI21" i="11"/>
  <c r="AW42" i="11"/>
  <c r="Q11" i="16"/>
  <c r="CK21" i="11"/>
  <c r="L11" i="16"/>
  <c r="CJ21" i="11"/>
  <c r="AX23" i="11"/>
  <c r="AB11" i="16" l="1"/>
  <c r="CM21" i="11"/>
  <c r="R11" i="16"/>
  <c r="AY20" i="11"/>
  <c r="AX22" i="11"/>
  <c r="W11" i="16"/>
  <c r="AX43" i="11" l="1"/>
  <c r="AX58" i="11" s="1"/>
  <c r="AX42" i="11"/>
  <c r="AY23" i="11"/>
  <c r="AZ20" i="11" l="1"/>
  <c r="AY22" i="11"/>
  <c r="AY43" i="11" l="1"/>
  <c r="AY58" i="11" s="1"/>
  <c r="AY42" i="11"/>
  <c r="AZ23" i="11"/>
  <c r="BA20" i="11" l="1"/>
  <c r="AZ22" i="11"/>
  <c r="AZ43" i="11" l="1"/>
  <c r="AZ58" i="11" s="1"/>
  <c r="AZ42" i="11"/>
  <c r="BB20" i="11"/>
  <c r="BA23" i="11"/>
  <c r="BB23" i="11" l="1"/>
  <c r="BA22" i="11"/>
  <c r="BC20" i="11"/>
  <c r="BB22" i="11"/>
  <c r="BB43" i="11" l="1"/>
  <c r="BB58" i="11" s="1"/>
  <c r="BA43" i="11"/>
  <c r="BA58" i="11" s="1"/>
  <c r="BA42" i="11"/>
  <c r="BB42" i="11"/>
  <c r="BC23" i="11"/>
  <c r="BC22" i="11"/>
  <c r="BC43" i="11" l="1"/>
  <c r="BC58" i="11" s="1"/>
  <c r="BD20" i="11"/>
  <c r="BC42" i="11"/>
  <c r="BW19" i="11"/>
  <c r="BX19" i="11"/>
  <c r="BY19" i="11"/>
  <c r="Q9" i="16" l="1"/>
  <c r="CK19" i="11"/>
  <c r="L9" i="16"/>
  <c r="CJ19" i="11"/>
  <c r="G9" i="16"/>
  <c r="CI19" i="11"/>
  <c r="CF20" i="11"/>
  <c r="CF19" i="11"/>
  <c r="BZ19" i="11"/>
  <c r="V9" i="16" s="1"/>
  <c r="BD23" i="11"/>
  <c r="BW20" i="11"/>
  <c r="BX20" i="11"/>
  <c r="BY20" i="11"/>
  <c r="BE20" i="11" l="1"/>
  <c r="W9" i="16"/>
  <c r="M9" i="16"/>
  <c r="G10" i="16"/>
  <c r="H10" i="16" s="1"/>
  <c r="CI20" i="11"/>
  <c r="CL19" i="11"/>
  <c r="L10" i="16"/>
  <c r="M10" i="16" s="1"/>
  <c r="CJ20" i="11"/>
  <c r="BZ20" i="11"/>
  <c r="V10" i="16" s="1"/>
  <c r="W10" i="16" s="1"/>
  <c r="Q10" i="16"/>
  <c r="R10" i="16" s="1"/>
  <c r="CK20" i="11"/>
  <c r="R9" i="16"/>
  <c r="BE23" i="11"/>
  <c r="BD22" i="11"/>
  <c r="BW22" i="11"/>
  <c r="CC23" i="11" s="1"/>
  <c r="BX22" i="11"/>
  <c r="CD23" i="11" s="1"/>
  <c r="BY22" i="11"/>
  <c r="CE23" i="11" s="1"/>
  <c r="BD43" i="11" l="1"/>
  <c r="BD58" i="11" s="1"/>
  <c r="BE22" i="11"/>
  <c r="BZ22" i="11"/>
  <c r="V12" i="16" s="1"/>
  <c r="CL20" i="11"/>
  <c r="CF22" i="11"/>
  <c r="L12" i="16"/>
  <c r="Q12" i="16"/>
  <c r="G12" i="16"/>
  <c r="BD42" i="11"/>
  <c r="CF42" i="11" s="1"/>
  <c r="BF20" i="11"/>
  <c r="BE43" i="11" l="1"/>
  <c r="BE58" i="11" s="1"/>
  <c r="BE42" i="11"/>
  <c r="CF23" i="11"/>
  <c r="BF22" i="11"/>
  <c r="CF58" i="11"/>
  <c r="CF43" i="11"/>
  <c r="BF23" i="11"/>
  <c r="BF43" i="11" l="1"/>
  <c r="BF58" i="11" s="1"/>
  <c r="BG20" i="11"/>
  <c r="BF42" i="11"/>
  <c r="BG23" i="11" l="1"/>
  <c r="BH20" i="11"/>
  <c r="BG22" i="11"/>
  <c r="BG43" i="11" l="1"/>
  <c r="BG58" i="11" s="1"/>
  <c r="BG42" i="11"/>
  <c r="BH23" i="11"/>
  <c r="BH22" i="11" l="1"/>
  <c r="BI20" i="11"/>
  <c r="BH43" i="11" l="1"/>
  <c r="BH58" i="11" s="1"/>
  <c r="BI22" i="11"/>
  <c r="BI23" i="11"/>
  <c r="BH42" i="11"/>
  <c r="BI43" i="11" l="1"/>
  <c r="BI58" i="11" s="1"/>
  <c r="BI42" i="11"/>
  <c r="BJ20" i="11" l="1"/>
  <c r="BJ23" i="11"/>
  <c r="BK20" i="11" l="1"/>
  <c r="BK22" i="11" s="1"/>
  <c r="BJ22" i="11"/>
  <c r="BK23" i="11"/>
  <c r="BJ43" i="11" l="1"/>
  <c r="BJ58" i="11" s="1"/>
  <c r="BK43" i="11"/>
  <c r="BK58" i="11" s="1"/>
  <c r="BJ42" i="11"/>
  <c r="BL20" i="11"/>
  <c r="BK42" i="11"/>
  <c r="BL23" i="11"/>
  <c r="BM20" i="11" l="1"/>
  <c r="BL22" i="11"/>
  <c r="BL43" i="11" l="1"/>
  <c r="BL58" i="11" s="1"/>
  <c r="BM23" i="11"/>
  <c r="BL42" i="11"/>
  <c r="BN20" i="11" l="1"/>
  <c r="BM22" i="11"/>
  <c r="BM43" i="11" l="1"/>
  <c r="BM58" i="11" s="1"/>
  <c r="BN23" i="11"/>
  <c r="BN22" i="11"/>
  <c r="BM42" i="11"/>
  <c r="BN43" i="11" l="1"/>
  <c r="BN58" i="11" s="1"/>
  <c r="BO20" i="11"/>
  <c r="BN42" i="11"/>
  <c r="BO23" i="11" l="1"/>
  <c r="BP20" i="11" l="1"/>
  <c r="BO22" i="11"/>
  <c r="BO43" i="11" l="1"/>
  <c r="BO58" i="11" s="1"/>
  <c r="CG20" i="11"/>
  <c r="CG19" i="11"/>
  <c r="BO42" i="11"/>
  <c r="BP23" i="11"/>
  <c r="CA19" i="11"/>
  <c r="AA9" i="16" s="1"/>
  <c r="AB9" i="16" s="1"/>
  <c r="CA20" i="11"/>
  <c r="AA10" i="16" s="1"/>
  <c r="AB10" i="16" l="1"/>
  <c r="CM19" i="11"/>
  <c r="CM20" i="11"/>
  <c r="BP22" i="11"/>
  <c r="BP43" i="11" l="1"/>
  <c r="BP58" i="11" s="1"/>
  <c r="CG22" i="11"/>
  <c r="BP42" i="11"/>
  <c r="CG42" i="11" s="1"/>
  <c r="CA22" i="11"/>
  <c r="CG23" i="11" l="1"/>
  <c r="CG58" i="11"/>
  <c r="CG43" i="11"/>
  <c r="AA12" i="16"/>
  <c r="BX43" i="11"/>
  <c r="BY43" i="11"/>
  <c r="BZ43" i="11"/>
  <c r="CA43" i="11"/>
  <c r="CA58" i="11" s="1"/>
  <c r="BW42" i="11"/>
  <c r="BX42" i="11"/>
  <c r="BY42" i="11"/>
  <c r="BZ42" i="11"/>
  <c r="CA42" i="11"/>
  <c r="AA29" i="16" s="1"/>
  <c r="CL43" i="11" l="1"/>
  <c r="BZ58" i="11"/>
  <c r="CK43" i="11"/>
  <c r="BY58" i="11"/>
  <c r="CJ43" i="11"/>
  <c r="BX58" i="11"/>
  <c r="CM42" i="11"/>
  <c r="Q29" i="16"/>
  <c r="CK42" i="11"/>
  <c r="L29" i="16"/>
  <c r="CJ42" i="11"/>
  <c r="V29" i="16"/>
  <c r="CL42" i="11"/>
  <c r="CM43" i="11"/>
  <c r="G29" i="16"/>
  <c r="CI42" i="11"/>
  <c r="L30" i="16"/>
  <c r="L45" i="16" s="1"/>
  <c r="AA30" i="16"/>
  <c r="AA45" i="16" s="1"/>
  <c r="V30" i="16"/>
  <c r="V45" i="16" s="1"/>
  <c r="Q30" i="16"/>
  <c r="Q45" i="16" s="1"/>
  <c r="CG59" i="11" l="1"/>
  <c r="CE59" i="11"/>
  <c r="CF59" i="11"/>
  <c r="CD59" i="11"/>
  <c r="L34" i="11" l="1"/>
  <c r="L38" i="11" s="1"/>
  <c r="M34" i="11"/>
  <c r="M38" i="11" s="1"/>
  <c r="O34" i="11"/>
  <c r="P34" i="11"/>
  <c r="Z34" i="11"/>
  <c r="Z38" i="11" s="1"/>
  <c r="AA34" i="11"/>
  <c r="AA38" i="11" s="1"/>
  <c r="AB34" i="11"/>
  <c r="AB38" i="11" s="1"/>
  <c r="AC34" i="11"/>
  <c r="AC38" i="11" s="1"/>
  <c r="AD34" i="11"/>
  <c r="AD38" i="11" s="1"/>
  <c r="AF34" i="11"/>
  <c r="AF38" i="11" s="1"/>
  <c r="CE30" i="11"/>
  <c r="AN34" i="11"/>
  <c r="AN38" i="11" s="1"/>
  <c r="AO34" i="11"/>
  <c r="AO38" i="11" s="1"/>
  <c r="AP34" i="11"/>
  <c r="AP38" i="11" s="1"/>
  <c r="AQ34" i="11"/>
  <c r="AQ38" i="11" s="1"/>
  <c r="AR34" i="11"/>
  <c r="AR38" i="11" s="1"/>
  <c r="AT34" i="11"/>
  <c r="AT38" i="11" s="1"/>
  <c r="BB34" i="11"/>
  <c r="BB38" i="11" s="1"/>
  <c r="BC34" i="11"/>
  <c r="BC38" i="11" s="1"/>
  <c r="BD34" i="11"/>
  <c r="BD38" i="11" s="1"/>
  <c r="BF34" i="11"/>
  <c r="BF38" i="11" s="1"/>
  <c r="BG34" i="11"/>
  <c r="BG38" i="11" s="1"/>
  <c r="BH34" i="11"/>
  <c r="BH38" i="11" s="1"/>
  <c r="BP34" i="11"/>
  <c r="BP38" i="11" s="1"/>
  <c r="BY30" i="11"/>
  <c r="J34" i="11"/>
  <c r="K34" i="11"/>
  <c r="S34" i="11"/>
  <c r="S38" i="11" s="1"/>
  <c r="T34" i="11"/>
  <c r="T38" i="11" s="1"/>
  <c r="U34" i="11"/>
  <c r="U38" i="11" s="1"/>
  <c r="V34" i="11"/>
  <c r="V38" i="11" s="1"/>
  <c r="W34" i="11"/>
  <c r="W38" i="11" s="1"/>
  <c r="X34" i="11"/>
  <c r="X38" i="11" s="1"/>
  <c r="Y34" i="11"/>
  <c r="Y38" i="11" s="1"/>
  <c r="AG34" i="11"/>
  <c r="AG38" i="11" s="1"/>
  <c r="AH34" i="11"/>
  <c r="AH38" i="11" s="1"/>
  <c r="AI34" i="11"/>
  <c r="AI38" i="11" s="1"/>
  <c r="AJ34" i="11"/>
  <c r="AJ38" i="11" s="1"/>
  <c r="AK34" i="11"/>
  <c r="AK38" i="11" s="1"/>
  <c r="AL34" i="11"/>
  <c r="AL38" i="11" s="1"/>
  <c r="AM34" i="11"/>
  <c r="AM38" i="11" s="1"/>
  <c r="AU34" i="11"/>
  <c r="AU38" i="11" s="1"/>
  <c r="AV34" i="11"/>
  <c r="AV38" i="11" s="1"/>
  <c r="AW34" i="11"/>
  <c r="AW38" i="11" s="1"/>
  <c r="AX34" i="11"/>
  <c r="AX38" i="11" s="1"/>
  <c r="AY34" i="11"/>
  <c r="AY38" i="11" s="1"/>
  <c r="AZ34" i="11"/>
  <c r="AZ38" i="11" s="1"/>
  <c r="BA34" i="11"/>
  <c r="BA38" i="11" s="1"/>
  <c r="BI34" i="11"/>
  <c r="BI38" i="11" s="1"/>
  <c r="BJ34" i="11"/>
  <c r="BJ38" i="11" s="1"/>
  <c r="BK34" i="11"/>
  <c r="BK38" i="11" s="1"/>
  <c r="BL34" i="11"/>
  <c r="BL38" i="11" s="1"/>
  <c r="BM34" i="11"/>
  <c r="BM38" i="11" s="1"/>
  <c r="BN34" i="11"/>
  <c r="BN38" i="11" s="1"/>
  <c r="BO34" i="11"/>
  <c r="BO38" i="11" s="1"/>
  <c r="H17" i="14"/>
  <c r="I17" i="14"/>
  <c r="J17" i="14"/>
  <c r="K17" i="14"/>
  <c r="L17" i="14"/>
  <c r="M17" i="14"/>
  <c r="N17" i="14"/>
  <c r="O17" i="14"/>
  <c r="R17" i="14"/>
  <c r="S17" i="14"/>
  <c r="K21" i="14" l="1"/>
  <c r="K49" i="14" s="1"/>
  <c r="S60" i="11"/>
  <c r="R47" i="14" s="1"/>
  <c r="K38" i="11"/>
  <c r="J25" i="14" s="1"/>
  <c r="J38" i="11"/>
  <c r="I25" i="14" s="1"/>
  <c r="J60" i="11"/>
  <c r="I47" i="14" s="1"/>
  <c r="P38" i="11"/>
  <c r="O25" i="14" s="1"/>
  <c r="O38" i="11"/>
  <c r="N25" i="14" s="1"/>
  <c r="BM60" i="11"/>
  <c r="AF60" i="11"/>
  <c r="BJ60" i="11"/>
  <c r="AH60" i="11"/>
  <c r="BH60" i="11"/>
  <c r="AD60" i="11"/>
  <c r="BI60" i="11"/>
  <c r="AG60" i="11"/>
  <c r="BG60" i="11"/>
  <c r="AC60" i="11"/>
  <c r="BA60" i="11"/>
  <c r="Y60" i="11"/>
  <c r="BF60" i="11"/>
  <c r="AB60" i="11"/>
  <c r="AL60" i="11"/>
  <c r="BL60" i="11"/>
  <c r="BK60" i="11"/>
  <c r="AA60" i="11"/>
  <c r="U60" i="11"/>
  <c r="AN60" i="11"/>
  <c r="AJ60" i="11"/>
  <c r="BP60" i="11"/>
  <c r="X60" i="11"/>
  <c r="BD60" i="11"/>
  <c r="AY60" i="11"/>
  <c r="W60" i="11"/>
  <c r="BC60" i="11"/>
  <c r="Z60" i="11"/>
  <c r="AW60" i="11"/>
  <c r="BN60" i="11"/>
  <c r="AI60" i="11"/>
  <c r="AZ60" i="11"/>
  <c r="AX60" i="11"/>
  <c r="V60" i="11"/>
  <c r="BB60" i="11"/>
  <c r="AK60" i="11"/>
  <c r="AV60" i="11"/>
  <c r="S21" i="14"/>
  <c r="S49" i="14" s="1"/>
  <c r="S25" i="14"/>
  <c r="AR60" i="11"/>
  <c r="M60" i="11"/>
  <c r="L47" i="14" s="1"/>
  <c r="L25" i="14"/>
  <c r="AU60" i="11"/>
  <c r="R21" i="14"/>
  <c r="R49" i="14" s="1"/>
  <c r="R25" i="14"/>
  <c r="AQ60" i="11"/>
  <c r="L60" i="11"/>
  <c r="K47" i="14" s="1"/>
  <c r="K25" i="14"/>
  <c r="AT60" i="11"/>
  <c r="BO60" i="11"/>
  <c r="AM60" i="11"/>
  <c r="AP60" i="11"/>
  <c r="AO60" i="11"/>
  <c r="H47" i="14"/>
  <c r="H25" i="14"/>
  <c r="T60" i="11"/>
  <c r="S47" i="14" s="1"/>
  <c r="L21" i="14"/>
  <c r="L49" i="14" s="1"/>
  <c r="J21" i="14"/>
  <c r="J49" i="14" s="1"/>
  <c r="K60" i="11"/>
  <c r="J47" i="14" s="1"/>
  <c r="CF30" i="11"/>
  <c r="AS34" i="11"/>
  <c r="AS38" i="11" s="1"/>
  <c r="P17" i="14"/>
  <c r="Q34" i="11"/>
  <c r="I21" i="14"/>
  <c r="I49" i="14" s="1"/>
  <c r="P60" i="11"/>
  <c r="O47" i="14" s="1"/>
  <c r="O21" i="14"/>
  <c r="O49" i="14" s="1"/>
  <c r="CE34" i="11"/>
  <c r="CA30" i="11"/>
  <c r="N21" i="14"/>
  <c r="N49" i="14" s="1"/>
  <c r="O60" i="11"/>
  <c r="N47" i="14" s="1"/>
  <c r="BZ30" i="11"/>
  <c r="BR30" i="11"/>
  <c r="BT30" i="11" s="1"/>
  <c r="Q17" i="16"/>
  <c r="BY34" i="11"/>
  <c r="CK30" i="11"/>
  <c r="CC30" i="11"/>
  <c r="CD30" i="11"/>
  <c r="BX30" i="11"/>
  <c r="AE34" i="11"/>
  <c r="AE38" i="11" s="1"/>
  <c r="Q17" i="14"/>
  <c r="R34" i="11"/>
  <c r="BW30" i="11"/>
  <c r="H21" i="14"/>
  <c r="CG30" i="11"/>
  <c r="N34" i="11"/>
  <c r="BE34" i="11"/>
  <c r="BE38" i="11" s="1"/>
  <c r="Q47" i="16" l="1"/>
  <c r="Q21" i="16"/>
  <c r="K50" i="14"/>
  <c r="R50" i="14"/>
  <c r="N38" i="11"/>
  <c r="M25" i="14" s="1"/>
  <c r="R38" i="11"/>
  <c r="Q25" i="14" s="1"/>
  <c r="Q38" i="11"/>
  <c r="P25" i="14" s="1"/>
  <c r="S50" i="14"/>
  <c r="L50" i="14"/>
  <c r="CE60" i="11"/>
  <c r="X17" i="14"/>
  <c r="AE60" i="11"/>
  <c r="CD60" i="11" s="1"/>
  <c r="CD38" i="11"/>
  <c r="CG38" i="11"/>
  <c r="CA38" i="11"/>
  <c r="AA25" i="16" s="1"/>
  <c r="CF38" i="11"/>
  <c r="BZ38" i="11"/>
  <c r="V25" i="16" s="1"/>
  <c r="CE38" i="11"/>
  <c r="BY38" i="11"/>
  <c r="Q25" i="16" s="1"/>
  <c r="O50" i="14"/>
  <c r="CC34" i="11"/>
  <c r="I50" i="14"/>
  <c r="CL30" i="11"/>
  <c r="CD34" i="11"/>
  <c r="J50" i="14"/>
  <c r="L17" i="16"/>
  <c r="BX34" i="11"/>
  <c r="BY35" i="11" s="1"/>
  <c r="CJ30" i="11"/>
  <c r="M21" i="14"/>
  <c r="M49" i="14" s="1"/>
  <c r="N60" i="11"/>
  <c r="P21" i="14"/>
  <c r="P49" i="14" s="1"/>
  <c r="Q60" i="11"/>
  <c r="P47" i="14" s="1"/>
  <c r="BY60" i="11"/>
  <c r="BR34" i="11"/>
  <c r="V17" i="14"/>
  <c r="T17" i="14"/>
  <c r="BZ34" i="11"/>
  <c r="V17" i="16"/>
  <c r="AA17" i="16"/>
  <c r="CA34" i="11"/>
  <c r="G17" i="16"/>
  <c r="BW34" i="11"/>
  <c r="BW60" i="11" s="1"/>
  <c r="AS60" i="11"/>
  <c r="CF60" i="11" s="1"/>
  <c r="CF34" i="11"/>
  <c r="CK34" i="11"/>
  <c r="CE35" i="11"/>
  <c r="BE60" i="11"/>
  <c r="CG60" i="11" s="1"/>
  <c r="CG34" i="11"/>
  <c r="CI30" i="11"/>
  <c r="CM30" i="11"/>
  <c r="H49" i="14"/>
  <c r="H50" i="14" s="1"/>
  <c r="R60" i="11"/>
  <c r="Q47" i="14" s="1"/>
  <c r="Q21" i="14"/>
  <c r="Q49" i="14" s="1"/>
  <c r="N50" i="14"/>
  <c r="L21" i="16" l="1"/>
  <c r="L47" i="16" s="1"/>
  <c r="Q51" i="16" s="1"/>
  <c r="Q52" i="16" s="1"/>
  <c r="AA21" i="16"/>
  <c r="AA47" i="16" s="1"/>
  <c r="V21" i="16"/>
  <c r="V47" i="16" s="1"/>
  <c r="Y21" i="14"/>
  <c r="Y17" i="14"/>
  <c r="Z17" i="14" s="1"/>
  <c r="G21" i="16"/>
  <c r="G47" i="16" s="1"/>
  <c r="C26" i="15" s="1"/>
  <c r="BS38" i="11"/>
  <c r="BT39" i="11" s="1"/>
  <c r="BW38" i="11"/>
  <c r="G25" i="16" s="1"/>
  <c r="X25" i="14"/>
  <c r="Y26" i="14" s="1"/>
  <c r="CC38" i="11"/>
  <c r="CE61" i="11"/>
  <c r="BX38" i="11"/>
  <c r="L25" i="16" s="1"/>
  <c r="CK38" i="11"/>
  <c r="CL38" i="11"/>
  <c r="CM38" i="11"/>
  <c r="E26" i="15"/>
  <c r="H6" i="15"/>
  <c r="Q50" i="14"/>
  <c r="CI34" i="11"/>
  <c r="CC35" i="11"/>
  <c r="CF35" i="11"/>
  <c r="CL34" i="11"/>
  <c r="P50" i="14"/>
  <c r="M47" i="14"/>
  <c r="M50" i="14" s="1"/>
  <c r="CC60" i="11"/>
  <c r="CC61" i="11" s="1"/>
  <c r="CA35" i="11"/>
  <c r="CA60" i="11"/>
  <c r="CG61" i="11" s="1"/>
  <c r="BX35" i="11"/>
  <c r="BX60" i="11"/>
  <c r="CD61" i="11" s="1"/>
  <c r="X21" i="14"/>
  <c r="CD35" i="11"/>
  <c r="BZ60" i="11"/>
  <c r="CF61" i="11" s="1"/>
  <c r="BZ35" i="11"/>
  <c r="CJ34" i="11"/>
  <c r="CM34" i="11"/>
  <c r="CG35" i="11"/>
  <c r="T21" i="14"/>
  <c r="BT34" i="11"/>
  <c r="V21" i="14" s="1"/>
  <c r="BR60" i="11"/>
  <c r="Z21" i="14" l="1"/>
  <c r="CI38" i="11"/>
  <c r="V26" i="14"/>
  <c r="Z26" i="14" s="1"/>
  <c r="BT58" i="11"/>
  <c r="V45" i="14" s="1"/>
  <c r="U25" i="14"/>
  <c r="Y25" i="14" s="1"/>
  <c r="Y45" i="14" s="1"/>
  <c r="BS58" i="11"/>
  <c r="BS66" i="11" s="1"/>
  <c r="CJ38" i="11"/>
  <c r="K91" i="15"/>
  <c r="M91" i="15"/>
  <c r="L91" i="15"/>
  <c r="O91" i="15"/>
  <c r="N91" i="15"/>
  <c r="O89" i="15"/>
  <c r="N89" i="15"/>
  <c r="M89" i="15"/>
  <c r="L89" i="15"/>
  <c r="K89" i="15"/>
  <c r="G26" i="15"/>
  <c r="AA51" i="16"/>
  <c r="AA52" i="16" s="1"/>
  <c r="F26" i="15"/>
  <c r="V51" i="16"/>
  <c r="V52" i="16" s="1"/>
  <c r="D26" i="15"/>
  <c r="L51" i="16"/>
  <c r="L52" i="16" s="1"/>
  <c r="E33" i="15"/>
  <c r="E30" i="15"/>
  <c r="E21" i="15"/>
  <c r="C39" i="15"/>
  <c r="C33" i="15"/>
  <c r="C30" i="15"/>
  <c r="C21" i="15"/>
  <c r="T47" i="14"/>
  <c r="AG16" i="14" s="1"/>
  <c r="AG17" i="14" s="1"/>
  <c r="AG18" i="14" l="1"/>
  <c r="AK18" i="14" s="1"/>
  <c r="AG19" i="14"/>
  <c r="AK19" i="14" s="1"/>
  <c r="AG20" i="14"/>
  <c r="AK20" i="14" s="1"/>
  <c r="AK17" i="14"/>
  <c r="BT63" i="11"/>
  <c r="Z25" i="14"/>
  <c r="BS60" i="11"/>
  <c r="U47" i="14" s="1"/>
  <c r="U45" i="14"/>
  <c r="W45" i="14" s="1"/>
  <c r="Z45" i="14"/>
  <c r="D39" i="15"/>
  <c r="D40" i="15" s="1"/>
  <c r="O93" i="15"/>
  <c r="N93" i="15"/>
  <c r="M93" i="15"/>
  <c r="L93" i="15"/>
  <c r="K93" i="15"/>
  <c r="O90" i="15"/>
  <c r="N90" i="15"/>
  <c r="M90" i="15"/>
  <c r="L90" i="15"/>
  <c r="K90" i="15"/>
  <c r="O92" i="15"/>
  <c r="N92" i="15"/>
  <c r="M92" i="15"/>
  <c r="L92" i="15"/>
  <c r="K92" i="15"/>
  <c r="M158" i="15"/>
  <c r="F65" i="15"/>
  <c r="E107" i="15"/>
  <c r="E32" i="15"/>
  <c r="D33" i="15"/>
  <c r="D30" i="15"/>
  <c r="D21" i="15"/>
  <c r="F33" i="15"/>
  <c r="F30" i="15"/>
  <c r="F21" i="15"/>
  <c r="C40" i="15"/>
  <c r="G33" i="15"/>
  <c r="G30" i="15"/>
  <c r="J154" i="15"/>
  <c r="G21" i="15"/>
  <c r="G54" i="15"/>
  <c r="E39" i="15"/>
  <c r="K158" i="15"/>
  <c r="K38" i="15"/>
  <c r="C107" i="15"/>
  <c r="D65" i="15"/>
  <c r="C32" i="15"/>
  <c r="BT60" i="11" l="1"/>
  <c r="V47" i="14" s="1"/>
  <c r="W47" i="14" s="1"/>
  <c r="K99" i="15"/>
  <c r="C91" i="15" s="1"/>
  <c r="K96" i="15"/>
  <c r="C88" i="15" s="1"/>
  <c r="K98" i="15"/>
  <c r="C90" i="15" s="1"/>
  <c r="K97" i="15"/>
  <c r="C89" i="15" s="1"/>
  <c r="K100" i="15"/>
  <c r="C92" i="15" s="1"/>
  <c r="L99" i="15"/>
  <c r="D91" i="15" s="1"/>
  <c r="L96" i="15"/>
  <c r="D88" i="15" s="1"/>
  <c r="L98" i="15"/>
  <c r="D90" i="15" s="1"/>
  <c r="L100" i="15"/>
  <c r="D92" i="15" s="1"/>
  <c r="L97" i="15"/>
  <c r="D89" i="15" s="1"/>
  <c r="M99" i="15"/>
  <c r="E91" i="15" s="1"/>
  <c r="M96" i="15"/>
  <c r="M98" i="15"/>
  <c r="E90" i="15" s="1"/>
  <c r="M100" i="15"/>
  <c r="E92" i="15" s="1"/>
  <c r="M97" i="15"/>
  <c r="E89" i="15" s="1"/>
  <c r="N96" i="15"/>
  <c r="F88" i="15" s="1"/>
  <c r="N98" i="15"/>
  <c r="F90" i="15" s="1"/>
  <c r="N97" i="15"/>
  <c r="F89" i="15" s="1"/>
  <c r="N100" i="15"/>
  <c r="F92" i="15" s="1"/>
  <c r="N99" i="15"/>
  <c r="F91" i="15" s="1"/>
  <c r="O98" i="15"/>
  <c r="G90" i="15" s="1"/>
  <c r="O100" i="15"/>
  <c r="G92" i="15" s="1"/>
  <c r="O99" i="15"/>
  <c r="G91" i="15" s="1"/>
  <c r="O97" i="15"/>
  <c r="G89" i="15" s="1"/>
  <c r="O96" i="15"/>
  <c r="G88" i="15" s="1"/>
  <c r="E40" i="15"/>
  <c r="F32" i="15"/>
  <c r="G65" i="15"/>
  <c r="F107" i="15"/>
  <c r="N158" i="15"/>
  <c r="M80" i="15"/>
  <c r="M76" i="15"/>
  <c r="M77" i="15"/>
  <c r="M78" i="15"/>
  <c r="M81" i="15"/>
  <c r="M79" i="15"/>
  <c r="M82" i="15"/>
  <c r="M83" i="15"/>
  <c r="C79" i="15"/>
  <c r="G55" i="15"/>
  <c r="C82" i="15"/>
  <c r="C76" i="15"/>
  <c r="C77" i="15"/>
  <c r="C80" i="15"/>
  <c r="C83" i="15"/>
  <c r="C81" i="15"/>
  <c r="C78" i="15"/>
  <c r="C41" i="15"/>
  <c r="G32" i="15"/>
  <c r="O158" i="15"/>
  <c r="D32" i="15"/>
  <c r="E65" i="15"/>
  <c r="L158" i="15"/>
  <c r="D107" i="15"/>
  <c r="L38" i="15"/>
  <c r="J155" i="15"/>
  <c r="K154" i="15"/>
  <c r="K155" i="15" s="1"/>
  <c r="K82" i="15"/>
  <c r="K76" i="15"/>
  <c r="K77" i="15"/>
  <c r="K81" i="15"/>
  <c r="K80" i="15"/>
  <c r="K78" i="15"/>
  <c r="K79" i="15"/>
  <c r="K83" i="15"/>
  <c r="C111" i="15"/>
  <c r="C112" i="15" s="1"/>
  <c r="E88" i="15" l="1"/>
  <c r="C69" i="15"/>
  <c r="P172" i="15"/>
  <c r="P158" i="15"/>
  <c r="P170" i="15"/>
  <c r="C42" i="15"/>
  <c r="D78" i="15"/>
  <c r="D81" i="15"/>
  <c r="N80" i="15"/>
  <c r="N83" i="15"/>
  <c r="N79" i="15"/>
  <c r="N81" i="15"/>
  <c r="N77" i="15"/>
  <c r="N76" i="15"/>
  <c r="N78" i="15"/>
  <c r="N82" i="15"/>
  <c r="D83" i="15"/>
  <c r="D80" i="15"/>
  <c r="D77" i="15"/>
  <c r="D76" i="15"/>
  <c r="E41" i="15"/>
  <c r="L81" i="15"/>
  <c r="L76" i="15"/>
  <c r="L77" i="15"/>
  <c r="L83" i="15"/>
  <c r="L79" i="15"/>
  <c r="L78" i="15"/>
  <c r="L82" i="15"/>
  <c r="L80" i="15"/>
  <c r="D82" i="15"/>
  <c r="G56" i="15"/>
  <c r="D79" i="15"/>
  <c r="D41" i="15"/>
  <c r="C124" i="15"/>
  <c r="C117" i="15"/>
  <c r="C123" i="15"/>
  <c r="C116" i="15"/>
  <c r="D110" i="15"/>
  <c r="C113" i="15"/>
  <c r="E78" i="15" l="1"/>
  <c r="G57" i="15"/>
  <c r="C43" i="15"/>
  <c r="E42" i="15"/>
  <c r="E79" i="15"/>
  <c r="E76" i="15"/>
  <c r="E82" i="15"/>
  <c r="E81" i="15"/>
  <c r="E80" i="15"/>
  <c r="E77" i="15"/>
  <c r="D42" i="15"/>
  <c r="E83" i="15"/>
  <c r="D111" i="15"/>
  <c r="E110" i="15" s="1"/>
  <c r="C119" i="15"/>
  <c r="C118" i="15"/>
  <c r="C125" i="15"/>
  <c r="C126" i="15" s="1"/>
  <c r="E43" i="15" l="1"/>
  <c r="O77" i="15"/>
  <c r="G77" i="15" s="1"/>
  <c r="F77" i="15"/>
  <c r="C45" i="15"/>
  <c r="O80" i="15"/>
  <c r="G80" i="15" s="1"/>
  <c r="F80" i="15"/>
  <c r="O81" i="15"/>
  <c r="G81" i="15" s="1"/>
  <c r="F81" i="15"/>
  <c r="O78" i="15"/>
  <c r="G78" i="15" s="1"/>
  <c r="F78" i="15"/>
  <c r="O82" i="15"/>
  <c r="G82" i="15" s="1"/>
  <c r="F82" i="15"/>
  <c r="O76" i="15"/>
  <c r="G76" i="15" s="1"/>
  <c r="F76" i="15"/>
  <c r="O83" i="15"/>
  <c r="G83" i="15" s="1"/>
  <c r="F83" i="15"/>
  <c r="G59" i="15"/>
  <c r="D43" i="15"/>
  <c r="O79" i="15"/>
  <c r="G79" i="15" s="1"/>
  <c r="F79" i="15"/>
  <c r="E111" i="15"/>
  <c r="K139" i="15"/>
  <c r="K148" i="15"/>
  <c r="K172" i="15"/>
  <c r="C120" i="15"/>
  <c r="D123" i="15"/>
  <c r="D116" i="15"/>
  <c r="D112" i="15"/>
  <c r="D113" i="15" s="1"/>
  <c r="M38" i="15" l="1"/>
  <c r="J43" i="15"/>
  <c r="H65" i="15"/>
  <c r="G107" i="15"/>
  <c r="H107" i="15" s="1"/>
  <c r="D45" i="15"/>
  <c r="E45" i="15"/>
  <c r="E123" i="15"/>
  <c r="E116" i="15"/>
  <c r="E112" i="15"/>
  <c r="D119" i="15"/>
  <c r="D118" i="15"/>
  <c r="D125" i="15"/>
  <c r="D117" i="15"/>
  <c r="D124" i="15"/>
  <c r="F110" i="15"/>
  <c r="K170" i="15"/>
  <c r="K40" i="15"/>
  <c r="K138" i="15"/>
  <c r="K146" i="15"/>
  <c r="C128" i="15"/>
  <c r="Q158" i="15" l="1"/>
  <c r="J45" i="15"/>
  <c r="J46" i="15" s="1"/>
  <c r="J47" i="15" s="1"/>
  <c r="C67" i="15"/>
  <c r="C68" i="15"/>
  <c r="J151" i="15"/>
  <c r="C48" i="15" s="1"/>
  <c r="C49" i="15"/>
  <c r="D126" i="15"/>
  <c r="L148" i="15" s="1"/>
  <c r="D120" i="15"/>
  <c r="L40" i="15" s="1"/>
  <c r="E113" i="15"/>
  <c r="F111" i="15"/>
  <c r="G110" i="15" s="1"/>
  <c r="G111" i="15" s="1"/>
  <c r="E117" i="15"/>
  <c r="E124" i="15"/>
  <c r="D49" i="15" l="1"/>
  <c r="D48" i="15"/>
  <c r="J48" i="15"/>
  <c r="J161" i="15"/>
  <c r="E49" i="15"/>
  <c r="J175" i="15"/>
  <c r="E48" i="15" s="1"/>
  <c r="D128" i="15"/>
  <c r="L146" i="15"/>
  <c r="L170" i="15"/>
  <c r="L138" i="15"/>
  <c r="L139" i="15"/>
  <c r="L172" i="15"/>
  <c r="G116" i="15"/>
  <c r="G123" i="15"/>
  <c r="F116" i="15"/>
  <c r="F123" i="15"/>
  <c r="F112" i="15"/>
  <c r="F113" i="15" s="1"/>
  <c r="H111" i="15"/>
  <c r="E119" i="15"/>
  <c r="E125" i="15"/>
  <c r="E126" i="15" s="1"/>
  <c r="E118" i="15"/>
  <c r="J163" i="15" l="1"/>
  <c r="J164" i="15" s="1"/>
  <c r="J165" i="15" s="1"/>
  <c r="C147" i="15"/>
  <c r="J49" i="15"/>
  <c r="M146" i="15"/>
  <c r="K151" i="15" s="1"/>
  <c r="C146" i="15" s="1"/>
  <c r="F125" i="15"/>
  <c r="F119" i="15"/>
  <c r="F118" i="15"/>
  <c r="H116" i="15"/>
  <c r="H123" i="15"/>
  <c r="M139" i="15"/>
  <c r="M172" i="15"/>
  <c r="F124" i="15"/>
  <c r="F117" i="15"/>
  <c r="G112" i="15"/>
  <c r="H112" i="15" s="1"/>
  <c r="E120" i="15"/>
  <c r="C151" i="15" l="1"/>
  <c r="M148" i="15"/>
  <c r="L151" i="15" s="1"/>
  <c r="C150" i="15" s="1"/>
  <c r="J166" i="15"/>
  <c r="F126" i="15"/>
  <c r="N139" i="15" s="1"/>
  <c r="F120" i="15"/>
  <c r="N170" i="15" s="1"/>
  <c r="G124" i="15"/>
  <c r="H124" i="15" s="1"/>
  <c r="G117" i="15"/>
  <c r="H117" i="15" s="1"/>
  <c r="G113" i="15"/>
  <c r="M170" i="15"/>
  <c r="M40" i="15"/>
  <c r="M138" i="15"/>
  <c r="E128" i="15"/>
  <c r="E147" i="15" l="1"/>
  <c r="J167" i="15"/>
  <c r="E151" i="15" s="1"/>
  <c r="N172" i="15"/>
  <c r="N138" i="15"/>
  <c r="F128" i="15"/>
  <c r="G119" i="15"/>
  <c r="H119" i="15" s="1"/>
  <c r="G125" i="15"/>
  <c r="H125" i="15" s="1"/>
  <c r="H126" i="15" s="1"/>
  <c r="D135" i="15" s="1"/>
  <c r="G118" i="15"/>
  <c r="H118" i="15" s="1"/>
  <c r="H113" i="15"/>
  <c r="G126" i="15" l="1"/>
  <c r="O139" i="15" s="1"/>
  <c r="D138" i="15" s="1"/>
  <c r="G120" i="15"/>
  <c r="Q170" i="15" s="1"/>
  <c r="H120" i="15"/>
  <c r="H128" i="15" s="1"/>
  <c r="D136" i="15"/>
  <c r="D139" i="15"/>
  <c r="D141" i="15"/>
  <c r="D151" i="15" l="1"/>
  <c r="D150" i="15"/>
  <c r="O138" i="15"/>
  <c r="C138" i="15" s="1"/>
  <c r="G128" i="15"/>
  <c r="O170" i="15"/>
  <c r="K175" i="15" s="1"/>
  <c r="E146" i="15" s="1"/>
  <c r="Q172" i="15"/>
  <c r="O172" i="15"/>
  <c r="C135" i="15"/>
  <c r="C136" i="15" s="1"/>
  <c r="C140" i="15" s="1"/>
  <c r="C141" i="15" l="1"/>
  <c r="D146" i="15"/>
  <c r="C139" i="15"/>
  <c r="L175" i="15"/>
  <c r="E150" i="15" s="1"/>
  <c r="D140" i="15"/>
  <c r="D147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</author>
  </authors>
  <commentList>
    <comment ref="I14" authorId="0" shapeId="0" xr:uid="{93E62131-0AE5-4065-B29F-ACC944EC7C6F}">
      <text>
        <r>
          <rPr>
            <b/>
            <sz val="9"/>
            <color indexed="81"/>
            <rFont val="Tahoma"/>
            <family val="2"/>
          </rPr>
          <t>Javier:</t>
        </r>
        <r>
          <rPr>
            <sz val="9"/>
            <color indexed="81"/>
            <rFont val="Tahoma"/>
            <family val="2"/>
          </rPr>
          <t xml:space="preserve">
Source: FRED / NY Fed, SOFR ~4.30% as of early Mar 2026. https://fred.stlouisfed.org/series/SOFR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tc={AA0A0084-6613-48F5-BF3A-24B10DF852D2}</author>
  </authors>
  <commentList>
    <comment ref="E10" authorId="0" shapeId="0" xr:uid="{AA0A0084-6613-48F5-BF3A-24B10DF852D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Public Storage I assumed what we had done before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tc={34C12525-0E9D-4A5E-AC4F-366B62A255FA}</author>
  </authors>
  <commentList>
    <comment ref="P21" authorId="0" shapeId="0" xr:uid="{34C12525-0E9D-4A5E-AC4F-366B62A255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 to payroll, based on previous proformas we agreed these are auction expenses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<sst xmlns="http://schemas.openxmlformats.org/spreadsheetml/2006/main" count="2959" uniqueCount="505">
  <si>
    <t>Projected Rate</t>
  </si>
  <si>
    <t>General Vacancy</t>
  </si>
  <si>
    <t>Income</t>
  </si>
  <si>
    <t>T-12 Avg</t>
  </si>
  <si>
    <t>T-12</t>
  </si>
  <si>
    <t>Current Mgmt</t>
  </si>
  <si>
    <t>IMPACT TO N.O.I</t>
  </si>
  <si>
    <t>Rental Income</t>
  </si>
  <si>
    <t>STORE Rate Mgmt. Rev</t>
  </si>
  <si>
    <t>Discounts</t>
  </si>
  <si>
    <t>Net Rental Income</t>
  </si>
  <si>
    <t>Admin Fee Income</t>
  </si>
  <si>
    <t>Late Fee Income</t>
  </si>
  <si>
    <t>Current Tenant Protection Split</t>
  </si>
  <si>
    <t>STORE Tenant Protection Split</t>
  </si>
  <si>
    <t>Other Tenant Income</t>
  </si>
  <si>
    <t>Retail Sales Income</t>
  </si>
  <si>
    <t>Total Operating Income</t>
  </si>
  <si>
    <t>Expenses</t>
  </si>
  <si>
    <t>Advertising &amp; Marketing</t>
  </si>
  <si>
    <t>Current Payment Processing Fees</t>
  </si>
  <si>
    <t>STORE Payment Processing Fees</t>
  </si>
  <si>
    <t>Fire Prevention</t>
  </si>
  <si>
    <t>Licenses &amp; Permits</t>
  </si>
  <si>
    <t>Current Mgmt. Fee</t>
  </si>
  <si>
    <t>STORE Mgmt. Fee</t>
  </si>
  <si>
    <t>Payroll</t>
  </si>
  <si>
    <t>Office Supplies</t>
  </si>
  <si>
    <t>Repairs &amp; Maintenance</t>
  </si>
  <si>
    <t>Security</t>
  </si>
  <si>
    <t>Retail Products</t>
  </si>
  <si>
    <t>Telephone &amp; Internet</t>
  </si>
  <si>
    <t>Software</t>
  </si>
  <si>
    <t>Prof Fees - Legal/Acctg</t>
  </si>
  <si>
    <t>Utilities</t>
  </si>
  <si>
    <t>Insurance</t>
  </si>
  <si>
    <t>Property Taxes</t>
  </si>
  <si>
    <t>Total Operating Expense</t>
  </si>
  <si>
    <t>Net Operating Income</t>
  </si>
  <si>
    <t> </t>
  </si>
  <si>
    <t xml:space="preserve">                     5-Year Proforma</t>
  </si>
  <si>
    <t>Assumptions</t>
  </si>
  <si>
    <t xml:space="preserve">STORE Rate Mgmt. Rev. </t>
  </si>
  <si>
    <t>4% Ann. Growth</t>
  </si>
  <si>
    <t xml:space="preserve">Total Operating Income </t>
  </si>
  <si>
    <t xml:space="preserve"> Includes... &amp; Preventive Maint.</t>
  </si>
  <si>
    <t xml:space="preserve"> Includes Gate Access &amp; 24-Hour Monitoring </t>
  </si>
  <si>
    <t>Inputs</t>
  </si>
  <si>
    <t>Property Overview</t>
  </si>
  <si>
    <t>Name</t>
  </si>
  <si>
    <t>Type</t>
  </si>
  <si>
    <t>Storage</t>
  </si>
  <si>
    <t>Location</t>
  </si>
  <si>
    <t>Units Available</t>
  </si>
  <si>
    <t>Units Occupied</t>
  </si>
  <si>
    <t>NRSF</t>
  </si>
  <si>
    <t>Acquisition Assumptions</t>
  </si>
  <si>
    <t>Acquisition Date</t>
  </si>
  <si>
    <t>Hold Period</t>
  </si>
  <si>
    <t>Purchase Price</t>
  </si>
  <si>
    <t>Acquisition Closing Costs</t>
  </si>
  <si>
    <t>Drivers</t>
  </si>
  <si>
    <t>In-place Income (T-3)</t>
  </si>
  <si>
    <t>In-place Expenses</t>
  </si>
  <si>
    <t>Assumption</t>
  </si>
  <si>
    <t>Total</t>
  </si>
  <si>
    <t>%</t>
  </si>
  <si>
    <t>Per Rentable SqFt</t>
  </si>
  <si>
    <t>Occupancy</t>
  </si>
  <si>
    <t>Effective Rate / SqFt</t>
  </si>
  <si>
    <t>Current Credit Card Security Fees</t>
  </si>
  <si>
    <t>STORE Credit Card Security Fees</t>
  </si>
  <si>
    <t>Pay Rate (Hourly)</t>
  </si>
  <si>
    <t>Auction</t>
  </si>
  <si>
    <t>Bad Debt/Rental Refunds</t>
  </si>
  <si>
    <t>Burden Rate</t>
  </si>
  <si>
    <t>Payroll Hours</t>
  </si>
  <si>
    <t>Total Rental Income</t>
  </si>
  <si>
    <t>STORE Tenant Insurance Income</t>
  </si>
  <si>
    <t>Other Income</t>
  </si>
  <si>
    <t>Total Income</t>
  </si>
  <si>
    <t>Bank Charges</t>
  </si>
  <si>
    <t>Other Expense</t>
  </si>
  <si>
    <t>Delinquency Rate</t>
  </si>
  <si>
    <t>Revenue &amp; Expense Assumptions</t>
  </si>
  <si>
    <t>Rent</t>
  </si>
  <si>
    <t>Expense</t>
  </si>
  <si>
    <t>Year</t>
  </si>
  <si>
    <t>Growth</t>
  </si>
  <si>
    <t>Model</t>
  </si>
  <si>
    <t>Monthly</t>
  </si>
  <si>
    <t>Comparison</t>
  </si>
  <si>
    <t>Start Date</t>
  </si>
  <si>
    <t>T-3</t>
  </si>
  <si>
    <t>STORE</t>
  </si>
  <si>
    <t>Additional Revenue</t>
  </si>
  <si>
    <t>Net Rentable SqFt</t>
  </si>
  <si>
    <t>Projected Rate ($/sqft)</t>
  </si>
  <si>
    <t>ECRI</t>
  </si>
  <si>
    <t>Move-ins</t>
  </si>
  <si>
    <t>Move-Outs</t>
  </si>
  <si>
    <t>Occupied Units</t>
  </si>
  <si>
    <t>Yearly</t>
  </si>
  <si>
    <t>Effective Rent / Month</t>
  </si>
  <si>
    <t>Physical Occupancy</t>
  </si>
  <si>
    <t>TRANSLATED TO STANDARD ACCOUNTS</t>
  </si>
  <si>
    <t>Month</t>
  </si>
  <si>
    <t>Growth Rate</t>
  </si>
  <si>
    <t>Forecast</t>
  </si>
  <si>
    <t>Sum</t>
  </si>
  <si>
    <t>Average</t>
  </si>
  <si>
    <t>Last Quarter Avg</t>
  </si>
  <si>
    <t>Last Period</t>
  </si>
  <si>
    <t>YoY</t>
  </si>
  <si>
    <t>Check: Net Rental Income</t>
  </si>
  <si>
    <t>Check: Total Operating Income</t>
  </si>
  <si>
    <t>Credit Card Merchant Fees</t>
  </si>
  <si>
    <t>Currenl Mgmt. Fee</t>
  </si>
  <si>
    <t>STORE Management Fees</t>
  </si>
  <si>
    <t>Check: Total Operating Expense</t>
  </si>
  <si>
    <t>Check: Net Operating Income</t>
  </si>
  <si>
    <t>N/A</t>
  </si>
  <si>
    <t>TOTAL</t>
  </si>
  <si>
    <t>Management Fee rate</t>
  </si>
  <si>
    <t>CC Fee</t>
  </si>
  <si>
    <t>Balance Check</t>
  </si>
  <si>
    <t>Net Operating Income (P-Builder)</t>
  </si>
  <si>
    <t>Total Operating Expense (P-Builder)</t>
  </si>
  <si>
    <t>Delinquency Rate Calculator</t>
  </si>
  <si>
    <t>Late Fees</t>
  </si>
  <si>
    <t>Late Fee / 20%</t>
  </si>
  <si>
    <t>Average Delinquency Rate</t>
  </si>
  <si>
    <t>Admin Fee</t>
  </si>
  <si>
    <t>Move-Ins</t>
  </si>
  <si>
    <t>Discount Rate</t>
  </si>
  <si>
    <t>Median</t>
  </si>
  <si>
    <t>Max</t>
  </si>
  <si>
    <t>Min</t>
  </si>
  <si>
    <t>Actual/Budget</t>
  </si>
  <si>
    <t>Entity</t>
  </si>
  <si>
    <t>Account</t>
  </si>
  <si>
    <t>Period</t>
  </si>
  <si>
    <t>Amount ($)</t>
  </si>
  <si>
    <t>COA</t>
  </si>
  <si>
    <t>COA 2</t>
  </si>
  <si>
    <t>Actual</t>
  </si>
  <si>
    <t>Management Fees</t>
  </si>
  <si>
    <t>Top Tier</t>
  </si>
  <si>
    <t>Header</t>
  </si>
  <si>
    <t>Property Tax</t>
  </si>
  <si>
    <t>RET</t>
  </si>
  <si>
    <t>Tenant Protection</t>
  </si>
  <si>
    <t>Management</t>
  </si>
  <si>
    <t>Fee</t>
  </si>
  <si>
    <t>Tenant</t>
  </si>
  <si>
    <t>Tenant Protection Capture</t>
  </si>
  <si>
    <t>Sales Assumptions</t>
  </si>
  <si>
    <t>Financing</t>
  </si>
  <si>
    <t>Loan-to-Value (LTV)</t>
  </si>
  <si>
    <t>SOFR Rate</t>
  </si>
  <si>
    <t>As of Mar 2026 (~4.30%)</t>
  </si>
  <si>
    <t>Spread (bps)</t>
  </si>
  <si>
    <t>240 bps</t>
  </si>
  <si>
    <t>All-In Rate</t>
  </si>
  <si>
    <t>Amortization (Years)</t>
  </si>
  <si>
    <t>Loan Term (Years)</t>
  </si>
  <si>
    <t>Loan Amount</t>
  </si>
  <si>
    <t>Capital Expenditures</t>
  </si>
  <si>
    <t>Upfront CapEx (Day 1)</t>
  </si>
  <si>
    <t>Year 1 CapEx (Mo. 6-12)</t>
  </si>
  <si>
    <t>Total CapEx</t>
  </si>
  <si>
    <t>Annual CapEx Reserve (Yr 2-5)</t>
  </si>
  <si>
    <t>Adjust if needed</t>
  </si>
  <si>
    <t>Exit Assumptions</t>
  </si>
  <si>
    <t>Exit Cap Rate</t>
  </si>
  <si>
    <t>Disposition Costs</t>
  </si>
  <si>
    <t>Going-In Cap Rate</t>
  </si>
  <si>
    <t>Charleston Ashley Phosphate — Acquisition &amp; Returns Analysis</t>
  </si>
  <si>
    <t>Sources &amp; Uses</t>
  </si>
  <si>
    <t>Sources</t>
  </si>
  <si>
    <t>Uses</t>
  </si>
  <si>
    <t>Senior Debt</t>
  </si>
  <si>
    <t>Equity</t>
  </si>
  <si>
    <t>Closing Costs</t>
  </si>
  <si>
    <t>Upfront CapEx</t>
  </si>
  <si>
    <t>Total Sources</t>
  </si>
  <si>
    <t>Total Uses</t>
  </si>
  <si>
    <t>Key Metrics</t>
  </si>
  <si>
    <t>LTV</t>
  </si>
  <si>
    <t>Equity Required</t>
  </si>
  <si>
    <t>Price / SqFt</t>
  </si>
  <si>
    <t>Debt Service Schedule</t>
  </si>
  <si>
    <t>Year 1</t>
  </si>
  <si>
    <t>Year 2</t>
  </si>
  <si>
    <t>Year 3</t>
  </si>
  <si>
    <t>Year 4</t>
  </si>
  <si>
    <t>Year 5</t>
  </si>
  <si>
    <t>Beginning Balance</t>
  </si>
  <si>
    <t>Annual Debt Service</t>
  </si>
  <si>
    <t>Interest Portion</t>
  </si>
  <si>
    <t>Principal Portion</t>
  </si>
  <si>
    <t>DSCR</t>
  </si>
  <si>
    <t>Ending Balance</t>
  </si>
  <si>
    <t>Levered Cash Flow</t>
  </si>
  <si>
    <t>Less: CapEx</t>
  </si>
  <si>
    <t>Less: Debt Service</t>
  </si>
  <si>
    <t>Cash-on-Cash Return</t>
  </si>
  <si>
    <t>Year 6 Forward NOI (est.)</t>
  </si>
  <si>
    <t>Yr 5 NOI × (1 + rent growth)</t>
  </si>
  <si>
    <t>Gross Sale Price</t>
  </si>
  <si>
    <t>Less: Disposition Costs</t>
  </si>
  <si>
    <t>Net Sale Price</t>
  </si>
  <si>
    <t>Less: Loan Payoff</t>
  </si>
  <si>
    <t>Net Equity Proceeds at Sale</t>
  </si>
  <si>
    <t>Returns Summary</t>
  </si>
  <si>
    <t>IRR Calculation</t>
  </si>
  <si>
    <t>Year 0</t>
  </si>
  <si>
    <t>Cash Flows</t>
  </si>
  <si>
    <t>Levered IRR</t>
  </si>
  <si>
    <t>Equity Multiple</t>
  </si>
  <si>
    <t>Avg Cash-on-Cash</t>
  </si>
  <si>
    <t>Sensitivity Analysis</t>
  </si>
  <si>
    <t>Cap Rate Sensitivity — Implied Value at Exit (Year 5 NOI)</t>
  </si>
  <si>
    <t>Gross Sale</t>
  </si>
  <si>
    <t>Net Proceeds</t>
  </si>
  <si>
    <t>Equity Proceeds</t>
  </si>
  <si>
    <t>Helper CFs</t>
  </si>
  <si>
    <t>GP / LP Waterfall</t>
  </si>
  <si>
    <t>Equity Structure</t>
  </si>
  <si>
    <t>GP Equity</t>
  </si>
  <si>
    <t>LP Equity</t>
  </si>
  <si>
    <t>Total Equity</t>
  </si>
  <si>
    <t>Preferred Return</t>
  </si>
  <si>
    <t>GP Promote (above pref)</t>
  </si>
  <si>
    <t>Annual Distribution Waterfall</t>
  </si>
  <si>
    <t>Total Distributable Cash</t>
  </si>
  <si>
    <t>Pref Accrual (8%)</t>
  </si>
  <si>
    <t>Cumulative Pref Owed</t>
  </si>
  <si>
    <t>Pref Paid</t>
  </si>
  <si>
    <t>Return of Capital</t>
  </si>
  <si>
    <t>Excess Cash Flow</t>
  </si>
  <si>
    <t>GP Distributions</t>
  </si>
  <si>
    <t xml:space="preserve">  Pref (pro rata)</t>
  </si>
  <si>
    <t xml:space="preserve">  Return of Capital</t>
  </si>
  <si>
    <t xml:space="preserve">  Promote (25% of excess)</t>
  </si>
  <si>
    <t xml:space="preserve">  Pro Rata Share (excess)</t>
  </si>
  <si>
    <t>Total GP Distributions</t>
  </si>
  <si>
    <t>LP Distributions</t>
  </si>
  <si>
    <t>Total LP Distributions</t>
  </si>
  <si>
    <t>Check: GP + LP = Total</t>
  </si>
  <si>
    <t>GP / LP Returns</t>
  </si>
  <si>
    <t>GP</t>
  </si>
  <si>
    <t>LP</t>
  </si>
  <si>
    <t>Equity Invested</t>
  </si>
  <si>
    <t>Total Distributions</t>
  </si>
  <si>
    <t>Profit</t>
  </si>
  <si>
    <t>IRR</t>
  </si>
  <si>
    <t>% of Total Profit</t>
  </si>
  <si>
    <t>Avg Cash-on-Cash (Yr 1-4)</t>
  </si>
  <si>
    <t>Hold Period Comparison</t>
  </si>
  <si>
    <t>3-Year Hold</t>
  </si>
  <si>
    <t>5-Year Hold</t>
  </si>
  <si>
    <t>7-Year Hold</t>
  </si>
  <si>
    <t>Exit Year NOI</t>
  </si>
  <si>
    <t>Forward NOI (exit + 1 yr)</t>
  </si>
  <si>
    <t>Loan Balance at Exit</t>
  </si>
  <si>
    <t>Net Equity Proceeds</t>
  </si>
  <si>
    <t>Project-Level Returns</t>
  </si>
  <si>
    <t>GP Returns</t>
  </si>
  <si>
    <t>GP IRR</t>
  </si>
  <si>
    <t>GP Equity Multiple</t>
  </si>
  <si>
    <t>LP Returns</t>
  </si>
  <si>
    <t>LP IRR</t>
  </si>
  <si>
    <t>LP Equity Multiple</t>
  </si>
  <si>
    <t>3yr Proj</t>
  </si>
  <si>
    <t>3yr GP</t>
  </si>
  <si>
    <t>3yr TotCF</t>
  </si>
  <si>
    <t>3yr GP CF</t>
  </si>
  <si>
    <t>3yr LP CF</t>
  </si>
  <si>
    <t>3yr IRRs</t>
  </si>
  <si>
    <t>7yr helpers</t>
  </si>
  <si>
    <t>7yr Proj</t>
  </si>
  <si>
    <t>7yr TotCF</t>
  </si>
  <si>
    <t>7yr GP CF</t>
  </si>
  <si>
    <t>7yr LP CF</t>
  </si>
  <si>
    <t>7yr IRRs</t>
  </si>
  <si>
    <t>Broker Fee</t>
  </si>
  <si>
    <t>Loan Exit Fee</t>
  </si>
  <si>
    <t>Acquisition Fee</t>
  </si>
  <si>
    <t>Partnership / JV Structure</t>
  </si>
  <si>
    <t>GP Equity %</t>
  </si>
  <si>
    <t>LP Equity %</t>
  </si>
  <si>
    <t>Pref Compounded?</t>
  </si>
  <si>
    <t>No</t>
  </si>
  <si>
    <t>Hold Period Scenarios</t>
  </si>
  <si>
    <t>Primary Hold (years)</t>
  </si>
  <si>
    <t>(from above)</t>
  </si>
  <si>
    <t>Alt Hold #1 (years)</t>
  </si>
  <si>
    <t>Alt Hold #2 (years)</t>
  </si>
  <si>
    <t>Acquisition Cost Breakdown</t>
  </si>
  <si>
    <t>$</t>
  </si>
  <si>
    <t>Title &amp; Escrow</t>
  </si>
  <si>
    <t>Legal</t>
  </si>
  <si>
    <t>Phase 1 Environmental</t>
  </si>
  <si>
    <t>Other Due Diligence</t>
  </si>
  <si>
    <t>ALTA, inspections, etc.</t>
  </si>
  <si>
    <t>Subtotal Closing Costs</t>
  </si>
  <si>
    <t>Loan Origination Fee</t>
  </si>
  <si>
    <t>Total Acq. &amp; Financing Costs</t>
  </si>
  <si>
    <t>Effective Purchase Price</t>
  </si>
  <si>
    <t>Total Revenue</t>
  </si>
  <si>
    <t>x</t>
  </si>
  <si>
    <t>Increase Mgmt</t>
  </si>
  <si>
    <t>increase</t>
  </si>
  <si>
    <t>Yield on Cost</t>
  </si>
  <si>
    <t>Asset Management Fee</t>
  </si>
  <si>
    <t>Annual</t>
  </si>
  <si>
    <t>Less: Asset Mgmt Fee</t>
  </si>
  <si>
    <t>Asset Mgmt Fee</t>
  </si>
  <si>
    <t>Tenant Prot.</t>
  </si>
  <si>
    <t>Ann. Growth</t>
  </si>
  <si>
    <t>T-12 NOI / Purchase Price</t>
  </si>
  <si>
    <t>Interest Rate Sensitivity — Levered IRR (Exit Cap × All-In Rate)</t>
  </si>
  <si>
    <t>Exit Cap \ All-In Rate</t>
  </si>
  <si>
    <t>Helpers — Interest Rate Sensitivity</t>
  </si>
  <si>
    <t>Rate →</t>
  </si>
  <si>
    <t>Ann. DS</t>
  </si>
  <si>
    <t>Yr0</t>
  </si>
  <si>
    <t>Yr1</t>
  </si>
  <si>
    <t>Yr2</t>
  </si>
  <si>
    <t>Yr3</t>
  </si>
  <si>
    <t>Yr4</t>
  </si>
  <si>
    <t>Yr5 pre-exit</t>
  </si>
  <si>
    <t>Yr5 Loan Bal</t>
  </si>
  <si>
    <t>Yr5 Total CF by Cap</t>
  </si>
  <si>
    <t>Exit / Disposition Analysis (5-year Hold)</t>
  </si>
  <si>
    <t>Vacaville</t>
  </si>
  <si>
    <t>Tenant Insurance RMASA Fee</t>
  </si>
  <si>
    <t>Merchandise Sales</t>
  </si>
  <si>
    <t>Admin Fees, Late Fees, and Other Fees</t>
  </si>
  <si>
    <t>Property Management Software</t>
  </si>
  <si>
    <t>Customer Care Center</t>
  </si>
  <si>
    <t>Total Contractually set fees</t>
  </si>
  <si>
    <t>Cost of Goods Sold</t>
  </si>
  <si>
    <t>Payroll - Property Manager</t>
  </si>
  <si>
    <t>Payroll - District Manager</t>
  </si>
  <si>
    <t>Repairs and Maintenance</t>
  </si>
  <si>
    <t>Credit Card Charges</t>
  </si>
  <si>
    <t>Internet Advertising</t>
  </si>
  <si>
    <t>Network Charges</t>
  </si>
  <si>
    <t>Telephone</t>
  </si>
  <si>
    <t>Tenant Mailings</t>
  </si>
  <si>
    <t>Office Expense</t>
  </si>
  <si>
    <t>Business Licenses and Permits</t>
  </si>
  <si>
    <t>Legal and Evictions</t>
  </si>
  <si>
    <t>Total Other Expenses</t>
  </si>
  <si>
    <t>Total Operating Expenses</t>
  </si>
  <si>
    <t>AUCTIONS?</t>
  </si>
  <si>
    <t>Vacaville Property</t>
  </si>
  <si>
    <t>5920 Cherry Glen Rd, Vacaville, CA 95688</t>
  </si>
  <si>
    <t>LAST MONTH</t>
  </si>
  <si>
    <t>Public</t>
  </si>
  <si>
    <t xml:space="preserve">                     Wentworth - Vacaville, CA</t>
  </si>
  <si>
    <t>Protection Assumptions</t>
  </si>
  <si>
    <t>Amount</t>
  </si>
  <si>
    <t>Split</t>
  </si>
  <si>
    <t>Turn #</t>
  </si>
  <si>
    <t>Date</t>
  </si>
  <si>
    <t>User Request</t>
  </si>
  <si>
    <t>Action Taken</t>
  </si>
  <si>
    <t>Details</t>
  </si>
  <si>
    <t>Outcome</t>
  </si>
  <si>
    <t>Comprehensive audit of Vacaville self-storage forecasting model (4 tabs: Inputs &amp; Drivers, Model2.0, Proforma, 5 Year Proforma)</t>
  </si>
  <si>
    <t>Delivered full model audit report with 7 evaluation questions answered</t>
  </si>
  <si>
    <t>Identified 9 model mechanics issues (M1-M9) and 9 business assumption issues (B1-B9). Key findings: $0 insurance/property taxes, hardcoded ECRI, disconnected tenant protection rates, artificial Current Mgmt baseline.</t>
  </si>
  <si>
    <t>Rated YELLOW. Delivered top 5 fixes, top 5 stress tests, and follow-up questions. Model has solid structural bones but needs material fixes.</t>
  </si>
  <si>
    <t>User needed help formulating the Current Mgmt rental income (BS19) in Model2.0. Was trying to gross-up current operator income by adding back discounts, then showing them as a separate line.</t>
  </si>
  <si>
    <t>Wrote formula =(E19*1.03)+ABS(BR21) into BS19</t>
  </si>
  <si>
    <t>Logic: Grow current operator T-3 rental income by 3%, then add back the discount amount (so BS21 can show it as a deduction). This avoids double-inflating the discounts. User explicitly chose not to apply the 1.03 growth to the discount portion.</t>
  </si>
  <si>
    <t>BS19=$1,092,495. Clean income waterfall: STORE vs Current Mgmt delta is +$124K net rental income, driven by rate management (ECRI + street rate growth), not artificial baseline differences.</t>
  </si>
  <si>
    <t>*</t>
  </si>
  <si>
    <t>Fresh comprehensive audit of Model2.0, Inputs &amp; Drivers, Proforma, and 5 Year Proforma. Validate formulas, math, and logic. Ignore acquisitions/valuation.</t>
  </si>
  <si>
    <t>Read all 4 tabs fully. Validated every formula chain, cross-tab linkages, math, escalation patterns, and realism of projections.</t>
  </si>
  <si>
    <t>Found 3 critical issues (missing insurance/taxes, Proforma reconciliation errors, BT column formula misalignment), 5 medium issues (BS column mixing, flat occupancy vs 95% target, fragile SUM ranges, aggressive ECRI, hardcoded advertising). All cross-tab linkages verified OK. BS19 formula confirmed correct at $1,092,495.</t>
  </si>
  <si>
    <t>Delivered full audit report organized by severity. 3 critical, 5 medium, 4 low/info findings. Model structural integrity is sound but has material omissions and reconciliation errors to fix.</t>
  </si>
  <si>
    <t>User lacks separate data for Admin vs Late Fees — operator P&amp;L lumps them. Current 50/50 split in P-Builder puts model 26% below actuals ($32.7K projected vs $44.3K actual T-12). Wants suggestions.</t>
  </si>
  <si>
    <t>Analyzed P-Builder source formulas, COA Translation mapping, Data Drop linkage, and Model2.0 fee projection logic. Compared T-12 actuals to Year 1 projections.</t>
  </si>
  <si>
    <t>P-Builder rows 10 &amp; 11 both use same SUMIFS key ($E10='Admin Fee Income') with /2. Model2.0 uses move-in-based admin ($580/mo) and delinquency-based late fees ($2,392/mo declining). Combined model = $32.7K/yr vs $44.3K actual. Admin formula (move-ins × $29) is structurally wrong — actual admin includes late fees and other misc.</t>
  </si>
  <si>
    <t>Provided 3 alternative approaches: (A) use T-12 total as flat baseline, (B) rent-linked % approach, (C) hybrid with admin as flat and late as delinquency-driven. Awaiting user decision.</t>
  </si>
  <si>
    <t>Wentworth — Vacaville Proforma: Assumptions Roadmap for David</t>
  </si>
  <si>
    <t>1A. Current Management Revenue Baseline</t>
  </si>
  <si>
    <t>Line Item</t>
  </si>
  <si>
    <t>Annual Amount</t>
  </si>
  <si>
    <t>Formula / Source</t>
  </si>
  <si>
    <t>Explanation for David</t>
  </si>
  <si>
    <t>Gross Rental Income</t>
  </si>
  <si>
    <t>SECTION 1: REVENUE - STORE vs CURRENT MANAGEMENT</t>
  </si>
  <si>
    <t>(T-3 Rent * 1.03) + |Discounts|</t>
  </si>
  <si>
    <t>We grow the current operator's T-3 annualized rent ($1,021,817) by 3% for organic growth, then add back $40K in STORE-projected discounts so we can show discounts as a deduction on both sides.</t>
  </si>
  <si>
    <t>ECRI / Rate Mgmt Rev</t>
  </si>
  <si>
    <t>$0 - no rate management</t>
  </si>
  <si>
    <t>Current operator does not run an ECRI program. No existing-tenant rate increases assumed under current management.</t>
  </si>
  <si>
    <t>Mirrors STORE discount total</t>
  </si>
  <si>
    <t>We mirror the STORE discount line so the income waterfall is comparable. This offsets the discount added back into Gross Rental Income above.</t>
  </si>
  <si>
    <t>$1,092,495 + $0 - $40,023</t>
  </si>
  <si>
    <t>Other Income (Admin, Late, TP, Retail)</t>
  </si>
  <si>
    <t>Sum of BS27:BS32</t>
  </si>
  <si>
    <t>Admin fees, late fees, current TP ($36,265), and retail. Same volume as STORE for comparability (see Section 3 caveat on fee split).</t>
  </si>
  <si>
    <t>Includes 6% mgmt fee, T-12 payroll +2%, current software, bank charges. STORE expenses are ~10% lower overall.</t>
  </si>
  <si>
    <t>Current Mgmt NOI</t>
  </si>
  <si>
    <t>1B. STORE Revenue Projection (Year 1)</t>
  </si>
  <si>
    <t>Sum of 12 monthly calcs</t>
  </si>
  <si>
    <t>Each month: Projected Rate per SqFt * NRSF * Occupancy. Rate starts at $1.087/sqft, grows ~0.67%/mo (8% annualized Year 1). Street-rate growth on new leases.</t>
  </si>
  <si>
    <t>Cumulative rate increases</t>
  </si>
  <si>
    <t>STORE rate mgmt: no increases Mo 1-3, 5% bump Mo 4 for in-place tenants, then 2%/mo cumulative Mo 5-12. SINGLE LARGEST revenue driver - $108K, or 67% of total NOI uplift.</t>
  </si>
  <si>
    <t>Move-in concessions</t>
  </si>
  <si>
    <t>(Rate * 20 move-ins * avg unit size) * (-1). 20 move-ins/mo with promotional discounts.</t>
  </si>
  <si>
    <t>+$123,908 vs Current Mgmt (+11.8%)</t>
  </si>
  <si>
    <t>Admin+Late+STORE TP+Retail</t>
  </si>
  <si>
    <t>STORE TP ($38,558) replaces current TP ($36,265). Slight net gain.</t>
  </si>
  <si>
    <t>STORE mgmt 4% (vs 6%), adds $47K STORE mgmt + $22K software + $1.4K security. Net savings ~$33K.</t>
  </si>
  <si>
    <t>STORE NOI</t>
  </si>
  <si>
    <t>+$159,636 vs Current Mgmt (+19.9%)</t>
  </si>
  <si>
    <t>1C. NOI Bridge - Current Mgmt to STORE</t>
  </si>
  <si>
    <t>Component</t>
  </si>
  <si>
    <t>Delta ($)</t>
  </si>
  <si>
    <t>% of Total</t>
  </si>
  <si>
    <t>What's Driving It</t>
  </si>
  <si>
    <t>ECRI / Rate Management</t>
  </si>
  <si>
    <t>Biggest driver. STORE pushes existing-tenant rate increases; current operator does not.</t>
  </si>
  <si>
    <t>Street Rate Growth</t>
  </si>
  <si>
    <t>STORE projects 8% Y1 rent growth vs 3% baseline for current mgmt.</t>
  </si>
  <si>
    <t>Tenant Protection Swap</t>
  </si>
  <si>
    <t>STORE TP ($38.6K) replaces current TP ($36.3K).</t>
  </si>
  <si>
    <t>Expense Savings</t>
  </si>
  <si>
    <t>Lower mgmt fee (4% vs 6%), offset by new STORE costs.</t>
  </si>
  <si>
    <t>TOTAL NOI UPLIFT</t>
  </si>
  <si>
    <t>Current Mgmt $802K to STORE $962K  =  +$160K (+19.9%)</t>
  </si>
  <si>
    <t>SECTION 2: KEY ASSUMPTIONS TABLE</t>
  </si>
  <si>
    <t>Value</t>
  </si>
  <si>
    <t>Source / Rationale</t>
  </si>
  <si>
    <t>91.7% flat (554/604 units)</t>
  </si>
  <si>
    <t>Held at current. I&amp;D has 95% target but NOT modeled - conservative.</t>
  </si>
  <si>
    <t>Rent Growth (Year 1)</t>
  </si>
  <si>
    <t>8.0% annualized</t>
  </si>
  <si>
    <t>~0.67%/mo. I&amp;D E61. Years 2-5 drop to 2.5%.</t>
  </si>
  <si>
    <t>ECRI Schedule</t>
  </si>
  <si>
    <t>0% Mo1-3, 5% Mo4, 2%/mo Mo5-12</t>
  </si>
  <si>
    <t>Hardcoded Model2.0 row 12. 3-month grace, then cumulative.</t>
  </si>
  <si>
    <t>Move-ins / Move-outs</t>
  </si>
  <si>
    <t>20 / 20 per month</t>
  </si>
  <si>
    <t>Balanced - no net occupancy change.</t>
  </si>
  <si>
    <t>Expense Growth</t>
  </si>
  <si>
    <t>1% Y1, 2% Y2-5</t>
  </si>
  <si>
    <t>I&amp;D I61:I65. Applied at year boundaries.</t>
  </si>
  <si>
    <t>STORE Mgmt Fee</t>
  </si>
  <si>
    <t>4% Y1, 4.5% Y2, 5% Y3-5</t>
  </si>
  <si>
    <t>I&amp;D G61:G65. Applied to NRI.</t>
  </si>
  <si>
    <t>Current Mgmt Fee</t>
  </si>
  <si>
    <t>6% of NRI</t>
  </si>
  <si>
    <t>I&amp;D H41.</t>
  </si>
  <si>
    <t>$16/unit, 50% split, 62% to 80%</t>
  </si>
  <si>
    <t>I&amp;D D70-D71. Ramps 2%/mo, caps at 80%.</t>
  </si>
  <si>
    <t>Payroll (Current)</t>
  </si>
  <si>
    <t>$91,682/yr</t>
  </si>
  <si>
    <t>T-12 ($89,884) * 1.02.</t>
  </si>
  <si>
    <t>Payroll (STORE)</t>
  </si>
  <si>
    <t>$95,023/yr</t>
  </si>
  <si>
    <t>62 hrs/wk * $26/hr + 30% burden.</t>
  </si>
  <si>
    <t>$0 - NOT MODELED</t>
  </si>
  <si>
    <t>FLAGGED: Likely $15-25K/yr. Needs operator data.</t>
  </si>
  <si>
    <t>FLAGGED: Likely $40-80K/yr. Needs assessor data.</t>
  </si>
  <si>
    <t>Software (STORE)</t>
  </si>
  <si>
    <t>$22,200/yr ($1,850/mo)</t>
  </si>
  <si>
    <t>Replaces current $13,362/yr. Grown 1.5%/yr.</t>
  </si>
  <si>
    <t>SECTION 3: DATA LIMITATIONS &amp; CAVEATS FOR DAVID</t>
  </si>
  <si>
    <t>3A. Admin Fees vs Late Fees - Messy GL</t>
  </si>
  <si>
    <t>The operator's P&amp;L reports one combined line: "Admin Fees, Late Fees, and Other Fees" ($44,330 T-12). We have NO visibility into individual components. The P-Builder currently splits this 50/50, giving ~$22K to each. However, Model2.0 replaces these with formula-driven projections totaling only $32.7K/yr - that's 26% below actuals. The gap is in Admin Fees: the move-in fee formula ($29 * 20 move-ins = $580/mo) produces only $7K/yr vs the ~$22K historical half. The operator's "admin" line likely bundles late fees, returned check fees, and other misc income that doesn't fit a pure move-in fee model. Options: (a) use T-12 total as flat baseline grown at rent, (b) request a detailed GL breakout from operator, or (c) apply a % of rent approach (~5.3% of gross rent).</t>
  </si>
  <si>
    <t>3B. Insurance &amp; Property Taxes</t>
  </si>
  <si>
    <t>Both are $0 across all 5 years. This overstates NOI by an estimated $55-105K/yr. We need actuals from the operator or market comps before presenting a final NOI number.</t>
  </si>
  <si>
    <t>3C. Flat Occupancy - Conservative Choice</t>
  </si>
  <si>
    <t>The model holds occupancy at 91.7% for all 60 months despite I&amp;D showing a 95% target. All revenue upside comes from rate growth, not occupancy. If David expects a lease-up story, we need to build an occupancy ramp. Current approach is deliberately conservative.</t>
  </si>
  <si>
    <t>3D. ECRI Aggressiveness</t>
  </si>
  <si>
    <t>ECRI generates $108K in Year 1 (9.7% of gross rental income). This is the model's biggest lever. Defensible if the facility has significantly below-market rents, but David may push back. Be prepared with market rent comps to justify the 5% initial bump and 2%/mo cumulative schedule.</t>
  </si>
  <si>
    <t>User needs a roadmap to present the model to David. Explain STORE vs Current Mgmt revenue, assumptions, messy GL for admin/late fees, and all caveats discussed.</t>
  </si>
  <si>
    <t>Created new 'Roadmap' sheet with 3 sections: (1) Revenue comparison with NOI bridge, (2) Key assumptions table with 13 line items, (3) Data limitations including admin/late fee GL issue, missing insurance/taxes, flat occupancy, and ECRI aggressiveness.</t>
  </si>
  <si>
    <t>Section 1 shows Current Mgmt NOI $802K vs STORE NOI $962K (+$160K / +19.9%). NOI bridge: 67% ECRI, 10% street rate, 1% TP swap, 21% expense savings. Section 3 flags $44K T-12 fees vs $33K model projection (26% gap from move-in fee formula), $0 insurance/taxes ($55-105K/yr omission), flat occupancy vs 95% target.</t>
  </si>
  <si>
    <t>Roadmap sheet ready for David presentation. User should review Section 3 caveats and decide on admin/late fee approach before meeting.</t>
  </si>
  <si>
    <t>we looked at your original proforma and it does look like there's a significant delay in revenue</t>
  </si>
  <si>
    <t>User alarmed that 5yr Proforma NOI drops from Year 1 to Year 2. Wants to know why.</t>
  </si>
  <si>
    <t>Diagnosed the ECRI cumulation reset at year boundaries. Year 1 ECRI=$149K (after user bumped rates to 7%/5%/5%/2.5%/2%), but Year 2 ECRI resets to $75K because the IF formula zeros out the cumulation when the year changes.</t>
  </si>
  <si>
    <t>Row 20 formula: IF(year=prior_year, cumulate, RESET). Year 1 gets front-loaded ECRI of $149K. Year 2 starts from scratch at $75K. The $73K ECRI drop overwhelms ~$20K organic growth, causing Y1 $1,002K to Y2 $972K (-3%). Fix: modify the year-boundary reset logic to carry forward a base ECRI level.</t>
  </si>
  <si>
    <t>Explained root cause to user. Awaiting decision on whether to fix the ECRI reset formula or adjust the ECRI rate schedule.</t>
  </si>
  <si>
    <t>User wants an email to Bill Hamilton for the Vacaville property, modeled after the N. Charleston email to Richard. Should reference Public's proforma being ~1 year behind actual results, then present STORE's projected impact.</t>
  </si>
  <si>
    <t>Drafted email using latest model numbers: Current Mgmt NOI $842K, STORE Y1 NOI $1,002K (+$160K/+19%), OpEx savings -$33K (-10.1%), AVC ~$2.7-2.9M at 5.5-6.0% cap. Noted T-12 actual NOI ($634K) is significantly behind where Public had projected.</t>
  </si>
  <si>
    <t>Used same structure as N. Charleston email. Key differences: added paragraph about Public's proforma review showing ~$207K shortfall vs their projections (T-12 NOI $634K vs projected ~$842K). Presented STORE's value proposition as both a correction to the delay and upside via rate management, fee optimization, and expense discipline.</t>
  </si>
  <si>
    <t>Email draft provided in chat. User should review numbers and tone before sending to Bill Hamilton.</t>
  </si>
  <si>
    <t>Agent request: Read entire Proforma sheet (A1:AH50) with formulas and write to shared JSON file for cross-file comparison</t>
  </si>
  <si>
    <t>Read Proforma sheet via get_cell_ranges (includeStyles: false), wrote full result to vacaville-proforma.json via conductor</t>
  </si>
  <si>
    <t>770 non-empty cells extracted including all formulas. Data spans columns E-AH, rows 1-50. Includes T-12 actuals (col F-G), monthly projections (H-S), annual totals (T-X), variance analysis (Y), checks (Z), and cap rate table (AF-AH).</t>
  </si>
  <si>
    <t>File vacaville-proforma.json shared successfully with requesting agent for formula comparison</t>
  </si>
  <si>
    <t>Cross-file formula comparison: read 3 ranges from VacavilleProformaMar26.xlsx and share as JSON files</t>
  </si>
  <si>
    <t>Read P-Builder A1:H100, Model2.0 A1:H66, Model2.0 BR1:CG66; wrote to 3 conductor JSON files</t>
  </si>
  <si>
    <t>Files: vac-pbuilder.json (15KB), vac-model2-ah.json (6KB), vac-model2-br.json (22KB). All include values and formulas.</t>
  </si>
  <si>
    <t>3 shared JSON files now available for the other Excel agent to compare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</si>
</sst>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_(&quot;$&quot;* #,##0_);_(&quot;$&quot;* \(#,##0\);_(&quot;$&quot;* &quot;-&quot;??_);_(@_)"/>
    <numFmt numFmtId="166" formatCode="0.0%"/>
    <numFmt numFmtId="167" formatCode="&quot;Year &quot;General"/>
    <numFmt numFmtId="168" formatCode="&quot;Month &quot;General"/>
    <numFmt numFmtId="169" formatCode="#,##0_);\(#,##0\);\–_);&quot;–&quot;_)"/>
    <numFmt numFmtId="170" formatCode="General&quot; Months&quot;"/>
    <numFmt numFmtId="171" formatCode="&quot;$&quot;#,##0_);\(&quot;$&quot;#,##0\);\–_);&quot;–&quot;_)"/>
    <numFmt numFmtId="172" formatCode="0.00%_);\(0.00%\);&quot;–&quot;_)"/>
    <numFmt numFmtId="173" formatCode="0.0%_);\(0.0%\);&quot;–&quot;_)"/>
    <numFmt numFmtId="174" formatCode="General&quot; bps&quot;"/>
    <numFmt numFmtId="175" formatCode="General&quot; Years&quot;"/>
    <numFmt numFmtId="176" formatCode="0%_);\(0%\);&quot;–&quot;_)"/>
    <numFmt numFmtId="177" formatCode="#,##0;\(#,##0\);&quot;–&quot;;@"/>
    <numFmt numFmtId="178" formatCode="[$$]#,##0;\([$$]#,##0\);&quot;–&quot;;@"/>
    <numFmt numFmtId="179" formatCode="#,##0.00;\(#,##0.00\);&quot;–&quot;;@"/>
    <numFmt numFmtId="180" formatCode="&quot;$&quot;#,##0.00_);\(&quot;$&quot;#,##0.00\);\–_);&quot;–&quot;_)"/>
    <numFmt numFmtId="181" formatCode="[$$]#,##0.00;\([$$]#,##0.00\);&quot;–&quot;;@"/>
    <numFmt numFmtId="182" formatCode="&quot;$&quot;General&quot; Per Move-in&quot;"/>
    <numFmt numFmtId="183" formatCode="&quot;Avg Delinquency Rate:&quot;\ 0.00%"/>
    <numFmt numFmtId="184" formatCode="_(* #,##0_);_(* \(#,##0\);_(* &quot;-&quot;??_);_(@_)"/>
    <numFmt numFmtId="185" formatCode="&quot;Addt'l &quot;0%"/>
    <numFmt numFmtId="186" formatCode="0%&quot; Ann. Growth&quot;"/>
    <numFmt numFmtId="187" formatCode="&quot;$&quot;#,##0.00"/>
    <numFmt numFmtId="188" formatCode="&quot;$&quot;#,##0"/>
    <numFmt numFmtId="189" formatCode="&quot;$&quot;#,##0.0"/>
    <numFmt numFmtId="190" formatCode="0.00\x"/>
    <numFmt numFmtId="191" formatCode="&quot;$&quot;#,##0;\(&quot;$&quot;#,##0\);\-"/>
    <numFmt numFmtId="192" formatCode="&quot;$&quot;#,##0;\(&quot;$&quot;#,##0\)"/>
  </numFmts>
  <fonts count="1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b/>
      <i/>
      <sz val="11"/>
      <name val="Aptos"/>
      <family val="2"/>
    </font>
    <font>
      <sz val="11"/>
      <color theme="1"/>
      <name val="Aptos"/>
      <family val="2"/>
    </font>
    <font>
      <b/>
      <sz val="13"/>
      <color theme="0"/>
      <name val="Aptos"/>
      <family val="2"/>
    </font>
    <font>
      <i/>
      <sz val="10"/>
      <color theme="1"/>
      <name val="Aptos"/>
      <family val="2"/>
    </font>
    <font>
      <b/>
      <sz val="14"/>
      <color theme="0"/>
      <name val="Aptos"/>
      <family val="2"/>
    </font>
    <font>
      <i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venir Next LT Pro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  <font>
      <b/>
      <sz val="10"/>
      <color theme="0"/>
      <name val="Avenir Next LT Pro Demi"/>
      <family val="2"/>
    </font>
    <font>
      <b/>
      <sz val="11"/>
      <color theme="0"/>
      <name val="Avenir Next LT Pro Demi"/>
      <family val="2"/>
    </font>
    <font>
      <sz val="10"/>
      <color theme="0"/>
      <name val="Avenir Next LT Pro"/>
      <family val="2"/>
    </font>
    <font>
      <b/>
      <sz val="10"/>
      <color theme="0"/>
      <name val="Avenir Next LT Pro"/>
      <family val="2"/>
    </font>
    <font>
      <i/>
      <sz val="10"/>
      <color theme="1"/>
      <name val="Avenir Next LT Pro"/>
      <family val="2"/>
    </font>
    <font>
      <b/>
      <sz val="11"/>
      <color theme="1"/>
      <name val="Avenir Next LT Pro Demi"/>
      <family val="2"/>
    </font>
    <font>
      <b/>
      <i/>
      <sz val="11"/>
      <name val="Avenir Next LT Pro Demi"/>
      <family val="2"/>
    </font>
    <font>
      <sz val="11.5"/>
      <color theme="1"/>
      <name val="Avenir Next LT Pro Demi"/>
      <family val="2"/>
    </font>
    <font>
      <b/>
      <i/>
      <sz val="11.5"/>
      <name val="Avenir Next LT Pro Demi"/>
      <family val="2"/>
    </font>
    <font>
      <sz val="11"/>
      <color theme="1"/>
      <name val="Avenir Next LT Pro Demi"/>
      <family val="2"/>
    </font>
    <font>
      <b/>
      <i/>
      <sz val="10"/>
      <color theme="1"/>
      <name val="Avenir Next LT Pro"/>
      <family val="2"/>
    </font>
    <font>
      <b/>
      <u/>
      <sz val="10"/>
      <color theme="1"/>
      <name val="Avenir Next LT Pro Demi"/>
      <family val="2"/>
    </font>
    <font>
      <b/>
      <sz val="14"/>
      <color theme="0"/>
      <name val="Avenir Next LT Pro Demi"/>
      <family val="2"/>
    </font>
    <font>
      <sz val="10"/>
      <name val="Avenir Next LT Pro"/>
      <family val="2"/>
    </font>
    <font>
      <i/>
      <sz val="10"/>
      <name val="Avenir Next LT Pro"/>
      <family val="2"/>
    </font>
    <font>
      <b/>
      <i/>
      <sz val="10"/>
      <name val="Avenir Next LT Pro"/>
      <family val="2"/>
    </font>
    <font>
      <b/>
      <i/>
      <sz val="10"/>
      <name val="Avenir Next LT Pro Demi"/>
      <family val="2"/>
    </font>
    <font>
      <sz val="11.5"/>
      <name val="Avenir Next LT Pro"/>
      <family val="2"/>
    </font>
    <font>
      <sz val="11"/>
      <name val="Avenir Next LT Pro"/>
      <family val="2"/>
    </font>
    <font>
      <b/>
      <sz val="10"/>
      <color theme="1"/>
      <name val="Aptos Narrow"/>
      <family val="2"/>
      <scheme val="minor"/>
    </font>
    <font>
      <i/>
      <sz val="10"/>
      <color theme="1"/>
      <name val="Palatino Linotype"/>
      <family val="1"/>
    </font>
    <font>
      <b/>
      <i/>
      <sz val="10"/>
      <color theme="1"/>
      <name val="Palatino Linotype"/>
      <family val="1"/>
    </font>
    <font>
      <b/>
      <i/>
      <sz val="10"/>
      <color rgb="FF008000"/>
      <name val="Palatino Linotype"/>
      <family val="1"/>
    </font>
    <font>
      <sz val="11"/>
      <color theme="9"/>
      <name val="Aptos Narrow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u/>
      <sz val="10"/>
      <color theme="1"/>
      <name val="Palatino Linotype"/>
      <family val="1"/>
    </font>
    <font>
      <sz val="10"/>
      <color rgb="FF0000FF"/>
      <name val="Palatino Linotype"/>
      <family val="1"/>
    </font>
    <font>
      <b/>
      <sz val="10"/>
      <name val="Palatino Linotype"/>
      <family val="1"/>
    </font>
    <font>
      <sz val="10"/>
      <name val="Palatino Linotype"/>
      <family val="1"/>
    </font>
    <font>
      <b/>
      <u/>
      <sz val="10"/>
      <name val="Palatino Linotype"/>
      <family val="1"/>
    </font>
    <font>
      <sz val="10"/>
      <color rgb="FF008000"/>
      <name val="Palatino Linotype"/>
      <family val="1"/>
    </font>
    <font>
      <sz val="11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9"/>
      <name val="Palatino Linotype"/>
      <family val="1"/>
    </font>
    <font>
      <sz val="11"/>
      <color rgb="FFC00000"/>
      <name val="Aptos Narrow"/>
      <family val="2"/>
      <scheme val="minor"/>
    </font>
    <font>
      <b/>
      <u/>
      <sz val="14"/>
      <color rgb="FF242424"/>
      <name val="Avenir Next LT Pro"/>
      <family val="2"/>
    </font>
    <font>
      <sz val="11"/>
      <color theme="1"/>
      <name val="Avenir Next LT Pro"/>
      <family val="2"/>
    </font>
    <font>
      <b/>
      <sz val="14"/>
      <color rgb="FF000000"/>
      <name val="Avenir Next LT Pro"/>
      <family val="2"/>
    </font>
    <font>
      <b/>
      <sz val="34"/>
      <color rgb="FFFFFFFF"/>
      <name val="Avenir Next LT Pro"/>
      <family val="2"/>
    </font>
    <font>
      <b/>
      <sz val="10"/>
      <color theme="1"/>
      <name val="Avenir Next LT Pro"/>
      <family val="2"/>
    </font>
    <font>
      <sz val="16"/>
      <color rgb="FF000000"/>
      <name val="Avenir Next LT Pro"/>
      <family val="2"/>
    </font>
    <font>
      <sz val="10"/>
      <color rgb="FF000000"/>
      <name val="Avenir Next LT Pro"/>
      <family val="2"/>
    </font>
    <font>
      <b/>
      <sz val="16"/>
      <color rgb="FF000000"/>
      <name val="Avenir Next LT Pro"/>
      <family val="2"/>
    </font>
    <font>
      <sz val="12"/>
      <color theme="1"/>
      <name val="Avenir Next LT Pro"/>
      <family val="2"/>
    </font>
    <font>
      <b/>
      <sz val="12"/>
      <color rgb="FF000000"/>
      <name val="Avenir Next LT Pro"/>
      <family val="2"/>
    </font>
    <font>
      <b/>
      <u/>
      <sz val="12"/>
      <color rgb="FF000000"/>
      <name val="Avenir Next LT Pro"/>
      <family val="2"/>
    </font>
    <font>
      <sz val="14"/>
      <color rgb="FF000000"/>
      <name val="Avenir Next LT Pro"/>
      <family val="2"/>
    </font>
    <font>
      <sz val="11"/>
      <color rgb="FF000000"/>
      <name val="Avenir Next LT Pro"/>
      <family val="2"/>
    </font>
    <font>
      <b/>
      <i/>
      <sz val="14"/>
      <name val="Avenir Next LT Pro"/>
      <family val="2"/>
    </font>
    <font>
      <b/>
      <i/>
      <sz val="16"/>
      <color rgb="FF000000"/>
      <name val="Avenir Next LT Pro"/>
      <family val="2"/>
    </font>
    <font>
      <b/>
      <i/>
      <sz val="10"/>
      <color rgb="FF000000"/>
      <name val="Avenir Next LT Pro"/>
      <family val="2"/>
    </font>
    <font>
      <b/>
      <i/>
      <sz val="14"/>
      <color rgb="FF000000"/>
      <name val="Avenir Next LT Pro"/>
      <family val="2"/>
    </font>
    <font>
      <b/>
      <i/>
      <sz val="11"/>
      <color rgb="FF000000"/>
      <name val="Avenir Next LT Pro"/>
      <family val="2"/>
    </font>
    <font>
      <b/>
      <sz val="10"/>
      <color rgb="FF000000"/>
      <name val="Avenir Next LT Pro"/>
      <family val="2"/>
    </font>
    <font>
      <b/>
      <sz val="18"/>
      <color rgb="FF000000"/>
      <name val="Avenir Next LT Pro"/>
      <family val="2"/>
    </font>
    <font>
      <b/>
      <sz val="11"/>
      <color rgb="FF000000"/>
      <name val="Avenir Next LT Pro"/>
      <family val="2"/>
    </font>
    <font>
      <b/>
      <i/>
      <sz val="16"/>
      <name val="Avenir Next LT Pro"/>
      <family val="2"/>
    </font>
    <font>
      <b/>
      <sz val="18"/>
      <color rgb="FFFFFFFF"/>
      <name val="Avenir Next LT Pro"/>
      <family val="2"/>
    </font>
    <font>
      <b/>
      <sz val="14"/>
      <color rgb="FFFFFFFF"/>
      <name val="Avenir Next LT Pro"/>
      <family val="2"/>
    </font>
    <font>
      <b/>
      <sz val="20"/>
      <color rgb="FFFFFFFF"/>
      <name val="Avenir Next LT Pro"/>
      <family val="2"/>
    </font>
    <font>
      <b/>
      <sz val="11"/>
      <color rgb="FFFFFFFF"/>
      <name val="Avenir Next LT Pro"/>
      <family val="2"/>
    </font>
    <font>
      <sz val="8"/>
      <color rgb="FF000000"/>
      <name val="Avenir Next LT Pro"/>
      <family val="2"/>
    </font>
    <font>
      <sz val="16"/>
      <name val="Avenir Next LT Pro"/>
      <family val="2"/>
    </font>
    <font>
      <i/>
      <sz val="14"/>
      <name val="Avenir Next LT Pro"/>
      <family val="2"/>
    </font>
    <font>
      <b/>
      <sz val="16"/>
      <color rgb="FFFFFFFF"/>
      <name val="Avenir Next LT Pro"/>
      <family val="2"/>
    </font>
    <font>
      <b/>
      <sz val="22"/>
      <color rgb="FFFFFFFF"/>
      <name val="Avenir Next LT Pro"/>
      <family val="2"/>
    </font>
    <font>
      <b/>
      <sz val="24"/>
      <color rgb="FF000000"/>
      <name val="Avenir Next LT Pro"/>
      <family val="2"/>
    </font>
    <font>
      <b/>
      <sz val="11"/>
      <color theme="1"/>
      <name val="Avenir Next LT Pro"/>
      <family val="2"/>
    </font>
    <font>
      <b/>
      <sz val="20"/>
      <color rgb="FF000000"/>
      <name val="Avenir Next LT Pro"/>
      <family val="2"/>
    </font>
    <font>
      <sz val="16"/>
      <color theme="1"/>
      <name val="Avenir Next LT Pro"/>
      <family val="2"/>
    </font>
    <font>
      <b/>
      <sz val="16"/>
      <color theme="1"/>
      <name val="Avenir Next LT Pro"/>
      <family val="2"/>
    </font>
    <font>
      <b/>
      <u/>
      <sz val="16"/>
      <color theme="1"/>
      <name val="Avenir Next LT Pro"/>
      <family val="2"/>
    </font>
    <font>
      <b/>
      <i/>
      <sz val="16"/>
      <color theme="1"/>
      <name val="Avenir Next LT Pro"/>
      <family val="2"/>
    </font>
    <font>
      <b/>
      <sz val="16"/>
      <color theme="0"/>
      <name val="Avenir Next LT Pro"/>
      <family val="2"/>
    </font>
    <font>
      <i/>
      <sz val="9"/>
      <name val="Palatino Linotype"/>
      <family val="1"/>
    </font>
    <font>
      <b/>
      <sz val="10"/>
      <color rgb="FF0000FF"/>
      <name val="Palatino Linotype"/>
      <family val="1"/>
    </font>
    <font>
      <b/>
      <sz val="14"/>
      <color rgb="FF3A51A1"/>
      <name val="Palatino Linotype"/>
      <family val="1"/>
    </font>
    <font>
      <b/>
      <u/>
      <sz val="11"/>
      <color theme="1"/>
      <name val="Palatino Linotype"/>
      <family val="1"/>
    </font>
    <font>
      <b/>
      <u/>
      <sz val="10"/>
      <color theme="1"/>
      <name val="Palatino Linotype"/>
      <family val="1"/>
    </font>
    <font>
      <sz val="9"/>
      <color theme="1"/>
      <name val="Palatino Linotype"/>
      <family val="1"/>
    </font>
    <font>
      <i/>
      <sz val="9"/>
      <color theme="1"/>
      <name val="Palatino Linotype"/>
      <family val="1"/>
    </font>
    <font>
      <b/>
      <sz val="12"/>
      <color rgb="FF3A51A1"/>
      <name val="Palatino Linotype"/>
      <family val="1"/>
    </font>
    <font>
      <b/>
      <u/>
      <sz val="11"/>
      <color rgb="FF3A51A1"/>
      <name val="Palatino Linotyp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3A51A1"/>
      <name val="Palatino Linotype"/>
      <family val="1"/>
    </font>
    <font>
      <b/>
      <u/>
      <sz val="10"/>
      <color rgb="FF3A51A1"/>
      <name val="Palatino Linotype"/>
      <family val="1"/>
    </font>
    <font>
      <sz val="10"/>
      <color rgb="FF000000"/>
      <name val="Palatino Linotype"/>
      <family val="1"/>
    </font>
    <font>
      <i/>
      <sz val="10"/>
      <color rgb="FF000000"/>
      <name val="Palatino Linotype"/>
      <family val="1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sz val="9"/>
      <color rgb="FF808080"/>
      <name val="Aptos Narrow"/>
      <family val="2"/>
      <scheme val="minor"/>
    </font>
    <font>
      <sz val="9"/>
      <color rgb="FF808080"/>
      <name val="Palatino Linotype"/>
      <family val="1"/>
    </font>
    <font>
      <i/>
      <sz val="9"/>
      <color rgb="FF808080"/>
      <name val="Palatino Linotype"/>
      <family val="1"/>
    </font>
    <font>
      <b/>
      <sz val="11"/>
      <color theme="1"/>
      <name val="Palatino Linotype"/>
      <family val="1"/>
    </font>
    <font>
      <b/>
      <sz val="11"/>
      <color rgb="FFFFFFFF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2AF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8D5EA"/>
        <bgColor indexed="64"/>
      </patternFill>
    </fill>
    <fill>
      <patternFill patternType="solid">
        <fgColor rgb="FF3A51A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FAC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DCDCD"/>
        <bgColor rgb="FF000000"/>
      </patternFill>
    </fill>
    <fill>
      <patternFill patternType="solid">
        <fgColor rgb="FFC8D5EA"/>
        <bgColor rgb="FF000000"/>
      </patternFill>
    </fill>
    <fill>
      <patternFill patternType="solid">
        <fgColor rgb="FF3A51A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3A51A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FACDD"/>
      </left>
      <right/>
      <top style="medium">
        <color rgb="FF9FACDD"/>
      </top>
      <bottom style="medium">
        <color rgb="FF9FAC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9FACDD"/>
      </top>
      <bottom style="medium">
        <color indexed="64"/>
      </bottom>
      <diagonal/>
    </border>
    <border>
      <left/>
      <right/>
      <top style="medium">
        <color rgb="FF9FACDD"/>
      </top>
      <bottom style="medium">
        <color rgb="FF9FACDD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3B52A2"/>
      </left>
      <right/>
      <top style="thick">
        <color rgb="FF3B52A2"/>
      </top>
      <bottom/>
      <diagonal/>
    </border>
    <border>
      <left/>
      <right/>
      <top style="thick">
        <color rgb="FF3B52A2"/>
      </top>
      <bottom/>
      <diagonal/>
    </border>
    <border>
      <left/>
      <right style="thick">
        <color rgb="FF3B52A2"/>
      </right>
      <top style="thick">
        <color rgb="FF3B52A2"/>
      </top>
      <bottom/>
      <diagonal/>
    </border>
    <border>
      <left style="thick">
        <color rgb="FF3B52A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3B52A2"/>
      </right>
      <top/>
      <bottom/>
      <diagonal/>
    </border>
    <border>
      <left/>
      <right/>
      <top/>
      <bottom style="medium">
        <color rgb="FF3B52A2"/>
      </bottom>
      <diagonal/>
    </border>
    <border>
      <left style="medium">
        <color rgb="FFA7BCDD"/>
      </left>
      <right/>
      <top style="medium">
        <color rgb="FFA7BCDD"/>
      </top>
      <bottom style="medium">
        <color rgb="FFA7BCDD"/>
      </bottom>
      <diagonal/>
    </border>
    <border>
      <left/>
      <right style="medium">
        <color rgb="FFA7BCDD"/>
      </right>
      <top style="medium">
        <color rgb="FFA7BCDD"/>
      </top>
      <bottom style="medium">
        <color rgb="FFA7BCDD"/>
      </bottom>
      <diagonal/>
    </border>
    <border>
      <left style="thick">
        <color rgb="FF3B52A2"/>
      </left>
      <right/>
      <top/>
      <bottom style="thick">
        <color rgb="FF3B52A2"/>
      </bottom>
      <diagonal/>
    </border>
    <border>
      <left/>
      <right/>
      <top/>
      <bottom style="thick">
        <color rgb="FF3B52A2"/>
      </bottom>
      <diagonal/>
    </border>
    <border>
      <left/>
      <right style="thick">
        <color rgb="FF3B52A2"/>
      </right>
      <top/>
      <bottom style="thick">
        <color rgb="FF3B52A2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9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43" fontId="3" fillId="3" borderId="3" xfId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5" fillId="4" borderId="0" xfId="0" applyFont="1" applyFill="1"/>
    <xf numFmtId="0" fontId="0" fillId="4" borderId="0" xfId="0" applyFill="1"/>
    <xf numFmtId="0" fontId="2" fillId="4" borderId="0" xfId="0" applyFont="1" applyFill="1"/>
    <xf numFmtId="164" fontId="6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0" borderId="0" xfId="0" applyFont="1" applyAlignment="1">
      <alignment horizontal="left" vertical="center"/>
    </xf>
    <xf numFmtId="43" fontId="0" fillId="0" borderId="4" xfId="1" applyFont="1" applyBorder="1"/>
    <xf numFmtId="43" fontId="0" fillId="0" borderId="0" xfId="1" applyFont="1" applyBorder="1"/>
    <xf numFmtId="0" fontId="0" fillId="0" borderId="11" xfId="0" applyBorder="1"/>
    <xf numFmtId="43" fontId="0" fillId="0" borderId="12" xfId="0" applyNumberFormat="1" applyBorder="1"/>
    <xf numFmtId="0" fontId="9" fillId="0" borderId="0" xfId="0" applyFont="1" applyAlignment="1">
      <alignment horizontal="left" vertical="center"/>
    </xf>
    <xf numFmtId="43" fontId="2" fillId="0" borderId="4" xfId="1" applyFont="1" applyBorder="1"/>
    <xf numFmtId="43" fontId="2" fillId="0" borderId="0" xfId="1" applyFont="1" applyBorder="1"/>
    <xf numFmtId="0" fontId="10" fillId="0" borderId="0" xfId="0" applyFon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6" fillId="7" borderId="1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0" xfId="1" applyFont="1"/>
    <xf numFmtId="43" fontId="17" fillId="0" borderId="0" xfId="1" applyFont="1"/>
    <xf numFmtId="43" fontId="0" fillId="0" borderId="0" xfId="0" applyNumberFormat="1"/>
    <xf numFmtId="10" fontId="0" fillId="0" borderId="12" xfId="3" applyNumberFormat="1" applyFont="1" applyBorder="1"/>
    <xf numFmtId="10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 wrapText="1"/>
    </xf>
    <xf numFmtId="0" fontId="0" fillId="8" borderId="12" xfId="0" applyFill="1" applyBorder="1"/>
    <xf numFmtId="0" fontId="0" fillId="0" borderId="12" xfId="0" applyBorder="1"/>
    <xf numFmtId="0" fontId="0" fillId="8" borderId="0" xfId="0" applyFill="1"/>
    <xf numFmtId="43" fontId="1" fillId="0" borderId="0" xfId="1" applyFont="1" applyBorder="1"/>
    <xf numFmtId="10" fontId="0" fillId="0" borderId="0" xfId="3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vertical="center"/>
    </xf>
    <xf numFmtId="42" fontId="22" fillId="7" borderId="20" xfId="2" applyNumberFormat="1" applyFont="1" applyFill="1" applyBorder="1" applyAlignment="1">
      <alignment vertical="center"/>
    </xf>
    <xf numFmtId="42" fontId="23" fillId="7" borderId="21" xfId="2" applyNumberFormat="1" applyFont="1" applyFill="1" applyBorder="1" applyAlignment="1">
      <alignment vertical="center"/>
    </xf>
    <xf numFmtId="42" fontId="24" fillId="7" borderId="0" xfId="0" applyNumberFormat="1" applyFont="1" applyFill="1" applyAlignment="1">
      <alignment horizontal="right"/>
    </xf>
    <xf numFmtId="42" fontId="19" fillId="9" borderId="0" xfId="2" applyNumberFormat="1" applyFont="1" applyFill="1" applyBorder="1" applyAlignment="1">
      <alignment horizontal="right"/>
    </xf>
    <xf numFmtId="1" fontId="25" fillId="7" borderId="21" xfId="0" applyNumberFormat="1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1" fontId="18" fillId="0" borderId="0" xfId="0" applyNumberFormat="1" applyFont="1"/>
    <xf numFmtId="42" fontId="18" fillId="0" borderId="19" xfId="0" applyNumberFormat="1" applyFont="1" applyBorder="1"/>
    <xf numFmtId="42" fontId="1" fillId="0" borderId="0" xfId="0" applyNumberFormat="1" applyFont="1"/>
    <xf numFmtId="42" fontId="26" fillId="10" borderId="0" xfId="0" applyNumberFormat="1" applyFont="1" applyFill="1" applyAlignment="1">
      <alignment horizontal="right"/>
    </xf>
    <xf numFmtId="1" fontId="19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0" applyNumberFormat="1" applyFont="1"/>
    <xf numFmtId="42" fontId="22" fillId="7" borderId="19" xfId="2" applyNumberFormat="1" applyFont="1" applyFill="1" applyBorder="1" applyAlignment="1">
      <alignment vertical="center"/>
    </xf>
    <xf numFmtId="42" fontId="23" fillId="7" borderId="0" xfId="2" applyNumberFormat="1" applyFont="1" applyFill="1" applyBorder="1" applyAlignment="1">
      <alignment vertical="center"/>
    </xf>
    <xf numFmtId="1" fontId="25" fillId="7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horizontal="right" vertical="center"/>
    </xf>
    <xf numFmtId="42" fontId="27" fillId="6" borderId="19" xfId="2" applyNumberFormat="1" applyFont="1" applyFill="1" applyBorder="1" applyAlignment="1">
      <alignment vertical="center"/>
    </xf>
    <xf numFmtId="42" fontId="28" fillId="6" borderId="0" xfId="2" applyNumberFormat="1" applyFont="1" applyFill="1" applyBorder="1" applyAlignment="1">
      <alignment vertical="center"/>
    </xf>
    <xf numFmtId="42" fontId="29" fillId="6" borderId="19" xfId="0" applyNumberFormat="1" applyFont="1" applyFill="1" applyBorder="1" applyAlignment="1">
      <alignment vertical="center"/>
    </xf>
    <xf numFmtId="42" fontId="19" fillId="10" borderId="0" xfId="0" applyNumberFormat="1" applyFont="1" applyFill="1" applyAlignment="1">
      <alignment horizontal="right"/>
    </xf>
    <xf numFmtId="42" fontId="30" fillId="6" borderId="19" xfId="2" applyNumberFormat="1" applyFont="1" applyFill="1" applyBorder="1" applyAlignment="1">
      <alignment vertical="center"/>
    </xf>
    <xf numFmtId="42" fontId="31" fillId="6" borderId="19" xfId="2" applyNumberFormat="1" applyFont="1" applyFill="1" applyBorder="1" applyAlignment="1">
      <alignment vertical="center"/>
    </xf>
    <xf numFmtId="42" fontId="27" fillId="6" borderId="0" xfId="2" applyNumberFormat="1" applyFont="1" applyFill="1" applyBorder="1" applyAlignment="1">
      <alignment vertical="center"/>
    </xf>
    <xf numFmtId="42" fontId="27" fillId="9" borderId="0" xfId="2" applyNumberFormat="1" applyFont="1" applyFill="1" applyBorder="1" applyAlignment="1">
      <alignment vertical="center"/>
    </xf>
    <xf numFmtId="0" fontId="32" fillId="6" borderId="0" xfId="0" applyFont="1" applyFill="1" applyAlignment="1">
      <alignment horizontal="left" vertical="center" indent="2"/>
    </xf>
    <xf numFmtId="0" fontId="19" fillId="5" borderId="0" xfId="0" applyFont="1" applyFill="1" applyAlignment="1">
      <alignment vertical="center"/>
    </xf>
    <xf numFmtId="1" fontId="33" fillId="0" borderId="0" xfId="0" applyNumberFormat="1" applyFont="1" applyAlignment="1">
      <alignment horizontal="center" vertical="center"/>
    </xf>
    <xf numFmtId="42" fontId="31" fillId="6" borderId="0" xfId="0" applyNumberFormat="1" applyFont="1" applyFill="1" applyAlignment="1">
      <alignment vertical="center"/>
    </xf>
    <xf numFmtId="42" fontId="34" fillId="7" borderId="19" xfId="2" applyNumberFormat="1" applyFont="1" applyFill="1" applyBorder="1" applyAlignment="1">
      <alignment vertical="center"/>
    </xf>
    <xf numFmtId="1" fontId="22" fillId="7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right" vertical="center"/>
    </xf>
    <xf numFmtId="42" fontId="31" fillId="6" borderId="0" xfId="2" applyNumberFormat="1" applyFont="1" applyFill="1" applyBorder="1" applyAlignment="1">
      <alignment vertical="center"/>
    </xf>
    <xf numFmtId="1" fontId="35" fillId="0" borderId="0" xfId="0" applyNumberFormat="1" applyFont="1" applyAlignment="1">
      <alignment horizontal="left" vertical="center"/>
    </xf>
    <xf numFmtId="42" fontId="27" fillId="9" borderId="19" xfId="2" applyNumberFormat="1" applyFont="1" applyFill="1" applyBorder="1" applyAlignment="1">
      <alignment vertical="center"/>
    </xf>
    <xf numFmtId="42" fontId="36" fillId="6" borderId="0" xfId="0" applyNumberFormat="1" applyFont="1" applyFill="1" applyAlignment="1">
      <alignment horizontal="right"/>
    </xf>
    <xf numFmtId="1" fontId="37" fillId="6" borderId="0" xfId="0" applyNumberFormat="1" applyFont="1" applyFill="1" applyAlignment="1">
      <alignment horizontal="center" vertical="center"/>
    </xf>
    <xf numFmtId="0" fontId="38" fillId="6" borderId="0" xfId="0" applyFont="1" applyFill="1" applyAlignment="1">
      <alignment horizontal="left" vertical="center" indent="2"/>
    </xf>
    <xf numFmtId="42" fontId="39" fillId="5" borderId="19" xfId="2" applyNumberFormat="1" applyFont="1" applyFill="1" applyBorder="1" applyAlignment="1">
      <alignment vertical="center"/>
    </xf>
    <xf numFmtId="42" fontId="40" fillId="5" borderId="0" xfId="2" applyNumberFormat="1" applyFont="1" applyFill="1" applyAlignment="1">
      <alignment vertical="center"/>
    </xf>
    <xf numFmtId="42" fontId="35" fillId="5" borderId="0" xfId="2" applyNumberFormat="1" applyFont="1" applyFill="1" applyBorder="1" applyAlignment="1">
      <alignment horizontal="right"/>
    </xf>
    <xf numFmtId="1" fontId="37" fillId="5" borderId="0" xfId="0" applyNumberFormat="1" applyFont="1" applyFill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42" fontId="26" fillId="6" borderId="0" xfId="0" applyNumberFormat="1" applyFont="1" applyFill="1" applyAlignment="1">
      <alignment horizontal="right"/>
    </xf>
    <xf numFmtId="1" fontId="38" fillId="6" borderId="0" xfId="0" applyNumberFormat="1" applyFont="1" applyFill="1" applyAlignment="1">
      <alignment horizontal="center" vertical="center"/>
    </xf>
    <xf numFmtId="42" fontId="19" fillId="0" borderId="0" xfId="0" applyNumberFormat="1" applyFont="1" applyAlignment="1">
      <alignment horizontal="right"/>
    </xf>
    <xf numFmtId="165" fontId="23" fillId="7" borderId="18" xfId="2" applyNumberFormat="1" applyFont="1" applyFill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165" fontId="34" fillId="7" borderId="0" xfId="2" applyNumberFormat="1" applyFont="1" applyFill="1" applyBorder="1" applyAlignment="1">
      <alignment vertical="center"/>
    </xf>
    <xf numFmtId="164" fontId="41" fillId="0" borderId="0" xfId="0" applyNumberFormat="1" applyFont="1" applyAlignment="1">
      <alignment horizontal="center" wrapText="1"/>
    </xf>
    <xf numFmtId="0" fontId="18" fillId="0" borderId="22" xfId="0" applyFont="1" applyBorder="1"/>
    <xf numFmtId="0" fontId="19" fillId="0" borderId="0" xfId="0" applyFont="1" applyAlignment="1">
      <alignment horizontal="left" indent="2"/>
    </xf>
    <xf numFmtId="0" fontId="0" fillId="0" borderId="0" xfId="0" applyAlignment="1">
      <alignment horizontal="right"/>
    </xf>
    <xf numFmtId="43" fontId="0" fillId="4" borderId="0" xfId="0" applyNumberFormat="1" applyFill="1"/>
    <xf numFmtId="10" fontId="19" fillId="0" borderId="0" xfId="0" applyNumberFormat="1" applyFont="1" applyAlignment="1">
      <alignment horizontal="center" vertical="center"/>
    </xf>
    <xf numFmtId="8" fontId="0" fillId="0" borderId="0" xfId="0" applyNumberFormat="1"/>
    <xf numFmtId="10" fontId="0" fillId="0" borderId="0" xfId="1" applyNumberFormat="1" applyFont="1"/>
    <xf numFmtId="14" fontId="0" fillId="11" borderId="0" xfId="0" applyNumberFormat="1" applyFill="1"/>
    <xf numFmtId="0" fontId="0" fillId="0" borderId="0" xfId="0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43" fontId="45" fillId="0" borderId="0" xfId="0" applyNumberFormat="1" applyFont="1"/>
    <xf numFmtId="0" fontId="46" fillId="0" borderId="24" xfId="0" applyFont="1" applyBorder="1"/>
    <xf numFmtId="0" fontId="47" fillId="0" borderId="24" xfId="0" applyFont="1" applyBorder="1"/>
    <xf numFmtId="14" fontId="48" fillId="0" borderId="0" xfId="0" applyNumberFormat="1" applyFont="1" applyAlignment="1">
      <alignment horizontal="center"/>
    </xf>
    <xf numFmtId="14" fontId="44" fillId="0" borderId="0" xfId="0" applyNumberFormat="1" applyFont="1"/>
    <xf numFmtId="167" fontId="49" fillId="0" borderId="0" xfId="0" applyNumberFormat="1" applyFont="1" applyAlignment="1">
      <alignment horizontal="center"/>
    </xf>
    <xf numFmtId="168" fontId="49" fillId="0" borderId="0" xfId="0" applyNumberFormat="1" applyFont="1" applyAlignment="1">
      <alignment horizontal="center"/>
    </xf>
    <xf numFmtId="168" fontId="47" fillId="0" borderId="0" xfId="0" applyNumberFormat="1" applyFont="1" applyAlignment="1">
      <alignment horizontal="center"/>
    </xf>
    <xf numFmtId="0" fontId="0" fillId="0" borderId="0" xfId="0" applyAlignment="1">
      <alignment horizontal="centerContinuous"/>
    </xf>
    <xf numFmtId="9" fontId="0" fillId="0" borderId="0" xfId="0" applyNumberFormat="1"/>
    <xf numFmtId="167" fontId="49" fillId="0" borderId="0" xfId="0" applyNumberFormat="1" applyFont="1" applyAlignment="1">
      <alignment horizontal="centerContinuous"/>
    </xf>
    <xf numFmtId="0" fontId="50" fillId="0" borderId="24" xfId="0" applyFont="1" applyBorder="1"/>
    <xf numFmtId="0" fontId="51" fillId="0" borderId="24" xfId="0" applyFont="1" applyBorder="1"/>
    <xf numFmtId="0" fontId="51" fillId="0" borderId="0" xfId="0" applyFont="1"/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Continuous"/>
    </xf>
    <xf numFmtId="0" fontId="50" fillId="0" borderId="0" xfId="0" applyFont="1"/>
    <xf numFmtId="0" fontId="51" fillId="0" borderId="25" xfId="0" applyFont="1" applyBorder="1"/>
    <xf numFmtId="0" fontId="49" fillId="0" borderId="25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2" fillId="0" borderId="0" xfId="0" applyFont="1"/>
    <xf numFmtId="0" fontId="52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169" fontId="51" fillId="0" borderId="0" xfId="0" applyNumberFormat="1" applyFont="1" applyAlignment="1">
      <alignment horizontal="center"/>
    </xf>
    <xf numFmtId="0" fontId="52" fillId="0" borderId="0" xfId="0" applyFont="1" applyAlignment="1">
      <alignment horizontal="centerContinuous"/>
    </xf>
    <xf numFmtId="169" fontId="50" fillId="0" borderId="0" xfId="0" applyNumberFormat="1" applyFont="1" applyAlignment="1">
      <alignment horizontal="center"/>
    </xf>
    <xf numFmtId="14" fontId="49" fillId="0" borderId="25" xfId="0" applyNumberFormat="1" applyFont="1" applyBorder="1"/>
    <xf numFmtId="170" fontId="51" fillId="0" borderId="0" xfId="0" applyNumberFormat="1" applyFont="1"/>
    <xf numFmtId="14" fontId="51" fillId="0" borderId="0" xfId="0" applyNumberFormat="1" applyFont="1"/>
    <xf numFmtId="171" fontId="51" fillId="0" borderId="0" xfId="0" applyNumberFormat="1" applyFont="1"/>
    <xf numFmtId="172" fontId="51" fillId="0" borderId="0" xfId="0" applyNumberFormat="1" applyFont="1"/>
    <xf numFmtId="173" fontId="51" fillId="0" borderId="0" xfId="0" applyNumberFormat="1" applyFont="1"/>
    <xf numFmtId="0" fontId="51" fillId="0" borderId="0" xfId="0" applyFont="1" applyAlignment="1">
      <alignment horizontal="centerContinuous"/>
    </xf>
    <xf numFmtId="169" fontId="51" fillId="0" borderId="0" xfId="0" applyNumberFormat="1" applyFont="1"/>
    <xf numFmtId="9" fontId="51" fillId="0" borderId="0" xfId="0" applyNumberFormat="1" applyFont="1"/>
    <xf numFmtId="169" fontId="50" fillId="0" borderId="0" xfId="0" applyNumberFormat="1" applyFont="1"/>
    <xf numFmtId="174" fontId="51" fillId="0" borderId="0" xfId="0" applyNumberFormat="1" applyFont="1"/>
    <xf numFmtId="175" fontId="51" fillId="0" borderId="0" xfId="0" applyNumberFormat="1" applyFont="1"/>
    <xf numFmtId="0" fontId="52" fillId="0" borderId="25" xfId="0" applyFont="1" applyBorder="1" applyAlignment="1">
      <alignment horizontal="center"/>
    </xf>
    <xf numFmtId="176" fontId="53" fillId="0" borderId="0" xfId="0" applyNumberFormat="1" applyFont="1"/>
    <xf numFmtId="177" fontId="51" fillId="0" borderId="0" xfId="0" applyNumberFormat="1" applyFont="1"/>
    <xf numFmtId="177" fontId="51" fillId="0" borderId="27" xfId="0" applyNumberFormat="1" applyFont="1" applyBorder="1"/>
    <xf numFmtId="177" fontId="51" fillId="0" borderId="29" xfId="0" applyNumberFormat="1" applyFont="1" applyBorder="1"/>
    <xf numFmtId="5" fontId="51" fillId="0" borderId="0" xfId="0" applyNumberFormat="1" applyFont="1"/>
    <xf numFmtId="0" fontId="51" fillId="0" borderId="0" xfId="0" applyFont="1" applyAlignment="1">
      <alignment horizontal="left" indent="1"/>
    </xf>
    <xf numFmtId="169" fontId="53" fillId="0" borderId="0" xfId="0" applyNumberFormat="1" applyFont="1"/>
    <xf numFmtId="173" fontId="49" fillId="0" borderId="26" xfId="0" applyNumberFormat="1" applyFont="1" applyBorder="1" applyAlignment="1">
      <alignment horizontal="center"/>
    </xf>
    <xf numFmtId="0" fontId="50" fillId="12" borderId="0" xfId="0" applyFont="1" applyFill="1"/>
    <xf numFmtId="5" fontId="50" fillId="12" borderId="0" xfId="0" applyNumberFormat="1" applyFont="1" applyFill="1"/>
    <xf numFmtId="177" fontId="51" fillId="0" borderId="0" xfId="0" applyNumberFormat="1" applyFont="1" applyAlignment="1">
      <alignment horizontal="left" indent="1"/>
    </xf>
    <xf numFmtId="0" fontId="50" fillId="13" borderId="0" xfId="0" applyFont="1" applyFill="1"/>
    <xf numFmtId="0" fontId="51" fillId="13" borderId="0" xfId="0" applyFont="1" applyFill="1"/>
    <xf numFmtId="5" fontId="50" fillId="13" borderId="0" xfId="0" applyNumberFormat="1" applyFont="1" applyFill="1"/>
    <xf numFmtId="177" fontId="50" fillId="13" borderId="0" xfId="0" applyNumberFormat="1" applyFont="1" applyFill="1"/>
    <xf numFmtId="178" fontId="50" fillId="13" borderId="27" xfId="0" applyNumberFormat="1" applyFont="1" applyFill="1" applyBorder="1"/>
    <xf numFmtId="0" fontId="51" fillId="0" borderId="25" xfId="0" applyFont="1" applyBorder="1" applyAlignment="1">
      <alignment horizontal="center"/>
    </xf>
    <xf numFmtId="0" fontId="50" fillId="0" borderId="25" xfId="0" applyFont="1" applyBorder="1" applyAlignment="1">
      <alignment horizontal="center"/>
    </xf>
    <xf numFmtId="0" fontId="49" fillId="0" borderId="0" xfId="0" applyFont="1" applyAlignment="1">
      <alignment horizontal="center"/>
    </xf>
    <xf numFmtId="9" fontId="49" fillId="0" borderId="0" xfId="0" applyNumberFormat="1" applyFont="1" applyAlignment="1">
      <alignment horizontal="center"/>
    </xf>
    <xf numFmtId="166" fontId="49" fillId="0" borderId="0" xfId="0" applyNumberFormat="1" applyFont="1" applyAlignment="1">
      <alignment horizontal="center"/>
    </xf>
    <xf numFmtId="166" fontId="49" fillId="0" borderId="31" xfId="0" applyNumberFormat="1" applyFont="1" applyBorder="1" applyAlignment="1">
      <alignment horizontal="center"/>
    </xf>
    <xf numFmtId="166" fontId="49" fillId="0" borderId="28" xfId="0" applyNumberFormat="1" applyFont="1" applyBorder="1" applyAlignment="1">
      <alignment horizontal="center"/>
    </xf>
    <xf numFmtId="166" fontId="51" fillId="0" borderId="0" xfId="0" applyNumberFormat="1" applyFont="1" applyAlignment="1">
      <alignment horizontal="center"/>
    </xf>
    <xf numFmtId="166" fontId="51" fillId="0" borderId="26" xfId="0" applyNumberFormat="1" applyFont="1" applyBorder="1" applyAlignment="1">
      <alignment horizontal="center"/>
    </xf>
    <xf numFmtId="166" fontId="51" fillId="0" borderId="27" xfId="0" applyNumberFormat="1" applyFont="1" applyBorder="1" applyAlignment="1">
      <alignment horizontal="center"/>
    </xf>
    <xf numFmtId="9" fontId="51" fillId="0" borderId="0" xfId="0" applyNumberFormat="1" applyFont="1" applyAlignment="1">
      <alignment horizontal="center"/>
    </xf>
    <xf numFmtId="0" fontId="52" fillId="0" borderId="25" xfId="0" applyFont="1" applyBorder="1"/>
    <xf numFmtId="177" fontId="49" fillId="0" borderId="0" xfId="0" applyNumberFormat="1" applyFont="1" applyAlignment="1">
      <alignment horizontal="center"/>
    </xf>
    <xf numFmtId="173" fontId="51" fillId="0" borderId="0" xfId="0" applyNumberFormat="1" applyFont="1" applyAlignment="1">
      <alignment horizontal="center"/>
    </xf>
    <xf numFmtId="14" fontId="49" fillId="0" borderId="0" xfId="0" applyNumberFormat="1" applyFont="1"/>
    <xf numFmtId="170" fontId="49" fillId="0" borderId="0" xfId="0" applyNumberFormat="1" applyFont="1"/>
    <xf numFmtId="176" fontId="51" fillId="0" borderId="0" xfId="0" applyNumberFormat="1" applyFont="1"/>
    <xf numFmtId="178" fontId="49" fillId="0" borderId="0" xfId="0" applyNumberFormat="1" applyFont="1"/>
    <xf numFmtId="171" fontId="49" fillId="0" borderId="0" xfId="0" applyNumberFormat="1" applyFont="1"/>
    <xf numFmtId="179" fontId="49" fillId="0" borderId="26" xfId="0" applyNumberFormat="1" applyFont="1" applyBorder="1"/>
    <xf numFmtId="179" fontId="49" fillId="0" borderId="28" xfId="0" applyNumberFormat="1" applyFont="1" applyBorder="1"/>
    <xf numFmtId="179" fontId="51" fillId="0" borderId="27" xfId="0" applyNumberFormat="1" applyFont="1" applyBorder="1"/>
    <xf numFmtId="179" fontId="49" fillId="0" borderId="30" xfId="0" applyNumberFormat="1" applyFont="1" applyBorder="1"/>
    <xf numFmtId="180" fontId="53" fillId="0" borderId="0" xfId="0" applyNumberFormat="1" applyFont="1"/>
    <xf numFmtId="43" fontId="51" fillId="0" borderId="0" xfId="0" applyNumberFormat="1" applyFont="1"/>
    <xf numFmtId="181" fontId="50" fillId="13" borderId="25" xfId="0" applyNumberFormat="1" applyFont="1" applyFill="1" applyBorder="1"/>
    <xf numFmtId="0" fontId="0" fillId="14" borderId="0" xfId="0" applyFill="1"/>
    <xf numFmtId="43" fontId="45" fillId="14" borderId="0" xfId="0" applyNumberFormat="1" applyFont="1" applyFill="1"/>
    <xf numFmtId="43" fontId="0" fillId="14" borderId="0" xfId="0" applyNumberFormat="1" applyFill="1"/>
    <xf numFmtId="0" fontId="0" fillId="15" borderId="0" xfId="0" applyFill="1"/>
    <xf numFmtId="43" fontId="45" fillId="15" borderId="0" xfId="0" applyNumberFormat="1" applyFont="1" applyFill="1"/>
    <xf numFmtId="43" fontId="54" fillId="0" borderId="0" xfId="0" applyNumberFormat="1" applyFont="1"/>
    <xf numFmtId="0" fontId="55" fillId="0" borderId="0" xfId="0" applyFont="1"/>
    <xf numFmtId="0" fontId="54" fillId="0" borderId="0" xfId="0" applyFont="1"/>
    <xf numFmtId="0" fontId="54" fillId="14" borderId="0" xfId="0" applyFont="1" applyFill="1"/>
    <xf numFmtId="0" fontId="54" fillId="15" borderId="0" xfId="0" applyFont="1" applyFill="1"/>
    <xf numFmtId="182" fontId="51" fillId="0" borderId="0" xfId="0" applyNumberFormat="1" applyFont="1"/>
    <xf numFmtId="183" fontId="51" fillId="0" borderId="0" xfId="0" applyNumberFormat="1" applyFont="1"/>
    <xf numFmtId="0" fontId="45" fillId="0" borderId="0" xfId="0" applyFont="1"/>
    <xf numFmtId="184" fontId="0" fillId="0" borderId="0" xfId="0" applyNumberFormat="1"/>
    <xf numFmtId="184" fontId="0" fillId="15" borderId="0" xfId="0" applyNumberFormat="1" applyFill="1"/>
    <xf numFmtId="184" fontId="45" fillId="14" borderId="0" xfId="0" applyNumberFormat="1" applyFont="1" applyFill="1"/>
    <xf numFmtId="184" fontId="45" fillId="0" borderId="0" xfId="0" applyNumberFormat="1" applyFont="1"/>
    <xf numFmtId="184" fontId="0" fillId="14" borderId="0" xfId="0" applyNumberFormat="1" applyFill="1"/>
    <xf numFmtId="184" fontId="45" fillId="15" borderId="0" xfId="0" applyNumberFormat="1" applyFont="1" applyFill="1"/>
    <xf numFmtId="184" fontId="55" fillId="0" borderId="0" xfId="0" applyNumberFormat="1" applyFont="1"/>
    <xf numFmtId="184" fontId="54" fillId="0" borderId="0" xfId="0" applyNumberFormat="1" applyFont="1"/>
    <xf numFmtId="1" fontId="0" fillId="0" borderId="0" xfId="0" applyNumberFormat="1"/>
    <xf numFmtId="1" fontId="0" fillId="15" borderId="0" xfId="0" applyNumberFormat="1" applyFill="1"/>
    <xf numFmtId="1" fontId="0" fillId="14" borderId="0" xfId="0" applyNumberFormat="1" applyFill="1"/>
    <xf numFmtId="2" fontId="0" fillId="0" borderId="0" xfId="0" applyNumberFormat="1"/>
    <xf numFmtId="42" fontId="18" fillId="0" borderId="0" xfId="0" applyNumberFormat="1" applyFont="1"/>
    <xf numFmtId="42" fontId="19" fillId="0" borderId="0" xfId="0" applyNumberFormat="1" applyFont="1"/>
    <xf numFmtId="6" fontId="51" fillId="0" borderId="0" xfId="0" applyNumberFormat="1" applyFont="1" applyAlignment="1">
      <alignment horizontal="center"/>
    </xf>
    <xf numFmtId="9" fontId="56" fillId="0" borderId="0" xfId="0" applyNumberFormat="1" applyFont="1" applyAlignment="1">
      <alignment horizontal="center"/>
    </xf>
    <xf numFmtId="9" fontId="0" fillId="0" borderId="0" xfId="0" applyNumberFormat="1" applyAlignment="1">
      <alignment horizontal="right"/>
    </xf>
    <xf numFmtId="10" fontId="21" fillId="0" borderId="0" xfId="0" applyNumberFormat="1" applyFont="1" applyAlignment="1">
      <alignment vertical="center"/>
    </xf>
    <xf numFmtId="184" fontId="57" fillId="14" borderId="0" xfId="0" applyNumberFormat="1" applyFont="1" applyFill="1"/>
    <xf numFmtId="184" fontId="57" fillId="15" borderId="0" xfId="0" applyNumberFormat="1" applyFont="1" applyFill="1"/>
    <xf numFmtId="0" fontId="58" fillId="0" borderId="0" xfId="0" applyFont="1" applyAlignment="1">
      <alignment horizontal="center"/>
    </xf>
    <xf numFmtId="0" fontId="59" fillId="0" borderId="0" xfId="0" applyFont="1"/>
    <xf numFmtId="0" fontId="60" fillId="16" borderId="29" xfId="0" applyFont="1" applyFill="1" applyBorder="1" applyAlignment="1">
      <alignment horizontal="center" vertical="center"/>
    </xf>
    <xf numFmtId="0" fontId="60" fillId="16" borderId="0" xfId="0" applyFont="1" applyFill="1" applyAlignment="1">
      <alignment horizontal="center" vertical="center"/>
    </xf>
    <xf numFmtId="0" fontId="60" fillId="16" borderId="45" xfId="0" applyFont="1" applyFill="1" applyBorder="1" applyAlignment="1">
      <alignment horizontal="center" vertical="center"/>
    </xf>
    <xf numFmtId="0" fontId="60" fillId="7" borderId="29" xfId="0" applyFont="1" applyFill="1" applyBorder="1" applyAlignment="1">
      <alignment horizontal="center" vertical="center"/>
    </xf>
    <xf numFmtId="0" fontId="60" fillId="9" borderId="29" xfId="0" applyFont="1" applyFill="1" applyBorder="1" applyAlignment="1">
      <alignment horizontal="center" vertical="center"/>
    </xf>
    <xf numFmtId="0" fontId="62" fillId="9" borderId="45" xfId="0" applyFont="1" applyFill="1" applyBorder="1" applyAlignment="1">
      <alignment horizontal="center" vertical="center" wrapText="1"/>
    </xf>
    <xf numFmtId="0" fontId="63" fillId="16" borderId="0" xfId="0" applyFont="1" applyFill="1" applyAlignment="1">
      <alignment vertical="center"/>
    </xf>
    <xf numFmtId="0" fontId="64" fillId="16" borderId="0" xfId="0" applyFont="1" applyFill="1" applyAlignment="1">
      <alignment vertical="center"/>
    </xf>
    <xf numFmtId="0" fontId="64" fillId="16" borderId="45" xfId="0" applyFont="1" applyFill="1" applyBorder="1" applyAlignment="1">
      <alignment vertical="center"/>
    </xf>
    <xf numFmtId="0" fontId="64" fillId="16" borderId="32" xfId="0" applyFont="1" applyFill="1" applyBorder="1" applyAlignment="1">
      <alignment vertical="center"/>
    </xf>
    <xf numFmtId="0" fontId="64" fillId="16" borderId="33" xfId="0" applyFont="1" applyFill="1" applyBorder="1" applyAlignment="1">
      <alignment vertical="center"/>
    </xf>
    <xf numFmtId="0" fontId="64" fillId="16" borderId="34" xfId="0" applyFont="1" applyFill="1" applyBorder="1" applyAlignment="1">
      <alignment vertical="center"/>
    </xf>
    <xf numFmtId="0" fontId="59" fillId="0" borderId="0" xfId="0" applyFont="1" applyAlignment="1">
      <alignment horizontal="center"/>
    </xf>
    <xf numFmtId="0" fontId="60" fillId="16" borderId="35" xfId="0" applyFont="1" applyFill="1" applyBorder="1" applyAlignment="1">
      <alignment horizontal="center" vertical="center"/>
    </xf>
    <xf numFmtId="0" fontId="65" fillId="16" borderId="37" xfId="0" applyFont="1" applyFill="1" applyBorder="1" applyAlignment="1">
      <alignment horizontal="center" vertical="center"/>
    </xf>
    <xf numFmtId="0" fontId="65" fillId="16" borderId="0" xfId="0" applyFont="1" applyFill="1" applyAlignment="1">
      <alignment horizontal="center" vertical="center"/>
    </xf>
    <xf numFmtId="0" fontId="65" fillId="16" borderId="35" xfId="0" applyFont="1" applyFill="1" applyBorder="1" applyAlignment="1">
      <alignment horizontal="center" vertical="center"/>
    </xf>
    <xf numFmtId="0" fontId="65" fillId="16" borderId="45" xfId="0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7" fillId="16" borderId="29" xfId="0" applyFont="1" applyFill="1" applyBorder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7" fillId="16" borderId="0" xfId="0" applyFont="1" applyFill="1" applyAlignment="1">
      <alignment horizontal="center" vertical="center"/>
    </xf>
    <xf numFmtId="0" fontId="67" fillId="16" borderId="35" xfId="0" applyFont="1" applyFill="1" applyBorder="1" applyAlignment="1">
      <alignment horizontal="center" vertical="center"/>
    </xf>
    <xf numFmtId="0" fontId="67" fillId="16" borderId="0" xfId="0" applyFont="1" applyFill="1" applyAlignment="1">
      <alignment horizontal="center" vertical="center" wrapText="1"/>
    </xf>
    <xf numFmtId="0" fontId="67" fillId="16" borderId="37" xfId="0" applyFont="1" applyFill="1" applyBorder="1" applyAlignment="1">
      <alignment horizontal="center" vertical="center"/>
    </xf>
    <xf numFmtId="0" fontId="67" fillId="16" borderId="37" xfId="0" applyFont="1" applyFill="1" applyBorder="1" applyAlignment="1">
      <alignment horizontal="center" vertical="center" wrapText="1"/>
    </xf>
    <xf numFmtId="0" fontId="67" fillId="16" borderId="45" xfId="0" applyFont="1" applyFill="1" applyBorder="1" applyAlignment="1">
      <alignment horizontal="center" vertical="center"/>
    </xf>
    <xf numFmtId="0" fontId="69" fillId="16" borderId="0" xfId="0" applyFont="1" applyFill="1" applyAlignment="1">
      <alignment vertical="center"/>
    </xf>
    <xf numFmtId="0" fontId="69" fillId="16" borderId="35" xfId="0" applyFont="1" applyFill="1" applyBorder="1" applyAlignment="1">
      <alignment vertical="center"/>
    </xf>
    <xf numFmtId="0" fontId="69" fillId="16" borderId="0" xfId="0" applyFont="1" applyFill="1" applyAlignment="1">
      <alignment horizontal="center" vertical="center"/>
    </xf>
    <xf numFmtId="0" fontId="69" fillId="16" borderId="37" xfId="0" applyFont="1" applyFill="1" applyBorder="1" applyAlignment="1">
      <alignment vertical="center"/>
    </xf>
    <xf numFmtId="0" fontId="69" fillId="16" borderId="45" xfId="0" applyFont="1" applyFill="1" applyBorder="1" applyAlignment="1">
      <alignment vertical="center"/>
    </xf>
    <xf numFmtId="6" fontId="63" fillId="16" borderId="0" xfId="0" applyNumberFormat="1" applyFont="1" applyFill="1" applyAlignment="1">
      <alignment vertical="center"/>
    </xf>
    <xf numFmtId="0" fontId="64" fillId="16" borderId="0" xfId="0" applyFont="1" applyFill="1" applyAlignment="1">
      <alignment horizontal="center" vertical="center"/>
    </xf>
    <xf numFmtId="0" fontId="70" fillId="16" borderId="37" xfId="0" applyFont="1" applyFill="1" applyBorder="1" applyAlignment="1">
      <alignment vertical="center"/>
    </xf>
    <xf numFmtId="0" fontId="70" fillId="16" borderId="0" xfId="0" applyFont="1" applyFill="1" applyAlignment="1">
      <alignment vertical="center"/>
    </xf>
    <xf numFmtId="0" fontId="71" fillId="16" borderId="0" xfId="0" applyFont="1" applyFill="1" applyAlignment="1">
      <alignment vertical="center"/>
    </xf>
    <xf numFmtId="0" fontId="71" fillId="16" borderId="35" xfId="0" applyFont="1" applyFill="1" applyBorder="1" applyAlignment="1">
      <alignment vertical="center"/>
    </xf>
    <xf numFmtId="6" fontId="72" fillId="18" borderId="0" xfId="0" applyNumberFormat="1" applyFont="1" applyFill="1" applyAlignment="1">
      <alignment vertical="center"/>
    </xf>
    <xf numFmtId="0" fontId="74" fillId="16" borderId="37" xfId="0" applyFont="1" applyFill="1" applyBorder="1" applyAlignment="1">
      <alignment vertical="center"/>
    </xf>
    <xf numFmtId="0" fontId="74" fillId="16" borderId="0" xfId="0" applyFont="1" applyFill="1" applyAlignment="1">
      <alignment vertical="center"/>
    </xf>
    <xf numFmtId="0" fontId="74" fillId="16" borderId="35" xfId="0" applyFont="1" applyFill="1" applyBorder="1" applyAlignment="1">
      <alignment vertical="center"/>
    </xf>
    <xf numFmtId="0" fontId="75" fillId="16" borderId="37" xfId="0" applyFont="1" applyFill="1" applyBorder="1" applyAlignment="1">
      <alignment vertical="center"/>
    </xf>
    <xf numFmtId="0" fontId="75" fillId="16" borderId="0" xfId="0" applyFont="1" applyFill="1" applyAlignment="1">
      <alignment vertical="center"/>
    </xf>
    <xf numFmtId="0" fontId="74" fillId="16" borderId="45" xfId="0" applyFont="1" applyFill="1" applyBorder="1" applyAlignment="1">
      <alignment vertical="center"/>
    </xf>
    <xf numFmtId="0" fontId="60" fillId="16" borderId="0" xfId="0" applyFont="1" applyFill="1" applyAlignment="1">
      <alignment vertical="center"/>
    </xf>
    <xf numFmtId="0" fontId="76" fillId="16" borderId="0" xfId="0" applyFont="1" applyFill="1" applyAlignment="1">
      <alignment horizontal="center" vertical="center"/>
    </xf>
    <xf numFmtId="0" fontId="60" fillId="16" borderId="37" xfId="0" applyFont="1" applyFill="1" applyBorder="1" applyAlignment="1">
      <alignment vertical="center"/>
    </xf>
    <xf numFmtId="0" fontId="60" fillId="16" borderId="35" xfId="0" applyFont="1" applyFill="1" applyBorder="1" applyAlignment="1">
      <alignment vertical="center"/>
    </xf>
    <xf numFmtId="0" fontId="60" fillId="16" borderId="45" xfId="0" applyFont="1" applyFill="1" applyBorder="1" applyAlignment="1">
      <alignment vertical="center"/>
    </xf>
    <xf numFmtId="6" fontId="77" fillId="16" borderId="0" xfId="0" applyNumberFormat="1" applyFont="1" applyFill="1" applyAlignment="1">
      <alignment vertical="center"/>
    </xf>
    <xf numFmtId="0" fontId="78" fillId="16" borderId="37" xfId="0" applyFont="1" applyFill="1" applyBorder="1" applyAlignment="1">
      <alignment vertical="center"/>
    </xf>
    <xf numFmtId="0" fontId="78" fillId="16" borderId="0" xfId="0" applyFont="1" applyFill="1" applyAlignment="1">
      <alignment vertical="center"/>
    </xf>
    <xf numFmtId="6" fontId="79" fillId="18" borderId="0" xfId="0" applyNumberFormat="1" applyFont="1" applyFill="1" applyAlignment="1">
      <alignment vertical="center"/>
    </xf>
    <xf numFmtId="0" fontId="71" fillId="16" borderId="37" xfId="0" applyFont="1" applyFill="1" applyBorder="1" applyAlignment="1">
      <alignment vertical="center"/>
    </xf>
    <xf numFmtId="0" fontId="71" fillId="16" borderId="45" xfId="0" applyFont="1" applyFill="1" applyBorder="1" applyAlignment="1">
      <alignment vertical="center"/>
    </xf>
    <xf numFmtId="6" fontId="63" fillId="16" borderId="38" xfId="0" applyNumberFormat="1" applyFont="1" applyFill="1" applyBorder="1" applyAlignment="1">
      <alignment vertical="center"/>
    </xf>
    <xf numFmtId="0" fontId="64" fillId="16" borderId="38" xfId="0" applyFont="1" applyFill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78" fillId="16" borderId="0" xfId="0" applyFont="1" applyFill="1" applyAlignment="1">
      <alignment horizontal="center" vertical="center"/>
    </xf>
    <xf numFmtId="0" fontId="81" fillId="16" borderId="0" xfId="0" applyFont="1" applyFill="1" applyAlignment="1">
      <alignment vertical="center"/>
    </xf>
    <xf numFmtId="0" fontId="81" fillId="16" borderId="35" xfId="0" applyFont="1" applyFill="1" applyBorder="1" applyAlignment="1">
      <alignment vertical="center"/>
    </xf>
    <xf numFmtId="6" fontId="82" fillId="19" borderId="0" xfId="0" applyNumberFormat="1" applyFont="1" applyFill="1" applyAlignment="1">
      <alignment vertical="center"/>
    </xf>
    <xf numFmtId="0" fontId="82" fillId="19" borderId="0" xfId="0" applyFont="1" applyFill="1" applyAlignment="1">
      <alignment horizontal="center" vertical="center"/>
    </xf>
    <xf numFmtId="0" fontId="80" fillId="16" borderId="37" xfId="0" applyFont="1" applyFill="1" applyBorder="1" applyAlignment="1">
      <alignment vertical="center"/>
    </xf>
    <xf numFmtId="0" fontId="80" fillId="16" borderId="0" xfId="0" applyFont="1" applyFill="1" applyAlignment="1">
      <alignment vertical="center"/>
    </xf>
    <xf numFmtId="0" fontId="80" fillId="16" borderId="35" xfId="0" applyFont="1" applyFill="1" applyBorder="1" applyAlignment="1">
      <alignment vertical="center"/>
    </xf>
    <xf numFmtId="0" fontId="82" fillId="19" borderId="0" xfId="0" applyFont="1" applyFill="1" applyAlignment="1">
      <alignment vertical="center"/>
    </xf>
    <xf numFmtId="0" fontId="83" fillId="16" borderId="37" xfId="0" applyFont="1" applyFill="1" applyBorder="1" applyAlignment="1">
      <alignment vertical="center"/>
    </xf>
    <xf numFmtId="0" fontId="83" fillId="16" borderId="0" xfId="0" applyFont="1" applyFill="1" applyAlignment="1">
      <alignment vertical="center"/>
    </xf>
    <xf numFmtId="0" fontId="80" fillId="16" borderId="45" xfId="0" applyFont="1" applyFill="1" applyBorder="1" applyAlignment="1">
      <alignment vertical="center"/>
    </xf>
    <xf numFmtId="0" fontId="70" fillId="16" borderId="0" xfId="0" applyFont="1" applyFill="1" applyAlignment="1">
      <alignment horizontal="center" vertical="center"/>
    </xf>
    <xf numFmtId="0" fontId="69" fillId="16" borderId="37" xfId="0" applyFont="1" applyFill="1" applyBorder="1" applyAlignment="1">
      <alignment horizontal="center" vertical="center"/>
    </xf>
    <xf numFmtId="0" fontId="69" fillId="16" borderId="35" xfId="0" applyFont="1" applyFill="1" applyBorder="1" applyAlignment="1">
      <alignment horizontal="center" vertical="center"/>
    </xf>
    <xf numFmtId="0" fontId="70" fillId="16" borderId="37" xfId="0" applyFont="1" applyFill="1" applyBorder="1" applyAlignment="1">
      <alignment horizontal="center" vertical="center"/>
    </xf>
    <xf numFmtId="0" fontId="69" fillId="16" borderId="45" xfId="0" applyFont="1" applyFill="1" applyBorder="1" applyAlignment="1">
      <alignment horizontal="center" vertical="center"/>
    </xf>
    <xf numFmtId="0" fontId="72" fillId="18" borderId="0" xfId="0" applyFont="1" applyFill="1" applyAlignment="1">
      <alignment vertical="center"/>
    </xf>
    <xf numFmtId="0" fontId="84" fillId="16" borderId="0" xfId="0" applyFont="1" applyFill="1" applyAlignment="1">
      <alignment horizontal="center" vertical="center" wrapText="1"/>
    </xf>
    <xf numFmtId="6" fontId="85" fillId="16" borderId="0" xfId="0" applyNumberFormat="1" applyFont="1" applyFill="1" applyAlignment="1">
      <alignment vertical="center"/>
    </xf>
    <xf numFmtId="0" fontId="86" fillId="16" borderId="37" xfId="0" applyFont="1" applyFill="1" applyBorder="1" applyAlignment="1">
      <alignment vertical="center"/>
    </xf>
    <xf numFmtId="0" fontId="86" fillId="16" borderId="0" xfId="0" applyFont="1" applyFill="1" applyAlignment="1">
      <alignment vertical="center"/>
    </xf>
    <xf numFmtId="0" fontId="86" fillId="16" borderId="35" xfId="0" applyFont="1" applyFill="1" applyBorder="1" applyAlignment="1">
      <alignment vertical="center"/>
    </xf>
    <xf numFmtId="0" fontId="86" fillId="16" borderId="45" xfId="0" applyFont="1" applyFill="1" applyBorder="1" applyAlignment="1">
      <alignment vertical="center"/>
    </xf>
    <xf numFmtId="0" fontId="87" fillId="16" borderId="0" xfId="0" applyFont="1" applyFill="1" applyAlignment="1">
      <alignment vertical="center"/>
    </xf>
    <xf numFmtId="0" fontId="87" fillId="16" borderId="35" xfId="0" applyFont="1" applyFill="1" applyBorder="1" applyAlignment="1">
      <alignment vertical="center"/>
    </xf>
    <xf numFmtId="0" fontId="87" fillId="16" borderId="37" xfId="0" applyFont="1" applyFill="1" applyBorder="1" applyAlignment="1">
      <alignment vertical="center"/>
    </xf>
    <xf numFmtId="0" fontId="87" fillId="16" borderId="45" xfId="0" applyFont="1" applyFill="1" applyBorder="1" applyAlignment="1">
      <alignment vertical="center"/>
    </xf>
    <xf numFmtId="6" fontId="88" fillId="19" borderId="39" xfId="0" applyNumberFormat="1" applyFont="1" applyFill="1" applyBorder="1" applyAlignment="1">
      <alignment vertical="center"/>
    </xf>
    <xf numFmtId="0" fontId="83" fillId="19" borderId="40" xfId="0" applyFont="1" applyFill="1" applyBorder="1" applyAlignment="1">
      <alignment vertical="center"/>
    </xf>
    <xf numFmtId="0" fontId="81" fillId="16" borderId="37" xfId="0" applyFont="1" applyFill="1" applyBorder="1" applyAlignment="1">
      <alignment vertical="center"/>
    </xf>
    <xf numFmtId="0" fontId="81" fillId="16" borderId="45" xfId="0" applyFont="1" applyFill="1" applyBorder="1" applyAlignment="1">
      <alignment vertical="center"/>
    </xf>
    <xf numFmtId="0" fontId="64" fillId="16" borderId="41" xfId="0" applyFont="1" applyFill="1" applyBorder="1" applyAlignment="1">
      <alignment vertical="center"/>
    </xf>
    <xf numFmtId="0" fontId="64" fillId="16" borderId="42" xfId="0" applyFont="1" applyFill="1" applyBorder="1" applyAlignment="1">
      <alignment vertical="center"/>
    </xf>
    <xf numFmtId="0" fontId="64" fillId="16" borderId="43" xfId="0" applyFont="1" applyFill="1" applyBorder="1" applyAlignment="1">
      <alignment vertical="center"/>
    </xf>
    <xf numFmtId="0" fontId="60" fillId="16" borderId="46" xfId="0" applyFont="1" applyFill="1" applyBorder="1" applyAlignment="1">
      <alignment horizontal="center" vertical="center"/>
    </xf>
    <xf numFmtId="0" fontId="60" fillId="16" borderId="47" xfId="0" applyFont="1" applyFill="1" applyBorder="1" applyAlignment="1">
      <alignment horizontal="center" vertical="center"/>
    </xf>
    <xf numFmtId="0" fontId="60" fillId="16" borderId="48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6" fontId="63" fillId="5" borderId="0" xfId="0" applyNumberFormat="1" applyFont="1" applyFill="1" applyAlignment="1">
      <alignment vertical="center"/>
    </xf>
    <xf numFmtId="0" fontId="64" fillId="5" borderId="0" xfId="0" applyFont="1" applyFill="1" applyAlignment="1">
      <alignment horizontal="center" vertical="center"/>
    </xf>
    <xf numFmtId="0" fontId="59" fillId="0" borderId="0" xfId="0" applyFont="1" applyAlignment="1">
      <alignment vertical="center"/>
    </xf>
    <xf numFmtId="0" fontId="25" fillId="7" borderId="45" xfId="0" applyFont="1" applyFill="1" applyBorder="1" applyAlignment="1">
      <alignment horizontal="center" vertical="center"/>
    </xf>
    <xf numFmtId="0" fontId="37" fillId="18" borderId="0" xfId="0" applyFont="1" applyFill="1" applyAlignment="1">
      <alignment horizontal="center" vertical="center" wrapText="1"/>
    </xf>
    <xf numFmtId="0" fontId="37" fillId="16" borderId="37" xfId="0" applyFont="1" applyFill="1" applyBorder="1" applyAlignment="1">
      <alignment vertical="center" wrapText="1"/>
    </xf>
    <xf numFmtId="0" fontId="37" fillId="16" borderId="0" xfId="0" applyFont="1" applyFill="1" applyAlignment="1">
      <alignment vertical="center" wrapText="1"/>
    </xf>
    <xf numFmtId="0" fontId="91" fillId="17" borderId="44" xfId="0" applyFont="1" applyFill="1" applyBorder="1" applyAlignment="1">
      <alignment horizontal="centerContinuous" vertical="center"/>
    </xf>
    <xf numFmtId="0" fontId="89" fillId="9" borderId="0" xfId="0" applyFont="1" applyFill="1" applyAlignment="1">
      <alignment horizontal="centerContinuous" vertical="center" wrapText="1"/>
    </xf>
    <xf numFmtId="0" fontId="62" fillId="9" borderId="0" xfId="0" applyFont="1" applyFill="1" applyAlignment="1">
      <alignment horizontal="centerContinuous" vertical="center" wrapText="1"/>
    </xf>
    <xf numFmtId="0" fontId="61" fillId="7" borderId="0" xfId="0" applyFont="1" applyFill="1" applyAlignment="1">
      <alignment horizontal="centerContinuous" vertical="center"/>
    </xf>
    <xf numFmtId="0" fontId="25" fillId="7" borderId="0" xfId="0" applyFont="1" applyFill="1" applyAlignment="1">
      <alignment horizontal="centerContinuous" vertical="center"/>
    </xf>
    <xf numFmtId="6" fontId="60" fillId="16" borderId="0" xfId="0" applyNumberFormat="1" applyFont="1" applyFill="1" applyAlignment="1">
      <alignment vertical="center"/>
    </xf>
    <xf numFmtId="6" fontId="69" fillId="16" borderId="0" xfId="0" applyNumberFormat="1" applyFont="1" applyFill="1" applyAlignment="1">
      <alignment vertical="center"/>
    </xf>
    <xf numFmtId="185" fontId="73" fillId="18" borderId="0" xfId="0" applyNumberFormat="1" applyFont="1" applyFill="1" applyAlignment="1">
      <alignment horizontal="center" vertical="center"/>
    </xf>
    <xf numFmtId="186" fontId="64" fillId="16" borderId="0" xfId="0" applyNumberFormat="1" applyFont="1" applyFill="1" applyAlignment="1">
      <alignment vertical="center"/>
    </xf>
    <xf numFmtId="167" fontId="91" fillId="17" borderId="36" xfId="0" applyNumberFormat="1" applyFont="1" applyFill="1" applyBorder="1" applyAlignment="1">
      <alignment horizontal="centerContinuous" vertical="center"/>
    </xf>
    <xf numFmtId="0" fontId="64" fillId="16" borderId="0" xfId="0" applyFont="1" applyFill="1" applyAlignment="1">
      <alignment horizontal="centerContinuous" vertical="center"/>
    </xf>
    <xf numFmtId="0" fontId="64" fillId="16" borderId="0" xfId="0" applyFont="1" applyFill="1" applyAlignment="1">
      <alignment vertical="center" wrapText="1"/>
    </xf>
    <xf numFmtId="187" fontId="1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79" fillId="18" borderId="0" xfId="0" applyFont="1" applyFill="1" applyAlignment="1">
      <alignment horizontal="center" vertical="center"/>
    </xf>
    <xf numFmtId="1" fontId="92" fillId="0" borderId="0" xfId="0" applyNumberFormat="1" applyFont="1" applyAlignment="1">
      <alignment vertical="center"/>
    </xf>
    <xf numFmtId="1" fontId="93" fillId="0" borderId="0" xfId="0" applyNumberFormat="1" applyFont="1" applyAlignment="1">
      <alignment horizontal="right" vertical="center"/>
    </xf>
    <xf numFmtId="1" fontId="92" fillId="0" borderId="0" xfId="0" applyNumberFormat="1" applyFont="1"/>
    <xf numFmtId="1" fontId="79" fillId="5" borderId="0" xfId="0" applyNumberFormat="1" applyFont="1" applyFill="1" applyAlignment="1">
      <alignment horizontal="center" vertical="center"/>
    </xf>
    <xf numFmtId="1" fontId="79" fillId="6" borderId="0" xfId="0" applyNumberFormat="1" applyFont="1" applyFill="1" applyAlignment="1">
      <alignment horizontal="center" vertical="center"/>
    </xf>
    <xf numFmtId="1" fontId="85" fillId="0" borderId="0" xfId="0" applyNumberFormat="1" applyFont="1" applyAlignment="1">
      <alignment horizontal="left" vertical="center"/>
    </xf>
    <xf numFmtId="0" fontId="87" fillId="19" borderId="0" xfId="0" applyFont="1" applyFill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2" fillId="5" borderId="0" xfId="0" applyFont="1" applyFill="1" applyAlignment="1">
      <alignment vertical="center"/>
    </xf>
    <xf numFmtId="0" fontId="95" fillId="6" borderId="0" xfId="0" applyFont="1" applyFill="1" applyAlignment="1">
      <alignment horizontal="left" vertical="center" indent="2"/>
    </xf>
    <xf numFmtId="1" fontId="71" fillId="5" borderId="0" xfId="0" applyNumberFormat="1" applyFont="1" applyFill="1" applyAlignment="1">
      <alignment horizontal="center" vertical="center"/>
    </xf>
    <xf numFmtId="1" fontId="71" fillId="6" borderId="0" xfId="0" applyNumberFormat="1" applyFont="1" applyFill="1" applyAlignment="1">
      <alignment horizontal="center" vertical="center"/>
    </xf>
    <xf numFmtId="1" fontId="96" fillId="7" borderId="0" xfId="0" applyNumberFormat="1" applyFont="1" applyFill="1" applyAlignment="1">
      <alignment horizontal="center" vertical="center"/>
    </xf>
    <xf numFmtId="1" fontId="96" fillId="7" borderId="21" xfId="0" applyNumberFormat="1" applyFont="1" applyFill="1" applyBorder="1" applyAlignment="1">
      <alignment horizontal="center" vertical="center"/>
    </xf>
    <xf numFmtId="188" fontId="49" fillId="0" borderId="0" xfId="0" applyNumberFormat="1" applyFont="1"/>
    <xf numFmtId="10" fontId="49" fillId="0" borderId="0" xfId="0" applyNumberFormat="1" applyFont="1"/>
    <xf numFmtId="166" fontId="49" fillId="0" borderId="0" xfId="0" applyNumberFormat="1" applyFont="1"/>
    <xf numFmtId="1" fontId="49" fillId="0" borderId="0" xfId="0" applyNumberFormat="1" applyFont="1"/>
    <xf numFmtId="10" fontId="49" fillId="0" borderId="0" xfId="0" applyNumberFormat="1" applyFont="1" applyAlignment="1">
      <alignment horizontal="center"/>
    </xf>
    <xf numFmtId="172" fontId="97" fillId="0" borderId="0" xfId="0" applyNumberFormat="1" applyFont="1"/>
    <xf numFmtId="10" fontId="50" fillId="0" borderId="0" xfId="0" applyNumberFormat="1" applyFont="1" applyAlignment="1">
      <alignment horizontal="center"/>
    </xf>
    <xf numFmtId="1" fontId="49" fillId="0" borderId="0" xfId="0" applyNumberFormat="1" applyFont="1" applyAlignment="1">
      <alignment horizontal="center"/>
    </xf>
    <xf numFmtId="1" fontId="98" fillId="0" borderId="0" xfId="0" applyNumberFormat="1" applyFont="1" applyAlignment="1">
      <alignment horizontal="center"/>
    </xf>
    <xf numFmtId="188" fontId="50" fillId="0" borderId="0" xfId="0" applyNumberFormat="1" applyFont="1" applyAlignment="1">
      <alignment horizontal="center"/>
    </xf>
    <xf numFmtId="188" fontId="49" fillId="0" borderId="0" xfId="0" applyNumberFormat="1" applyFont="1" applyAlignment="1">
      <alignment horizontal="center"/>
    </xf>
    <xf numFmtId="188" fontId="51" fillId="0" borderId="0" xfId="0" applyNumberFormat="1" applyFont="1"/>
    <xf numFmtId="188" fontId="50" fillId="0" borderId="0" xfId="0" applyNumberFormat="1" applyFont="1"/>
    <xf numFmtId="0" fontId="97" fillId="0" borderId="0" xfId="0" applyFont="1"/>
    <xf numFmtId="0" fontId="99" fillId="0" borderId="0" xfId="0" applyFont="1"/>
    <xf numFmtId="0" fontId="100" fillId="0" borderId="0" xfId="0" applyFont="1"/>
    <xf numFmtId="0" fontId="47" fillId="0" borderId="0" xfId="0" applyFont="1"/>
    <xf numFmtId="0" fontId="46" fillId="0" borderId="0" xfId="0" applyFont="1"/>
    <xf numFmtId="188" fontId="47" fillId="0" borderId="0" xfId="0" applyNumberFormat="1" applyFont="1"/>
    <xf numFmtId="188" fontId="0" fillId="0" borderId="0" xfId="0" applyNumberFormat="1"/>
    <xf numFmtId="0" fontId="101" fillId="0" borderId="0" xfId="0" applyFont="1"/>
    <xf numFmtId="0" fontId="101" fillId="0" borderId="0" xfId="0" applyFont="1" applyAlignment="1">
      <alignment horizontal="center"/>
    </xf>
    <xf numFmtId="188" fontId="47" fillId="0" borderId="0" xfId="0" applyNumberFormat="1" applyFont="1" applyAlignment="1">
      <alignment horizontal="right"/>
    </xf>
    <xf numFmtId="190" fontId="46" fillId="0" borderId="0" xfId="0" applyNumberFormat="1" applyFont="1" applyAlignment="1">
      <alignment horizontal="right"/>
    </xf>
    <xf numFmtId="188" fontId="53" fillId="0" borderId="0" xfId="0" applyNumberFormat="1" applyFont="1" applyAlignment="1">
      <alignment horizontal="right"/>
    </xf>
    <xf numFmtId="191" fontId="47" fillId="0" borderId="0" xfId="0" applyNumberFormat="1" applyFont="1" applyAlignment="1">
      <alignment horizontal="right"/>
    </xf>
    <xf numFmtId="191" fontId="46" fillId="0" borderId="0" xfId="0" applyNumberFormat="1" applyFont="1" applyAlignment="1">
      <alignment horizontal="right"/>
    </xf>
    <xf numFmtId="0" fontId="103" fillId="0" borderId="0" xfId="0" applyFont="1"/>
    <xf numFmtId="191" fontId="47" fillId="0" borderId="0" xfId="0" applyNumberFormat="1" applyFont="1"/>
    <xf numFmtId="191" fontId="0" fillId="0" borderId="0" xfId="0" applyNumberFormat="1"/>
    <xf numFmtId="0" fontId="104" fillId="0" borderId="0" xfId="0" applyFont="1"/>
    <xf numFmtId="0" fontId="105" fillId="0" borderId="0" xfId="0" applyFont="1"/>
    <xf numFmtId="190" fontId="47" fillId="0" borderId="0" xfId="0" applyNumberFormat="1" applyFont="1" applyAlignment="1">
      <alignment horizontal="center"/>
    </xf>
    <xf numFmtId="190" fontId="47" fillId="20" borderId="0" xfId="0" applyNumberFormat="1" applyFont="1" applyFill="1" applyAlignment="1">
      <alignment horizontal="center"/>
    </xf>
    <xf numFmtId="166" fontId="47" fillId="0" borderId="0" xfId="0" applyNumberFormat="1" applyFont="1" applyAlignment="1">
      <alignment horizontal="center"/>
    </xf>
    <xf numFmtId="166" fontId="47" fillId="20" borderId="0" xfId="0" applyNumberFormat="1" applyFont="1" applyFill="1" applyAlignment="1">
      <alignment horizontal="center"/>
    </xf>
    <xf numFmtId="0" fontId="46" fillId="0" borderId="15" xfId="0" applyFont="1" applyBorder="1"/>
    <xf numFmtId="0" fontId="46" fillId="0" borderId="2" xfId="0" applyFont="1" applyBorder="1"/>
    <xf numFmtId="188" fontId="46" fillId="0" borderId="2" xfId="0" applyNumberFormat="1" applyFont="1" applyBorder="1"/>
    <xf numFmtId="0" fontId="46" fillId="0" borderId="49" xfId="0" applyFont="1" applyBorder="1"/>
    <xf numFmtId="188" fontId="46" fillId="0" borderId="49" xfId="0" applyNumberFormat="1" applyFont="1" applyBorder="1"/>
    <xf numFmtId="0" fontId="101" fillId="0" borderId="15" xfId="0" applyFont="1" applyBorder="1" applyAlignment="1">
      <alignment horizontal="center"/>
    </xf>
    <xf numFmtId="0" fontId="46" fillId="0" borderId="8" xfId="0" applyFont="1" applyBorder="1"/>
    <xf numFmtId="0" fontId="46" fillId="0" borderId="50" xfId="0" applyFont="1" applyBorder="1"/>
    <xf numFmtId="188" fontId="46" fillId="0" borderId="50" xfId="0" applyNumberFormat="1" applyFont="1" applyBorder="1" applyAlignment="1">
      <alignment horizontal="right"/>
    </xf>
    <xf numFmtId="191" fontId="46" fillId="0" borderId="50" xfId="0" applyNumberFormat="1" applyFont="1" applyBorder="1" applyAlignment="1">
      <alignment horizontal="right"/>
    </xf>
    <xf numFmtId="166" fontId="46" fillId="0" borderId="8" xfId="0" applyNumberFormat="1" applyFont="1" applyBorder="1" applyAlignment="1">
      <alignment horizontal="right"/>
    </xf>
    <xf numFmtId="0" fontId="0" fillId="0" borderId="50" xfId="0" applyBorder="1"/>
    <xf numFmtId="188" fontId="46" fillId="0" borderId="50" xfId="0" applyNumberFormat="1" applyFont="1" applyBorder="1"/>
    <xf numFmtId="0" fontId="0" fillId="0" borderId="2" xfId="0" applyBorder="1"/>
    <xf numFmtId="190" fontId="104" fillId="0" borderId="0" xfId="0" applyNumberFormat="1" applyFont="1"/>
    <xf numFmtId="0" fontId="104" fillId="0" borderId="50" xfId="0" applyFont="1" applyBorder="1"/>
    <xf numFmtId="166" fontId="104" fillId="0" borderId="50" xfId="0" applyNumberFormat="1" applyFont="1" applyBorder="1"/>
    <xf numFmtId="0" fontId="104" fillId="0" borderId="51" xfId="0" applyFont="1" applyBorder="1"/>
    <xf numFmtId="166" fontId="104" fillId="0" borderId="51" xfId="0" applyNumberFormat="1" applyFont="1" applyBorder="1"/>
    <xf numFmtId="0" fontId="46" fillId="0" borderId="15" xfId="0" applyFont="1" applyBorder="1" applyAlignment="1">
      <alignment horizontal="center"/>
    </xf>
    <xf numFmtId="10" fontId="47" fillId="0" borderId="0" xfId="0" applyNumberFormat="1" applyFont="1" applyAlignment="1">
      <alignment horizontal="center"/>
    </xf>
    <xf numFmtId="10" fontId="47" fillId="20" borderId="0" xfId="0" applyNumberFormat="1" applyFont="1" applyFill="1" applyAlignment="1">
      <alignment horizontal="center"/>
    </xf>
    <xf numFmtId="188" fontId="47" fillId="20" borderId="0" xfId="0" applyNumberFormat="1" applyFont="1" applyFill="1"/>
    <xf numFmtId="10" fontId="47" fillId="0" borderId="15" xfId="0" applyNumberFormat="1" applyFont="1" applyBorder="1" applyAlignment="1">
      <alignment horizontal="center"/>
    </xf>
    <xf numFmtId="188" fontId="47" fillId="0" borderId="15" xfId="0" applyNumberFormat="1" applyFont="1" applyBorder="1"/>
    <xf numFmtId="190" fontId="47" fillId="0" borderId="15" xfId="0" applyNumberFormat="1" applyFont="1" applyBorder="1" applyAlignment="1">
      <alignment horizontal="center"/>
    </xf>
    <xf numFmtId="166" fontId="47" fillId="0" borderId="15" xfId="0" applyNumberFormat="1" applyFont="1" applyBorder="1" applyAlignment="1">
      <alignment horizontal="center"/>
    </xf>
    <xf numFmtId="0" fontId="47" fillId="0" borderId="4" xfId="0" applyFont="1" applyBorder="1"/>
    <xf numFmtId="189" fontId="0" fillId="0" borderId="0" xfId="0" applyNumberFormat="1"/>
    <xf numFmtId="0" fontId="108" fillId="0" borderId="0" xfId="0" applyFont="1"/>
    <xf numFmtId="191" fontId="102" fillId="0" borderId="0" xfId="0" applyNumberFormat="1" applyFont="1" applyAlignment="1">
      <alignment horizontal="right"/>
    </xf>
    <xf numFmtId="188" fontId="47" fillId="0" borderId="0" xfId="0" applyNumberFormat="1" applyFont="1" applyAlignment="1">
      <alignment horizontal="center"/>
    </xf>
    <xf numFmtId="191" fontId="47" fillId="0" borderId="0" xfId="0" applyNumberFormat="1" applyFont="1" applyAlignment="1">
      <alignment horizontal="center"/>
    </xf>
    <xf numFmtId="190" fontId="104" fillId="0" borderId="0" xfId="0" applyNumberFormat="1" applyFont="1" applyAlignment="1">
      <alignment horizontal="center"/>
    </xf>
    <xf numFmtId="166" fontId="104" fillId="0" borderId="0" xfId="0" applyNumberFormat="1" applyFont="1" applyAlignment="1">
      <alignment horizontal="center"/>
    </xf>
    <xf numFmtId="0" fontId="101" fillId="0" borderId="15" xfId="0" applyFont="1" applyBorder="1"/>
    <xf numFmtId="166" fontId="46" fillId="0" borderId="50" xfId="0" applyNumberFormat="1" applyFont="1" applyBorder="1" applyAlignment="1">
      <alignment horizontal="center"/>
    </xf>
    <xf numFmtId="0" fontId="108" fillId="0" borderId="2" xfId="0" applyFont="1" applyBorder="1"/>
    <xf numFmtId="191" fontId="108" fillId="0" borderId="2" xfId="0" applyNumberFormat="1" applyFont="1" applyBorder="1" applyAlignment="1">
      <alignment horizontal="right"/>
    </xf>
    <xf numFmtId="0" fontId="109" fillId="0" borderId="15" xfId="0" applyFont="1" applyBorder="1" applyAlignment="1">
      <alignment horizontal="center"/>
    </xf>
    <xf numFmtId="166" fontId="104" fillId="0" borderId="50" xfId="0" applyNumberFormat="1" applyFont="1" applyBorder="1" applyAlignment="1">
      <alignment horizontal="center"/>
    </xf>
    <xf numFmtId="190" fontId="104" fillId="0" borderId="51" xfId="0" applyNumberFormat="1" applyFont="1" applyBorder="1" applyAlignment="1">
      <alignment horizontal="center"/>
    </xf>
    <xf numFmtId="188" fontId="47" fillId="20" borderId="0" xfId="0" applyNumberFormat="1" applyFont="1" applyFill="1" applyAlignment="1">
      <alignment horizontal="right"/>
    </xf>
    <xf numFmtId="191" fontId="47" fillId="20" borderId="0" xfId="0" applyNumberFormat="1" applyFont="1" applyFill="1" applyAlignment="1">
      <alignment horizontal="right"/>
    </xf>
    <xf numFmtId="166" fontId="104" fillId="20" borderId="0" xfId="0" applyNumberFormat="1" applyFont="1" applyFill="1" applyAlignment="1">
      <alignment horizontal="center"/>
    </xf>
    <xf numFmtId="190" fontId="104" fillId="20" borderId="0" xfId="0" applyNumberFormat="1" applyFont="1" applyFill="1" applyAlignment="1">
      <alignment horizontal="center"/>
    </xf>
    <xf numFmtId="0" fontId="101" fillId="20" borderId="15" xfId="0" applyFont="1" applyFill="1" applyBorder="1" applyAlignment="1">
      <alignment horizontal="center"/>
    </xf>
    <xf numFmtId="188" fontId="46" fillId="20" borderId="50" xfId="0" applyNumberFormat="1" applyFont="1" applyFill="1" applyBorder="1" applyAlignment="1">
      <alignment horizontal="right"/>
    </xf>
    <xf numFmtId="6" fontId="59" fillId="0" borderId="0" xfId="0" applyNumberFormat="1" applyFont="1"/>
    <xf numFmtId="9" fontId="59" fillId="0" borderId="0" xfId="0" applyNumberFormat="1" applyFont="1"/>
    <xf numFmtId="14" fontId="49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177" fontId="97" fillId="0" borderId="0" xfId="0" applyNumberFormat="1" applyFont="1"/>
    <xf numFmtId="166" fontId="52" fillId="0" borderId="0" xfId="0" applyNumberFormat="1" applyFont="1" applyAlignment="1">
      <alignment horizontal="center"/>
    </xf>
    <xf numFmtId="188" fontId="51" fillId="0" borderId="0" xfId="0" applyNumberFormat="1" applyFont="1" applyAlignment="1">
      <alignment horizontal="center"/>
    </xf>
    <xf numFmtId="173" fontId="97" fillId="0" borderId="0" xfId="0" applyNumberFormat="1" applyFont="1" applyAlignment="1">
      <alignment horizontal="center"/>
    </xf>
    <xf numFmtId="0" fontId="50" fillId="21" borderId="0" xfId="0" applyFont="1" applyFill="1"/>
    <xf numFmtId="188" fontId="50" fillId="21" borderId="0" xfId="0" applyNumberFormat="1" applyFont="1" applyFill="1"/>
    <xf numFmtId="10" fontId="50" fillId="21" borderId="0" xfId="0" applyNumberFormat="1" applyFont="1" applyFill="1" applyAlignment="1">
      <alignment horizontal="center"/>
    </xf>
    <xf numFmtId="166" fontId="46" fillId="0" borderId="0" xfId="0" applyNumberFormat="1" applyFont="1" applyAlignment="1">
      <alignment horizontal="right"/>
    </xf>
    <xf numFmtId="0" fontId="111" fillId="0" borderId="0" xfId="0" applyFont="1"/>
    <xf numFmtId="0" fontId="47" fillId="0" borderId="52" xfId="0" applyFont="1" applyBorder="1"/>
    <xf numFmtId="191" fontId="47" fillId="0" borderId="52" xfId="0" applyNumberFormat="1" applyFont="1" applyBorder="1" applyAlignment="1">
      <alignment horizontal="right"/>
    </xf>
    <xf numFmtId="166" fontId="0" fillId="0" borderId="0" xfId="3" applyNumberFormat="1" applyFont="1"/>
    <xf numFmtId="0" fontId="113" fillId="0" borderId="0" xfId="0" applyFont="1"/>
    <xf numFmtId="0" fontId="113" fillId="0" borderId="0" xfId="0" applyFont="1" applyAlignment="1">
      <alignment horizontal="center"/>
    </xf>
    <xf numFmtId="10" fontId="112" fillId="0" borderId="0" xfId="0" applyNumberFormat="1" applyFont="1" applyAlignment="1">
      <alignment horizontal="center"/>
    </xf>
    <xf numFmtId="10" fontId="112" fillId="0" borderId="8" xfId="0" applyNumberFormat="1" applyFont="1" applyBorder="1" applyAlignment="1">
      <alignment horizontal="center"/>
    </xf>
    <xf numFmtId="166" fontId="112" fillId="0" borderId="8" xfId="0" applyNumberFormat="1" applyFont="1" applyBorder="1" applyAlignment="1">
      <alignment horizontal="center"/>
    </xf>
    <xf numFmtId="10" fontId="113" fillId="0" borderId="0" xfId="0" applyNumberFormat="1" applyFont="1" applyAlignment="1">
      <alignment horizontal="center"/>
    </xf>
    <xf numFmtId="10" fontId="112" fillId="0" borderId="15" xfId="0" applyNumberFormat="1" applyFont="1" applyBorder="1" applyAlignment="1">
      <alignment horizontal="center"/>
    </xf>
    <xf numFmtId="10" fontId="112" fillId="20" borderId="0" xfId="0" applyNumberFormat="1" applyFont="1" applyFill="1" applyAlignment="1">
      <alignment horizontal="center"/>
    </xf>
    <xf numFmtId="10" fontId="113" fillId="20" borderId="0" xfId="0" applyNumberFormat="1" applyFont="1" applyFill="1" applyAlignment="1">
      <alignment horizontal="center"/>
    </xf>
    <xf numFmtId="0" fontId="116" fillId="0" borderId="0" xfId="0" applyFont="1"/>
    <xf numFmtId="10" fontId="115" fillId="0" borderId="0" xfId="0" applyNumberFormat="1" applyFont="1"/>
    <xf numFmtId="188" fontId="114" fillId="0" borderId="0" xfId="0" applyNumberFormat="1" applyFont="1"/>
    <xf numFmtId="192" fontId="114" fillId="0" borderId="0" xfId="0" applyNumberFormat="1" applyFont="1"/>
    <xf numFmtId="10" fontId="114" fillId="0" borderId="0" xfId="0" applyNumberFormat="1" applyFont="1"/>
    <xf numFmtId="192" fontId="115" fillId="0" borderId="0" xfId="0" applyNumberFormat="1" applyFont="1"/>
    <xf numFmtId="0" fontId="100" fillId="0" borderId="7" xfId="0" applyFont="1" applyBorder="1"/>
    <xf numFmtId="188" fontId="47" fillId="0" borderId="11" xfId="0" applyNumberFormat="1" applyFont="1" applyBorder="1"/>
    <xf numFmtId="10" fontId="47" fillId="0" borderId="11" xfId="0" applyNumberFormat="1" applyFont="1" applyBorder="1"/>
    <xf numFmtId="166" fontId="47" fillId="0" borderId="11" xfId="0" applyNumberFormat="1" applyFont="1" applyBorder="1"/>
    <xf numFmtId="3" fontId="47" fillId="0" borderId="11" xfId="0" applyNumberFormat="1" applyFont="1" applyBorder="1"/>
    <xf numFmtId="187" fontId="47" fillId="0" borderId="11" xfId="0" applyNumberFormat="1" applyFont="1" applyBorder="1"/>
    <xf numFmtId="0" fontId="110" fillId="0" borderId="14" xfId="0" applyFont="1" applyBorder="1"/>
    <xf numFmtId="188" fontId="110" fillId="0" borderId="16" xfId="0" applyNumberFormat="1" applyFont="1" applyBorder="1"/>
    <xf numFmtId="0" fontId="117" fillId="0" borderId="53" xfId="0" applyFont="1" applyBorder="1"/>
    <xf numFmtId="0" fontId="0" fillId="0" borderId="54" xfId="0" applyBorder="1"/>
    <xf numFmtId="8" fontId="49" fillId="0" borderId="0" xfId="0" applyNumberFormat="1" applyFont="1" applyAlignment="1">
      <alignment horizontal="center"/>
    </xf>
    <xf numFmtId="0" fontId="2" fillId="0" borderId="0" xfId="0" applyFont="1"/>
    <xf numFmtId="0" fontId="118" fillId="22" borderId="0" xfId="0" applyFont="1" applyFill="1"/>
    <xf numFmtId="14" fontId="0" fillId="0" borderId="0" xfId="0" applyNumberFormat="1"/>
    <xf numFmtId="16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19" fillId="0" borderId="0" xfId="0" applyFont="1"/>
    <xf numFmtId="0" fontId="120" fillId="23" borderId="0" xfId="0" applyFont="1" applyFill="1"/>
    <xf numFmtId="0" fontId="121" fillId="0" borderId="0" xfId="0" applyFont="1"/>
    <xf numFmtId="0" fontId="2" fillId="24" borderId="0" xfId="0" applyFont="1" applyFill="1"/>
    <xf numFmtId="192" fontId="0" fillId="0" borderId="0" xfId="0" applyNumberFormat="1"/>
    <xf numFmtId="188" fontId="2" fillId="0" borderId="0" xfId="0" applyNumberFormat="1" applyFont="1"/>
    <xf numFmtId="188" fontId="121" fillId="0" borderId="0" xfId="0" applyNumberFormat="1" applyFont="1"/>
    <xf numFmtId="188" fontId="2" fillId="24" borderId="0" xfId="0" applyNumberFormat="1" applyFont="1" applyFill="1"/>
    <xf numFmtId="9" fontId="2" fillId="24" borderId="0" xfId="0" applyNumberFormat="1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21" fillId="0" borderId="0" xfId="0" applyFont="1" applyAlignment="1">
      <alignment wrapText="1"/>
    </xf>
    <xf numFmtId="0" fontId="2" fillId="24" borderId="0" xfId="0" applyFont="1" applyFill="1" applyAlignment="1">
      <alignment wrapText="1"/>
    </xf>
    <xf numFmtId="0" fontId="122" fillId="0" borderId="0" xfId="0" applyFont="1"/>
    <xf numFmtId="0" fontId="122" fillId="0" borderId="0" xfId="0" applyFont="1" applyAlignment="1">
      <alignment wrapText="1"/>
    </xf>
    <xf numFmtId="0" fontId="120" fillId="25" borderId="0" xfId="0" applyFont="1" applyFill="1"/>
    <xf numFmtId="0" fontId="123" fillId="0" borderId="0" xfId="0" applyFont="1"/>
    <xf numFmtId="42" fontId="19" fillId="0" borderId="0" xfId="0" applyNumberFormat="1" applyFont="1" applyAlignment="1">
      <alignment vertical="center"/>
    </xf>
    <xf numFmtId="44" fontId="19" fillId="0" borderId="0" xfId="0" applyNumberFormat="1" applyFont="1" applyAlignment="1">
      <alignment vertical="center"/>
    </xf>
    <xf numFmtId="8" fontId="19" fillId="0" borderId="0" xfId="0" applyNumberFormat="1" applyFont="1" applyAlignment="1">
      <alignment vertical="center"/>
    </xf>
    <xf numFmtId="8" fontId="51" fillId="0" borderId="29" xfId="0" applyNumberFormat="1" applyFont="1" applyBorder="1"/>
    <xf numFmtId="0" fontId="22" fillId="7" borderId="23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9FACDD"/>
      <color rgb="FF3A5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140971</xdr:colOff>
      <xdr:row>7</xdr:row>
      <xdr:rowOff>17146</xdr:rowOff>
    </xdr:from>
    <xdr:ext cx="824755" cy="260985"/>
    <xdr:pic>
      <xdr:nvPicPr>
        <xdr:cNvPr id="2" name="Picture 1">
          <a:extLst>
            <a:ext uri="{FF2B5EF4-FFF2-40B4-BE49-F238E27FC236}">
              <a16:creationId xmlns:a16="http://schemas.microsoft.com/office/drawing/2014/main" id="{A6ECE6F8-EE21-4776-BBA9-0025AE482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575"/>
        <a:stretch/>
      </xdr:blipFill>
      <xdr:spPr>
        <a:xfrm>
          <a:off x="15464791" y="2106931"/>
          <a:ext cx="824755" cy="260985"/>
        </a:xfrm>
        <a:prstGeom prst="rect">
          <a:avLst/>
        </a:prstGeom>
      </xdr:spPr>
    </xdr:pic>
    <xdr:clientData/>
  </xdr:oneCellAnchor>
  <xdr:twoCellAnchor>
    <xdr:from>
      <xdr:col>4</xdr:col>
      <xdr:colOff>91440</xdr:colOff>
      <xdr:row>0</xdr:row>
      <xdr:rowOff>86649</xdr:rowOff>
    </xdr:from>
    <xdr:to>
      <xdr:col>5</xdr:col>
      <xdr:colOff>299357</xdr:colOff>
      <xdr:row>0</xdr:row>
      <xdr:rowOff>853496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566039-5E52-4EFA-AC18-49BB7D6F2D2D}"/>
            </a:ext>
          </a:extLst>
        </xdr:cNvPr>
        <xdr:cNvSpPr/>
      </xdr:nvSpPr>
      <xdr:spPr>
        <a:xfrm>
          <a:off x="2799261" y="86649"/>
          <a:ext cx="2507525" cy="766847"/>
        </a:xfrm>
        <a:prstGeom prst="rect">
          <a:avLst/>
        </a:prstGeom>
        <a:solidFill>
          <a:schemeClr val="bg1"/>
        </a:solidFill>
        <a:ln w="38100">
          <a:solidFill>
            <a:srgbClr val="9FACD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236517</xdr:colOff>
      <xdr:row>0</xdr:row>
      <xdr:rowOff>57150</xdr:rowOff>
    </xdr:from>
    <xdr:to>
      <xdr:col>4</xdr:col>
      <xdr:colOff>2334161</xdr:colOff>
      <xdr:row>0</xdr:row>
      <xdr:rowOff>839932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887B6E-0673-403F-BE48-784FE6013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572" y="53340"/>
          <a:ext cx="2059544" cy="786592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6</xdr:col>
      <xdr:colOff>696670</xdr:colOff>
      <xdr:row>0</xdr:row>
      <xdr:rowOff>217661</xdr:rowOff>
    </xdr:from>
    <xdr:ext cx="9928412" cy="52783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6E32D4-6D42-436C-AD38-6CCFA38503EE}"/>
            </a:ext>
          </a:extLst>
        </xdr:cNvPr>
        <xdr:cNvSpPr txBox="1"/>
      </xdr:nvSpPr>
      <xdr:spPr>
        <a:xfrm>
          <a:off x="5718250" y="215756"/>
          <a:ext cx="9928412" cy="527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spAutoFit/>
        </a:bodyPr>
        <a:lstStyle/>
        <a:p>
          <a:pPr algn="ctr"/>
          <a:r>
            <a:rPr lang="en-US" sz="2800" b="1">
              <a:solidFill>
                <a:schemeClr val="bg1"/>
              </a:solidFill>
              <a:latin typeface="Avenir Next LT Pro" panose="020B0504020202020204" pitchFamily="34" charset="0"/>
            </a:rPr>
            <a:t>Wentworth - Vacaville, CA</a:t>
          </a:r>
        </a:p>
      </xdr:txBody>
    </xdr:sp>
    <xdr:clientData/>
  </xdr:oneCellAnchor>
  <xdr:twoCellAnchor>
    <xdr:from>
      <xdr:col>9</xdr:col>
      <xdr:colOff>781050</xdr:colOff>
      <xdr:row>1</xdr:row>
      <xdr:rowOff>161925</xdr:rowOff>
    </xdr:from>
    <xdr:to>
      <xdr:col>16</xdr:col>
      <xdr:colOff>190500</xdr:colOff>
      <xdr:row>1</xdr:row>
      <xdr:rowOff>333375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C272D8-676B-43CE-B292-A79E24B4081F}"/>
            </a:ext>
          </a:extLst>
        </xdr:cNvPr>
        <xdr:cNvSpPr txBox="1"/>
      </xdr:nvSpPr>
      <xdr:spPr>
        <a:xfrm>
          <a:off x="8140065" y="1040130"/>
          <a:ext cx="488061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>
              <a:latin typeface="Avenir Next LT Pro" panose="020B0504020202020204" pitchFamily="34" charset="0"/>
            </a:rPr>
            <a:t>2026 Proforma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139065</xdr:colOff>
      <xdr:row>1</xdr:row>
      <xdr:rowOff>29499</xdr:rowOff>
    </xdr:from>
    <xdr:to>
      <xdr:col>3</xdr:col>
      <xdr:colOff>2090057</xdr:colOff>
      <xdr:row>1</xdr:row>
      <xdr:rowOff>758246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D72C0E81-5626-414A-914F-8C5EBE45A17D}"/>
            </a:ext>
          </a:extLst>
        </xdr:cNvPr>
        <xdr:cNvSpPr/>
      </xdr:nvSpPr>
      <xdr:spPr>
        <a:xfrm>
          <a:off x="1358265" y="124749"/>
          <a:ext cx="2122442" cy="728747"/>
        </a:xfrm>
        <a:prstGeom prst="rect">
          <a:avLst/>
        </a:prstGeom>
        <a:solidFill>
          <a:schemeClr val="bg1"/>
        </a:solidFill>
        <a:ln w="38100">
          <a:solidFill>
            <a:srgbClr val="9FACD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38100</xdr:colOff>
      <xdr:row>1</xdr:row>
      <xdr:rowOff>0</xdr:rowOff>
    </xdr:from>
    <xdr:to>
      <xdr:col>3</xdr:col>
      <xdr:colOff>2035414</xdr:colOff>
      <xdr:row>1</xdr:row>
      <xdr:rowOff>778337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7209DF-6450-4769-A6AA-4C4747ADFE31}"/>
            </a:ext>
            <a:ext uri="{147F2762-F138-4A5C-976F-8EAC2B608ADB}">
              <a16:predDERef xmlns:a16="http://schemas.microsoft.com/office/drawing/2014/main" pred="{D72C0E81-5626-414A-914F-8C5EBE45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95250"/>
          <a:ext cx="1992869" cy="782782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hers/conoco%20old-fix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doug/x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ug/REFINE/TS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TEMP/data/excel/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y%20of%20C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Dave/Company/VSE/V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LLOYD/E_&amp;_P/STOCKS/PXP/old%20models/PXP%20Model%20bas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kady\Dropbox%20(Wall%20Street%20Prep)\Course%20Materials-%20WSP\Oil%20&amp;%20Gas%20Modeling\2014\Introduction%20to%20O&amp;G\Interesting%20readings%20&amp;%20resources\O&amp;Gprojectionmodel_comple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"/>
      <sheetName val="Variance"/>
      <sheetName val="BS"/>
      <sheetName val="Capex"/>
      <sheetName val="ROCE"/>
      <sheetName val="Corp. "/>
      <sheetName val="Emerging Bus."/>
      <sheetName val="NEPS"/>
      <sheetName val="Quarterly"/>
      <sheetName val="US E&amp;P"/>
      <sheetName val="Eu.E&amp;P"/>
      <sheetName val="Other E&amp;P"/>
      <sheetName val="P"/>
      <sheetName val="R&amp;M"/>
      <sheetName val="COC vs. Wood Mac Prod. Profile"/>
      <sheetName val="E&amp;P-Conoco"/>
      <sheetName val="E&amp;P-Total"/>
      <sheetName val="GOU"/>
      <sheetName val="PETROZUATA"/>
      <sheetName val="Lifting_DD&amp;A"/>
      <sheetName val="PZ2"/>
      <sheetName val="Corporate ROGIC"/>
      <sheetName val="WACC"/>
      <sheetName val="NAV"/>
      <sheetName val="Reserves"/>
      <sheetName val="Charts"/>
      <sheetName val="Debt Cov"/>
      <sheetName val="NG&amp;GP"/>
      <sheetName val="LOBO"/>
      <sheetName val="Pro-Forma Reserves"/>
      <sheetName val="F&amp;D"/>
      <sheetName val="Split"/>
      <sheetName val="GE Data"/>
      <sheetName val="mStartup"/>
      <sheetName val="NY UPLOAD"/>
      <sheetName val="NY UPLOAD sha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OM"/>
      <sheetName val="BS"/>
      <sheetName val="ROCE"/>
      <sheetName val="Variance"/>
      <sheetName val="E&amp;P"/>
      <sheetName val="CapEx"/>
      <sheetName val="NSOURCE"/>
      <sheetName val="EE&amp;P"/>
      <sheetName val="Global E&amp;P Field Percentages"/>
      <sheetName val="Chems"/>
      <sheetName val="Realtive"/>
      <sheetName val="DIVIS"/>
      <sheetName val="MobilPurchase"/>
      <sheetName val="MKT"/>
      <sheetName val="I R&amp;M"/>
      <sheetName val="R&amp;M"/>
      <sheetName val="NEPS"/>
      <sheetName val="ROGIC"/>
      <sheetName val="Sheet1"/>
      <sheetName val="WACC"/>
      <sheetName val="Reserves"/>
      <sheetName val="MainCode"/>
      <sheetName val="RefineryMaint"/>
      <sheetName val="GE Data"/>
      <sheetName val="NY UPLOAD"/>
      <sheetName val="NY UPLOAD shadow"/>
      <sheetName val="EPPR."/>
      <sheetName val="Disclaimer"/>
      <sheetName val="I.MKT"/>
      <sheetName val="IndexInformation"/>
      <sheetName val="Quarterly"/>
      <sheetName val="NY UPLOAD.bak"/>
      <sheetName val="NY UPLOAD Shadow.bak"/>
      <sheetName val="E&amp;P-2"/>
      <sheetName val="Sheet2"/>
      <sheetName val="OPEBs"/>
      <sheetName val="DCF"/>
      <sheetName val="YUKOS"/>
      <sheetName val="Pensions"/>
      <sheetName val="DEKA"/>
      <sheetName val=""/>
      <sheetName val="mwareTaxoPres"/>
      <sheetName val="Model_Template"/>
      <sheetName val="mwareValPrintout"/>
      <sheetName val="mwarePreview"/>
      <sheetName val="IS"/>
      <sheetName val="E&amp;PIS"/>
      <sheetName val="R&amp;MIS"/>
      <sheetName val="ChemsIS"/>
      <sheetName val="Corporate"/>
      <sheetName val="MODELWARE"/>
      <sheetName val="ReservesRegion"/>
      <sheetName val="Share Repurchase"/>
      <sheetName val="WorkingCapital"/>
      <sheetName val="R&amp;M ROCE by Region"/>
      <sheetName val="IR&amp;M"/>
      <sheetName val="Marketing"/>
      <sheetName val="US Pension"/>
      <sheetName val="Intl Pension"/>
      <sheetName val="A-Link Source"/>
      <sheetName val="DRC"/>
      <sheetName val="Q-Link Source"/>
      <sheetName val="Turnarounds"/>
      <sheetName val="Global Product Sum"/>
      <sheetName val="mwareDates"/>
      <sheetName val="mwareSettings"/>
      <sheetName val="GҘ Data"/>
      <sheetName val="ES_x0009_SHOW.INFO_x0005_SPLIT_x0009_ON.WINDOW_x0007_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O"/>
      <sheetName val="Stats"/>
      <sheetName val="BS"/>
      <sheetName val="NORM"/>
      <sheetName val="ROCE"/>
      <sheetName val="WACC"/>
      <sheetName val="Capex"/>
      <sheetName val="MainCode"/>
      <sheetName val="BP Acquisition"/>
      <sheetName val="Golden Eagle"/>
      <sheetName val="Variance"/>
      <sheetName val="GE Data"/>
      <sheetName val="NY UPLOAD"/>
      <sheetName val="NY UPLOAD Shadow"/>
      <sheetName val="MWare_Cached"/>
      <sheetName val="NYMEX"/>
      <sheetName val="mwareTaxoPres"/>
      <sheetName val="R-Stats"/>
      <sheetName val="M-Stats"/>
      <sheetName val="Debt"/>
      <sheetName val="ShareRepurchase"/>
      <sheetName val="mwareValPrintout"/>
      <sheetName val="mwarePreview"/>
      <sheetName val="Modelware"/>
      <sheetName val="Pensions"/>
      <sheetName val="OPEB"/>
      <sheetName val="TSOIS"/>
      <sheetName val="mwareDates"/>
      <sheetName val="mwareSettings"/>
      <sheetName val="A-Link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"/>
      <sheetName val="BS"/>
      <sheetName val="TOSCO"/>
      <sheetName val="Segment ROCE"/>
      <sheetName val="ROGIC"/>
      <sheetName val="E&amp;P"/>
      <sheetName val="NEPS"/>
      <sheetName val="RefineryMaint"/>
      <sheetName val="Hamaca"/>
      <sheetName val="Bohai"/>
      <sheetName val="Bayu Undan"/>
      <sheetName val="R&amp;M"/>
      <sheetName val="GPM"/>
      <sheetName val="Variance"/>
      <sheetName val="ARCO - Alaska"/>
      <sheetName val="Capex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IndexInformation"/>
      <sheetName val="MainCode"/>
      <sheetName val="NY UPLOAD"/>
      <sheetName val="NY UPLOAD Shadow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BS"/>
      <sheetName val="Segment ROCE"/>
      <sheetName val="Modelware"/>
      <sheetName val="E&amp;PIS"/>
      <sheetName val="E&amp;P"/>
      <sheetName val="R&amp;MIS"/>
      <sheetName val="NEW SOURCE"/>
      <sheetName val="CHEMIS"/>
      <sheetName val="Midstream"/>
      <sheetName val="ALASKA"/>
      <sheetName val="Working Cap"/>
      <sheetName val="Corp"/>
      <sheetName val="Capex"/>
      <sheetName val="SYNCRUDE"/>
      <sheetName val="ShareRepurchase"/>
      <sheetName val="OP"/>
      <sheetName val="Debt Schedule"/>
      <sheetName val="COP_Bear_to_Bull_Chart"/>
      <sheetName val="Reserves"/>
      <sheetName val="COP_Bear_to_Bull_Data"/>
      <sheetName val="COP-EN"/>
      <sheetName val="COP_Risk-Reward_View_Chart"/>
      <sheetName val="COP-BR"/>
      <sheetName val="A-Link Source"/>
      <sheetName val="COP-BR Updat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Variance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Settings"/>
      <sheetName val="Global Product Sum"/>
      <sheetName val="mwareDates"/>
      <sheetName val="NY UPLOAD shadow"/>
      <sheetName val="COP - RRV"/>
      <sheetName val="mwareDates_39111_8204615"/>
      <sheetName val="MWare_Cached"/>
      <sheetName val="NewReserves"/>
      <sheetName val="DEKA"/>
      <sheetName val="GE Data"/>
      <sheetName val="NY 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Variance"/>
      <sheetName val="Segment ROCE"/>
      <sheetName val="BS"/>
      <sheetName val="E&amp;PIS"/>
      <sheetName val="RRV"/>
      <sheetName val="R&amp;MIS"/>
      <sheetName val="CHEMIS"/>
      <sheetName val="E&amp;P"/>
      <sheetName val="Corp"/>
      <sheetName val="NEW SOURCE"/>
      <sheetName val="COP-BR"/>
      <sheetName val="COP-BR Update"/>
      <sheetName val="Modelware"/>
      <sheetName val="Capex"/>
      <sheetName val="Midstream"/>
      <sheetName val="Reserves"/>
      <sheetName val="Working Cap"/>
      <sheetName val="Debt Schedule"/>
      <sheetName val="A-Link Source"/>
      <sheetName val="ShareRepurchas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Dates"/>
      <sheetName val="mwareSettings"/>
      <sheetName val="Global Product Sum"/>
      <sheetName val="NY UPLOAD shadow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 (2)"/>
      <sheetName val="Forecast Change"/>
      <sheetName val="Variance"/>
      <sheetName val="INPUTS"/>
      <sheetName val="VeraSun"/>
      <sheetName val="DCF"/>
      <sheetName val="Comps"/>
      <sheetName val="VE85"/>
      <sheetName val="Conversions"/>
      <sheetName val="calc summary"/>
      <sheetName val="Plants"/>
      <sheetName val="Risk-Reward_View_Chart"/>
      <sheetName val="Bear_to_Bull_Chart"/>
      <sheetName val="Bear_to_Bull_Data"/>
      <sheetName val="Modelware"/>
      <sheetName val="mwareDates"/>
      <sheetName val="mwareSettings"/>
      <sheetName val="A-Link Source"/>
      <sheetName val="Val Snapshot"/>
      <sheetName val="Q-Link Source"/>
      <sheetName val="DCF Summary"/>
      <sheetName val="New Source Charts"/>
      <sheetName val="Segment ROCE"/>
      <sheetName val="BS"/>
      <sheetName val="COP"/>
      <sheetName val="R&amp;MIS"/>
      <sheetName val="E&amp;P Growth &amp; 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ware items"/>
      <sheetName val="charts"/>
      <sheetName val="Old_NEW"/>
      <sheetName val="EPS notes"/>
      <sheetName val="Est v Act"/>
      <sheetName val="GUIDANCE"/>
      <sheetName val="PXP"/>
      <sheetName val="__FDSCACHE__"/>
      <sheetName val="Valuation"/>
      <sheetName val="Hedges"/>
      <sheetName val="Reserves &amp; Capex"/>
      <sheetName val="Unbooked Summary"/>
      <sheetName val="Benchmark Prices"/>
      <sheetName val="Oil sale split"/>
      <sheetName val="ASSETS"/>
      <sheetName val="Basin summary"/>
      <sheetName val="Pension"/>
      <sheetName val="Deferred taxes"/>
      <sheetName val="mwareDates"/>
      <sheetName val="test"/>
      <sheetName val="mwareSettings"/>
      <sheetName val="Plants"/>
      <sheetName val="VeraSun"/>
      <sheetName val="Forecast Chang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inmodeling"/>
      <sheetName val="E&amp;P"/>
      <sheetName val="Price  Deck"/>
      <sheetName val="E&amp;PIS"/>
      <sheetName val="CAPEX"/>
      <sheetName val="Chemicals"/>
      <sheetName val="BoostToolkitClipBoard2010"/>
      <sheetName val="Reserves"/>
      <sheetName val="Hedge"/>
      <sheetName val="SEC PV 10"/>
    </sheetNames>
    <sheetDataSet>
      <sheetData sheetId="0"/>
      <sheetData sheetId="1"/>
      <sheetData sheetId="2">
        <row r="6">
          <cell r="D6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vier Gonzalez" id="{DDA07FB0-0F59-483D-9AAD-4C5B9FEFAB65}" userId="S::javier@STOREstorage.com::015d61d8-d8e7-4504-8e7a-c26230e5fe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6-03-11T04:32:09.38" personId="{DDA07FB0-0F59-483D-9AAD-4C5B9FEFAB65}" id="{AA0A0084-6613-48F5-BF3A-24B10DF852D2}">
    <text>For Public Storage I assumed what we had done before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1" dT="2026-03-11T04:15:45.26" personId="{DDA07FB0-0F59-483D-9AAD-4C5B9FEFAB65}" id="{34C12525-0E9D-4A5E-AC4F-366B62A255FA}">
    <text xml:space="preserve">Set to payroll, based on previous proformas we agreed these are auction expenses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E51DB9-DC21-414E-B26E-F5AB789FF1B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73B6-79CB-490D-B84B-78DEAC3281A9}">
  <sheetPr>
    <tabColor theme="4"/>
    <pageSetUpPr fitToPage="1"/>
  </sheetPr>
  <dimension ref="C1:AK50"/>
  <sheetViews>
    <sheetView showGridLines="0" topLeftCell="J1" zoomScale="50" zoomScaleNormal="50" workbookViewId="0">
      <selection activeCell="AH17" sqref="AH17"/>
    </sheetView>
  </sheetViews>
  <sheetFormatPr defaultColWidth="11.33203125" defaultRowHeight="15" customHeight="1" x14ac:dyDescent="0.3"/>
  <cols>
    <col min="1" max="1" width="11.33203125" style="53" customWidth="1"/>
    <col min="2" max="2" width="11.33203125" style="53"/>
    <col min="3" max="3" width="16.6640625" style="53" customWidth="1"/>
    <col min="4" max="4" width="0.33203125" style="53" customWidth="1"/>
    <col min="5" max="5" width="33.44140625" style="53" customWidth="1"/>
    <col min="6" max="7" width="11.88671875" style="53" bestFit="1" customWidth="1"/>
    <col min="8" max="18" width="11.44140625" style="53" bestFit="1" customWidth="1"/>
    <col min="19" max="19" width="13.5546875" style="53" customWidth="1"/>
    <col min="20" max="21" width="17.33203125" style="53" customWidth="1"/>
    <col min="22" max="22" width="22.33203125" style="53" bestFit="1" customWidth="1"/>
    <col min="23" max="23" width="11.44140625" style="53" bestFit="1" customWidth="1"/>
    <col min="24" max="24" width="14.109375" style="53" bestFit="1" customWidth="1"/>
    <col min="25" max="32" width="11.33203125" style="53"/>
    <col min="33" max="33" width="17.109375" style="53" bestFit="1" customWidth="1"/>
    <col min="34" max="35" width="16.77734375" style="53" bestFit="1" customWidth="1"/>
    <col min="36" max="36" width="11.33203125" style="53"/>
    <col min="37" max="37" width="16" style="53" bestFit="1" customWidth="1"/>
    <col min="38" max="16384" width="11.33203125" style="53"/>
  </cols>
  <sheetData>
    <row r="1" spans="3:35" ht="69.45" customHeight="1" x14ac:dyDescent="0.3">
      <c r="C1" s="69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</row>
    <row r="2" spans="3:35" ht="35.4" customHeight="1" x14ac:dyDescent="0.3">
      <c r="C2" s="69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</row>
    <row r="3" spans="3:35" ht="13.95" customHeight="1" x14ac:dyDescent="0.3">
      <c r="E3" s="110"/>
      <c r="F3" s="110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3:35" ht="13.95" customHeight="1" x14ac:dyDescent="0.3">
      <c r="E4" s="110" t="s">
        <v>0</v>
      </c>
      <c r="F4" s="110"/>
      <c r="G4" s="56"/>
      <c r="H4" s="356">
        <f>Model2.0!I10</f>
        <v>1.0865743458444694</v>
      </c>
      <c r="I4" s="356">
        <f>Model2.0!J10</f>
        <v>1.0938181748167659</v>
      </c>
      <c r="J4" s="356">
        <f>Model2.0!K10</f>
        <v>1.101110295982211</v>
      </c>
      <c r="K4" s="356">
        <f>Model2.0!L10</f>
        <v>1.108451031288759</v>
      </c>
      <c r="L4" s="356">
        <f>Model2.0!M10</f>
        <v>1.115840704830684</v>
      </c>
      <c r="M4" s="356">
        <f>Model2.0!N10</f>
        <v>1.1232796428628884</v>
      </c>
      <c r="N4" s="356">
        <f>Model2.0!O10</f>
        <v>1.1307681738153075</v>
      </c>
      <c r="O4" s="356">
        <f>Model2.0!P10</f>
        <v>1.1383066283074095</v>
      </c>
      <c r="P4" s="356">
        <f>Model2.0!Q10</f>
        <v>1.1458953391627922</v>
      </c>
      <c r="Q4" s="356">
        <f>Model2.0!R10</f>
        <v>1.1535346414238774</v>
      </c>
      <c r="R4" s="356">
        <f>Model2.0!S10</f>
        <v>1.1612248723667031</v>
      </c>
      <c r="S4" s="356">
        <f>Model2.0!T10</f>
        <v>1.1689663715158145</v>
      </c>
    </row>
    <row r="5" spans="3:35" ht="13.95" customHeight="1" x14ac:dyDescent="0.3">
      <c r="E5" s="110" t="s">
        <v>1</v>
      </c>
      <c r="F5" s="110"/>
      <c r="G5" s="56"/>
      <c r="H5" s="113">
        <f>Model2.0!I11</f>
        <v>8.2781456953642391E-2</v>
      </c>
      <c r="I5" s="113">
        <f>Model2.0!J11</f>
        <v>8.2781456953642391E-2</v>
      </c>
      <c r="J5" s="113">
        <f>Model2.0!K11</f>
        <v>8.2781456953642391E-2</v>
      </c>
      <c r="K5" s="113">
        <f>Model2.0!L11</f>
        <v>8.2781456953642391E-2</v>
      </c>
      <c r="L5" s="113">
        <f>Model2.0!M11</f>
        <v>8.2781456953642391E-2</v>
      </c>
      <c r="M5" s="113">
        <f>Model2.0!N11</f>
        <v>8.2781456953642391E-2</v>
      </c>
      <c r="N5" s="113">
        <f>Model2.0!O11</f>
        <v>8.2781456953642391E-2</v>
      </c>
      <c r="O5" s="113">
        <f>Model2.0!P11</f>
        <v>8.2781456953642391E-2</v>
      </c>
      <c r="P5" s="113">
        <f>Model2.0!Q11</f>
        <v>8.2781456953642391E-2</v>
      </c>
      <c r="Q5" s="113">
        <f>Model2.0!R11</f>
        <v>8.2781456953642391E-2</v>
      </c>
      <c r="R5" s="113">
        <f>Model2.0!S11</f>
        <v>8.2781456953642391E-2</v>
      </c>
      <c r="S5" s="113">
        <f>Model2.0!T11</f>
        <v>8.2781456953642391E-2</v>
      </c>
    </row>
    <row r="6" spans="3:35" ht="13.95" customHeight="1" x14ac:dyDescent="0.3">
      <c r="E6" s="110"/>
      <c r="F6" s="110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</row>
    <row r="7" spans="3:35" ht="6" customHeight="1" thickBot="1" x14ac:dyDescent="0.35">
      <c r="E7" s="110"/>
      <c r="F7" s="110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3:35" ht="24.9" customHeight="1" thickBot="1" x14ac:dyDescent="0.35">
      <c r="D8" s="109"/>
      <c r="E8" s="106" t="s">
        <v>2</v>
      </c>
      <c r="F8" s="108" t="s">
        <v>3</v>
      </c>
      <c r="G8" s="108" t="s">
        <v>4</v>
      </c>
      <c r="H8" s="108">
        <f>Model2.0!I7</f>
        <v>46142</v>
      </c>
      <c r="I8" s="108">
        <f>Model2.0!J7</f>
        <v>46173</v>
      </c>
      <c r="J8" s="108">
        <f>Model2.0!K7</f>
        <v>46203</v>
      </c>
      <c r="K8" s="108">
        <f>Model2.0!L7</f>
        <v>46234</v>
      </c>
      <c r="L8" s="108">
        <f>Model2.0!M7</f>
        <v>46265</v>
      </c>
      <c r="M8" s="108">
        <f>Model2.0!N7</f>
        <v>46295</v>
      </c>
      <c r="N8" s="108">
        <f>Model2.0!O7</f>
        <v>46326</v>
      </c>
      <c r="O8" s="108">
        <f>Model2.0!P7</f>
        <v>46356</v>
      </c>
      <c r="P8" s="108">
        <f>Model2.0!Q7</f>
        <v>46387</v>
      </c>
      <c r="Q8" s="108">
        <f>Model2.0!R7</f>
        <v>46418</v>
      </c>
      <c r="R8" s="108">
        <f>Model2.0!S7</f>
        <v>46446</v>
      </c>
      <c r="S8" s="108">
        <f>Model2.0!T7</f>
        <v>46477</v>
      </c>
      <c r="T8" s="107"/>
      <c r="U8" s="106" t="s">
        <v>5</v>
      </c>
      <c r="V8" s="105" t="s">
        <v>6</v>
      </c>
    </row>
    <row r="9" spans="3:35" thickTop="1" x14ac:dyDescent="0.3">
      <c r="E9" s="68" t="s">
        <v>7</v>
      </c>
      <c r="F9" s="61">
        <f>G9/12</f>
        <v>69400.819166666668</v>
      </c>
      <c r="G9" s="61">
        <f>Model2.0!F19</f>
        <v>832809.83</v>
      </c>
      <c r="H9" s="104">
        <f>Model2.0!I19</f>
        <v>89048.545466666648</v>
      </c>
      <c r="I9" s="104">
        <f>Model2.0!J19</f>
        <v>89642.202436444422</v>
      </c>
      <c r="J9" s="104">
        <f>Model2.0!K19</f>
        <v>90239.817119354062</v>
      </c>
      <c r="K9" s="104">
        <f>Model2.0!L19</f>
        <v>90841.415900149746</v>
      </c>
      <c r="L9" s="104">
        <f>Model2.0!M19</f>
        <v>91447.025339484069</v>
      </c>
      <c r="M9" s="104">
        <f>Model2.0!N19</f>
        <v>92056.672175080617</v>
      </c>
      <c r="N9" s="104">
        <f>Model2.0!O19</f>
        <v>92670.38332291448</v>
      </c>
      <c r="O9" s="104">
        <f>Model2.0!P19</f>
        <v>93288.185878400574</v>
      </c>
      <c r="P9" s="104">
        <f>Model2.0!Q19</f>
        <v>93910.107117589898</v>
      </c>
      <c r="Q9" s="104">
        <f>Model2.0!R19</f>
        <v>94536.174498373832</v>
      </c>
      <c r="R9" s="104">
        <f>Model2.0!S19</f>
        <v>95166.415661696316</v>
      </c>
      <c r="S9" s="104">
        <f>Model2.0!T19</f>
        <v>95800.858432774286</v>
      </c>
      <c r="T9" s="82">
        <f>Model2.0!BR19</f>
        <v>1108647.8033489289</v>
      </c>
      <c r="U9" s="76">
        <f>Model2.0!BS19</f>
        <v>1133367.2340024884</v>
      </c>
      <c r="V9" s="76">
        <f>Model2.0!BT19</f>
        <v>-24719.43065355951</v>
      </c>
      <c r="X9" s="229">
        <f>SUM(H9:S9)</f>
        <v>1108647.8033489289</v>
      </c>
      <c r="Y9" s="229">
        <f>X9-U9</f>
        <v>-24719.43065355951</v>
      </c>
      <c r="Z9" s="53" t="str">
        <f>IF(Y9=V9,"OK","Check")</f>
        <v>OK</v>
      </c>
    </row>
    <row r="10" spans="3:35" s="55" customFormat="1" ht="14.4" x14ac:dyDescent="0.3">
      <c r="D10" s="96"/>
      <c r="E10" s="103" t="s">
        <v>8</v>
      </c>
      <c r="F10" s="61">
        <f>G10/12</f>
        <v>0</v>
      </c>
      <c r="G10" s="61">
        <f>Model2.0!F20</f>
        <v>0</v>
      </c>
      <c r="H10" s="102">
        <f>Model2.0!I20</f>
        <v>0</v>
      </c>
      <c r="I10" s="102">
        <f>Model2.0!J20</f>
        <v>0</v>
      </c>
      <c r="J10" s="102">
        <f>Model2.0!K20</f>
        <v>0</v>
      </c>
      <c r="K10" s="102">
        <f>Model2.0!L20</f>
        <v>4542.0707950074875</v>
      </c>
      <c r="L10" s="102">
        <f>Model2.0!M20</f>
        <v>9114.4220619816915</v>
      </c>
      <c r="M10" s="102">
        <f>Model2.0!N20</f>
        <v>13717.255670735722</v>
      </c>
      <c r="N10" s="102">
        <f>Model2.0!O20</f>
        <v>15570.663337194012</v>
      </c>
      <c r="O10" s="102">
        <f>Model2.0!P20</f>
        <v>17436.427054762022</v>
      </c>
      <c r="P10" s="102">
        <f>Model2.0!Q20</f>
        <v>19314.62919711382</v>
      </c>
      <c r="Q10" s="102">
        <f>Model2.0!R20</f>
        <v>21205.352687081297</v>
      </c>
      <c r="R10" s="102">
        <f>Model2.0!S20</f>
        <v>23108.681000315224</v>
      </c>
      <c r="S10" s="102">
        <f>Model2.0!T20</f>
        <v>25024.69816897071</v>
      </c>
      <c r="T10" s="83">
        <f>Model2.0!BR20</f>
        <v>149034.19997316197</v>
      </c>
      <c r="U10" s="93">
        <f>Model2.0!BS20</f>
        <v>0</v>
      </c>
      <c r="V10" s="93">
        <f>Model2.0!BT20</f>
        <v>149034.19997316197</v>
      </c>
      <c r="X10" s="229">
        <f t="shared" ref="X10:X45" si="0">SUM(H10:S10)</f>
        <v>149034.19997316197</v>
      </c>
      <c r="Y10" s="229">
        <f t="shared" ref="Y10:Y19" si="1">X10-U10</f>
        <v>149034.19997316197</v>
      </c>
      <c r="Z10" s="53" t="str">
        <f t="shared" ref="Z10:Z45" si="2">IF(Y10=V10,"OK","Check")</f>
        <v>OK</v>
      </c>
    </row>
    <row r="11" spans="3:35" x14ac:dyDescent="0.3">
      <c r="E11" s="68" t="s">
        <v>9</v>
      </c>
      <c r="F11" s="61">
        <f>G11/12</f>
        <v>0</v>
      </c>
      <c r="G11" s="61">
        <f>Model2.0!F21</f>
        <v>0</v>
      </c>
      <c r="H11" s="79">
        <f>Model2.0!I21</f>
        <v>-3214.7489338146797</v>
      </c>
      <c r="I11" s="79">
        <f>Model2.0!J21</f>
        <v>-3236.1805933734445</v>
      </c>
      <c r="J11" s="79">
        <f>Model2.0!K21</f>
        <v>-3257.755130662601</v>
      </c>
      <c r="K11" s="79">
        <f>Model2.0!L21</f>
        <v>-3279.4734982003511</v>
      </c>
      <c r="L11" s="79">
        <f>Model2.0!M21</f>
        <v>-3301.3366548550202</v>
      </c>
      <c r="M11" s="79">
        <f>Model2.0!N21</f>
        <v>-3323.3455658873863</v>
      </c>
      <c r="N11" s="79">
        <f>Model2.0!O21</f>
        <v>-3345.5012029933018</v>
      </c>
      <c r="O11" s="79">
        <f>Model2.0!P21</f>
        <v>-3367.8045443465903</v>
      </c>
      <c r="P11" s="79">
        <f>Model2.0!Q21</f>
        <v>-3390.2565746422342</v>
      </c>
      <c r="Q11" s="79">
        <f>Model2.0!R21</f>
        <v>-3412.8582851398487</v>
      </c>
      <c r="R11" s="79">
        <f>Model2.0!S21</f>
        <v>-3435.6106737074474</v>
      </c>
      <c r="S11" s="79">
        <f>Model2.0!T21</f>
        <v>-3458.5147448654975</v>
      </c>
      <c r="T11" s="87">
        <f>Model2.0!BR21</f>
        <v>-40023.386402488395</v>
      </c>
      <c r="U11" s="78">
        <f>Model2.0!BS21</f>
        <v>-40023.386402488395</v>
      </c>
      <c r="V11" s="78">
        <f>Model2.0!BT21</f>
        <v>0</v>
      </c>
      <c r="X11" s="229">
        <f t="shared" si="0"/>
        <v>-40023.386402488395</v>
      </c>
      <c r="Y11" s="229">
        <f t="shared" si="1"/>
        <v>0</v>
      </c>
      <c r="Z11" s="53" t="str">
        <f t="shared" si="2"/>
        <v>OK</v>
      </c>
      <c r="AC11" s="55"/>
    </row>
    <row r="12" spans="3:35" x14ac:dyDescent="0.3">
      <c r="E12" s="90" t="s">
        <v>10</v>
      </c>
      <c r="F12" s="61">
        <f>G12/12</f>
        <v>69400.819166666668</v>
      </c>
      <c r="G12" s="61">
        <f>Model2.0!F22</f>
        <v>832809.83</v>
      </c>
      <c r="H12" s="67">
        <f>Model2.0!I22</f>
        <v>85833.796532851964</v>
      </c>
      <c r="I12" s="67">
        <f>Model2.0!J22</f>
        <v>86406.021843070979</v>
      </c>
      <c r="J12" s="67">
        <f>Model2.0!K22</f>
        <v>86982.061988691465</v>
      </c>
      <c r="K12" s="67">
        <f>Model2.0!L22</f>
        <v>92104.013196956876</v>
      </c>
      <c r="L12" s="67">
        <f>Model2.0!M22</f>
        <v>97260.110746610735</v>
      </c>
      <c r="M12" s="67">
        <f>Model2.0!N22</f>
        <v>102450.58227992895</v>
      </c>
      <c r="N12" s="67">
        <f>Model2.0!O22</f>
        <v>104895.54545711519</v>
      </c>
      <c r="O12" s="67">
        <f>Model2.0!P22</f>
        <v>107356.808388816</v>
      </c>
      <c r="P12" s="67">
        <f>Model2.0!Q22</f>
        <v>109834.47974006148</v>
      </c>
      <c r="Q12" s="67">
        <f>Model2.0!R22</f>
        <v>112328.66890031527</v>
      </c>
      <c r="R12" s="67">
        <f>Model2.0!S22</f>
        <v>114839.48598830409</v>
      </c>
      <c r="S12" s="67">
        <f>Model2.0!T22</f>
        <v>117367.04185687948</v>
      </c>
      <c r="T12" s="87">
        <f>Model2.0!BR22</f>
        <v>1217658.6169196025</v>
      </c>
      <c r="U12" s="78">
        <f>Model2.0!BS22</f>
        <v>1093343.8476</v>
      </c>
      <c r="V12" s="78">
        <f>Model2.0!BT22</f>
        <v>124314.76931960252</v>
      </c>
      <c r="X12" s="229">
        <f t="shared" si="0"/>
        <v>1217658.6169196023</v>
      </c>
      <c r="Y12" s="229">
        <f>SUM(Y9:Y11)</f>
        <v>124314.76931960246</v>
      </c>
      <c r="Z12" s="53" t="str">
        <f>IF(ABS(Y12-V12)&lt;1,"OK","Check")</f>
        <v>OK</v>
      </c>
      <c r="AC12" s="55"/>
    </row>
    <row r="13" spans="3:35" x14ac:dyDescent="0.3">
      <c r="E13" s="64"/>
      <c r="F13" s="61"/>
      <c r="G13" s="61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2"/>
      <c r="U13" s="78"/>
      <c r="V13" s="78"/>
      <c r="X13" s="229"/>
      <c r="Y13" s="229"/>
      <c r="AC13" s="55"/>
    </row>
    <row r="14" spans="3:35" ht="14.4" x14ac:dyDescent="0.3">
      <c r="C14" s="53" t="s">
        <v>380</v>
      </c>
      <c r="E14" s="68" t="s">
        <v>11</v>
      </c>
      <c r="F14" s="61">
        <f t="shared" ref="F14:F19" si="3">G14/12</f>
        <v>1847.09375</v>
      </c>
      <c r="G14" s="61">
        <f>Model2.0!F27</f>
        <v>22165.125</v>
      </c>
      <c r="H14" s="67">
        <f>Model2.0!I27</f>
        <v>580</v>
      </c>
      <c r="I14" s="67">
        <f>Model2.0!J27</f>
        <v>580</v>
      </c>
      <c r="J14" s="67">
        <f>Model2.0!K27</f>
        <v>580</v>
      </c>
      <c r="K14" s="67">
        <f>Model2.0!L27</f>
        <v>580</v>
      </c>
      <c r="L14" s="67">
        <f>Model2.0!M27</f>
        <v>580</v>
      </c>
      <c r="M14" s="67">
        <f>Model2.0!N27</f>
        <v>580</v>
      </c>
      <c r="N14" s="67">
        <f>Model2.0!O27</f>
        <v>580</v>
      </c>
      <c r="O14" s="67">
        <f>Model2.0!P27</f>
        <v>580</v>
      </c>
      <c r="P14" s="67">
        <f>Model2.0!Q27</f>
        <v>580</v>
      </c>
      <c r="Q14" s="67">
        <f>Model2.0!R27</f>
        <v>580</v>
      </c>
      <c r="R14" s="67">
        <f>Model2.0!S27</f>
        <v>580</v>
      </c>
      <c r="S14" s="67">
        <f>Model2.0!T27</f>
        <v>580</v>
      </c>
      <c r="T14" s="82">
        <f>Model2.0!BR27</f>
        <v>6960</v>
      </c>
      <c r="U14" s="76">
        <f>Model2.0!BS27</f>
        <v>6960</v>
      </c>
      <c r="V14" s="76">
        <f>Model2.0!BT27</f>
        <v>0</v>
      </c>
      <c r="X14" s="229">
        <f t="shared" si="0"/>
        <v>6960</v>
      </c>
      <c r="Y14" s="229">
        <f t="shared" si="1"/>
        <v>0</v>
      </c>
      <c r="Z14" s="53" t="str">
        <f>IF(Y14=V14,"OK","Check")</f>
        <v>OK</v>
      </c>
      <c r="AC14" s="55"/>
    </row>
    <row r="15" spans="3:35" ht="14.4" x14ac:dyDescent="0.3">
      <c r="C15" s="53" t="s">
        <v>380</v>
      </c>
      <c r="E15" s="68" t="s">
        <v>12</v>
      </c>
      <c r="F15" s="61">
        <f t="shared" si="3"/>
        <v>1847.09375</v>
      </c>
      <c r="G15" s="61">
        <f>Model2.0!F28</f>
        <v>22165.125</v>
      </c>
      <c r="H15" s="79">
        <f>Model2.0!I28</f>
        <v>2392.1445959909297</v>
      </c>
      <c r="I15" s="79">
        <f>Model2.0!J28</f>
        <v>2344.3017040711111</v>
      </c>
      <c r="J15" s="79">
        <f>Model2.0!K28</f>
        <v>2297.4156699896889</v>
      </c>
      <c r="K15" s="79">
        <f>Model2.0!L28</f>
        <v>2251.4673565898952</v>
      </c>
      <c r="L15" s="79">
        <f>Model2.0!M28</f>
        <v>2206.4380094580974</v>
      </c>
      <c r="M15" s="79">
        <f>Model2.0!N28</f>
        <v>2162.3092492689357</v>
      </c>
      <c r="N15" s="79">
        <f>Model2.0!O28</f>
        <v>2119.0630642835567</v>
      </c>
      <c r="O15" s="79">
        <f>Model2.0!P28</f>
        <v>2076.6818029978854</v>
      </c>
      <c r="P15" s="79">
        <f>Model2.0!Q28</f>
        <v>2035.1481669379277</v>
      </c>
      <c r="Q15" s="79">
        <f>Model2.0!R28</f>
        <v>1994.4452035991692</v>
      </c>
      <c r="R15" s="79">
        <f>Model2.0!S28</f>
        <v>1954.5562995271857</v>
      </c>
      <c r="S15" s="79">
        <f>Model2.0!T28</f>
        <v>1915.4651735366419</v>
      </c>
      <c r="T15" s="87">
        <f>Model2.0!BR28</f>
        <v>25749.436296251028</v>
      </c>
      <c r="U15" s="76">
        <f>Model2.0!BS28</f>
        <v>25749.436296251028</v>
      </c>
      <c r="V15" s="76">
        <f>Model2.0!BT28</f>
        <v>0</v>
      </c>
      <c r="X15" s="229">
        <f t="shared" si="0"/>
        <v>25749.436296251028</v>
      </c>
      <c r="Y15" s="229">
        <f t="shared" si="1"/>
        <v>0</v>
      </c>
      <c r="Z15" s="53" t="str">
        <f t="shared" si="2"/>
        <v>OK</v>
      </c>
      <c r="AC15" s="55"/>
    </row>
    <row r="16" spans="3:35" s="55" customFormat="1" x14ac:dyDescent="0.3">
      <c r="D16" s="101"/>
      <c r="E16" s="100" t="s">
        <v>13</v>
      </c>
      <c r="F16" s="61">
        <f t="shared" si="3"/>
        <v>2983</v>
      </c>
      <c r="G16" s="61">
        <f>Model2.0!F29</f>
        <v>35796</v>
      </c>
      <c r="H16" s="99">
        <f>Model2.0!I29</f>
        <v>2988.9659999999999</v>
      </c>
      <c r="I16" s="99">
        <f>Model2.0!J29</f>
        <v>2994.9439319999997</v>
      </c>
      <c r="J16" s="99">
        <f>Model2.0!K29</f>
        <v>3000.9338198639998</v>
      </c>
      <c r="K16" s="99">
        <f>Model2.0!L29</f>
        <v>3006.9356875037279</v>
      </c>
      <c r="L16" s="99">
        <f>Model2.0!M29</f>
        <v>3012.9495588787354</v>
      </c>
      <c r="M16" s="99">
        <f>Model2.0!N29</f>
        <v>3018.9754579964929</v>
      </c>
      <c r="N16" s="99">
        <f>Model2.0!O29</f>
        <v>3025.0134089124858</v>
      </c>
      <c r="O16" s="99">
        <f>Model2.0!P29</f>
        <v>3031.0634357303106</v>
      </c>
      <c r="P16" s="99">
        <f>Model2.0!Q29</f>
        <v>3037.1255626017714</v>
      </c>
      <c r="Q16" s="99">
        <f>Model2.0!R29</f>
        <v>3043.1998137269752</v>
      </c>
      <c r="R16" s="99">
        <f>Model2.0!S29</f>
        <v>3049.286213354429</v>
      </c>
      <c r="S16" s="99">
        <f>Model2.0!T29</f>
        <v>3055.3847857811379</v>
      </c>
      <c r="T16" s="98">
        <f>Model2.0!BR29</f>
        <v>0</v>
      </c>
      <c r="U16" s="97">
        <f>Model2.0!BS29</f>
        <v>36264.777676350059</v>
      </c>
      <c r="V16" s="97">
        <f>Model2.0!BT29</f>
        <v>0</v>
      </c>
      <c r="X16" s="229">
        <f t="shared" si="0"/>
        <v>36264.777676350059</v>
      </c>
      <c r="Y16" s="229">
        <f t="shared" si="1"/>
        <v>0</v>
      </c>
      <c r="Z16" s="53" t="str">
        <f t="shared" si="2"/>
        <v>OK</v>
      </c>
      <c r="AG16" s="522">
        <f>T47</f>
        <v>1001731.6619546342</v>
      </c>
      <c r="AH16" s="524">
        <v>634336.54</v>
      </c>
      <c r="AI16" s="524">
        <v>802467.16917329771</v>
      </c>
    </row>
    <row r="17" spans="4:37" s="55" customFormat="1" ht="14.4" x14ac:dyDescent="0.3">
      <c r="D17" s="96"/>
      <c r="E17" s="95" t="s">
        <v>14</v>
      </c>
      <c r="F17" s="61">
        <f t="shared" si="3"/>
        <v>0</v>
      </c>
      <c r="G17" s="61">
        <f>Model2.0!F30</f>
        <v>0</v>
      </c>
      <c r="H17" s="94">
        <f>Model2.0!I30</f>
        <v>2747.84</v>
      </c>
      <c r="I17" s="94">
        <f>Model2.0!J30</f>
        <v>2836.48</v>
      </c>
      <c r="J17" s="94">
        <f>Model2.0!K30</f>
        <v>2925.1200000000003</v>
      </c>
      <c r="K17" s="94">
        <f>Model2.0!L30</f>
        <v>3013.76</v>
      </c>
      <c r="L17" s="94">
        <f>Model2.0!M30</f>
        <v>3102.4</v>
      </c>
      <c r="M17" s="94">
        <f>Model2.0!N30</f>
        <v>3191.0400000000004</v>
      </c>
      <c r="N17" s="94">
        <f>Model2.0!O30</f>
        <v>3279.6800000000003</v>
      </c>
      <c r="O17" s="94">
        <f>Model2.0!P30</f>
        <v>3368.3200000000006</v>
      </c>
      <c r="P17" s="94">
        <f>Model2.0!Q30</f>
        <v>3456.9600000000005</v>
      </c>
      <c r="Q17" s="94">
        <f>Model2.0!R30</f>
        <v>3545.6000000000008</v>
      </c>
      <c r="R17" s="94">
        <f>Model2.0!S30</f>
        <v>3545.6000000000008</v>
      </c>
      <c r="S17" s="94">
        <f>Model2.0!T30</f>
        <v>3545.6000000000008</v>
      </c>
      <c r="T17" s="83">
        <f>Model2.0!BR30</f>
        <v>38558.400000000001</v>
      </c>
      <c r="U17" s="93">
        <f>Model2.0!BS30</f>
        <v>0</v>
      </c>
      <c r="V17" s="93">
        <f>Model2.0!BT30</f>
        <v>2293.6223236499427</v>
      </c>
      <c r="X17" s="229">
        <f t="shared" si="0"/>
        <v>38558.400000000001</v>
      </c>
      <c r="Y17" s="229">
        <f>X17-U17</f>
        <v>38558.400000000001</v>
      </c>
      <c r="Z17" s="53" t="str">
        <f>IF(Y17=V17,"OK","Check")</f>
        <v>Check</v>
      </c>
      <c r="AF17" s="55">
        <v>0.05</v>
      </c>
      <c r="AG17" s="523">
        <f>$AG$16/$AF17</f>
        <v>20034633.239092685</v>
      </c>
      <c r="AH17" s="523">
        <f>AH$16/$AF17</f>
        <v>12686730.800000001</v>
      </c>
      <c r="AI17" s="523">
        <f>AI$16/$AF17</f>
        <v>16049343.383465953</v>
      </c>
      <c r="AK17" s="523">
        <f>AG17-AI17</f>
        <v>3985289.8556267321</v>
      </c>
    </row>
    <row r="18" spans="4:37" ht="14.4" x14ac:dyDescent="0.3">
      <c r="E18" s="92" t="s">
        <v>15</v>
      </c>
      <c r="F18" s="61">
        <f t="shared" si="3"/>
        <v>0</v>
      </c>
      <c r="G18" s="61">
        <f>Model2.0!F31</f>
        <v>0</v>
      </c>
      <c r="H18" s="79">
        <f>Model2.0!I31</f>
        <v>0</v>
      </c>
      <c r="I18" s="79">
        <f>Model2.0!J31</f>
        <v>0</v>
      </c>
      <c r="J18" s="79">
        <f>Model2.0!K31</f>
        <v>0</v>
      </c>
      <c r="K18" s="79">
        <f>Model2.0!L31</f>
        <v>0</v>
      </c>
      <c r="L18" s="79">
        <f>Model2.0!M31</f>
        <v>0</v>
      </c>
      <c r="M18" s="79">
        <f>Model2.0!N31</f>
        <v>0</v>
      </c>
      <c r="N18" s="79">
        <f>Model2.0!O31</f>
        <v>0</v>
      </c>
      <c r="O18" s="79">
        <f>Model2.0!P31</f>
        <v>0</v>
      </c>
      <c r="P18" s="79">
        <f>Model2.0!Q31</f>
        <v>0</v>
      </c>
      <c r="Q18" s="79">
        <f>Model2.0!R31</f>
        <v>0</v>
      </c>
      <c r="R18" s="79">
        <f>Model2.0!S31</f>
        <v>0</v>
      </c>
      <c r="S18" s="79">
        <f>Model2.0!T31</f>
        <v>0</v>
      </c>
      <c r="T18" s="91">
        <f>Model2.0!BR31</f>
        <v>0</v>
      </c>
      <c r="U18" s="81">
        <f>Model2.0!BS31</f>
        <v>0</v>
      </c>
      <c r="V18" s="81">
        <f>Model2.0!BT31</f>
        <v>0</v>
      </c>
      <c r="X18" s="229">
        <f>SUM(H18:S18)</f>
        <v>0</v>
      </c>
      <c r="Y18" s="229">
        <f>X18-U18</f>
        <v>0</v>
      </c>
      <c r="Z18" s="53" t="str">
        <f t="shared" si="2"/>
        <v>OK</v>
      </c>
      <c r="AC18" s="55"/>
      <c r="AF18" s="53">
        <v>5.5E-2</v>
      </c>
      <c r="AG18" s="523">
        <f t="shared" ref="AG18:AG20" si="4">$AG$16/$AF18</f>
        <v>18213302.944629714</v>
      </c>
      <c r="AH18" s="523">
        <f t="shared" ref="AH18:AI20" si="5">AH$16/$AF18</f>
        <v>11533391.636363637</v>
      </c>
      <c r="AI18" s="523">
        <f t="shared" si="5"/>
        <v>14590312.166787231</v>
      </c>
      <c r="AK18" s="523">
        <f t="shared" ref="AK18:AK20" si="6">AG18-AI18</f>
        <v>3622990.7778424826</v>
      </c>
    </row>
    <row r="19" spans="4:37" ht="14.4" x14ac:dyDescent="0.3">
      <c r="E19" s="92" t="s">
        <v>16</v>
      </c>
      <c r="F19" s="61">
        <f t="shared" si="3"/>
        <v>852.66083333333336</v>
      </c>
      <c r="G19" s="61">
        <f>Model2.0!F32</f>
        <v>10231.93</v>
      </c>
      <c r="H19" s="79">
        <f>Model2.0!I32</f>
        <v>849.04136000000005</v>
      </c>
      <c r="I19" s="79">
        <f>Model2.0!J32</f>
        <v>850.73944272000006</v>
      </c>
      <c r="J19" s="79">
        <f>Model2.0!K32</f>
        <v>852.44092160544005</v>
      </c>
      <c r="K19" s="79">
        <f>Model2.0!L32</f>
        <v>854.1458034486509</v>
      </c>
      <c r="L19" s="79">
        <f>Model2.0!M32</f>
        <v>855.85409505554821</v>
      </c>
      <c r="M19" s="79">
        <f>Model2.0!N32</f>
        <v>857.56580324565937</v>
      </c>
      <c r="N19" s="79">
        <f>Model2.0!O32</f>
        <v>859.28093485215072</v>
      </c>
      <c r="O19" s="79">
        <f>Model2.0!P32</f>
        <v>860.99949672185505</v>
      </c>
      <c r="P19" s="79">
        <f>Model2.0!Q32</f>
        <v>862.72149571529872</v>
      </c>
      <c r="Q19" s="79">
        <f>Model2.0!R32</f>
        <v>864.44693870672927</v>
      </c>
      <c r="R19" s="79">
        <f>Model2.0!S32</f>
        <v>866.17583258414277</v>
      </c>
      <c r="S19" s="79">
        <f>Model2.0!T32</f>
        <v>867.90818424931103</v>
      </c>
      <c r="T19" s="91">
        <f>Model2.0!BR32</f>
        <v>10301.320308904786</v>
      </c>
      <c r="U19" s="81">
        <f>Model2.0!BS32</f>
        <v>10301.320308904786</v>
      </c>
      <c r="V19" s="81">
        <f>Model2.0!BT32</f>
        <v>0</v>
      </c>
      <c r="X19" s="229">
        <f t="shared" si="0"/>
        <v>10301.320308904786</v>
      </c>
      <c r="Y19" s="229">
        <f t="shared" si="1"/>
        <v>0</v>
      </c>
      <c r="Z19" s="53" t="str">
        <f t="shared" si="2"/>
        <v>OK</v>
      </c>
      <c r="AC19" s="55"/>
      <c r="AF19" s="53">
        <v>0.06</v>
      </c>
      <c r="AG19" s="523">
        <f t="shared" si="4"/>
        <v>16695527.699243905</v>
      </c>
      <c r="AH19" s="523">
        <f t="shared" si="5"/>
        <v>10572275.666666668</v>
      </c>
      <c r="AI19" s="523">
        <f t="shared" si="5"/>
        <v>13374452.819554962</v>
      </c>
      <c r="AK19" s="523">
        <f t="shared" si="6"/>
        <v>3321074.8796889428</v>
      </c>
    </row>
    <row r="20" spans="4:37" x14ac:dyDescent="0.3">
      <c r="E20" s="64"/>
      <c r="F20" s="61"/>
      <c r="G20" s="61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7"/>
      <c r="U20" s="78"/>
      <c r="V20" s="78"/>
      <c r="X20" s="229"/>
      <c r="Y20" s="229"/>
      <c r="AC20" s="55"/>
      <c r="AF20" s="53">
        <v>6.5000000000000002E-2</v>
      </c>
      <c r="AG20" s="523">
        <f t="shared" si="4"/>
        <v>15411256.337763604</v>
      </c>
      <c r="AH20" s="523">
        <f t="shared" si="5"/>
        <v>9759023.692307692</v>
      </c>
      <c r="AI20" s="523">
        <f t="shared" si="5"/>
        <v>12345648.756512271</v>
      </c>
      <c r="AK20" s="523">
        <f t="shared" si="6"/>
        <v>3065607.5812513325</v>
      </c>
    </row>
    <row r="21" spans="4:37" s="69" customFormat="1" ht="18" x14ac:dyDescent="0.3">
      <c r="D21" s="75"/>
      <c r="E21" s="89" t="s">
        <v>17</v>
      </c>
      <c r="F21" s="61">
        <f>G21/12</f>
        <v>76930.667499999996</v>
      </c>
      <c r="G21" s="61">
        <f>Model2.0!F34</f>
        <v>923168.01</v>
      </c>
      <c r="H21" s="60">
        <f>Model2.0!I34</f>
        <v>92402.822488842896</v>
      </c>
      <c r="I21" s="60">
        <f>Model2.0!J34</f>
        <v>93017.542989862093</v>
      </c>
      <c r="J21" s="60">
        <f>Model2.0!K34</f>
        <v>93637.038580286579</v>
      </c>
      <c r="K21" s="60">
        <f>Model2.0!L34</f>
        <v>98803.386356995426</v>
      </c>
      <c r="L21" s="60">
        <f>Model2.0!M34</f>
        <v>104004.80285112438</v>
      </c>
      <c r="M21" s="60">
        <f>Model2.0!N34</f>
        <v>109241.49733244353</v>
      </c>
      <c r="N21" s="60">
        <f>Model2.0!O34</f>
        <v>111733.56945625092</v>
      </c>
      <c r="O21" s="60">
        <f>Model2.0!P34</f>
        <v>114242.80968853575</v>
      </c>
      <c r="P21" s="60">
        <f>Model2.0!Q34</f>
        <v>116769.30940271472</v>
      </c>
      <c r="Q21" s="60">
        <f>Model2.0!R34</f>
        <v>119313.16104262118</v>
      </c>
      <c r="R21" s="60">
        <f>Model2.0!S34</f>
        <v>121785.81812041542</v>
      </c>
      <c r="S21" s="60">
        <f>Model2.0!T34</f>
        <v>124276.01521466544</v>
      </c>
      <c r="T21" s="73">
        <f>Model2.0!BR34</f>
        <v>1299227.7735247584</v>
      </c>
      <c r="U21" s="88">
        <f>Model2.0!BS34</f>
        <v>1172619.3818815059</v>
      </c>
      <c r="V21" s="88">
        <f>Model2.0!BT34</f>
        <v>126608.39164325246</v>
      </c>
      <c r="X21" s="229">
        <f t="shared" si="0"/>
        <v>1299227.7735247584</v>
      </c>
      <c r="Y21" s="229">
        <f>SUM(Y12:Y19)</f>
        <v>162873.16931960246</v>
      </c>
      <c r="Z21" s="53" t="str">
        <f t="shared" si="2"/>
        <v>Check</v>
      </c>
      <c r="AC21" s="55"/>
    </row>
    <row r="22" spans="4:37" x14ac:dyDescent="0.3">
      <c r="E22" s="64"/>
      <c r="F22" s="61"/>
      <c r="G22" s="61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87"/>
      <c r="U22" s="78"/>
      <c r="V22" s="78"/>
      <c r="X22" s="229"/>
      <c r="AC22" s="55"/>
    </row>
    <row r="23" spans="4:37" ht="14.4" x14ac:dyDescent="0.3">
      <c r="E23" s="86" t="s">
        <v>18</v>
      </c>
      <c r="F23" s="61"/>
      <c r="G23" s="61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2"/>
      <c r="U23" s="76"/>
      <c r="V23" s="76"/>
      <c r="X23" s="229"/>
      <c r="AC23" s="55"/>
    </row>
    <row r="24" spans="4:37" ht="14.4" x14ac:dyDescent="0.3">
      <c r="E24" s="68" t="s">
        <v>19</v>
      </c>
      <c r="F24" s="61">
        <f t="shared" ref="F24:F42" si="7">G24/12</f>
        <v>2904.7849999999994</v>
      </c>
      <c r="G24" s="61">
        <f>Model2.0!F37</f>
        <v>34857.419999999991</v>
      </c>
      <c r="H24" s="67">
        <f>Model2.0!I37</f>
        <v>3000</v>
      </c>
      <c r="I24" s="67">
        <f>Model2.0!J37</f>
        <v>3000</v>
      </c>
      <c r="J24" s="67">
        <f>Model2.0!K37</f>
        <v>3000</v>
      </c>
      <c r="K24" s="67">
        <f>Model2.0!L37</f>
        <v>3000</v>
      </c>
      <c r="L24" s="67">
        <f>Model2.0!M37</f>
        <v>3000</v>
      </c>
      <c r="M24" s="67">
        <f>Model2.0!N37</f>
        <v>3000</v>
      </c>
      <c r="N24" s="67">
        <f>Model2.0!O37</f>
        <v>3000</v>
      </c>
      <c r="O24" s="67">
        <f>Model2.0!P37</f>
        <v>3000</v>
      </c>
      <c r="P24" s="67">
        <f>Model2.0!Q37</f>
        <v>3000</v>
      </c>
      <c r="Q24" s="67">
        <f>Model2.0!R37</f>
        <v>3000</v>
      </c>
      <c r="R24" s="67">
        <f>Model2.0!S37</f>
        <v>3000</v>
      </c>
      <c r="S24" s="67">
        <f>Model2.0!T37</f>
        <v>3000</v>
      </c>
      <c r="T24" s="82">
        <f>Model2.0!BR37</f>
        <v>36000</v>
      </c>
      <c r="U24" s="76">
        <f>Model2.0!BS37</f>
        <v>36000</v>
      </c>
      <c r="V24" s="76">
        <f>Model2.0!BT37</f>
        <v>0</v>
      </c>
      <c r="X24" s="229">
        <f t="shared" si="0"/>
        <v>36000</v>
      </c>
      <c r="Y24" s="229">
        <f>U24-X24</f>
        <v>0</v>
      </c>
      <c r="Z24" s="53" t="str">
        <f t="shared" si="2"/>
        <v>OK</v>
      </c>
      <c r="AC24" s="55"/>
    </row>
    <row r="25" spans="4:37" x14ac:dyDescent="0.3">
      <c r="E25" s="100" t="s">
        <v>20</v>
      </c>
      <c r="F25" s="61">
        <f t="shared" si="7"/>
        <v>1111.1449999999998</v>
      </c>
      <c r="G25" s="61">
        <f>Model2.0!F38</f>
        <v>13333.739999999998</v>
      </c>
      <c r="H25" s="99">
        <f>Model2.0!I38</f>
        <v>1333.3464402242416</v>
      </c>
      <c r="I25" s="99">
        <f>Model2.0!J38</f>
        <v>1342.2166821680498</v>
      </c>
      <c r="J25" s="99">
        <f>Model2.0!K38</f>
        <v>1351.1558272934797</v>
      </c>
      <c r="K25" s="99">
        <f>Model2.0!L38</f>
        <v>1425.7047559029595</v>
      </c>
      <c r="L25" s="99">
        <f>Model2.0!M38</f>
        <v>1500.7597161278798</v>
      </c>
      <c r="M25" s="99">
        <f>Model2.0!N38</f>
        <v>1576.3237276714872</v>
      </c>
      <c r="N25" s="99">
        <f>Model2.0!O38</f>
        <v>1612.2836194319564</v>
      </c>
      <c r="O25" s="99">
        <f>Model2.0!P38</f>
        <v>1648.4912421134866</v>
      </c>
      <c r="P25" s="99">
        <f>Model2.0!Q38</f>
        <v>1684.9479142084849</v>
      </c>
      <c r="Q25" s="99">
        <f>Model2.0!R38</f>
        <v>1721.6549696551672</v>
      </c>
      <c r="R25" s="99">
        <f>Model2.0!S38</f>
        <v>1757.3347078251816</v>
      </c>
      <c r="S25" s="99">
        <f>Model2.0!T38</f>
        <v>1793.2675434425776</v>
      </c>
      <c r="T25" s="98">
        <f>Model2.0!BR38</f>
        <v>0</v>
      </c>
      <c r="U25" s="97">
        <f>Model2.0!BS38</f>
        <v>18747.487146064952</v>
      </c>
      <c r="V25" s="97">
        <f>Model2.0!BT38</f>
        <v>0</v>
      </c>
      <c r="X25" s="229">
        <f t="shared" si="0"/>
        <v>18747.487146064952</v>
      </c>
      <c r="Y25" s="229">
        <f t="shared" ref="Y25:Y42" si="8">U25-X25</f>
        <v>0</v>
      </c>
      <c r="Z25" s="53" t="str">
        <f t="shared" si="2"/>
        <v>OK</v>
      </c>
      <c r="AC25" s="55"/>
    </row>
    <row r="26" spans="4:37" ht="14.4" x14ac:dyDescent="0.3">
      <c r="E26" s="95" t="s">
        <v>21</v>
      </c>
      <c r="F26" s="61">
        <f t="shared" si="7"/>
        <v>0</v>
      </c>
      <c r="G26" s="61">
        <f>Model2.0!F39</f>
        <v>0</v>
      </c>
      <c r="H26" s="94">
        <f>Model2.0!I39</f>
        <v>0</v>
      </c>
      <c r="I26" s="94">
        <f>Model2.0!J39</f>
        <v>0</v>
      </c>
      <c r="J26" s="94">
        <f>Model2.0!K39</f>
        <v>0</v>
      </c>
      <c r="K26" s="94">
        <f>Model2.0!L39</f>
        <v>0</v>
      </c>
      <c r="L26" s="94">
        <f>Model2.0!M39</f>
        <v>0</v>
      </c>
      <c r="M26" s="94">
        <f>Model2.0!N39</f>
        <v>0</v>
      </c>
      <c r="N26" s="94">
        <f>Model2.0!O39</f>
        <v>0</v>
      </c>
      <c r="O26" s="94">
        <f>Model2.0!P39</f>
        <v>0</v>
      </c>
      <c r="P26" s="94">
        <f>Model2.0!Q39</f>
        <v>0</v>
      </c>
      <c r="Q26" s="94">
        <f>Model2.0!R39</f>
        <v>0</v>
      </c>
      <c r="R26" s="94">
        <f>Model2.0!S39</f>
        <v>0</v>
      </c>
      <c r="S26" s="94">
        <f>Model2.0!T39</f>
        <v>0</v>
      </c>
      <c r="T26" s="83">
        <f>Model2.0!BR39</f>
        <v>0</v>
      </c>
      <c r="U26" s="93">
        <f>Model2.0!BS39</f>
        <v>0</v>
      </c>
      <c r="V26" s="93">
        <f>Model2.0!BT39</f>
        <v>18747.487146064952</v>
      </c>
      <c r="X26" s="229">
        <f t="shared" si="0"/>
        <v>0</v>
      </c>
      <c r="Y26" s="229">
        <f>X25-X26</f>
        <v>18747.487146064952</v>
      </c>
      <c r="Z26" s="53" t="str">
        <f t="shared" si="2"/>
        <v>OK</v>
      </c>
      <c r="AC26" s="55"/>
    </row>
    <row r="27" spans="4:37" x14ac:dyDescent="0.3">
      <c r="E27" s="68" t="s">
        <v>22</v>
      </c>
      <c r="F27" s="61">
        <f t="shared" si="7"/>
        <v>0</v>
      </c>
      <c r="G27" s="61">
        <f>Model2.0!F40</f>
        <v>0</v>
      </c>
      <c r="H27" s="79">
        <f>Model2.0!I40</f>
        <v>632.95194244339052</v>
      </c>
      <c r="I27" s="79">
        <f>Model2.0!J40</f>
        <v>632.95194244339052</v>
      </c>
      <c r="J27" s="79">
        <f>Model2.0!K40</f>
        <v>632.95194244339052</v>
      </c>
      <c r="K27" s="79">
        <f>Model2.0!L40</f>
        <v>632.95194244339052</v>
      </c>
      <c r="L27" s="79">
        <f>Model2.0!M40</f>
        <v>632.95194244339052</v>
      </c>
      <c r="M27" s="79">
        <f>Model2.0!N40</f>
        <v>632.95194244339052</v>
      </c>
      <c r="N27" s="79">
        <f>Model2.0!O40</f>
        <v>632.95194244339052</v>
      </c>
      <c r="O27" s="79">
        <f>Model2.0!P40</f>
        <v>632.95194244339052</v>
      </c>
      <c r="P27" s="79">
        <f>Model2.0!Q40</f>
        <v>632.95194244339052</v>
      </c>
      <c r="Q27" s="79">
        <f>Model2.0!R40</f>
        <v>632.95194244339052</v>
      </c>
      <c r="R27" s="79">
        <f>Model2.0!S40</f>
        <v>632.95194244339052</v>
      </c>
      <c r="S27" s="79">
        <f>Model2.0!T40</f>
        <v>632.95194244339052</v>
      </c>
      <c r="T27" s="77">
        <f>Model2.0!BR40</f>
        <v>7595.4233093206849</v>
      </c>
      <c r="U27" s="80">
        <f>Model2.0!BS40</f>
        <v>7595.4233093206849</v>
      </c>
      <c r="V27" s="80">
        <f>Model2.0!BT40</f>
        <v>0</v>
      </c>
      <c r="X27" s="229">
        <f t="shared" si="0"/>
        <v>7595.4233093206849</v>
      </c>
      <c r="Y27" s="229">
        <f t="shared" si="8"/>
        <v>0</v>
      </c>
      <c r="Z27" s="53" t="str">
        <f t="shared" si="2"/>
        <v>OK</v>
      </c>
      <c r="AC27" s="55"/>
    </row>
    <row r="28" spans="4:37" ht="14.4" x14ac:dyDescent="0.3">
      <c r="E28" s="68" t="s">
        <v>23</v>
      </c>
      <c r="F28" s="61">
        <f t="shared" si="7"/>
        <v>34.1875</v>
      </c>
      <c r="G28" s="61">
        <f>Model2.0!F41</f>
        <v>410.25</v>
      </c>
      <c r="H28" s="67">
        <f>Model2.0!I41</f>
        <v>34.187499999999993</v>
      </c>
      <c r="I28" s="67">
        <f>Model2.0!J41</f>
        <v>34.187499999999993</v>
      </c>
      <c r="J28" s="67">
        <f>Model2.0!K41</f>
        <v>34.187499999999993</v>
      </c>
      <c r="K28" s="67">
        <f>Model2.0!L41</f>
        <v>34.187499999999993</v>
      </c>
      <c r="L28" s="67">
        <f>Model2.0!M41</f>
        <v>34.187499999999993</v>
      </c>
      <c r="M28" s="67">
        <f>Model2.0!N41</f>
        <v>34.187499999999993</v>
      </c>
      <c r="N28" s="67">
        <f>Model2.0!O41</f>
        <v>34.187499999999993</v>
      </c>
      <c r="O28" s="67">
        <f>Model2.0!P41</f>
        <v>34.187499999999993</v>
      </c>
      <c r="P28" s="67">
        <f>Model2.0!Q41</f>
        <v>34.187499999999993</v>
      </c>
      <c r="Q28" s="67">
        <f>Model2.0!R41</f>
        <v>34.187499999999993</v>
      </c>
      <c r="R28" s="67">
        <f>Model2.0!S41</f>
        <v>34.187499999999993</v>
      </c>
      <c r="S28" s="67">
        <f>Model2.0!T41</f>
        <v>34.187499999999993</v>
      </c>
      <c r="T28" s="77">
        <f>Model2.0!BR41</f>
        <v>410.24999999999994</v>
      </c>
      <c r="U28" s="76">
        <f>Model2.0!BS41</f>
        <v>410.24999999999994</v>
      </c>
      <c r="V28" s="76">
        <f>Model2.0!BT41</f>
        <v>0</v>
      </c>
      <c r="X28" s="229">
        <f t="shared" si="0"/>
        <v>410.24999999999994</v>
      </c>
      <c r="Y28" s="229">
        <f t="shared" si="8"/>
        <v>0</v>
      </c>
      <c r="Z28" s="53" t="str">
        <f t="shared" si="2"/>
        <v>OK</v>
      </c>
      <c r="AC28" s="55"/>
    </row>
    <row r="29" spans="4:37" x14ac:dyDescent="0.3">
      <c r="E29" s="85" t="s">
        <v>24</v>
      </c>
      <c r="F29" s="61">
        <f t="shared" si="7"/>
        <v>3910.3633333333332</v>
      </c>
      <c r="G29" s="61">
        <f>Model2.0!F42</f>
        <v>46924.36</v>
      </c>
      <c r="H29" s="99">
        <f>Model2.0!I42</f>
        <v>5150.0277919711179</v>
      </c>
      <c r="I29" s="99">
        <f>Model2.0!J42</f>
        <v>5184.3613105842587</v>
      </c>
      <c r="J29" s="99">
        <f>Model2.0!K42</f>
        <v>5218.9237193214876</v>
      </c>
      <c r="K29" s="99">
        <f>Model2.0!L42</f>
        <v>5526.2407918174122</v>
      </c>
      <c r="L29" s="99">
        <f>Model2.0!M42</f>
        <v>5835.6066447966441</v>
      </c>
      <c r="M29" s="99">
        <f>Model2.0!N42</f>
        <v>6147.0349367957369</v>
      </c>
      <c r="N29" s="99">
        <f>Model2.0!O42</f>
        <v>6293.732727426911</v>
      </c>
      <c r="O29" s="99">
        <f>Model2.0!P42</f>
        <v>6441.4085033289603</v>
      </c>
      <c r="P29" s="99">
        <f>Model2.0!Q42</f>
        <v>6590.0687844036884</v>
      </c>
      <c r="Q29" s="99">
        <f>Model2.0!R42</f>
        <v>6739.7201340189158</v>
      </c>
      <c r="R29" s="99">
        <f>Model2.0!S42</f>
        <v>6890.369159298245</v>
      </c>
      <c r="S29" s="99">
        <f>Model2.0!T42</f>
        <v>7042.0225114127688</v>
      </c>
      <c r="T29" s="98">
        <f>Model2.0!BR42</f>
        <v>0</v>
      </c>
      <c r="U29" s="97">
        <f>Model2.0!BS42</f>
        <v>73059.517015176141</v>
      </c>
      <c r="V29" s="97">
        <f>Model2.0!BT42</f>
        <v>0</v>
      </c>
      <c r="X29" s="229">
        <f t="shared" si="0"/>
        <v>73059.517015176141</v>
      </c>
      <c r="Y29" s="229">
        <f t="shared" si="8"/>
        <v>0</v>
      </c>
      <c r="Z29" s="53" t="str">
        <f t="shared" si="2"/>
        <v>OK</v>
      </c>
      <c r="AC29" s="55"/>
    </row>
    <row r="30" spans="4:37" ht="14.4" x14ac:dyDescent="0.3">
      <c r="E30" s="84" t="s">
        <v>25</v>
      </c>
      <c r="F30" s="61">
        <f t="shared" si="7"/>
        <v>0</v>
      </c>
      <c r="G30" s="61">
        <f>Model2.0!F43</f>
        <v>0</v>
      </c>
      <c r="H30" s="94">
        <f>Model2.0!I43</f>
        <v>3433.3518613140786</v>
      </c>
      <c r="I30" s="94">
        <f>Model2.0!J43</f>
        <v>3456.2408737228393</v>
      </c>
      <c r="J30" s="94">
        <f>Model2.0!K43</f>
        <v>3479.2824795476586</v>
      </c>
      <c r="K30" s="94">
        <f>Model2.0!L43</f>
        <v>3684.1605278782749</v>
      </c>
      <c r="L30" s="94">
        <f>Model2.0!M43</f>
        <v>3890.4044298644294</v>
      </c>
      <c r="M30" s="94">
        <f>Model2.0!N43</f>
        <v>4098.023291197158</v>
      </c>
      <c r="N30" s="94">
        <f>Model2.0!O43</f>
        <v>4195.8218182846076</v>
      </c>
      <c r="O30" s="94">
        <f>Model2.0!P43</f>
        <v>4294.2723355526405</v>
      </c>
      <c r="P30" s="94">
        <f>Model2.0!Q43</f>
        <v>4393.3791896024595</v>
      </c>
      <c r="Q30" s="94">
        <f>Model2.0!R43</f>
        <v>4493.1467560126111</v>
      </c>
      <c r="R30" s="94">
        <f>Model2.0!S43</f>
        <v>4593.5794395321636</v>
      </c>
      <c r="S30" s="94">
        <f>Model2.0!T43</f>
        <v>4694.6816742751798</v>
      </c>
      <c r="T30" s="83">
        <f>Model2.0!BR43</f>
        <v>48706.344676784109</v>
      </c>
      <c r="U30" s="93">
        <f>Model2.0!BS43</f>
        <v>0</v>
      </c>
      <c r="V30" s="93">
        <f>Model2.0!BT43</f>
        <v>24353.172338392033</v>
      </c>
      <c r="W30" s="64"/>
      <c r="X30" s="229">
        <f t="shared" si="0"/>
        <v>48706.344676784109</v>
      </c>
      <c r="Y30" s="229">
        <f>X29-X30</f>
        <v>24353.172338392033</v>
      </c>
      <c r="Z30" s="53" t="str">
        <f t="shared" si="2"/>
        <v>OK</v>
      </c>
      <c r="AC30" s="55"/>
    </row>
    <row r="31" spans="4:37" x14ac:dyDescent="0.3">
      <c r="E31" s="68" t="s">
        <v>26</v>
      </c>
      <c r="F31" s="61">
        <f t="shared" si="7"/>
        <v>7490.359166666668</v>
      </c>
      <c r="G31" s="61">
        <f>Model2.0!F44</f>
        <v>89884.310000000012</v>
      </c>
      <c r="H31" s="79">
        <f>Model2.0!I44</f>
        <v>7918.5719653349443</v>
      </c>
      <c r="I31" s="79">
        <f>Model2.0!J44</f>
        <v>7918.5719653349443</v>
      </c>
      <c r="J31" s="79">
        <f>Model2.0!K44</f>
        <v>7918.5719653349443</v>
      </c>
      <c r="K31" s="79">
        <f>Model2.0!L44</f>
        <v>7918.5719653349443</v>
      </c>
      <c r="L31" s="79">
        <f>Model2.0!M44</f>
        <v>7918.5719653349443</v>
      </c>
      <c r="M31" s="79">
        <f>Model2.0!N44</f>
        <v>7918.5719653349443</v>
      </c>
      <c r="N31" s="79">
        <f>Model2.0!O44</f>
        <v>7918.5719653349443</v>
      </c>
      <c r="O31" s="79">
        <f>Model2.0!P44</f>
        <v>7918.5719653349443</v>
      </c>
      <c r="P31" s="79">
        <f>Model2.0!Q44</f>
        <v>7918.5719653349443</v>
      </c>
      <c r="Q31" s="79">
        <f>Model2.0!R44</f>
        <v>7918.5719653349443</v>
      </c>
      <c r="R31" s="79">
        <f>Model2.0!S44</f>
        <v>7918.5719653349443</v>
      </c>
      <c r="S31" s="79">
        <f>Model2.0!T44</f>
        <v>7918.5719653349443</v>
      </c>
      <c r="T31" s="77">
        <f>Model2.0!BR44</f>
        <v>95022.863584019302</v>
      </c>
      <c r="U31" s="78">
        <f>Model2.0!BS44</f>
        <v>91681.996200000009</v>
      </c>
      <c r="V31" s="78">
        <f>Model2.0!BT44</f>
        <v>-3340.8673840192932</v>
      </c>
      <c r="W31" s="64"/>
      <c r="X31" s="229">
        <f t="shared" si="0"/>
        <v>95022.863584019302</v>
      </c>
      <c r="Y31" s="229">
        <f t="shared" si="8"/>
        <v>-3340.8673840192932</v>
      </c>
      <c r="Z31" s="53" t="str">
        <f t="shared" si="2"/>
        <v>OK</v>
      </c>
      <c r="AC31" s="55"/>
    </row>
    <row r="32" spans="4:37" x14ac:dyDescent="0.3">
      <c r="E32" s="68" t="s">
        <v>27</v>
      </c>
      <c r="F32" s="61">
        <f t="shared" si="7"/>
        <v>138.32666666666668</v>
      </c>
      <c r="G32" s="61">
        <f>Model2.0!F45</f>
        <v>1659.92</v>
      </c>
      <c r="H32" s="67">
        <f>Model2.0!I45</f>
        <v>138.32666666666668</v>
      </c>
      <c r="I32" s="67">
        <f>Model2.0!J45</f>
        <v>138.32666666666668</v>
      </c>
      <c r="J32" s="67">
        <f>Model2.0!K45</f>
        <v>138.32666666666668</v>
      </c>
      <c r="K32" s="67">
        <f>Model2.0!L45</f>
        <v>138.32666666666668</v>
      </c>
      <c r="L32" s="67">
        <f>Model2.0!M45</f>
        <v>138.32666666666668</v>
      </c>
      <c r="M32" s="67">
        <f>Model2.0!N45</f>
        <v>138.32666666666668</v>
      </c>
      <c r="N32" s="67">
        <f>Model2.0!O45</f>
        <v>138.32666666666668</v>
      </c>
      <c r="O32" s="67">
        <f>Model2.0!P45</f>
        <v>138.32666666666668</v>
      </c>
      <c r="P32" s="67">
        <f>Model2.0!Q45</f>
        <v>138.32666666666668</v>
      </c>
      <c r="Q32" s="67">
        <f>Model2.0!R45</f>
        <v>138.32666666666668</v>
      </c>
      <c r="R32" s="67">
        <f>Model2.0!S45</f>
        <v>138.32666666666668</v>
      </c>
      <c r="S32" s="67">
        <f>Model2.0!T45</f>
        <v>138.32666666666668</v>
      </c>
      <c r="T32" s="77">
        <f>Model2.0!BR45</f>
        <v>1659.9199999999998</v>
      </c>
      <c r="U32" s="78">
        <f>Model2.0!BS45</f>
        <v>1659.9199999999998</v>
      </c>
      <c r="V32" s="78">
        <f>Model2.0!BT45</f>
        <v>0</v>
      </c>
      <c r="W32" s="64"/>
      <c r="X32" s="229">
        <f t="shared" si="0"/>
        <v>1659.9199999999998</v>
      </c>
      <c r="Y32" s="229">
        <f t="shared" si="8"/>
        <v>0</v>
      </c>
      <c r="Z32" s="53" t="str">
        <f t="shared" si="2"/>
        <v>OK</v>
      </c>
      <c r="AC32" s="55"/>
    </row>
    <row r="33" spans="4:33" ht="14.4" x14ac:dyDescent="0.3">
      <c r="E33" s="68" t="s">
        <v>28</v>
      </c>
      <c r="F33" s="61">
        <f t="shared" si="7"/>
        <v>3315.6358333333324</v>
      </c>
      <c r="G33" s="61">
        <f>Model2.0!F46</f>
        <v>39787.62999999999</v>
      </c>
      <c r="H33" s="79">
        <f>Model2.0!I46</f>
        <v>3315.6358333333324</v>
      </c>
      <c r="I33" s="79">
        <f>Model2.0!J46</f>
        <v>3315.6358333333324</v>
      </c>
      <c r="J33" s="79">
        <f>Model2.0!K46</f>
        <v>3315.6358333333324</v>
      </c>
      <c r="K33" s="79">
        <f>Model2.0!L46</f>
        <v>3315.6358333333324</v>
      </c>
      <c r="L33" s="79">
        <f>Model2.0!M46</f>
        <v>3315.6358333333324</v>
      </c>
      <c r="M33" s="79">
        <f>Model2.0!N46</f>
        <v>3315.6358333333324</v>
      </c>
      <c r="N33" s="79">
        <f>Model2.0!O46</f>
        <v>3315.6358333333324</v>
      </c>
      <c r="O33" s="79">
        <f>Model2.0!P46</f>
        <v>3315.6358333333324</v>
      </c>
      <c r="P33" s="79">
        <f>Model2.0!Q46</f>
        <v>3315.6358333333324</v>
      </c>
      <c r="Q33" s="79">
        <f>Model2.0!R46</f>
        <v>3315.6358333333324</v>
      </c>
      <c r="R33" s="79">
        <f>Model2.0!S46</f>
        <v>3315.6358333333324</v>
      </c>
      <c r="S33" s="79">
        <f>Model2.0!T46</f>
        <v>3315.6358333333324</v>
      </c>
      <c r="T33" s="77">
        <f>Model2.0!BR46</f>
        <v>39787.629999999997</v>
      </c>
      <c r="U33" s="76">
        <f>Model2.0!BS46</f>
        <v>39787.629999999997</v>
      </c>
      <c r="V33" s="76">
        <f>Model2.0!BT46</f>
        <v>0</v>
      </c>
      <c r="W33" s="64"/>
      <c r="X33" s="229">
        <f t="shared" si="0"/>
        <v>39787.629999999997</v>
      </c>
      <c r="Y33" s="229">
        <f t="shared" si="8"/>
        <v>0</v>
      </c>
      <c r="Z33" s="53" t="str">
        <f t="shared" si="2"/>
        <v>OK</v>
      </c>
      <c r="AC33" s="55"/>
    </row>
    <row r="34" spans="4:33" ht="14.4" x14ac:dyDescent="0.3">
      <c r="E34" s="68" t="s">
        <v>29</v>
      </c>
      <c r="F34" s="61">
        <f t="shared" si="7"/>
        <v>0</v>
      </c>
      <c r="G34" s="61">
        <f>Model2.0!F47</f>
        <v>0</v>
      </c>
      <c r="H34" s="79">
        <f>Model2.0!I47</f>
        <v>120</v>
      </c>
      <c r="I34" s="79">
        <f>Model2.0!J47</f>
        <v>120</v>
      </c>
      <c r="J34" s="79">
        <f>Model2.0!K47</f>
        <v>120</v>
      </c>
      <c r="K34" s="79">
        <f>Model2.0!L47</f>
        <v>120</v>
      </c>
      <c r="L34" s="79">
        <f>Model2.0!M47</f>
        <v>120</v>
      </c>
      <c r="M34" s="79">
        <f>Model2.0!N47</f>
        <v>120</v>
      </c>
      <c r="N34" s="79">
        <f>Model2.0!O47</f>
        <v>120</v>
      </c>
      <c r="O34" s="79">
        <f>Model2.0!P47</f>
        <v>120</v>
      </c>
      <c r="P34" s="79">
        <f>Model2.0!Q47</f>
        <v>120</v>
      </c>
      <c r="Q34" s="79">
        <f>Model2.0!R47</f>
        <v>120</v>
      </c>
      <c r="R34" s="79">
        <f>Model2.0!S47</f>
        <v>120</v>
      </c>
      <c r="S34" s="79">
        <f>Model2.0!T47</f>
        <v>120</v>
      </c>
      <c r="T34" s="77">
        <f>Model2.0!BR47</f>
        <v>1440</v>
      </c>
      <c r="U34" s="76">
        <f>Model2.0!BS47</f>
        <v>0</v>
      </c>
      <c r="V34" s="76">
        <f>Model2.0!BT47</f>
        <v>-1440</v>
      </c>
      <c r="W34" s="64"/>
      <c r="X34" s="229">
        <f t="shared" si="0"/>
        <v>1440</v>
      </c>
      <c r="Y34" s="229">
        <f t="shared" si="8"/>
        <v>-1440</v>
      </c>
      <c r="Z34" s="53" t="str">
        <f t="shared" si="2"/>
        <v>OK</v>
      </c>
      <c r="AC34" s="55"/>
    </row>
    <row r="35" spans="4:33" ht="14.4" x14ac:dyDescent="0.3">
      <c r="E35" s="68" t="s">
        <v>30</v>
      </c>
      <c r="F35" s="61">
        <f t="shared" si="7"/>
        <v>308.04749999999996</v>
      </c>
      <c r="G35" s="61">
        <f>Model2.0!F48</f>
        <v>3696.5699999999993</v>
      </c>
      <c r="H35" s="79">
        <f>Model2.0!I48</f>
        <v>308.04749999999996</v>
      </c>
      <c r="I35" s="79">
        <f>Model2.0!J48</f>
        <v>308.04749999999996</v>
      </c>
      <c r="J35" s="79">
        <f>Model2.0!K48</f>
        <v>308.04749999999996</v>
      </c>
      <c r="K35" s="79">
        <f>Model2.0!L48</f>
        <v>308.04749999999996</v>
      </c>
      <c r="L35" s="79">
        <f>Model2.0!M48</f>
        <v>308.04749999999996</v>
      </c>
      <c r="M35" s="79">
        <f>Model2.0!N48</f>
        <v>308.04749999999996</v>
      </c>
      <c r="N35" s="79">
        <f>Model2.0!O48</f>
        <v>308.04749999999996</v>
      </c>
      <c r="O35" s="79">
        <f>Model2.0!P48</f>
        <v>308.04749999999996</v>
      </c>
      <c r="P35" s="79">
        <f>Model2.0!Q48</f>
        <v>308.04749999999996</v>
      </c>
      <c r="Q35" s="79">
        <f>Model2.0!R48</f>
        <v>308.04749999999996</v>
      </c>
      <c r="R35" s="79">
        <f>Model2.0!S48</f>
        <v>308.04749999999996</v>
      </c>
      <c r="S35" s="79">
        <f>Model2.0!T48</f>
        <v>308.04749999999996</v>
      </c>
      <c r="T35" s="77">
        <f>Model2.0!BR48</f>
        <v>3696.57</v>
      </c>
      <c r="U35" s="81">
        <f>Model2.0!BS48</f>
        <v>3696.57</v>
      </c>
      <c r="V35" s="81">
        <f>Model2.0!BT48</f>
        <v>0</v>
      </c>
      <c r="W35" s="64"/>
      <c r="X35" s="229">
        <f t="shared" si="0"/>
        <v>3696.57</v>
      </c>
      <c r="Y35" s="229">
        <f t="shared" si="8"/>
        <v>0</v>
      </c>
      <c r="Z35" s="53" t="str">
        <f t="shared" si="2"/>
        <v>OK</v>
      </c>
      <c r="AC35" s="55"/>
    </row>
    <row r="36" spans="4:33" ht="14.4" x14ac:dyDescent="0.3">
      <c r="E36" s="68" t="s">
        <v>31</v>
      </c>
      <c r="F36" s="61">
        <f t="shared" si="7"/>
        <v>909.45916666666665</v>
      </c>
      <c r="G36" s="61">
        <f>Model2.0!F49</f>
        <v>10913.51</v>
      </c>
      <c r="H36" s="67">
        <f>Model2.0!I49</f>
        <v>909.45916666666665</v>
      </c>
      <c r="I36" s="67">
        <f>Model2.0!J49</f>
        <v>909.45916666666665</v>
      </c>
      <c r="J36" s="67">
        <f>Model2.0!K49</f>
        <v>909.45916666666665</v>
      </c>
      <c r="K36" s="67">
        <f>Model2.0!L49</f>
        <v>909.45916666666665</v>
      </c>
      <c r="L36" s="67">
        <f>Model2.0!M49</f>
        <v>909.45916666666665</v>
      </c>
      <c r="M36" s="67">
        <f>Model2.0!N49</f>
        <v>909.45916666666665</v>
      </c>
      <c r="N36" s="67">
        <f>Model2.0!O49</f>
        <v>909.45916666666665</v>
      </c>
      <c r="O36" s="67">
        <f>Model2.0!P49</f>
        <v>909.45916666666665</v>
      </c>
      <c r="P36" s="67">
        <f>Model2.0!Q49</f>
        <v>909.45916666666665</v>
      </c>
      <c r="Q36" s="67">
        <f>Model2.0!R49</f>
        <v>909.45916666666665</v>
      </c>
      <c r="R36" s="67">
        <f>Model2.0!S49</f>
        <v>909.45916666666665</v>
      </c>
      <c r="S36" s="67">
        <f>Model2.0!T49</f>
        <v>909.45916666666665</v>
      </c>
      <c r="T36" s="77">
        <f>Model2.0!BR49</f>
        <v>10913.510000000002</v>
      </c>
      <c r="U36" s="81">
        <f>Model2.0!BS49</f>
        <v>10913.510000000002</v>
      </c>
      <c r="V36" s="81">
        <f>Model2.0!BT49</f>
        <v>0</v>
      </c>
      <c r="W36" s="64"/>
      <c r="X36" s="229">
        <f t="shared" si="0"/>
        <v>10913.510000000002</v>
      </c>
      <c r="Y36" s="229">
        <f t="shared" si="8"/>
        <v>0</v>
      </c>
      <c r="Z36" s="53" t="str">
        <f t="shared" si="2"/>
        <v>OK</v>
      </c>
      <c r="AC36" s="55"/>
    </row>
    <row r="37" spans="4:33" x14ac:dyDescent="0.3">
      <c r="E37" s="68" t="s">
        <v>32</v>
      </c>
      <c r="F37" s="61">
        <f t="shared" si="7"/>
        <v>1441.68</v>
      </c>
      <c r="G37" s="61">
        <f>Model2.0!F50</f>
        <v>17300.16</v>
      </c>
      <c r="H37" s="79">
        <f>Model2.0!I50</f>
        <v>1850</v>
      </c>
      <c r="I37" s="79">
        <f>Model2.0!J50</f>
        <v>1850</v>
      </c>
      <c r="J37" s="79">
        <f>Model2.0!K50</f>
        <v>1850</v>
      </c>
      <c r="K37" s="79">
        <f>Model2.0!L50</f>
        <v>1850</v>
      </c>
      <c r="L37" s="79">
        <f>Model2.0!M50</f>
        <v>1850</v>
      </c>
      <c r="M37" s="79">
        <f>Model2.0!N50</f>
        <v>1850</v>
      </c>
      <c r="N37" s="79">
        <f>Model2.0!O50</f>
        <v>1850</v>
      </c>
      <c r="O37" s="79">
        <f>Model2.0!P50</f>
        <v>1850</v>
      </c>
      <c r="P37" s="79">
        <f>Model2.0!Q50</f>
        <v>1850</v>
      </c>
      <c r="Q37" s="79">
        <f>Model2.0!R50</f>
        <v>1850</v>
      </c>
      <c r="R37" s="79">
        <f>Model2.0!S50</f>
        <v>1850</v>
      </c>
      <c r="S37" s="79">
        <f>Model2.0!T50</f>
        <v>1850</v>
      </c>
      <c r="T37" s="77">
        <f>Model2.0!BR50</f>
        <v>22200</v>
      </c>
      <c r="U37" s="80">
        <f>Model2.0!BS50</f>
        <v>17296.039999999997</v>
      </c>
      <c r="V37" s="80">
        <f>Model2.0!BT50</f>
        <v>-4903.9600000000028</v>
      </c>
      <c r="W37" s="64"/>
      <c r="X37" s="229">
        <f t="shared" si="0"/>
        <v>22200</v>
      </c>
      <c r="Y37" s="229">
        <f t="shared" si="8"/>
        <v>-4903.9600000000028</v>
      </c>
      <c r="Z37" s="53" t="str">
        <f t="shared" si="2"/>
        <v>OK</v>
      </c>
      <c r="AC37" s="55"/>
    </row>
    <row r="38" spans="4:33" hidden="1" x14ac:dyDescent="0.3">
      <c r="E38" s="68" t="s">
        <v>81</v>
      </c>
      <c r="F38" s="61">
        <f t="shared" ref="F38" si="9">G38/12</f>
        <v>0</v>
      </c>
      <c r="G38" s="61">
        <f>Model2.0!F51</f>
        <v>0</v>
      </c>
      <c r="H38" s="79">
        <f>Model2.0!I51</f>
        <v>0</v>
      </c>
      <c r="I38" s="79">
        <f>Model2.0!J51</f>
        <v>0</v>
      </c>
      <c r="J38" s="79">
        <f>Model2.0!K51</f>
        <v>0</v>
      </c>
      <c r="K38" s="79">
        <f>Model2.0!L51</f>
        <v>0</v>
      </c>
      <c r="L38" s="79">
        <f>Model2.0!M51</f>
        <v>0</v>
      </c>
      <c r="M38" s="79">
        <f>Model2.0!N51</f>
        <v>0</v>
      </c>
      <c r="N38" s="79">
        <f>Model2.0!O51</f>
        <v>0</v>
      </c>
      <c r="O38" s="79">
        <f>Model2.0!P51</f>
        <v>0</v>
      </c>
      <c r="P38" s="79">
        <f>Model2.0!Q51</f>
        <v>0</v>
      </c>
      <c r="Q38" s="79">
        <f>Model2.0!R51</f>
        <v>0</v>
      </c>
      <c r="R38" s="79">
        <f>Model2.0!S51</f>
        <v>0</v>
      </c>
      <c r="S38" s="79">
        <f>Model2.0!T51</f>
        <v>0</v>
      </c>
      <c r="T38" s="77">
        <f>Model2.0!BR51</f>
        <v>0</v>
      </c>
      <c r="U38" s="80">
        <f>Model2.0!BS51</f>
        <v>0</v>
      </c>
      <c r="V38" s="80">
        <f>Model2.0!BT51</f>
        <v>0</v>
      </c>
      <c r="W38" s="64"/>
      <c r="X38" s="229"/>
      <c r="Y38" s="229"/>
      <c r="AC38" s="55"/>
    </row>
    <row r="39" spans="4:33" ht="14.4" x14ac:dyDescent="0.3">
      <c r="E39" s="68" t="s">
        <v>33</v>
      </c>
      <c r="F39" s="61">
        <f t="shared" si="7"/>
        <v>161.72999999999999</v>
      </c>
      <c r="G39" s="61">
        <f>Model2.0!F52</f>
        <v>1940.76</v>
      </c>
      <c r="H39" s="79">
        <f>Model2.0!I52</f>
        <v>161.73000000000002</v>
      </c>
      <c r="I39" s="79">
        <f>Model2.0!J52</f>
        <v>161.73000000000002</v>
      </c>
      <c r="J39" s="79">
        <f>Model2.0!K52</f>
        <v>161.73000000000002</v>
      </c>
      <c r="K39" s="79">
        <f>Model2.0!L52</f>
        <v>161.73000000000002</v>
      </c>
      <c r="L39" s="79">
        <f>Model2.0!M52</f>
        <v>161.73000000000002</v>
      </c>
      <c r="M39" s="79">
        <f>Model2.0!N52</f>
        <v>161.73000000000002</v>
      </c>
      <c r="N39" s="79">
        <f>Model2.0!O52</f>
        <v>161.73000000000002</v>
      </c>
      <c r="O39" s="79">
        <f>Model2.0!P52</f>
        <v>161.73000000000002</v>
      </c>
      <c r="P39" s="79">
        <f>Model2.0!Q52</f>
        <v>161.73000000000002</v>
      </c>
      <c r="Q39" s="79">
        <f>Model2.0!R52</f>
        <v>161.73000000000002</v>
      </c>
      <c r="R39" s="79">
        <f>Model2.0!S52</f>
        <v>161.73000000000002</v>
      </c>
      <c r="S39" s="79">
        <f>Model2.0!T52</f>
        <v>161.73000000000002</v>
      </c>
      <c r="T39" s="77">
        <f>Model2.0!BR52</f>
        <v>1940.7600000000002</v>
      </c>
      <c r="U39" s="76">
        <f>Model2.0!BS52</f>
        <v>1940.7600000000002</v>
      </c>
      <c r="V39" s="76">
        <f>Model2.0!BT52</f>
        <v>0</v>
      </c>
      <c r="W39" s="64"/>
      <c r="X39" s="229">
        <f t="shared" si="0"/>
        <v>1940.7600000000002</v>
      </c>
      <c r="Y39" s="229">
        <f t="shared" si="8"/>
        <v>0</v>
      </c>
      <c r="Z39" s="53" t="str">
        <f t="shared" si="2"/>
        <v>OK</v>
      </c>
      <c r="AC39" s="55"/>
    </row>
    <row r="40" spans="4:33" x14ac:dyDescent="0.3">
      <c r="E40" s="68" t="s">
        <v>34</v>
      </c>
      <c r="F40" s="61">
        <f t="shared" si="7"/>
        <v>2343.5700000000002</v>
      </c>
      <c r="G40" s="61">
        <f>Model2.0!F53</f>
        <v>28122.840000000004</v>
      </c>
      <c r="H40" s="79">
        <f>Model2.0!I53</f>
        <v>2343.5700000000002</v>
      </c>
      <c r="I40" s="79">
        <f>Model2.0!J53</f>
        <v>2343.5700000000002</v>
      </c>
      <c r="J40" s="79">
        <f>Model2.0!K53</f>
        <v>2343.5700000000002</v>
      </c>
      <c r="K40" s="79">
        <f>Model2.0!L53</f>
        <v>2343.5700000000002</v>
      </c>
      <c r="L40" s="79">
        <f>Model2.0!M53</f>
        <v>2343.5700000000002</v>
      </c>
      <c r="M40" s="79">
        <f>Model2.0!N53</f>
        <v>2343.5700000000002</v>
      </c>
      <c r="N40" s="79">
        <f>Model2.0!O53</f>
        <v>2343.5700000000002</v>
      </c>
      <c r="O40" s="79">
        <f>Model2.0!P53</f>
        <v>2343.5700000000002</v>
      </c>
      <c r="P40" s="79">
        <f>Model2.0!Q53</f>
        <v>2343.5700000000002</v>
      </c>
      <c r="Q40" s="79">
        <f>Model2.0!R53</f>
        <v>2343.5700000000002</v>
      </c>
      <c r="R40" s="79">
        <f>Model2.0!S53</f>
        <v>2343.5700000000002</v>
      </c>
      <c r="S40" s="79">
        <f>Model2.0!T53</f>
        <v>2343.5700000000002</v>
      </c>
      <c r="T40" s="77">
        <f>Model2.0!BR53</f>
        <v>28122.84</v>
      </c>
      <c r="U40" s="78">
        <f>Model2.0!BS53</f>
        <v>28122.84</v>
      </c>
      <c r="V40" s="78">
        <f>Model2.0!BT53</f>
        <v>0</v>
      </c>
      <c r="W40" s="64"/>
      <c r="X40" s="229">
        <f t="shared" si="0"/>
        <v>28122.84</v>
      </c>
      <c r="Y40" s="229">
        <f t="shared" si="8"/>
        <v>0</v>
      </c>
      <c r="Z40" s="53" t="str">
        <f t="shared" si="2"/>
        <v>OK</v>
      </c>
      <c r="AC40" s="55"/>
    </row>
    <row r="41" spans="4:33" x14ac:dyDescent="0.3">
      <c r="E41" s="68" t="s">
        <v>35</v>
      </c>
      <c r="F41" s="61">
        <f t="shared" si="7"/>
        <v>0</v>
      </c>
      <c r="G41" s="61">
        <f>Model2.0!F54</f>
        <v>0</v>
      </c>
      <c r="H41" s="79">
        <f>Model2.0!I54</f>
        <v>0</v>
      </c>
      <c r="I41" s="79">
        <f>Model2.0!J54</f>
        <v>0</v>
      </c>
      <c r="J41" s="79">
        <f>Model2.0!K54</f>
        <v>0</v>
      </c>
      <c r="K41" s="79">
        <f>Model2.0!L54</f>
        <v>0</v>
      </c>
      <c r="L41" s="79">
        <f>Model2.0!M54</f>
        <v>0</v>
      </c>
      <c r="M41" s="79">
        <f>Model2.0!N54</f>
        <v>0</v>
      </c>
      <c r="N41" s="79">
        <f>Model2.0!O54</f>
        <v>0</v>
      </c>
      <c r="O41" s="79">
        <f>Model2.0!P54</f>
        <v>0</v>
      </c>
      <c r="P41" s="79">
        <f>Model2.0!Q54</f>
        <v>0</v>
      </c>
      <c r="Q41" s="79">
        <f>Model2.0!R54</f>
        <v>0</v>
      </c>
      <c r="R41" s="79">
        <f>Model2.0!S54</f>
        <v>0</v>
      </c>
      <c r="S41" s="79">
        <f>Model2.0!T54</f>
        <v>0</v>
      </c>
      <c r="T41" s="77">
        <f>Model2.0!BR54</f>
        <v>0</v>
      </c>
      <c r="U41" s="78">
        <f>Model2.0!BS54</f>
        <v>0</v>
      </c>
      <c r="V41" s="78">
        <f>Model2.0!BT54</f>
        <v>0</v>
      </c>
      <c r="W41" s="64"/>
      <c r="X41" s="229">
        <f t="shared" si="0"/>
        <v>0</v>
      </c>
      <c r="Y41" s="229">
        <f t="shared" si="8"/>
        <v>0</v>
      </c>
      <c r="Z41" s="53" t="str">
        <f t="shared" si="2"/>
        <v>OK</v>
      </c>
      <c r="AC41" s="55"/>
    </row>
    <row r="42" spans="4:33" x14ac:dyDescent="0.3">
      <c r="E42" s="68" t="s">
        <v>36</v>
      </c>
      <c r="F42" s="61">
        <f t="shared" si="7"/>
        <v>0</v>
      </c>
      <c r="G42" s="61">
        <f>Model2.0!F55</f>
        <v>0</v>
      </c>
      <c r="H42" s="67">
        <f>Model2.0!I55</f>
        <v>0</v>
      </c>
      <c r="I42" s="67">
        <f>Model2.0!J55</f>
        <v>0</v>
      </c>
      <c r="J42" s="67">
        <f>Model2.0!K55</f>
        <v>0</v>
      </c>
      <c r="K42" s="67">
        <f>Model2.0!L55</f>
        <v>0</v>
      </c>
      <c r="L42" s="67">
        <f>Model2.0!M55</f>
        <v>0</v>
      </c>
      <c r="M42" s="67">
        <f>Model2.0!N55</f>
        <v>0</v>
      </c>
      <c r="N42" s="67">
        <f>Model2.0!O55</f>
        <v>0</v>
      </c>
      <c r="O42" s="67">
        <f>Model2.0!P55</f>
        <v>0</v>
      </c>
      <c r="P42" s="67">
        <f>Model2.0!Q55</f>
        <v>0</v>
      </c>
      <c r="Q42" s="67">
        <f>Model2.0!R55</f>
        <v>0</v>
      </c>
      <c r="R42" s="67">
        <f>Model2.0!S55</f>
        <v>0</v>
      </c>
      <c r="S42" s="67">
        <f>Model2.0!T55</f>
        <v>0</v>
      </c>
      <c r="T42" s="77">
        <f>Model2.0!BR55</f>
        <v>0</v>
      </c>
      <c r="U42" s="78">
        <f>Model2.0!BS55</f>
        <v>0</v>
      </c>
      <c r="V42" s="78">
        <f>Model2.0!BT55</f>
        <v>0</v>
      </c>
      <c r="W42" s="64"/>
      <c r="X42" s="229">
        <f t="shared" si="0"/>
        <v>0</v>
      </c>
      <c r="Y42" s="229">
        <f t="shared" si="8"/>
        <v>0</v>
      </c>
      <c r="Z42" s="53" t="str">
        <f t="shared" si="2"/>
        <v>OK</v>
      </c>
      <c r="AC42" s="55"/>
    </row>
    <row r="43" spans="4:33" hidden="1" x14ac:dyDescent="0.3">
      <c r="E43" s="68" t="s">
        <v>82</v>
      </c>
      <c r="F43" s="61">
        <f t="shared" ref="F43" si="10">G43/12</f>
        <v>0</v>
      </c>
      <c r="G43" s="61">
        <f>Model2.0!F56</f>
        <v>0</v>
      </c>
      <c r="H43" s="67">
        <f>Model2.0!I56</f>
        <v>0</v>
      </c>
      <c r="I43" s="67">
        <f>Model2.0!J56</f>
        <v>0</v>
      </c>
      <c r="J43" s="67">
        <f>Model2.0!K56</f>
        <v>0</v>
      </c>
      <c r="K43" s="67">
        <f>Model2.0!L56</f>
        <v>0</v>
      </c>
      <c r="L43" s="67">
        <f>Model2.0!M56</f>
        <v>0</v>
      </c>
      <c r="M43" s="67">
        <f>Model2.0!N56</f>
        <v>0</v>
      </c>
      <c r="N43" s="67">
        <f>Model2.0!O56</f>
        <v>0</v>
      </c>
      <c r="O43" s="67">
        <f>Model2.0!P56</f>
        <v>0</v>
      </c>
      <c r="P43" s="67">
        <f>Model2.0!Q56</f>
        <v>0</v>
      </c>
      <c r="Q43" s="67">
        <f>Model2.0!R56</f>
        <v>0</v>
      </c>
      <c r="R43" s="67">
        <f>Model2.0!S56</f>
        <v>0</v>
      </c>
      <c r="S43" s="67">
        <f>Model2.0!T56</f>
        <v>0</v>
      </c>
      <c r="T43" s="77">
        <f>Model2.0!BR56</f>
        <v>0</v>
      </c>
      <c r="U43" s="78">
        <f>Model2.0!BS56</f>
        <v>0</v>
      </c>
      <c r="V43" s="78">
        <f>Model2.0!BT56</f>
        <v>0</v>
      </c>
      <c r="W43" s="64"/>
      <c r="X43" s="229"/>
      <c r="Y43" s="229"/>
      <c r="AC43" s="55"/>
    </row>
    <row r="44" spans="4:33" ht="14.4" x14ac:dyDescent="0.3">
      <c r="E44" s="68"/>
      <c r="F44" s="61"/>
      <c r="G44" s="61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77"/>
      <c r="U44" s="76"/>
      <c r="V44" s="76"/>
      <c r="W44" s="64"/>
      <c r="X44" s="64"/>
      <c r="AC44" s="55"/>
    </row>
    <row r="45" spans="4:33" s="69" customFormat="1" ht="14.4" x14ac:dyDescent="0.3">
      <c r="D45" s="75"/>
      <c r="E45" s="74" t="s">
        <v>37</v>
      </c>
      <c r="F45" s="61">
        <f>G45/12</f>
        <v>24069.289166666669</v>
      </c>
      <c r="G45" s="61">
        <f>Model2.0!F58</f>
        <v>288831.47000000003</v>
      </c>
      <c r="H45" s="60">
        <f>Model2.0!I58</f>
        <v>24165.832435759079</v>
      </c>
      <c r="I45" s="60">
        <f>Model2.0!J58</f>
        <v>24188.721448167838</v>
      </c>
      <c r="J45" s="60">
        <f>Model2.0!K58</f>
        <v>24211.763053992658</v>
      </c>
      <c r="K45" s="60">
        <f>Model2.0!L58</f>
        <v>24416.641102323276</v>
      </c>
      <c r="L45" s="60">
        <f>Model2.0!M58</f>
        <v>24622.885004309432</v>
      </c>
      <c r="M45" s="60">
        <f>Model2.0!N58</f>
        <v>24830.50386564216</v>
      </c>
      <c r="N45" s="60">
        <f>Model2.0!O58</f>
        <v>24928.302392729609</v>
      </c>
      <c r="O45" s="60">
        <f>Model2.0!P58</f>
        <v>25026.752909997642</v>
      </c>
      <c r="P45" s="60">
        <f>Model2.0!Q58</f>
        <v>25125.859764047462</v>
      </c>
      <c r="Q45" s="60">
        <f>Model2.0!R58</f>
        <v>25225.627330457613</v>
      </c>
      <c r="R45" s="60">
        <f>Model2.0!S58</f>
        <v>25326.060013977163</v>
      </c>
      <c r="S45" s="60">
        <f>Model2.0!T58</f>
        <v>25427.162248720182</v>
      </c>
      <c r="T45" s="73">
        <f>Model2.0!BR58</f>
        <v>297496.11157012417</v>
      </c>
      <c r="U45" s="72">
        <f>Model2.0!BS58</f>
        <v>330911.94367056183</v>
      </c>
      <c r="V45" s="72">
        <f>Model2.0!BT58</f>
        <v>33415.832100437692</v>
      </c>
      <c r="W45" s="234">
        <f>V45/U45</f>
        <v>0.10098103963785816</v>
      </c>
      <c r="X45" s="229">
        <f t="shared" si="0"/>
        <v>297496.11157012411</v>
      </c>
      <c r="Y45" s="230">
        <f>SUM(Y24:Y42)</f>
        <v>33415.832100437692</v>
      </c>
      <c r="Z45" s="53" t="str">
        <f t="shared" si="2"/>
        <v>OK</v>
      </c>
      <c r="AA45" s="71"/>
      <c r="AC45" s="55"/>
      <c r="AG45" s="70"/>
    </row>
    <row r="46" spans="4:33" thickBot="1" x14ac:dyDescent="0.35">
      <c r="E46" s="68"/>
      <c r="F46" s="61"/>
      <c r="G46" s="61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6"/>
      <c r="U46" s="65"/>
      <c r="V46" s="65"/>
      <c r="W46" s="64"/>
      <c r="X46" s="64"/>
      <c r="AC46" s="55"/>
    </row>
    <row r="47" spans="4:33" s="55" customFormat="1" thickBot="1" x14ac:dyDescent="0.3">
      <c r="D47" s="63"/>
      <c r="E47" s="62" t="s">
        <v>38</v>
      </c>
      <c r="F47" s="61">
        <f>G47/12</f>
        <v>52861.378333333334</v>
      </c>
      <c r="G47" s="61">
        <f>Model2.0!F60</f>
        <v>634336.54</v>
      </c>
      <c r="H47" s="60">
        <f>Model2.0!I60</f>
        <v>68236.99005308382</v>
      </c>
      <c r="I47" s="60">
        <f>Model2.0!J60</f>
        <v>68828.821541694255</v>
      </c>
      <c r="J47" s="60">
        <f>Model2.0!K60</f>
        <v>69425.275526293917</v>
      </c>
      <c r="K47" s="60">
        <f>Model2.0!L60</f>
        <v>74386.745254672147</v>
      </c>
      <c r="L47" s="60">
        <f>Model2.0!M60</f>
        <v>79381.917846814948</v>
      </c>
      <c r="M47" s="60">
        <f>Model2.0!N60</f>
        <v>84410.993466801359</v>
      </c>
      <c r="N47" s="60">
        <f>Model2.0!O60</f>
        <v>86805.267063521314</v>
      </c>
      <c r="O47" s="60">
        <f>Model2.0!P60</f>
        <v>89216.056778538114</v>
      </c>
      <c r="P47" s="60">
        <f>Model2.0!Q60</f>
        <v>91643.449638667254</v>
      </c>
      <c r="Q47" s="60">
        <f>Model2.0!R60</f>
        <v>94087.533712163568</v>
      </c>
      <c r="R47" s="60">
        <f>Model2.0!S60</f>
        <v>96459.758106438268</v>
      </c>
      <c r="S47" s="60">
        <f>Model2.0!T60</f>
        <v>98848.852965945262</v>
      </c>
      <c r="T47" s="59">
        <f>Model2.0!BR60</f>
        <v>1001731.6619546342</v>
      </c>
      <c r="U47" s="58">
        <f>Model2.0!BS60</f>
        <v>841707.43821094418</v>
      </c>
      <c r="V47" s="58">
        <f>Model2.0!BT60</f>
        <v>160024.22374369006</v>
      </c>
      <c r="W47" s="234">
        <f>V47/U47</f>
        <v>0.19011858096896805</v>
      </c>
      <c r="X47" s="57"/>
      <c r="AG47" s="56"/>
    </row>
    <row r="48" spans="4:33" ht="15" customHeight="1" x14ac:dyDescent="0.3"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</row>
    <row r="49" spans="8:19" ht="15" customHeight="1" x14ac:dyDescent="0.3">
      <c r="H49" s="229">
        <f t="shared" ref="H49:S49" si="11">H21-H45</f>
        <v>68236.99005308382</v>
      </c>
      <c r="I49" s="229">
        <f t="shared" si="11"/>
        <v>68828.821541694255</v>
      </c>
      <c r="J49" s="229">
        <f t="shared" si="11"/>
        <v>69425.275526293917</v>
      </c>
      <c r="K49" s="229">
        <f t="shared" si="11"/>
        <v>74386.745254672147</v>
      </c>
      <c r="L49" s="229">
        <f t="shared" si="11"/>
        <v>79381.917846814948</v>
      </c>
      <c r="M49" s="229">
        <f t="shared" si="11"/>
        <v>84410.993466801359</v>
      </c>
      <c r="N49" s="229">
        <f t="shared" si="11"/>
        <v>86805.267063521314</v>
      </c>
      <c r="O49" s="229">
        <f t="shared" si="11"/>
        <v>89216.056778538114</v>
      </c>
      <c r="P49" s="229">
        <f t="shared" si="11"/>
        <v>91643.449638667254</v>
      </c>
      <c r="Q49" s="229">
        <f t="shared" si="11"/>
        <v>94087.533712163568</v>
      </c>
      <c r="R49" s="229">
        <f t="shared" si="11"/>
        <v>96459.758106438268</v>
      </c>
      <c r="S49" s="229">
        <f t="shared" si="11"/>
        <v>98848.852965945262</v>
      </c>
    </row>
    <row r="50" spans="8:19" ht="15" customHeight="1" x14ac:dyDescent="0.3">
      <c r="H50" s="53" t="str">
        <f>IF(H49=H47,"OK","Check")</f>
        <v>OK</v>
      </c>
      <c r="I50" s="53" t="str">
        <f t="shared" ref="I50:S50" si="12">IF(I49=I47,"OK","Check")</f>
        <v>OK</v>
      </c>
      <c r="J50" s="53" t="str">
        <f t="shared" si="12"/>
        <v>OK</v>
      </c>
      <c r="K50" s="53" t="str">
        <f t="shared" si="12"/>
        <v>OK</v>
      </c>
      <c r="L50" s="53" t="str">
        <f t="shared" si="12"/>
        <v>OK</v>
      </c>
      <c r="M50" s="53" t="str">
        <f t="shared" si="12"/>
        <v>OK</v>
      </c>
      <c r="N50" s="53" t="str">
        <f t="shared" si="12"/>
        <v>OK</v>
      </c>
      <c r="O50" s="53" t="str">
        <f t="shared" si="12"/>
        <v>OK</v>
      </c>
      <c r="P50" s="53" t="str">
        <f t="shared" si="12"/>
        <v>OK</v>
      </c>
      <c r="Q50" s="53" t="str">
        <f t="shared" si="12"/>
        <v>OK</v>
      </c>
      <c r="R50" s="53" t="str">
        <f t="shared" si="12"/>
        <v>OK</v>
      </c>
      <c r="S50" s="53" t="str">
        <f t="shared" si="12"/>
        <v>OK</v>
      </c>
    </row>
  </sheetData>
  <mergeCells count="2">
    <mergeCell ref="D1:V1"/>
    <mergeCell ref="D2:V2"/>
  </mergeCells>
  <pageMargins left="0.25" right="0.25" top="0.75" bottom="0.75" header="0.3" footer="0.3"/>
  <pageSetup scale="2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E6EC-99D4-4759-B6C3-A57D47AA37FA}">
  <sheetPr>
    <tabColor theme="4"/>
    <pageSetUpPr fitToPage="1"/>
  </sheetPr>
  <dimension ref="C1:BB52"/>
  <sheetViews>
    <sheetView topLeftCell="A4" zoomScale="55" zoomScaleNormal="55" workbookViewId="0">
      <selection activeCell="C1" sqref="C1:AD49"/>
    </sheetView>
  </sheetViews>
  <sheetFormatPr defaultColWidth="9.109375" defaultRowHeight="14.4" x14ac:dyDescent="0.3"/>
  <cols>
    <col min="1" max="2" width="9.109375" style="238"/>
    <col min="3" max="3" width="2.5546875" style="238" customWidth="1"/>
    <col min="4" max="4" width="45.6640625" style="238" customWidth="1"/>
    <col min="5" max="5" width="2.6640625" style="238" customWidth="1"/>
    <col min="6" max="6" width="2.44140625" style="238" customWidth="1"/>
    <col min="7" max="7" width="28.6640625" style="238" bestFit="1" customWidth="1"/>
    <col min="8" max="8" width="20.6640625" style="238" hidden="1" customWidth="1"/>
    <col min="9" max="9" width="2.88671875" style="238" customWidth="1"/>
    <col min="10" max="10" width="3.44140625" style="238" customWidth="1"/>
    <col min="11" max="11" width="3.109375" style="238" customWidth="1"/>
    <col min="12" max="12" width="28.6640625" style="238" bestFit="1" customWidth="1"/>
    <col min="13" max="13" width="20.6640625" style="238" hidden="1" customWidth="1"/>
    <col min="14" max="14" width="2.33203125" style="238" customWidth="1"/>
    <col min="15" max="15" width="4.33203125" style="238" customWidth="1"/>
    <col min="16" max="16" width="2.88671875" style="238" customWidth="1"/>
    <col min="17" max="17" width="28.6640625" style="238" bestFit="1" customWidth="1"/>
    <col min="18" max="18" width="21.109375" style="238" hidden="1" customWidth="1"/>
    <col min="19" max="19" width="2.88671875" style="238" customWidth="1"/>
    <col min="20" max="20" width="4" style="238" customWidth="1"/>
    <col min="21" max="21" width="2.88671875" style="238" customWidth="1"/>
    <col min="22" max="22" width="28.6640625" style="238" bestFit="1" customWidth="1"/>
    <col min="23" max="23" width="20.44140625" style="238" hidden="1" customWidth="1"/>
    <col min="24" max="24" width="2.44140625" style="238" customWidth="1"/>
    <col min="25" max="25" width="3" style="238" customWidth="1"/>
    <col min="26" max="26" width="2.5546875" style="238" customWidth="1"/>
    <col min="27" max="27" width="28.6640625" style="238" bestFit="1" customWidth="1"/>
    <col min="28" max="28" width="20.88671875" style="238" hidden="1" customWidth="1"/>
    <col min="29" max="30" width="2.5546875" style="238" customWidth="1"/>
    <col min="31" max="31" width="3" style="238" customWidth="1"/>
    <col min="32" max="34" width="9.109375" style="238"/>
    <col min="35" max="41" width="15.77734375" style="238" bestFit="1" customWidth="1"/>
    <col min="42" max="44" width="2.21875" style="238" bestFit="1" customWidth="1"/>
    <col min="45" max="46" width="15.77734375" style="238" bestFit="1" customWidth="1"/>
    <col min="47" max="49" width="2.21875" style="238" bestFit="1" customWidth="1"/>
    <col min="50" max="51" width="15.77734375" style="238" bestFit="1" customWidth="1"/>
    <col min="52" max="54" width="2.21875" style="238" bestFit="1" customWidth="1"/>
    <col min="55" max="55" width="15.77734375" style="238" bestFit="1" customWidth="1"/>
    <col min="56" max="16384" width="9.109375" style="238"/>
  </cols>
  <sheetData>
    <row r="1" spans="3:54" ht="7.5" customHeight="1" x14ac:dyDescent="0.3">
      <c r="C1" s="239" t="s">
        <v>39</v>
      </c>
      <c r="D1" s="240" t="s">
        <v>39</v>
      </c>
      <c r="E1" s="240" t="s">
        <v>39</v>
      </c>
      <c r="F1" s="240" t="s">
        <v>39</v>
      </c>
      <c r="G1" s="240" t="s">
        <v>39</v>
      </c>
      <c r="H1" s="240" t="s">
        <v>39</v>
      </c>
      <c r="I1" s="240" t="s">
        <v>39</v>
      </c>
      <c r="J1" s="240" t="s">
        <v>39</v>
      </c>
      <c r="K1" s="240" t="s">
        <v>39</v>
      </c>
      <c r="L1" s="240" t="s">
        <v>39</v>
      </c>
      <c r="M1" s="240" t="s">
        <v>39</v>
      </c>
      <c r="N1" s="240" t="s">
        <v>39</v>
      </c>
      <c r="O1" s="240" t="s">
        <v>39</v>
      </c>
      <c r="P1" s="240" t="s">
        <v>39</v>
      </c>
      <c r="Q1" s="240" t="s">
        <v>39</v>
      </c>
      <c r="R1" s="240" t="s">
        <v>39</v>
      </c>
      <c r="S1" s="240" t="s">
        <v>39</v>
      </c>
      <c r="T1" s="240" t="s">
        <v>39</v>
      </c>
      <c r="U1" s="240" t="s">
        <v>39</v>
      </c>
      <c r="V1" s="240" t="s">
        <v>39</v>
      </c>
      <c r="W1" s="240" t="s">
        <v>39</v>
      </c>
      <c r="X1" s="240" t="s">
        <v>39</v>
      </c>
      <c r="Y1" s="240" t="s">
        <v>39</v>
      </c>
      <c r="Z1" s="240" t="s">
        <v>39</v>
      </c>
      <c r="AA1" s="240" t="s">
        <v>39</v>
      </c>
      <c r="AB1" s="240" t="s">
        <v>39</v>
      </c>
      <c r="AC1" s="240" t="s">
        <v>39</v>
      </c>
      <c r="AD1" s="241"/>
      <c r="AE1" s="240" t="s">
        <v>39</v>
      </c>
    </row>
    <row r="2" spans="3:54" ht="64.5" customHeight="1" x14ac:dyDescent="0.3">
      <c r="C2" s="242" t="s">
        <v>39</v>
      </c>
      <c r="D2" s="347" t="s">
        <v>362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0"/>
      <c r="AE2" s="240" t="s">
        <v>39</v>
      </c>
    </row>
    <row r="3" spans="3:54" ht="43.5" customHeight="1" x14ac:dyDescent="0.3">
      <c r="C3" s="243" t="s">
        <v>39</v>
      </c>
      <c r="D3" s="345" t="s">
        <v>40</v>
      </c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244"/>
      <c r="AE3" s="240" t="s">
        <v>39</v>
      </c>
    </row>
    <row r="4" spans="3:54" ht="15" customHeight="1" x14ac:dyDescent="0.3">
      <c r="C4" s="239" t="s">
        <v>39</v>
      </c>
      <c r="D4" s="245" t="s">
        <v>39</v>
      </c>
      <c r="E4" s="246" t="s">
        <v>39</v>
      </c>
      <c r="F4" s="246" t="s">
        <v>39</v>
      </c>
      <c r="G4" s="246" t="s">
        <v>39</v>
      </c>
      <c r="H4" s="246" t="s">
        <v>39</v>
      </c>
      <c r="I4" s="246" t="s">
        <v>39</v>
      </c>
      <c r="J4" s="246" t="s">
        <v>39</v>
      </c>
      <c r="K4" s="246" t="s">
        <v>39</v>
      </c>
      <c r="L4" s="246" t="s">
        <v>39</v>
      </c>
      <c r="M4" s="246" t="s">
        <v>39</v>
      </c>
      <c r="N4" s="246" t="s">
        <v>39</v>
      </c>
      <c r="O4" s="246" t="s">
        <v>39</v>
      </c>
      <c r="P4" s="246" t="s">
        <v>39</v>
      </c>
      <c r="Q4" s="246" t="s">
        <v>39</v>
      </c>
      <c r="R4" s="246" t="s">
        <v>39</v>
      </c>
      <c r="S4" s="246" t="s">
        <v>39</v>
      </c>
      <c r="T4" s="246" t="s">
        <v>39</v>
      </c>
      <c r="U4" s="246" t="s">
        <v>39</v>
      </c>
      <c r="V4" s="246" t="s">
        <v>39</v>
      </c>
      <c r="W4" s="246" t="s">
        <v>39</v>
      </c>
      <c r="X4" s="246" t="s">
        <v>39</v>
      </c>
      <c r="Y4" s="246" t="s">
        <v>39</v>
      </c>
      <c r="Z4" s="246" t="s">
        <v>39</v>
      </c>
      <c r="AA4" s="246" t="s">
        <v>39</v>
      </c>
      <c r="AB4" s="246" t="s">
        <v>39</v>
      </c>
      <c r="AC4" s="246" t="s">
        <v>39</v>
      </c>
      <c r="AD4" s="247"/>
      <c r="AE4" s="240" t="s">
        <v>39</v>
      </c>
    </row>
    <row r="5" spans="3:54" ht="7.5" customHeight="1" x14ac:dyDescent="0.3">
      <c r="C5" s="239" t="s">
        <v>39</v>
      </c>
      <c r="D5" s="245" t="s">
        <v>39</v>
      </c>
      <c r="E5" s="246" t="s">
        <v>39</v>
      </c>
      <c r="F5" s="248" t="s">
        <v>39</v>
      </c>
      <c r="G5" s="249" t="s">
        <v>39</v>
      </c>
      <c r="H5" s="249" t="s">
        <v>39</v>
      </c>
      <c r="I5" s="250" t="s">
        <v>39</v>
      </c>
      <c r="J5" s="246" t="s">
        <v>39</v>
      </c>
      <c r="K5" s="248" t="s">
        <v>39</v>
      </c>
      <c r="L5" s="249" t="s">
        <v>39</v>
      </c>
      <c r="M5" s="249" t="s">
        <v>39</v>
      </c>
      <c r="N5" s="250" t="s">
        <v>39</v>
      </c>
      <c r="O5" s="246" t="s">
        <v>39</v>
      </c>
      <c r="P5" s="248" t="s">
        <v>39</v>
      </c>
      <c r="Q5" s="249" t="s">
        <v>39</v>
      </c>
      <c r="R5" s="249" t="s">
        <v>39</v>
      </c>
      <c r="S5" s="250" t="s">
        <v>39</v>
      </c>
      <c r="T5" s="246" t="s">
        <v>39</v>
      </c>
      <c r="U5" s="248" t="s">
        <v>39</v>
      </c>
      <c r="V5" s="249" t="s">
        <v>39</v>
      </c>
      <c r="W5" s="249" t="s">
        <v>39</v>
      </c>
      <c r="X5" s="250" t="s">
        <v>39</v>
      </c>
      <c r="Y5" s="246" t="s">
        <v>39</v>
      </c>
      <c r="Z5" s="248" t="s">
        <v>39</v>
      </c>
      <c r="AA5" s="249" t="s">
        <v>39</v>
      </c>
      <c r="AB5" s="249" t="s">
        <v>39</v>
      </c>
      <c r="AC5" s="250" t="s">
        <v>39</v>
      </c>
      <c r="AD5" s="247"/>
      <c r="AE5" s="240"/>
    </row>
    <row r="6" spans="3:54" s="336" customFormat="1" ht="30.75" customHeight="1" x14ac:dyDescent="0.3">
      <c r="C6" s="239" t="s">
        <v>39</v>
      </c>
      <c r="D6" s="240" t="s">
        <v>39</v>
      </c>
      <c r="E6" s="240" t="s">
        <v>39</v>
      </c>
      <c r="F6" s="252" t="s">
        <v>39</v>
      </c>
      <c r="G6" s="353">
        <v>1</v>
      </c>
      <c r="H6" s="344"/>
      <c r="I6" s="253" t="s">
        <v>39</v>
      </c>
      <c r="J6" s="254" t="s">
        <v>39</v>
      </c>
      <c r="K6" s="255" t="s">
        <v>39</v>
      </c>
      <c r="L6" s="353">
        <v>2</v>
      </c>
      <c r="M6" s="344"/>
      <c r="N6" s="253" t="s">
        <v>39</v>
      </c>
      <c r="O6" s="254" t="s">
        <v>39</v>
      </c>
      <c r="P6" s="252" t="s">
        <v>39</v>
      </c>
      <c r="Q6" s="353">
        <v>3</v>
      </c>
      <c r="R6" s="344"/>
      <c r="S6" s="253" t="s">
        <v>39</v>
      </c>
      <c r="T6" s="254" t="s">
        <v>39</v>
      </c>
      <c r="U6" s="255" t="s">
        <v>39</v>
      </c>
      <c r="V6" s="353">
        <v>4</v>
      </c>
      <c r="W6" s="344"/>
      <c r="X6" s="253" t="s">
        <v>39</v>
      </c>
      <c r="Y6" s="254" t="s">
        <v>39</v>
      </c>
      <c r="Z6" s="252" t="s">
        <v>39</v>
      </c>
      <c r="AA6" s="353">
        <v>5</v>
      </c>
      <c r="AB6" s="344"/>
      <c r="AC6" s="253" t="s">
        <v>39</v>
      </c>
      <c r="AD6" s="256"/>
      <c r="AE6" s="240"/>
    </row>
    <row r="7" spans="3:54" s="257" customFormat="1" ht="26.25" customHeight="1" x14ac:dyDescent="0.3">
      <c r="C7" s="258" t="s">
        <v>39</v>
      </c>
      <c r="D7" s="259"/>
      <c r="E7" s="260" t="s">
        <v>39</v>
      </c>
      <c r="F7" s="261" t="s">
        <v>39</v>
      </c>
      <c r="G7" s="260">
        <v>2027</v>
      </c>
      <c r="H7" s="262" t="s">
        <v>41</v>
      </c>
      <c r="I7" s="263" t="s">
        <v>39</v>
      </c>
      <c r="J7" s="260" t="s">
        <v>39</v>
      </c>
      <c r="K7" s="261" t="s">
        <v>39</v>
      </c>
      <c r="L7" s="260">
        <v>2028</v>
      </c>
      <c r="M7" s="262" t="s">
        <v>41</v>
      </c>
      <c r="N7" s="264" t="s">
        <v>39</v>
      </c>
      <c r="O7" s="262" t="s">
        <v>39</v>
      </c>
      <c r="P7" s="261" t="s">
        <v>39</v>
      </c>
      <c r="Q7" s="260">
        <v>2029</v>
      </c>
      <c r="R7" s="262" t="s">
        <v>41</v>
      </c>
      <c r="S7" s="263" t="s">
        <v>39</v>
      </c>
      <c r="T7" s="260" t="s">
        <v>39</v>
      </c>
      <c r="U7" s="261" t="s">
        <v>39</v>
      </c>
      <c r="V7" s="260">
        <v>2030</v>
      </c>
      <c r="W7" s="262" t="s">
        <v>41</v>
      </c>
      <c r="X7" s="263" t="s">
        <v>39</v>
      </c>
      <c r="Y7" s="260" t="s">
        <v>39</v>
      </c>
      <c r="Z7" s="261" t="s">
        <v>39</v>
      </c>
      <c r="AA7" s="260">
        <v>2031</v>
      </c>
      <c r="AB7" s="262" t="s">
        <v>41</v>
      </c>
      <c r="AC7" s="263" t="s">
        <v>39</v>
      </c>
      <c r="AD7" s="265"/>
      <c r="AE7" s="260" t="s">
        <v>39</v>
      </c>
      <c r="AP7" s="257" t="s">
        <v>39</v>
      </c>
      <c r="AQ7" s="257" t="s">
        <v>39</v>
      </c>
      <c r="AR7" s="257" t="s">
        <v>39</v>
      </c>
      <c r="AU7" s="257" t="s">
        <v>39</v>
      </c>
      <c r="AV7" s="257" t="s">
        <v>39</v>
      </c>
      <c r="AW7" s="257" t="s">
        <v>39</v>
      </c>
      <c r="AZ7" s="257" t="s">
        <v>39</v>
      </c>
      <c r="BA7" s="257" t="s">
        <v>39</v>
      </c>
      <c r="BB7" s="257" t="s">
        <v>39</v>
      </c>
    </row>
    <row r="8" spans="3:54" ht="18.75" customHeight="1" x14ac:dyDescent="0.35">
      <c r="C8" s="239"/>
      <c r="D8" s="237" t="s">
        <v>2</v>
      </c>
      <c r="E8" s="266"/>
      <c r="F8" s="267"/>
      <c r="G8" s="266"/>
      <c r="H8" s="268"/>
      <c r="I8" s="269"/>
      <c r="J8" s="266"/>
      <c r="K8" s="267"/>
      <c r="L8" s="266"/>
      <c r="M8" s="266"/>
      <c r="N8" s="269"/>
      <c r="O8" s="266"/>
      <c r="P8" s="267"/>
      <c r="Q8" s="266"/>
      <c r="R8" s="266"/>
      <c r="S8" s="269"/>
      <c r="T8" s="266"/>
      <c r="U8" s="267"/>
      <c r="V8" s="266"/>
      <c r="W8" s="268"/>
      <c r="X8" s="269"/>
      <c r="Y8" s="266"/>
      <c r="Z8" s="267"/>
      <c r="AA8" s="266"/>
      <c r="AB8" s="268"/>
      <c r="AC8" s="269"/>
      <c r="AD8" s="270"/>
      <c r="AE8" s="240"/>
    </row>
    <row r="9" spans="3:54" ht="18.75" customHeight="1" x14ac:dyDescent="0.3">
      <c r="C9" s="239" t="s">
        <v>39</v>
      </c>
      <c r="D9" s="245" t="s">
        <v>7</v>
      </c>
      <c r="E9" s="266" t="s">
        <v>39</v>
      </c>
      <c r="F9" s="267" t="s">
        <v>39</v>
      </c>
      <c r="G9" s="271">
        <f>Model2.0!BW19</f>
        <v>1108647.8033489289</v>
      </c>
      <c r="H9" s="272" t="s">
        <v>39</v>
      </c>
      <c r="I9" s="269" t="s">
        <v>39</v>
      </c>
      <c r="J9" s="266" t="s">
        <v>39</v>
      </c>
      <c r="K9" s="267" t="s">
        <v>39</v>
      </c>
      <c r="L9" s="271">
        <f>Model2.0!BX19</f>
        <v>1174825.5104630617</v>
      </c>
      <c r="M9" s="352">
        <f>(L9-G9)/G9</f>
        <v>5.9692272797752036E-2</v>
      </c>
      <c r="N9" s="273" t="s">
        <v>39</v>
      </c>
      <c r="O9" s="274" t="s">
        <v>39</v>
      </c>
      <c r="P9" s="267" t="s">
        <v>39</v>
      </c>
      <c r="Q9" s="271">
        <f>Model2.0!BY19</f>
        <v>1222689.7144208569</v>
      </c>
      <c r="R9" s="352">
        <f>(Q9-L9)/L9</f>
        <v>4.0741542919790118E-2</v>
      </c>
      <c r="S9" s="269" t="s">
        <v>39</v>
      </c>
      <c r="T9" s="266" t="s">
        <v>39</v>
      </c>
      <c r="U9" s="267" t="s">
        <v>39</v>
      </c>
      <c r="V9" s="271">
        <f>Model2.0!BZ19</f>
        <v>1272503.979898521</v>
      </c>
      <c r="W9" s="352">
        <f>(V9-Q9)/Q9</f>
        <v>4.0741542919790777E-2</v>
      </c>
      <c r="X9" s="269" t="s">
        <v>39</v>
      </c>
      <c r="Y9" s="266" t="s">
        <v>39</v>
      </c>
      <c r="Z9" s="267" t="s">
        <v>39</v>
      </c>
      <c r="AA9" s="271">
        <f>Model2.0!CA19</f>
        <v>1324347.7554111609</v>
      </c>
      <c r="AB9" s="352">
        <f>(AA9-V9)/V9</f>
        <v>4.0741542919790562E-2</v>
      </c>
      <c r="AC9" s="269" t="s">
        <v>39</v>
      </c>
      <c r="AD9" s="270"/>
      <c r="AE9" s="240" t="s">
        <v>39</v>
      </c>
    </row>
    <row r="10" spans="3:54" ht="21" x14ac:dyDescent="0.3">
      <c r="C10" s="239" t="s">
        <v>39</v>
      </c>
      <c r="D10" s="358" t="s">
        <v>42</v>
      </c>
      <c r="E10" s="275" t="s">
        <v>39</v>
      </c>
      <c r="F10" s="276" t="s">
        <v>39</v>
      </c>
      <c r="G10" s="277">
        <f>Model2.0!BW20</f>
        <v>149034.19997316197</v>
      </c>
      <c r="H10" s="351">
        <f>IF(G10&gt;0,G10/G9,"")</f>
        <v>0.13442880554398742</v>
      </c>
      <c r="I10" s="278" t="s">
        <v>39</v>
      </c>
      <c r="J10" s="279" t="s">
        <v>39</v>
      </c>
      <c r="K10" s="280" t="s">
        <v>39</v>
      </c>
      <c r="L10" s="277">
        <f>Model2.0!BX20</f>
        <v>122035.47332323033</v>
      </c>
      <c r="M10" s="351">
        <f>IF(L10&gt;0,L10/L9,"")</f>
        <v>0.10387540297378255</v>
      </c>
      <c r="N10" s="281" t="s">
        <v>39</v>
      </c>
      <c r="O10" s="282" t="s">
        <v>39</v>
      </c>
      <c r="P10" s="276" t="s">
        <v>39</v>
      </c>
      <c r="Q10" s="277">
        <f>Model2.0!BY20</f>
        <v>127007.38679736569</v>
      </c>
      <c r="R10" s="351">
        <f>IF(Q10&gt;0,Q10/Q9,"")</f>
        <v>0.10387540297378262</v>
      </c>
      <c r="S10" s="278" t="s">
        <v>39</v>
      </c>
      <c r="T10" s="279" t="s">
        <v>39</v>
      </c>
      <c r="U10" s="280" t="s">
        <v>39</v>
      </c>
      <c r="V10" s="277">
        <f>Model2.0!BZ20</f>
        <v>132181.86369770099</v>
      </c>
      <c r="W10" s="351">
        <f>IF(V10&gt;0,V10/V9,"")</f>
        <v>0.10387540297378257</v>
      </c>
      <c r="X10" s="278" t="s">
        <v>39</v>
      </c>
      <c r="Y10" s="279" t="s">
        <v>39</v>
      </c>
      <c r="Z10" s="276" t="s">
        <v>39</v>
      </c>
      <c r="AA10" s="277">
        <f>Model2.0!CA20</f>
        <v>137567.1567707588</v>
      </c>
      <c r="AB10" s="351">
        <f>IF(AA10&gt;0,AA10/AA9,"")</f>
        <v>0.10387540297378259</v>
      </c>
      <c r="AC10" s="269" t="s">
        <v>39</v>
      </c>
      <c r="AD10" s="283"/>
      <c r="AE10" s="240" t="s">
        <v>39</v>
      </c>
    </row>
    <row r="11" spans="3:54" ht="21" x14ac:dyDescent="0.3">
      <c r="C11" s="239" t="s">
        <v>39</v>
      </c>
      <c r="D11" s="359" t="s">
        <v>9</v>
      </c>
      <c r="E11" s="266" t="s">
        <v>39</v>
      </c>
      <c r="F11" s="267" t="s">
        <v>39</v>
      </c>
      <c r="G11" s="271">
        <f>Model2.0!BW21</f>
        <v>-40023.386402488395</v>
      </c>
      <c r="H11" s="272" t="s">
        <v>39</v>
      </c>
      <c r="I11" s="269" t="s">
        <v>39</v>
      </c>
      <c r="J11" s="266" t="s">
        <v>39</v>
      </c>
      <c r="K11" s="267" t="s">
        <v>39</v>
      </c>
      <c r="L11" s="271">
        <f>Model2.0!BX21</f>
        <v>-42412.473301915576</v>
      </c>
      <c r="M11" s="352"/>
      <c r="N11" s="273" t="s">
        <v>39</v>
      </c>
      <c r="O11" s="274" t="s">
        <v>39</v>
      </c>
      <c r="P11" s="267" t="s">
        <v>39</v>
      </c>
      <c r="Q11" s="271">
        <f>Model2.0!BY21</f>
        <v>-44140.422903280036</v>
      </c>
      <c r="R11" s="352">
        <f>(Q11-L11)/L11</f>
        <v>4.0741542919790458E-2</v>
      </c>
      <c r="S11" s="269" t="s">
        <v>39</v>
      </c>
      <c r="T11" s="266" t="s">
        <v>39</v>
      </c>
      <c r="U11" s="267" t="s">
        <v>39</v>
      </c>
      <c r="V11" s="271">
        <f>Model2.0!BZ21</f>
        <v>-45938.771837491717</v>
      </c>
      <c r="W11" s="352">
        <f>(V11-Q11)/Q11</f>
        <v>4.0741542919790361E-2</v>
      </c>
      <c r="X11" s="269" t="s">
        <v>39</v>
      </c>
      <c r="Y11" s="266" t="s">
        <v>39</v>
      </c>
      <c r="Z11" s="267" t="s">
        <v>39</v>
      </c>
      <c r="AA11" s="271">
        <f>Model2.0!CA21</f>
        <v>-47810.388281991363</v>
      </c>
      <c r="AB11" s="352">
        <f>(AA11-V11)/V11</f>
        <v>4.0741542919790819E-2</v>
      </c>
      <c r="AC11" s="269" t="s">
        <v>39</v>
      </c>
      <c r="AD11" s="270"/>
      <c r="AE11" s="240" t="s">
        <v>39</v>
      </c>
      <c r="AK11" s="238" t="s">
        <v>488</v>
      </c>
    </row>
    <row r="12" spans="3:54" ht="21" x14ac:dyDescent="0.3">
      <c r="C12" s="239" t="s">
        <v>39</v>
      </c>
      <c r="D12" s="360" t="s">
        <v>10</v>
      </c>
      <c r="E12" s="266" t="s">
        <v>39</v>
      </c>
      <c r="F12" s="267" t="s">
        <v>39</v>
      </c>
      <c r="G12" s="349">
        <f>Model2.0!BW22</f>
        <v>1217658.6169196023</v>
      </c>
      <c r="H12" s="285" t="s">
        <v>39</v>
      </c>
      <c r="I12" s="286" t="s">
        <v>39</v>
      </c>
      <c r="J12" s="284" t="s">
        <v>39</v>
      </c>
      <c r="K12" s="287" t="s">
        <v>39</v>
      </c>
      <c r="L12" s="349">
        <f>Model2.0!BX22</f>
        <v>1254448.5104843765</v>
      </c>
      <c r="M12" s="285" t="s">
        <v>39</v>
      </c>
      <c r="N12" s="273" t="s">
        <v>39</v>
      </c>
      <c r="O12" s="274" t="s">
        <v>39</v>
      </c>
      <c r="P12" s="267" t="s">
        <v>39</v>
      </c>
      <c r="Q12" s="349">
        <f>Model2.0!BY22</f>
        <v>1305556.6783149429</v>
      </c>
      <c r="R12" s="285" t="s">
        <v>39</v>
      </c>
      <c r="S12" s="286" t="s">
        <v>39</v>
      </c>
      <c r="T12" s="266" t="s">
        <v>39</v>
      </c>
      <c r="U12" s="267" t="s">
        <v>39</v>
      </c>
      <c r="V12" s="349">
        <f>Model2.0!BZ22</f>
        <v>1358747.0717587301</v>
      </c>
      <c r="W12" s="285" t="s">
        <v>39</v>
      </c>
      <c r="X12" s="269" t="s">
        <v>39</v>
      </c>
      <c r="Y12" s="266" t="s">
        <v>39</v>
      </c>
      <c r="Z12" s="267" t="s">
        <v>39</v>
      </c>
      <c r="AA12" s="349">
        <f>Model2.0!CA22</f>
        <v>1414104.5238999284</v>
      </c>
      <c r="AB12" s="285" t="s">
        <v>39</v>
      </c>
      <c r="AC12" s="286" t="s">
        <v>39</v>
      </c>
      <c r="AD12" s="288"/>
      <c r="AE12" s="240" t="s">
        <v>39</v>
      </c>
    </row>
    <row r="13" spans="3:54" ht="20.25" customHeight="1" x14ac:dyDescent="0.4">
      <c r="C13" s="239" t="s">
        <v>39</v>
      </c>
      <c r="D13" s="361"/>
      <c r="E13" s="284" t="s">
        <v>39</v>
      </c>
      <c r="F13" s="287" t="s">
        <v>39</v>
      </c>
      <c r="G13" s="289"/>
      <c r="H13" s="285" t="s">
        <v>39</v>
      </c>
      <c r="I13" s="286" t="s">
        <v>39</v>
      </c>
      <c r="J13" s="284" t="s">
        <v>39</v>
      </c>
      <c r="K13" s="287" t="s">
        <v>39</v>
      </c>
      <c r="L13" s="289"/>
      <c r="M13" s="285" t="s">
        <v>39</v>
      </c>
      <c r="N13" s="290" t="s">
        <v>39</v>
      </c>
      <c r="O13" s="291" t="s">
        <v>39</v>
      </c>
      <c r="P13" s="287" t="s">
        <v>39</v>
      </c>
      <c r="Q13" s="289"/>
      <c r="R13" s="285" t="s">
        <v>39</v>
      </c>
      <c r="S13" s="286" t="s">
        <v>39</v>
      </c>
      <c r="T13" s="284" t="s">
        <v>39</v>
      </c>
      <c r="U13" s="287" t="s">
        <v>39</v>
      </c>
      <c r="V13" s="289"/>
      <c r="W13" s="285" t="s">
        <v>39</v>
      </c>
      <c r="X13" s="286" t="s">
        <v>39</v>
      </c>
      <c r="Y13" s="284" t="s">
        <v>39</v>
      </c>
      <c r="Z13" s="287" t="s">
        <v>39</v>
      </c>
      <c r="AA13" s="289"/>
      <c r="AB13" s="285" t="s">
        <v>39</v>
      </c>
      <c r="AC13" s="286" t="s">
        <v>39</v>
      </c>
      <c r="AD13" s="288"/>
      <c r="AE13" s="240" t="s">
        <v>39</v>
      </c>
    </row>
    <row r="14" spans="3:54" ht="21" x14ac:dyDescent="0.3">
      <c r="C14" s="239" t="s">
        <v>39</v>
      </c>
      <c r="D14" s="359" t="s">
        <v>11</v>
      </c>
      <c r="E14" s="284" t="s">
        <v>39</v>
      </c>
      <c r="F14" s="287" t="s">
        <v>39</v>
      </c>
      <c r="G14" s="271">
        <f>Model2.0!BW27</f>
        <v>6960</v>
      </c>
      <c r="H14" s="285" t="s">
        <v>39</v>
      </c>
      <c r="I14" s="286" t="s">
        <v>39</v>
      </c>
      <c r="J14" s="284" t="s">
        <v>39</v>
      </c>
      <c r="K14" s="287" t="s">
        <v>39</v>
      </c>
      <c r="L14" s="271">
        <f>Model2.0!BX27</f>
        <v>6960</v>
      </c>
      <c r="M14" s="285" t="s">
        <v>39</v>
      </c>
      <c r="N14" s="290" t="s">
        <v>39</v>
      </c>
      <c r="O14" s="291" t="s">
        <v>39</v>
      </c>
      <c r="P14" s="287" t="s">
        <v>39</v>
      </c>
      <c r="Q14" s="271">
        <f>Model2.0!BY27</f>
        <v>6960</v>
      </c>
      <c r="R14" s="285" t="s">
        <v>39</v>
      </c>
      <c r="S14" s="286" t="s">
        <v>39</v>
      </c>
      <c r="T14" s="284" t="s">
        <v>39</v>
      </c>
      <c r="U14" s="287" t="s">
        <v>39</v>
      </c>
      <c r="V14" s="271">
        <f>Model2.0!BZ27</f>
        <v>6960</v>
      </c>
      <c r="W14" s="285" t="s">
        <v>39</v>
      </c>
      <c r="X14" s="286" t="s">
        <v>39</v>
      </c>
      <c r="Y14" s="284" t="s">
        <v>39</v>
      </c>
      <c r="Z14" s="287" t="s">
        <v>39</v>
      </c>
      <c r="AA14" s="271">
        <f>Model2.0!CA27</f>
        <v>6960</v>
      </c>
      <c r="AB14" s="285" t="s">
        <v>39</v>
      </c>
      <c r="AC14" s="286" t="s">
        <v>39</v>
      </c>
      <c r="AD14" s="288"/>
      <c r="AE14" s="240" t="s">
        <v>39</v>
      </c>
    </row>
    <row r="15" spans="3:54" ht="15" customHeight="1" x14ac:dyDescent="0.3">
      <c r="C15" s="239" t="s">
        <v>39</v>
      </c>
      <c r="D15" s="359" t="s">
        <v>12</v>
      </c>
      <c r="E15" s="266" t="s">
        <v>39</v>
      </c>
      <c r="F15" s="267" t="s">
        <v>39</v>
      </c>
      <c r="G15" s="271">
        <f>Model2.0!BW28</f>
        <v>25749.436296251028</v>
      </c>
      <c r="H15" s="272" t="s">
        <v>39</v>
      </c>
      <c r="I15" s="269" t="s">
        <v>39</v>
      </c>
      <c r="J15" s="266" t="s">
        <v>39</v>
      </c>
      <c r="K15" s="267" t="s">
        <v>39</v>
      </c>
      <c r="L15" s="271">
        <f>Model2.0!BX28</f>
        <v>20206.013288412047</v>
      </c>
      <c r="M15" s="272" t="s">
        <v>39</v>
      </c>
      <c r="N15" s="273" t="s">
        <v>39</v>
      </c>
      <c r="O15" s="274" t="s">
        <v>39</v>
      </c>
      <c r="P15" s="267" t="s">
        <v>39</v>
      </c>
      <c r="Q15" s="271">
        <f>Model2.0!BY28</f>
        <v>15855.996547424527</v>
      </c>
      <c r="R15" s="272" t="s">
        <v>39</v>
      </c>
      <c r="S15" s="269" t="s">
        <v>39</v>
      </c>
      <c r="T15" s="266" t="s">
        <v>39</v>
      </c>
      <c r="U15" s="267" t="s">
        <v>39</v>
      </c>
      <c r="V15" s="271">
        <f>Model2.0!BZ28</f>
        <v>12442.465662245275</v>
      </c>
      <c r="W15" s="272" t="s">
        <v>43</v>
      </c>
      <c r="X15" s="269" t="s">
        <v>39</v>
      </c>
      <c r="Y15" s="266" t="s">
        <v>39</v>
      </c>
      <c r="Z15" s="267" t="s">
        <v>39</v>
      </c>
      <c r="AA15" s="271">
        <f>Model2.0!CA28</f>
        <v>9763.8108896598551</v>
      </c>
      <c r="AB15" s="272" t="s">
        <v>43</v>
      </c>
      <c r="AC15" s="269" t="s">
        <v>39</v>
      </c>
      <c r="AD15" s="270"/>
      <c r="AE15" s="240" t="s">
        <v>39</v>
      </c>
    </row>
    <row r="16" spans="3:54" ht="21" x14ac:dyDescent="0.3">
      <c r="C16" s="239" t="s">
        <v>39</v>
      </c>
      <c r="D16" s="362" t="s">
        <v>13</v>
      </c>
      <c r="E16" s="266" t="s">
        <v>39</v>
      </c>
      <c r="F16" s="267" t="s">
        <v>39</v>
      </c>
      <c r="G16" s="337">
        <f>Model2.0!BW29</f>
        <v>36264.777676350059</v>
      </c>
      <c r="H16" s="338" t="s">
        <v>39</v>
      </c>
      <c r="I16" s="269" t="s">
        <v>39</v>
      </c>
      <c r="J16" s="266" t="s">
        <v>39</v>
      </c>
      <c r="K16" s="267" t="s">
        <v>39</v>
      </c>
      <c r="L16" s="337">
        <f>Model2.0!BX29</f>
        <v>37144.77035603601</v>
      </c>
      <c r="M16" s="338" t="s">
        <v>39</v>
      </c>
      <c r="N16" s="273" t="s">
        <v>39</v>
      </c>
      <c r="O16" s="274" t="s">
        <v>39</v>
      </c>
      <c r="P16" s="267" t="s">
        <v>39</v>
      </c>
      <c r="Q16" s="337">
        <f>Model2.0!BY29</f>
        <v>38046.116733880888</v>
      </c>
      <c r="R16" s="338" t="s">
        <v>39</v>
      </c>
      <c r="S16" s="269" t="s">
        <v>39</v>
      </c>
      <c r="T16" s="266" t="s">
        <v>39</v>
      </c>
      <c r="U16" s="267" t="s">
        <v>39</v>
      </c>
      <c r="V16" s="337">
        <f>Model2.0!BZ29</f>
        <v>38969.334973768957</v>
      </c>
      <c r="W16" s="338" t="s">
        <v>39</v>
      </c>
      <c r="X16" s="269" t="s">
        <v>39</v>
      </c>
      <c r="Y16" s="266" t="s">
        <v>39</v>
      </c>
      <c r="Z16" s="267" t="s">
        <v>39</v>
      </c>
      <c r="AA16" s="337">
        <f>Model2.0!CA29</f>
        <v>39914.95581322912</v>
      </c>
      <c r="AB16" s="338" t="s">
        <v>39</v>
      </c>
      <c r="AC16" s="269" t="s">
        <v>39</v>
      </c>
      <c r="AD16" s="270"/>
      <c r="AE16" s="240" t="s">
        <v>39</v>
      </c>
    </row>
    <row r="17" spans="3:35" ht="21" x14ac:dyDescent="0.3">
      <c r="C17" s="239" t="s">
        <v>39</v>
      </c>
      <c r="D17" s="363" t="s">
        <v>14</v>
      </c>
      <c r="E17" s="275" t="s">
        <v>39</v>
      </c>
      <c r="F17" s="276" t="s">
        <v>39</v>
      </c>
      <c r="G17" s="292">
        <f>Model2.0!BW30</f>
        <v>38558.400000000001</v>
      </c>
      <c r="H17" s="341"/>
      <c r="I17" s="293" t="s">
        <v>39</v>
      </c>
      <c r="J17" s="275" t="s">
        <v>39</v>
      </c>
      <c r="K17" s="276" t="s">
        <v>39</v>
      </c>
      <c r="L17" s="292">
        <f>Model2.0!BX30</f>
        <v>43185.408000000003</v>
      </c>
      <c r="M17" s="341"/>
      <c r="N17" s="342" t="s">
        <v>39</v>
      </c>
      <c r="O17" s="343" t="s">
        <v>39</v>
      </c>
      <c r="P17" s="276" t="s">
        <v>39</v>
      </c>
      <c r="Q17" s="292">
        <f>Model2.0!BY30</f>
        <v>43833.189120000003</v>
      </c>
      <c r="R17" s="341"/>
      <c r="S17" s="293" t="s">
        <v>39</v>
      </c>
      <c r="T17" s="275" t="s">
        <v>39</v>
      </c>
      <c r="U17" s="276" t="s">
        <v>39</v>
      </c>
      <c r="V17" s="292">
        <f>Model2.0!BZ30</f>
        <v>44490.686956799989</v>
      </c>
      <c r="W17" s="341"/>
      <c r="X17" s="293" t="s">
        <v>39</v>
      </c>
      <c r="Y17" s="275" t="s">
        <v>39</v>
      </c>
      <c r="Z17" s="276" t="s">
        <v>39</v>
      </c>
      <c r="AA17" s="292">
        <f>Model2.0!CA30</f>
        <v>45158.047261151987</v>
      </c>
      <c r="AB17" s="341"/>
      <c r="AC17" s="269" t="s">
        <v>39</v>
      </c>
      <c r="AD17" s="294"/>
      <c r="AE17" s="240" t="s">
        <v>39</v>
      </c>
      <c r="AG17" s="238" t="s">
        <v>311</v>
      </c>
      <c r="AH17" s="238" t="s">
        <v>313</v>
      </c>
    </row>
    <row r="18" spans="3:35" ht="21" x14ac:dyDescent="0.3">
      <c r="C18" s="239" t="s">
        <v>39</v>
      </c>
      <c r="D18" s="364" t="s">
        <v>15</v>
      </c>
      <c r="E18" s="266" t="s">
        <v>39</v>
      </c>
      <c r="F18" s="267" t="s">
        <v>39</v>
      </c>
      <c r="G18" s="295">
        <f>Model2.0!BW31</f>
        <v>0</v>
      </c>
      <c r="H18" s="296" t="s">
        <v>39</v>
      </c>
      <c r="I18" s="269" t="s">
        <v>39</v>
      </c>
      <c r="J18" s="266" t="s">
        <v>39</v>
      </c>
      <c r="K18" s="267" t="s">
        <v>39</v>
      </c>
      <c r="L18" s="295">
        <f>Model2.0!BX31</f>
        <v>0</v>
      </c>
      <c r="M18" s="295"/>
      <c r="N18" s="273" t="s">
        <v>39</v>
      </c>
      <c r="O18" s="274" t="s">
        <v>39</v>
      </c>
      <c r="P18" s="267" t="s">
        <v>39</v>
      </c>
      <c r="Q18" s="295">
        <f>Model2.0!BY31</f>
        <v>0</v>
      </c>
      <c r="R18" s="295"/>
      <c r="S18" s="269" t="s">
        <v>39</v>
      </c>
      <c r="T18" s="266" t="s">
        <v>39</v>
      </c>
      <c r="U18" s="267" t="s">
        <v>39</v>
      </c>
      <c r="V18" s="295">
        <f>Model2.0!BZ31</f>
        <v>0</v>
      </c>
      <c r="W18" s="295"/>
      <c r="X18" s="269" t="s">
        <v>39</v>
      </c>
      <c r="Y18" s="266" t="s">
        <v>39</v>
      </c>
      <c r="Z18" s="267" t="s">
        <v>39</v>
      </c>
      <c r="AA18" s="295">
        <f>Model2.0!CA31</f>
        <v>0</v>
      </c>
      <c r="AB18" s="295"/>
      <c r="AC18" s="269" t="s">
        <v>39</v>
      </c>
      <c r="AD18" s="270"/>
      <c r="AE18" s="240" t="s">
        <v>39</v>
      </c>
    </row>
    <row r="19" spans="3:35" ht="21" x14ac:dyDescent="0.3">
      <c r="C19" s="239" t="s">
        <v>39</v>
      </c>
      <c r="D19" s="364" t="s">
        <v>16</v>
      </c>
      <c r="E19" s="266" t="s">
        <v>39</v>
      </c>
      <c r="F19" s="267" t="s">
        <v>39</v>
      </c>
      <c r="G19" s="350">
        <f>Model2.0!BW32</f>
        <v>10301.320308904786</v>
      </c>
      <c r="H19" s="272" t="s">
        <v>39</v>
      </c>
      <c r="I19" s="269" t="s">
        <v>39</v>
      </c>
      <c r="J19" s="266" t="s">
        <v>39</v>
      </c>
      <c r="K19" s="267" t="s">
        <v>39</v>
      </c>
      <c r="L19" s="350">
        <f>Model2.0!BX32</f>
        <v>10551.28975705194</v>
      </c>
      <c r="M19" s="272"/>
      <c r="N19" s="273" t="s">
        <v>39</v>
      </c>
      <c r="O19" s="274" t="s">
        <v>39</v>
      </c>
      <c r="P19" s="267" t="s">
        <v>39</v>
      </c>
      <c r="Q19" s="350">
        <f>Model2.0!BY32</f>
        <v>10807.324905821273</v>
      </c>
      <c r="R19" s="272"/>
      <c r="S19" s="269" t="s">
        <v>39</v>
      </c>
      <c r="T19" s="266" t="s">
        <v>39</v>
      </c>
      <c r="U19" s="267" t="s">
        <v>39</v>
      </c>
      <c r="V19" s="350">
        <f>Model2.0!BZ32</f>
        <v>11069.57294409651</v>
      </c>
      <c r="W19" s="272"/>
      <c r="X19" s="269" t="s">
        <v>39</v>
      </c>
      <c r="Y19" s="266" t="s">
        <v>39</v>
      </c>
      <c r="Z19" s="267" t="s">
        <v>39</v>
      </c>
      <c r="AA19" s="350">
        <f>Model2.0!CA32</f>
        <v>11338.184632412673</v>
      </c>
      <c r="AB19" s="272"/>
      <c r="AC19" s="269" t="s">
        <v>39</v>
      </c>
      <c r="AD19" s="270"/>
      <c r="AE19" s="240" t="s">
        <v>39</v>
      </c>
    </row>
    <row r="20" spans="3:35" ht="9" customHeight="1" x14ac:dyDescent="0.3">
      <c r="C20" s="239" t="s">
        <v>39</v>
      </c>
      <c r="D20" s="297"/>
      <c r="E20" s="266" t="s">
        <v>39</v>
      </c>
      <c r="F20" s="267" t="s">
        <v>39</v>
      </c>
      <c r="G20" s="284" t="s">
        <v>39</v>
      </c>
      <c r="H20" s="298" t="s">
        <v>39</v>
      </c>
      <c r="I20" s="286" t="s">
        <v>39</v>
      </c>
      <c r="J20" s="284" t="s">
        <v>39</v>
      </c>
      <c r="K20" s="287" t="s">
        <v>39</v>
      </c>
      <c r="L20" s="284" t="s">
        <v>39</v>
      </c>
      <c r="M20" s="298" t="s">
        <v>39</v>
      </c>
      <c r="N20" s="290" t="s">
        <v>39</v>
      </c>
      <c r="O20" s="291" t="s">
        <v>39</v>
      </c>
      <c r="P20" s="267" t="s">
        <v>39</v>
      </c>
      <c r="Q20" s="284"/>
      <c r="R20" s="298" t="s">
        <v>39</v>
      </c>
      <c r="S20" s="286" t="s">
        <v>39</v>
      </c>
      <c r="T20" s="284" t="s">
        <v>39</v>
      </c>
      <c r="U20" s="287" t="s">
        <v>39</v>
      </c>
      <c r="V20" s="284"/>
      <c r="W20" s="298" t="s">
        <v>39</v>
      </c>
      <c r="X20" s="286" t="s">
        <v>39</v>
      </c>
      <c r="Y20" s="284" t="s">
        <v>39</v>
      </c>
      <c r="Z20" s="267" t="s">
        <v>39</v>
      </c>
      <c r="AA20" s="284"/>
      <c r="AB20" s="298" t="s">
        <v>39</v>
      </c>
      <c r="AC20" s="286" t="s">
        <v>39</v>
      </c>
      <c r="AD20" s="288"/>
      <c r="AE20" s="240" t="s">
        <v>39</v>
      </c>
    </row>
    <row r="21" spans="3:35" ht="24" customHeight="1" x14ac:dyDescent="0.3">
      <c r="C21" s="239" t="s">
        <v>39</v>
      </c>
      <c r="D21" s="365" t="s">
        <v>44</v>
      </c>
      <c r="E21" s="299" t="s">
        <v>39</v>
      </c>
      <c r="F21" s="300" t="s">
        <v>39</v>
      </c>
      <c r="G21" s="301">
        <f>SUM(G12:G15,G17:G19)</f>
        <v>1299227.7735247582</v>
      </c>
      <c r="H21" s="302" t="s">
        <v>39</v>
      </c>
      <c r="I21" s="303" t="s">
        <v>39</v>
      </c>
      <c r="J21" s="304" t="s">
        <v>39</v>
      </c>
      <c r="K21" s="305" t="s">
        <v>39</v>
      </c>
      <c r="L21" s="301">
        <f>SUM(L12:L15,L17:L19)</f>
        <v>1335351.2215298405</v>
      </c>
      <c r="M21" s="306" t="s">
        <v>39</v>
      </c>
      <c r="N21" s="307" t="s">
        <v>39</v>
      </c>
      <c r="O21" s="308" t="s">
        <v>39</v>
      </c>
      <c r="P21" s="300" t="s">
        <v>39</v>
      </c>
      <c r="Q21" s="301">
        <f>SUM(Q12:Q15,Q17:Q19)</f>
        <v>1383013.1888881887</v>
      </c>
      <c r="R21" s="306" t="s">
        <v>39</v>
      </c>
      <c r="S21" s="303" t="s">
        <v>39</v>
      </c>
      <c r="T21" s="304" t="s">
        <v>39</v>
      </c>
      <c r="U21" s="305" t="s">
        <v>39</v>
      </c>
      <c r="V21" s="301">
        <f>SUM(V12:V15,V17:V19)</f>
        <v>1433709.7973218719</v>
      </c>
      <c r="W21" s="306" t="s">
        <v>39</v>
      </c>
      <c r="X21" s="303" t="s">
        <v>39</v>
      </c>
      <c r="Y21" s="304" t="s">
        <v>39</v>
      </c>
      <c r="Z21" s="300" t="s">
        <v>39</v>
      </c>
      <c r="AA21" s="301">
        <f>SUM(AA12:AA15,AA17:AA19)</f>
        <v>1487324.5666831529</v>
      </c>
      <c r="AB21" s="306" t="s">
        <v>39</v>
      </c>
      <c r="AC21" s="303" t="s">
        <v>39</v>
      </c>
      <c r="AD21" s="309"/>
      <c r="AE21" s="240" t="s">
        <v>39</v>
      </c>
    </row>
    <row r="22" spans="3:35" ht="12.75" customHeight="1" x14ac:dyDescent="0.3">
      <c r="C22" s="239" t="s">
        <v>39</v>
      </c>
      <c r="D22" s="245" t="s">
        <v>39</v>
      </c>
      <c r="E22" s="266" t="s">
        <v>39</v>
      </c>
      <c r="F22" s="267" t="s">
        <v>39</v>
      </c>
      <c r="G22" s="266" t="s">
        <v>39</v>
      </c>
      <c r="H22" s="310" t="s">
        <v>39</v>
      </c>
      <c r="I22" s="269" t="s">
        <v>39</v>
      </c>
      <c r="J22" s="266" t="s">
        <v>39</v>
      </c>
      <c r="K22" s="267" t="s">
        <v>39</v>
      </c>
      <c r="L22" s="266" t="s">
        <v>39</v>
      </c>
      <c r="M22" s="274" t="s">
        <v>39</v>
      </c>
      <c r="N22" s="273" t="s">
        <v>39</v>
      </c>
      <c r="O22" s="274" t="s">
        <v>39</v>
      </c>
      <c r="P22" s="267" t="s">
        <v>39</v>
      </c>
      <c r="Q22" s="266"/>
      <c r="R22" s="274" t="s">
        <v>39</v>
      </c>
      <c r="S22" s="269" t="s">
        <v>39</v>
      </c>
      <c r="T22" s="266" t="s">
        <v>39</v>
      </c>
      <c r="U22" s="267" t="s">
        <v>39</v>
      </c>
      <c r="V22" s="266" t="s">
        <v>39</v>
      </c>
      <c r="W22" s="274" t="s">
        <v>39</v>
      </c>
      <c r="X22" s="269" t="s">
        <v>39</v>
      </c>
      <c r="Y22" s="266" t="s">
        <v>39</v>
      </c>
      <c r="Z22" s="267" t="s">
        <v>39</v>
      </c>
      <c r="AA22" s="266"/>
      <c r="AB22" s="274" t="s">
        <v>39</v>
      </c>
      <c r="AC22" s="269" t="s">
        <v>39</v>
      </c>
      <c r="AD22" s="270"/>
      <c r="AE22" s="240" t="s">
        <v>39</v>
      </c>
    </row>
    <row r="23" spans="3:35" ht="24" customHeight="1" x14ac:dyDescent="0.3">
      <c r="C23" s="239" t="s">
        <v>39</v>
      </c>
      <c r="D23" s="366" t="s">
        <v>18</v>
      </c>
      <c r="E23" s="266" t="s">
        <v>39</v>
      </c>
      <c r="F23" s="267" t="s">
        <v>39</v>
      </c>
      <c r="G23" s="354"/>
      <c r="H23" s="354"/>
      <c r="I23" s="311"/>
      <c r="J23" s="268"/>
      <c r="K23" s="312"/>
      <c r="L23" s="354"/>
      <c r="M23" s="354"/>
      <c r="N23" s="313"/>
      <c r="O23" s="310"/>
      <c r="P23" s="312"/>
      <c r="Q23" s="354"/>
      <c r="R23" s="354"/>
      <c r="S23" s="311"/>
      <c r="T23" s="268"/>
      <c r="U23" s="312"/>
      <c r="V23" s="354"/>
      <c r="W23" s="354"/>
      <c r="X23" s="311"/>
      <c r="Y23" s="268"/>
      <c r="Z23" s="312"/>
      <c r="AA23" s="354"/>
      <c r="AB23" s="354"/>
      <c r="AC23" s="311" t="s">
        <v>39</v>
      </c>
      <c r="AD23" s="314"/>
      <c r="AE23" s="240" t="s">
        <v>39</v>
      </c>
      <c r="AF23" s="251"/>
      <c r="AG23" s="251"/>
      <c r="AH23" s="251"/>
      <c r="AI23" s="251"/>
    </row>
    <row r="24" spans="3:35" ht="20.25" customHeight="1" x14ac:dyDescent="0.3">
      <c r="C24" s="239" t="s">
        <v>39</v>
      </c>
      <c r="D24" s="359" t="s">
        <v>19</v>
      </c>
      <c r="E24" s="266" t="s">
        <v>39</v>
      </c>
      <c r="F24" s="267" t="s">
        <v>39</v>
      </c>
      <c r="G24" s="317">
        <f>Model2.0!BW37</f>
        <v>36000</v>
      </c>
      <c r="H24" s="272" t="s">
        <v>39</v>
      </c>
      <c r="I24" s="318" t="s">
        <v>39</v>
      </c>
      <c r="J24" s="319" t="s">
        <v>39</v>
      </c>
      <c r="K24" s="320" t="s">
        <v>39</v>
      </c>
      <c r="L24" s="317">
        <f>Model2.0!BX37</f>
        <v>36720</v>
      </c>
      <c r="M24" s="272" t="s">
        <v>39</v>
      </c>
      <c r="N24" s="273" t="s">
        <v>39</v>
      </c>
      <c r="O24" s="274" t="s">
        <v>39</v>
      </c>
      <c r="P24" s="276" t="s">
        <v>39</v>
      </c>
      <c r="Q24" s="317">
        <f>Model2.0!BY37</f>
        <v>37454.400000000001</v>
      </c>
      <c r="R24" s="246" t="s">
        <v>39</v>
      </c>
      <c r="S24" s="318" t="s">
        <v>39</v>
      </c>
      <c r="T24" s="319" t="s">
        <v>39</v>
      </c>
      <c r="U24" s="320" t="s">
        <v>39</v>
      </c>
      <c r="V24" s="317">
        <f>Model2.0!BZ37</f>
        <v>38203.488000000005</v>
      </c>
      <c r="W24" s="246" t="s">
        <v>39</v>
      </c>
      <c r="X24" s="318" t="s">
        <v>39</v>
      </c>
      <c r="Y24" s="319" t="s">
        <v>39</v>
      </c>
      <c r="Z24" s="276" t="s">
        <v>39</v>
      </c>
      <c r="AA24" s="317">
        <f>Model2.0!CA37</f>
        <v>38967.557760000003</v>
      </c>
      <c r="AB24" s="246" t="s">
        <v>39</v>
      </c>
      <c r="AC24" s="318" t="s">
        <v>39</v>
      </c>
      <c r="AD24" s="321"/>
      <c r="AE24" s="240" t="s">
        <v>39</v>
      </c>
    </row>
    <row r="25" spans="3:35" ht="21" x14ac:dyDescent="0.3">
      <c r="C25" s="239" t="s">
        <v>39</v>
      </c>
      <c r="D25" s="369" t="s">
        <v>20</v>
      </c>
      <c r="E25" s="266" t="s">
        <v>39</v>
      </c>
      <c r="F25" s="267" t="s">
        <v>39</v>
      </c>
      <c r="G25" s="337">
        <f>Model2.0!BW38</f>
        <v>18747.487146064952</v>
      </c>
      <c r="H25" s="338" t="s">
        <v>39</v>
      </c>
      <c r="I25" s="269" t="s">
        <v>39</v>
      </c>
      <c r="J25" s="266" t="s">
        <v>39</v>
      </c>
      <c r="K25" s="267" t="s">
        <v>39</v>
      </c>
      <c r="L25" s="337">
        <f>Model2.0!BX38</f>
        <v>19268.738223779779</v>
      </c>
      <c r="M25" s="338" t="s">
        <v>39</v>
      </c>
      <c r="N25" s="273" t="s">
        <v>39</v>
      </c>
      <c r="O25" s="274" t="s">
        <v>39</v>
      </c>
      <c r="P25" s="267" t="s">
        <v>39</v>
      </c>
      <c r="Q25" s="337">
        <f>Model2.0!BY38</f>
        <v>19956.486853092603</v>
      </c>
      <c r="R25" s="338" t="s">
        <v>39</v>
      </c>
      <c r="S25" s="269" t="s">
        <v>39</v>
      </c>
      <c r="T25" s="266" t="s">
        <v>39</v>
      </c>
      <c r="U25" s="267" t="s">
        <v>39</v>
      </c>
      <c r="V25" s="337">
        <f>Model2.0!BZ38</f>
        <v>20688.02448977741</v>
      </c>
      <c r="W25" s="338" t="s">
        <v>39</v>
      </c>
      <c r="X25" s="269" t="s">
        <v>39</v>
      </c>
      <c r="Y25" s="266" t="s">
        <v>39</v>
      </c>
      <c r="Z25" s="267" t="s">
        <v>39</v>
      </c>
      <c r="AA25" s="337">
        <f>Model2.0!CA38</f>
        <v>21461.670358440562</v>
      </c>
      <c r="AB25" s="338" t="s">
        <v>39</v>
      </c>
      <c r="AC25" s="269" t="s">
        <v>39</v>
      </c>
      <c r="AD25" s="270"/>
      <c r="AE25" s="240" t="s">
        <v>39</v>
      </c>
      <c r="AG25" s="238" t="s">
        <v>311</v>
      </c>
      <c r="AH25" s="238" t="s">
        <v>313</v>
      </c>
    </row>
    <row r="26" spans="3:35" ht="21.75" customHeight="1" x14ac:dyDescent="0.3">
      <c r="C26" s="239" t="s">
        <v>39</v>
      </c>
      <c r="D26" s="370" t="s">
        <v>21</v>
      </c>
      <c r="E26" s="266" t="s">
        <v>39</v>
      </c>
      <c r="F26" s="267" t="s">
        <v>39</v>
      </c>
      <c r="G26" s="315">
        <f>Model2.0!BW39</f>
        <v>0</v>
      </c>
      <c r="H26" s="315"/>
      <c r="I26" s="269" t="s">
        <v>39</v>
      </c>
      <c r="J26" s="266" t="s">
        <v>39</v>
      </c>
      <c r="K26" s="267" t="s">
        <v>39</v>
      </c>
      <c r="L26" s="315">
        <f>Model2.0!BX39</f>
        <v>0</v>
      </c>
      <c r="M26" s="315"/>
      <c r="N26" s="273" t="s">
        <v>39</v>
      </c>
      <c r="O26" s="274" t="s">
        <v>39</v>
      </c>
      <c r="P26" s="267" t="s">
        <v>39</v>
      </c>
      <c r="Q26" s="315">
        <f>Model2.0!BY39</f>
        <v>0</v>
      </c>
      <c r="R26" s="315"/>
      <c r="S26" s="269" t="s">
        <v>39</v>
      </c>
      <c r="T26" s="266" t="s">
        <v>39</v>
      </c>
      <c r="U26" s="267" t="s">
        <v>39</v>
      </c>
      <c r="V26" s="315">
        <f>Model2.0!BZ39</f>
        <v>0</v>
      </c>
      <c r="W26" s="315"/>
      <c r="X26" s="269" t="s">
        <v>39</v>
      </c>
      <c r="Y26" s="266" t="s">
        <v>39</v>
      </c>
      <c r="Z26" s="267" t="s">
        <v>39</v>
      </c>
      <c r="AA26" s="315">
        <f>Model2.0!CA39</f>
        <v>0</v>
      </c>
      <c r="AB26" s="315"/>
      <c r="AC26" s="269" t="s">
        <v>39</v>
      </c>
      <c r="AD26" s="270"/>
      <c r="AE26" s="240" t="s">
        <v>39</v>
      </c>
    </row>
    <row r="27" spans="3:35" ht="32.25" customHeight="1" x14ac:dyDescent="0.3">
      <c r="C27" s="239" t="s">
        <v>39</v>
      </c>
      <c r="D27" s="359" t="s">
        <v>22</v>
      </c>
      <c r="E27" s="266" t="s">
        <v>39</v>
      </c>
      <c r="F27" s="267" t="s">
        <v>39</v>
      </c>
      <c r="G27" s="271">
        <f>Model2.0!BW40</f>
        <v>7595.4233093206849</v>
      </c>
      <c r="H27" s="339"/>
      <c r="I27" s="269" t="s">
        <v>39</v>
      </c>
      <c r="J27" s="266" t="s">
        <v>39</v>
      </c>
      <c r="K27" s="267" t="s">
        <v>39</v>
      </c>
      <c r="L27" s="271">
        <f>Model2.0!BX40</f>
        <v>7747.3317755071012</v>
      </c>
      <c r="N27" s="273" t="s">
        <v>39</v>
      </c>
      <c r="O27" s="274" t="s">
        <v>39</v>
      </c>
      <c r="P27" s="267" t="s">
        <v>39</v>
      </c>
      <c r="Q27" s="271">
        <f>Model2.0!BY40</f>
        <v>7902.2784110172424</v>
      </c>
      <c r="S27" s="269" t="s">
        <v>39</v>
      </c>
      <c r="T27" s="266" t="s">
        <v>39</v>
      </c>
      <c r="U27" s="267" t="s">
        <v>39</v>
      </c>
      <c r="V27" s="271">
        <f>Model2.0!BZ40</f>
        <v>8060.3239792375853</v>
      </c>
      <c r="X27" s="269" t="s">
        <v>39</v>
      </c>
      <c r="Y27" s="266" t="s">
        <v>39</v>
      </c>
      <c r="Z27" s="267" t="s">
        <v>39</v>
      </c>
      <c r="AA27" s="271">
        <f>Model2.0!CA40</f>
        <v>8221.5304588223389</v>
      </c>
      <c r="AB27" s="246" t="s">
        <v>39</v>
      </c>
      <c r="AC27" s="269" t="s">
        <v>39</v>
      </c>
      <c r="AD27" s="270"/>
      <c r="AE27" s="240" t="s">
        <v>39</v>
      </c>
    </row>
    <row r="28" spans="3:35" ht="21" x14ac:dyDescent="0.3">
      <c r="C28" s="239" t="s">
        <v>39</v>
      </c>
      <c r="D28" s="359" t="s">
        <v>23</v>
      </c>
      <c r="E28" s="275" t="s">
        <v>39</v>
      </c>
      <c r="F28" s="276" t="s">
        <v>39</v>
      </c>
      <c r="G28" s="317">
        <f>Model2.0!BW41</f>
        <v>410.24999999999994</v>
      </c>
      <c r="H28" s="272" t="s">
        <v>39</v>
      </c>
      <c r="I28" s="318" t="s">
        <v>39</v>
      </c>
      <c r="J28" s="319" t="s">
        <v>39</v>
      </c>
      <c r="K28" s="320" t="s">
        <v>39</v>
      </c>
      <c r="L28" s="317">
        <f>Model2.0!BX41</f>
        <v>418.45499999999987</v>
      </c>
      <c r="M28" s="272" t="s">
        <v>39</v>
      </c>
      <c r="N28" s="273" t="s">
        <v>39</v>
      </c>
      <c r="O28" s="274" t="s">
        <v>39</v>
      </c>
      <c r="P28" s="276" t="s">
        <v>39</v>
      </c>
      <c r="Q28" s="317">
        <f>Model2.0!BY41</f>
        <v>426.82409999999987</v>
      </c>
      <c r="R28" s="246" t="s">
        <v>39</v>
      </c>
      <c r="S28" s="318" t="s">
        <v>39</v>
      </c>
      <c r="T28" s="319" t="s">
        <v>39</v>
      </c>
      <c r="U28" s="320" t="s">
        <v>39</v>
      </c>
      <c r="V28" s="317">
        <f>Model2.0!BZ41</f>
        <v>435.36058200000008</v>
      </c>
      <c r="W28" s="246" t="s">
        <v>39</v>
      </c>
      <c r="X28" s="318" t="s">
        <v>39</v>
      </c>
      <c r="Y28" s="319" t="s">
        <v>39</v>
      </c>
      <c r="Z28" s="276" t="s">
        <v>39</v>
      </c>
      <c r="AA28" s="317">
        <f>Model2.0!CA41</f>
        <v>444.06779363999993</v>
      </c>
      <c r="AB28" s="246" t="s">
        <v>39</v>
      </c>
      <c r="AC28" s="318" t="s">
        <v>39</v>
      </c>
      <c r="AD28" s="321"/>
      <c r="AE28" s="240" t="s">
        <v>39</v>
      </c>
    </row>
    <row r="29" spans="3:35" ht="21" x14ac:dyDescent="0.3">
      <c r="C29" s="239" t="s">
        <v>39</v>
      </c>
      <c r="D29" s="367" t="s">
        <v>24</v>
      </c>
      <c r="E29" s="266" t="s">
        <v>39</v>
      </c>
      <c r="F29" s="267" t="s">
        <v>39</v>
      </c>
      <c r="G29" s="337">
        <f>Model2.0!BW42</f>
        <v>73059.517015176141</v>
      </c>
      <c r="H29" s="338" t="s">
        <v>39</v>
      </c>
      <c r="I29" s="269" t="s">
        <v>39</v>
      </c>
      <c r="J29" s="266" t="s">
        <v>39</v>
      </c>
      <c r="K29" s="267" t="s">
        <v>39</v>
      </c>
      <c r="L29" s="337">
        <f>Model2.0!BX42</f>
        <v>75266.910629062579</v>
      </c>
      <c r="M29" s="338" t="s">
        <v>39</v>
      </c>
      <c r="N29" s="273" t="s">
        <v>39</v>
      </c>
      <c r="O29" s="274" t="s">
        <v>39</v>
      </c>
      <c r="P29" s="267" t="s">
        <v>39</v>
      </c>
      <c r="Q29" s="337">
        <f>Model2.0!BY42</f>
        <v>78333.40069889657</v>
      </c>
      <c r="R29" s="338" t="s">
        <v>39</v>
      </c>
      <c r="S29" s="269" t="s">
        <v>39</v>
      </c>
      <c r="T29" s="266" t="s">
        <v>39</v>
      </c>
      <c r="U29" s="267" t="s">
        <v>39</v>
      </c>
      <c r="V29" s="337">
        <f>Model2.0!BZ42</f>
        <v>81524.824305523798</v>
      </c>
      <c r="W29" s="338" t="s">
        <v>39</v>
      </c>
      <c r="X29" s="269" t="s">
        <v>39</v>
      </c>
      <c r="Y29" s="266" t="s">
        <v>39</v>
      </c>
      <c r="Z29" s="267" t="s">
        <v>39</v>
      </c>
      <c r="AA29" s="337">
        <f>Model2.0!CA42</f>
        <v>84846.271433995687</v>
      </c>
      <c r="AB29" s="338" t="s">
        <v>39</v>
      </c>
      <c r="AC29" s="269" t="s">
        <v>39</v>
      </c>
      <c r="AD29" s="270"/>
      <c r="AE29" s="240" t="s">
        <v>39</v>
      </c>
    </row>
    <row r="30" spans="3:35" ht="21" x14ac:dyDescent="0.3">
      <c r="C30" s="239" t="s">
        <v>39</v>
      </c>
      <c r="D30" s="368" t="s">
        <v>25</v>
      </c>
      <c r="E30" s="266" t="s">
        <v>39</v>
      </c>
      <c r="F30" s="267" t="s">
        <v>39</v>
      </c>
      <c r="G30" s="277">
        <f>Model2.0!BW43</f>
        <v>48706.344676784109</v>
      </c>
      <c r="I30" s="269" t="s">
        <v>39</v>
      </c>
      <c r="J30" s="266" t="s">
        <v>39</v>
      </c>
      <c r="K30" s="267" t="s">
        <v>39</v>
      </c>
      <c r="L30" s="277">
        <f>Model2.0!BX43</f>
        <v>56450.182971796938</v>
      </c>
      <c r="M30" s="272" t="s">
        <v>39</v>
      </c>
      <c r="N30" s="273" t="s">
        <v>39</v>
      </c>
      <c r="O30" s="274" t="s">
        <v>39</v>
      </c>
      <c r="P30" s="267" t="s">
        <v>39</v>
      </c>
      <c r="Q30" s="277">
        <f>Model2.0!BY43</f>
        <v>65277.833915747142</v>
      </c>
      <c r="R30" s="246" t="s">
        <v>39</v>
      </c>
      <c r="S30" s="269" t="s">
        <v>39</v>
      </c>
      <c r="T30" s="266" t="s">
        <v>39</v>
      </c>
      <c r="U30" s="267" t="s">
        <v>39</v>
      </c>
      <c r="V30" s="277">
        <f>Model2.0!BZ43</f>
        <v>67937.353587936508</v>
      </c>
      <c r="W30" s="246" t="s">
        <v>39</v>
      </c>
      <c r="X30" s="269" t="s">
        <v>39</v>
      </c>
      <c r="Y30" s="266" t="s">
        <v>39</v>
      </c>
      <c r="Z30" s="267" t="s">
        <v>39</v>
      </c>
      <c r="AA30" s="277">
        <f>Model2.0!CA43</f>
        <v>70705.226194996416</v>
      </c>
      <c r="AB30" s="246" t="s">
        <v>39</v>
      </c>
      <c r="AC30" s="269" t="s">
        <v>39</v>
      </c>
      <c r="AD30" s="270"/>
      <c r="AE30" s="240" t="s">
        <v>39</v>
      </c>
      <c r="AG30" s="238" t="s">
        <v>312</v>
      </c>
    </row>
    <row r="31" spans="3:35" ht="21" x14ac:dyDescent="0.3">
      <c r="C31" s="239" t="s">
        <v>39</v>
      </c>
      <c r="D31" s="359" t="s">
        <v>26</v>
      </c>
      <c r="E31" s="266" t="s">
        <v>39</v>
      </c>
      <c r="F31" s="267" t="s">
        <v>39</v>
      </c>
      <c r="G31" s="271">
        <f>Model2.0!BW44</f>
        <v>95022.863584019302</v>
      </c>
      <c r="H31" s="316" t="str">
        <f>'Inputs &amp; Drivers'!$E$54</f>
        <v>62Hrs/Wk @ $26 + Burden Rate</v>
      </c>
      <c r="I31" s="269" t="s">
        <v>39</v>
      </c>
      <c r="J31" s="266" t="s">
        <v>39</v>
      </c>
      <c r="K31" s="267" t="s">
        <v>39</v>
      </c>
      <c r="L31" s="271">
        <f>Model2.0!BX44</f>
        <v>96923.320855699727</v>
      </c>
      <c r="M31" s="316" t="str">
        <f>'Inputs &amp; Drivers'!$E$54</f>
        <v>62Hrs/Wk @ $26 + Burden Rate</v>
      </c>
      <c r="N31" s="273" t="s">
        <v>39</v>
      </c>
      <c r="O31" s="274" t="s">
        <v>39</v>
      </c>
      <c r="P31" s="267" t="s">
        <v>39</v>
      </c>
      <c r="Q31" s="271">
        <f>Model2.0!BY44</f>
        <v>98861.787272813686</v>
      </c>
      <c r="R31" s="316" t="str">
        <f>'Inputs &amp; Drivers'!$E$54</f>
        <v>62Hrs/Wk @ $26 + Burden Rate</v>
      </c>
      <c r="S31" s="269" t="s">
        <v>39</v>
      </c>
      <c r="T31" s="266" t="s">
        <v>39</v>
      </c>
      <c r="U31" s="267" t="s">
        <v>39</v>
      </c>
      <c r="V31" s="271">
        <f>Model2.0!BZ44</f>
        <v>100839.02301827002</v>
      </c>
      <c r="W31" s="316" t="str">
        <f>'Inputs &amp; Drivers'!$E$54</f>
        <v>62Hrs/Wk @ $26 + Burden Rate</v>
      </c>
      <c r="X31" s="269" t="s">
        <v>39</v>
      </c>
      <c r="Y31" s="266" t="s">
        <v>39</v>
      </c>
      <c r="Z31" s="267" t="s">
        <v>39</v>
      </c>
      <c r="AA31" s="271">
        <f>Model2.0!CA44</f>
        <v>102855.80347863543</v>
      </c>
      <c r="AB31" s="316" t="str">
        <f>'Inputs &amp; Drivers'!$E$54</f>
        <v>62Hrs/Wk @ $26 + Burden Rate</v>
      </c>
      <c r="AC31" s="269" t="s">
        <v>39</v>
      </c>
      <c r="AD31" s="270"/>
      <c r="AE31" s="240" t="s">
        <v>39</v>
      </c>
    </row>
    <row r="32" spans="3:35" ht="21" x14ac:dyDescent="0.3">
      <c r="C32" s="239" t="s">
        <v>39</v>
      </c>
      <c r="D32" s="359" t="s">
        <v>27</v>
      </c>
      <c r="E32" s="266" t="s">
        <v>39</v>
      </c>
      <c r="F32" s="267" t="s">
        <v>39</v>
      </c>
      <c r="G32" s="271">
        <f>Model2.0!BW45</f>
        <v>1659.9199999999998</v>
      </c>
      <c r="H32" s="272" t="s">
        <v>39</v>
      </c>
      <c r="I32" s="269" t="s">
        <v>39</v>
      </c>
      <c r="J32" s="266" t="s">
        <v>39</v>
      </c>
      <c r="K32" s="267" t="s">
        <v>39</v>
      </c>
      <c r="L32" s="271">
        <f>Model2.0!BX45</f>
        <v>1693.1184000000003</v>
      </c>
      <c r="M32" s="246" t="s">
        <v>39</v>
      </c>
      <c r="N32" s="273" t="s">
        <v>39</v>
      </c>
      <c r="O32" s="274" t="s">
        <v>39</v>
      </c>
      <c r="P32" s="267" t="s">
        <v>39</v>
      </c>
      <c r="Q32" s="271">
        <f>Model2.0!BY45</f>
        <v>1726.9807680000004</v>
      </c>
      <c r="R32" s="246" t="s">
        <v>39</v>
      </c>
      <c r="S32" s="269" t="s">
        <v>39</v>
      </c>
      <c r="T32" s="266" t="s">
        <v>39</v>
      </c>
      <c r="U32" s="267" t="s">
        <v>39</v>
      </c>
      <c r="V32" s="271">
        <f>Model2.0!BZ45</f>
        <v>1761.5203833600001</v>
      </c>
      <c r="W32" s="246" t="s">
        <v>39</v>
      </c>
      <c r="X32" s="269" t="s">
        <v>39</v>
      </c>
      <c r="Y32" s="266" t="s">
        <v>39</v>
      </c>
      <c r="Z32" s="267" t="s">
        <v>39</v>
      </c>
      <c r="AA32" s="271">
        <f>Model2.0!CA45</f>
        <v>1796.7507910272009</v>
      </c>
      <c r="AB32" s="246" t="s">
        <v>39</v>
      </c>
      <c r="AC32" s="269" t="s">
        <v>39</v>
      </c>
      <c r="AD32" s="270"/>
      <c r="AE32" s="240" t="s">
        <v>39</v>
      </c>
    </row>
    <row r="33" spans="3:34" ht="21" x14ac:dyDescent="0.3">
      <c r="C33" s="239" t="s">
        <v>39</v>
      </c>
      <c r="D33" s="359" t="s">
        <v>28</v>
      </c>
      <c r="E33" s="266" t="s">
        <v>39</v>
      </c>
      <c r="F33" s="267" t="s">
        <v>39</v>
      </c>
      <c r="G33" s="271">
        <f>Model2.0!BW46</f>
        <v>39787.629999999997</v>
      </c>
      <c r="H33" s="316" t="s">
        <v>45</v>
      </c>
      <c r="I33" s="269" t="s">
        <v>39</v>
      </c>
      <c r="J33" s="266" t="s">
        <v>39</v>
      </c>
      <c r="K33" s="267" t="s">
        <v>39</v>
      </c>
      <c r="L33" s="271">
        <f>Model2.0!BX46</f>
        <v>40583.382600000004</v>
      </c>
      <c r="M33" s="246" t="s">
        <v>39</v>
      </c>
      <c r="N33" s="273" t="s">
        <v>39</v>
      </c>
      <c r="O33" s="274" t="s">
        <v>39</v>
      </c>
      <c r="P33" s="267" t="s">
        <v>39</v>
      </c>
      <c r="Q33" s="271">
        <f>Model2.0!BY46</f>
        <v>41395.050251999986</v>
      </c>
      <c r="R33" s="246" t="s">
        <v>39</v>
      </c>
      <c r="S33" s="269" t="s">
        <v>39</v>
      </c>
      <c r="T33" s="266" t="s">
        <v>39</v>
      </c>
      <c r="U33" s="267" t="s">
        <v>39</v>
      </c>
      <c r="V33" s="271">
        <f>Model2.0!BZ46</f>
        <v>42222.951257039989</v>
      </c>
      <c r="W33" s="246" t="s">
        <v>39</v>
      </c>
      <c r="X33" s="269" t="s">
        <v>39</v>
      </c>
      <c r="Y33" s="266" t="s">
        <v>39</v>
      </c>
      <c r="Z33" s="267" t="s">
        <v>39</v>
      </c>
      <c r="AA33" s="271">
        <f>Model2.0!CA46</f>
        <v>43067.41028218079</v>
      </c>
      <c r="AB33" s="246" t="s">
        <v>39</v>
      </c>
      <c r="AC33" s="269" t="s">
        <v>39</v>
      </c>
      <c r="AD33" s="270"/>
      <c r="AE33" s="240" t="s">
        <v>39</v>
      </c>
    </row>
    <row r="34" spans="3:34" ht="21" x14ac:dyDescent="0.3">
      <c r="C34" s="239" t="s">
        <v>39</v>
      </c>
      <c r="D34" s="359" t="s">
        <v>29</v>
      </c>
      <c r="E34" s="266" t="s">
        <v>39</v>
      </c>
      <c r="F34" s="267" t="s">
        <v>39</v>
      </c>
      <c r="G34" s="271">
        <f>Model2.0!BW47</f>
        <v>1440</v>
      </c>
      <c r="H34" s="316" t="s">
        <v>46</v>
      </c>
      <c r="I34" s="269" t="s">
        <v>39</v>
      </c>
      <c r="J34" s="266" t="s">
        <v>39</v>
      </c>
      <c r="K34" s="267" t="s">
        <v>39</v>
      </c>
      <c r="L34" s="271">
        <f>Model2.0!BX47</f>
        <v>1468.8000000000002</v>
      </c>
      <c r="M34" s="246" t="s">
        <v>39</v>
      </c>
      <c r="N34" s="273" t="s">
        <v>39</v>
      </c>
      <c r="O34" s="274" t="s">
        <v>39</v>
      </c>
      <c r="P34" s="267" t="s">
        <v>39</v>
      </c>
      <c r="Q34" s="271">
        <f>Model2.0!BY47</f>
        <v>1498.1759999999997</v>
      </c>
      <c r="R34" s="246" t="s">
        <v>39</v>
      </c>
      <c r="S34" s="269" t="s">
        <v>39</v>
      </c>
      <c r="T34" s="266" t="s">
        <v>39</v>
      </c>
      <c r="U34" s="267" t="s">
        <v>39</v>
      </c>
      <c r="V34" s="271">
        <f>Model2.0!BZ47</f>
        <v>1528.1395199999997</v>
      </c>
      <c r="W34" s="246" t="s">
        <v>39</v>
      </c>
      <c r="X34" s="269" t="s">
        <v>39</v>
      </c>
      <c r="Y34" s="266" t="s">
        <v>39</v>
      </c>
      <c r="Z34" s="267" t="s">
        <v>39</v>
      </c>
      <c r="AA34" s="271">
        <f>Model2.0!CA47</f>
        <v>1558.7023104000002</v>
      </c>
      <c r="AB34" s="246" t="s">
        <v>39</v>
      </c>
      <c r="AC34" s="269" t="s">
        <v>39</v>
      </c>
      <c r="AD34" s="270"/>
      <c r="AE34" s="240" t="s">
        <v>39</v>
      </c>
    </row>
    <row r="35" spans="3:34" ht="21" x14ac:dyDescent="0.3">
      <c r="C35" s="239" t="s">
        <v>39</v>
      </c>
      <c r="D35" s="359" t="s">
        <v>30</v>
      </c>
      <c r="E35" s="266" t="s">
        <v>39</v>
      </c>
      <c r="F35" s="267" t="s">
        <v>39</v>
      </c>
      <c r="G35" s="271">
        <f>Model2.0!BW48</f>
        <v>3696.57</v>
      </c>
      <c r="H35" s="272" t="s">
        <v>39</v>
      </c>
      <c r="I35" s="269" t="s">
        <v>39</v>
      </c>
      <c r="J35" s="266" t="s">
        <v>39</v>
      </c>
      <c r="K35" s="267" t="s">
        <v>39</v>
      </c>
      <c r="L35" s="271">
        <f>Model2.0!BX48</f>
        <v>3770.5014000000006</v>
      </c>
      <c r="M35" s="246" t="s">
        <v>39</v>
      </c>
      <c r="N35" s="273" t="s">
        <v>39</v>
      </c>
      <c r="O35" s="274" t="s">
        <v>39</v>
      </c>
      <c r="P35" s="267" t="s">
        <v>39</v>
      </c>
      <c r="Q35" s="271">
        <f>Model2.0!BY48</f>
        <v>3845.9114280000008</v>
      </c>
      <c r="R35" s="246" t="s">
        <v>39</v>
      </c>
      <c r="S35" s="269" t="s">
        <v>39</v>
      </c>
      <c r="T35" s="266" t="s">
        <v>39</v>
      </c>
      <c r="U35" s="267" t="s">
        <v>39</v>
      </c>
      <c r="V35" s="271">
        <f>Model2.0!BZ48</f>
        <v>3922.8296565599999</v>
      </c>
      <c r="W35" s="246" t="s">
        <v>39</v>
      </c>
      <c r="X35" s="269" t="s">
        <v>39</v>
      </c>
      <c r="Y35" s="266" t="s">
        <v>39</v>
      </c>
      <c r="Z35" s="267" t="s">
        <v>39</v>
      </c>
      <c r="AA35" s="271">
        <f>Model2.0!CA48</f>
        <v>4001.2862496912003</v>
      </c>
      <c r="AB35" s="246" t="s">
        <v>39</v>
      </c>
      <c r="AC35" s="269" t="s">
        <v>39</v>
      </c>
      <c r="AD35" s="270"/>
      <c r="AE35" s="240" t="s">
        <v>39</v>
      </c>
    </row>
    <row r="36" spans="3:34" ht="21" x14ac:dyDescent="0.3">
      <c r="C36" s="239" t="s">
        <v>39</v>
      </c>
      <c r="D36" s="359" t="s">
        <v>31</v>
      </c>
      <c r="E36" s="266" t="s">
        <v>39</v>
      </c>
      <c r="F36" s="267" t="s">
        <v>39</v>
      </c>
      <c r="G36" s="271">
        <f>Model2.0!BW49</f>
        <v>10913.510000000002</v>
      </c>
      <c r="H36" s="246" t="s">
        <v>39</v>
      </c>
      <c r="I36" s="269" t="s">
        <v>39</v>
      </c>
      <c r="J36" s="266" t="s">
        <v>39</v>
      </c>
      <c r="K36" s="267" t="s">
        <v>39</v>
      </c>
      <c r="L36" s="271">
        <f>Model2.0!BX49</f>
        <v>11131.780199999999</v>
      </c>
      <c r="M36" s="246" t="s">
        <v>39</v>
      </c>
      <c r="N36" s="273" t="s">
        <v>39</v>
      </c>
      <c r="O36" s="274" t="s">
        <v>39</v>
      </c>
      <c r="P36" s="267" t="s">
        <v>39</v>
      </c>
      <c r="Q36" s="271">
        <f>Model2.0!BY49</f>
        <v>11354.415803999997</v>
      </c>
      <c r="R36" s="246" t="s">
        <v>39</v>
      </c>
      <c r="S36" s="269" t="s">
        <v>39</v>
      </c>
      <c r="T36" s="266" t="s">
        <v>39</v>
      </c>
      <c r="U36" s="267" t="s">
        <v>39</v>
      </c>
      <c r="V36" s="271">
        <f>Model2.0!BZ49</f>
        <v>11581.504120079999</v>
      </c>
      <c r="W36" s="246" t="s">
        <v>39</v>
      </c>
      <c r="X36" s="269" t="s">
        <v>39</v>
      </c>
      <c r="Y36" s="266" t="s">
        <v>39</v>
      </c>
      <c r="Z36" s="267" t="s">
        <v>39</v>
      </c>
      <c r="AA36" s="271">
        <f>Model2.0!CA49</f>
        <v>11813.134202481604</v>
      </c>
      <c r="AB36" s="246" t="s">
        <v>39</v>
      </c>
      <c r="AC36" s="269" t="s">
        <v>39</v>
      </c>
      <c r="AD36" s="270"/>
      <c r="AE36" s="240" t="s">
        <v>39</v>
      </c>
    </row>
    <row r="37" spans="3:34" ht="21" x14ac:dyDescent="0.3">
      <c r="C37" s="239" t="s">
        <v>39</v>
      </c>
      <c r="D37" s="359" t="s">
        <v>32</v>
      </c>
      <c r="E37" s="266" t="s">
        <v>39</v>
      </c>
      <c r="F37" s="267" t="s">
        <v>39</v>
      </c>
      <c r="G37" s="271">
        <f>Model2.0!BW50</f>
        <v>22200</v>
      </c>
      <c r="H37" s="274" t="s">
        <v>39</v>
      </c>
      <c r="I37" s="269" t="s">
        <v>39</v>
      </c>
      <c r="J37" s="266" t="s">
        <v>39</v>
      </c>
      <c r="K37" s="267" t="s">
        <v>39</v>
      </c>
      <c r="L37" s="271">
        <f>Model2.0!BX50</f>
        <v>22532.999999999996</v>
      </c>
      <c r="M37" s="274" t="s">
        <v>39</v>
      </c>
      <c r="N37" s="273" t="s">
        <v>39</v>
      </c>
      <c r="O37" s="274" t="s">
        <v>39</v>
      </c>
      <c r="P37" s="267" t="s">
        <v>39</v>
      </c>
      <c r="Q37" s="271">
        <f>Model2.0!BY50</f>
        <v>22870.994999999992</v>
      </c>
      <c r="R37" s="274" t="s">
        <v>39</v>
      </c>
      <c r="S37" s="269" t="s">
        <v>39</v>
      </c>
      <c r="T37" s="266" t="s">
        <v>39</v>
      </c>
      <c r="U37" s="267" t="s">
        <v>39</v>
      </c>
      <c r="V37" s="271">
        <f>Model2.0!BZ50</f>
        <v>23214.059924999994</v>
      </c>
      <c r="W37" s="274" t="s">
        <v>39</v>
      </c>
      <c r="X37" s="269" t="s">
        <v>39</v>
      </c>
      <c r="Y37" s="266" t="s">
        <v>39</v>
      </c>
      <c r="Z37" s="267" t="s">
        <v>39</v>
      </c>
      <c r="AA37" s="271">
        <f>Model2.0!CA50</f>
        <v>23562.27082387498</v>
      </c>
      <c r="AB37" s="274" t="s">
        <v>39</v>
      </c>
      <c r="AC37" s="269" t="s">
        <v>39</v>
      </c>
      <c r="AD37" s="270"/>
      <c r="AE37" s="240" t="s">
        <v>39</v>
      </c>
      <c r="AG37" s="238" t="s">
        <v>311</v>
      </c>
      <c r="AH37" s="238" t="s">
        <v>313</v>
      </c>
    </row>
    <row r="38" spans="3:34" ht="21" x14ac:dyDescent="0.3">
      <c r="C38" s="239"/>
      <c r="D38" s="359" t="s">
        <v>81</v>
      </c>
      <c r="E38" s="266"/>
      <c r="F38" s="267"/>
      <c r="G38" s="271">
        <f>Model2.0!BW51</f>
        <v>0</v>
      </c>
      <c r="H38" s="274" t="s">
        <v>39</v>
      </c>
      <c r="I38" s="269" t="s">
        <v>39</v>
      </c>
      <c r="J38" s="266" t="s">
        <v>39</v>
      </c>
      <c r="K38" s="267" t="s">
        <v>39</v>
      </c>
      <c r="L38" s="271">
        <f>Model2.0!BX51</f>
        <v>0</v>
      </c>
      <c r="M38" s="274" t="s">
        <v>39</v>
      </c>
      <c r="N38" s="273" t="s">
        <v>39</v>
      </c>
      <c r="O38" s="274" t="s">
        <v>39</v>
      </c>
      <c r="P38" s="267" t="s">
        <v>39</v>
      </c>
      <c r="Q38" s="271">
        <f>Model2.0!BY51</f>
        <v>0</v>
      </c>
      <c r="R38" s="274" t="s">
        <v>39</v>
      </c>
      <c r="S38" s="269" t="s">
        <v>39</v>
      </c>
      <c r="T38" s="266" t="s">
        <v>39</v>
      </c>
      <c r="U38" s="267" t="s">
        <v>39</v>
      </c>
      <c r="V38" s="271">
        <f>Model2.0!BZ51</f>
        <v>0</v>
      </c>
      <c r="W38" s="274" t="s">
        <v>39</v>
      </c>
      <c r="X38" s="269" t="s">
        <v>39</v>
      </c>
      <c r="Y38" s="266" t="s">
        <v>39</v>
      </c>
      <c r="Z38" s="267" t="s">
        <v>39</v>
      </c>
      <c r="AA38" s="271">
        <f>Model2.0!CA51</f>
        <v>0</v>
      </c>
      <c r="AB38" s="274" t="s">
        <v>39</v>
      </c>
      <c r="AC38" s="269" t="s">
        <v>39</v>
      </c>
      <c r="AD38" s="270"/>
      <c r="AE38" s="240"/>
    </row>
    <row r="39" spans="3:34" ht="21" x14ac:dyDescent="0.3">
      <c r="C39" s="239"/>
      <c r="D39" s="359" t="s">
        <v>33</v>
      </c>
      <c r="E39" s="266"/>
      <c r="F39" s="267"/>
      <c r="G39" s="271">
        <f>Model2.0!BW52</f>
        <v>1940.7600000000002</v>
      </c>
      <c r="H39" s="274"/>
      <c r="I39" s="269"/>
      <c r="J39" s="266"/>
      <c r="K39" s="267"/>
      <c r="L39" s="271">
        <f>Model2.0!BX52</f>
        <v>1979.5752000000002</v>
      </c>
      <c r="M39" s="274"/>
      <c r="N39" s="273"/>
      <c r="O39" s="274"/>
      <c r="P39" s="267"/>
      <c r="Q39" s="271">
        <f>Model2.0!BY52</f>
        <v>2019.166704</v>
      </c>
      <c r="R39" s="274"/>
      <c r="S39" s="269"/>
      <c r="T39" s="266"/>
      <c r="U39" s="267"/>
      <c r="V39" s="271">
        <f>Model2.0!BZ52</f>
        <v>2059.5500380800004</v>
      </c>
      <c r="W39" s="274"/>
      <c r="X39" s="269"/>
      <c r="Y39" s="266"/>
      <c r="Z39" s="267"/>
      <c r="AA39" s="271">
        <f>Model2.0!CA52</f>
        <v>2100.7410388416006</v>
      </c>
      <c r="AB39" s="274"/>
      <c r="AC39" s="269"/>
      <c r="AD39" s="270"/>
      <c r="AE39" s="240"/>
    </row>
    <row r="40" spans="3:34" ht="21" x14ac:dyDescent="0.3">
      <c r="C40" s="239"/>
      <c r="D40" s="359" t="s">
        <v>34</v>
      </c>
      <c r="E40" s="266"/>
      <c r="F40" s="267"/>
      <c r="G40" s="271">
        <f>Model2.0!BW53</f>
        <v>28122.84</v>
      </c>
      <c r="H40" s="274"/>
      <c r="I40" s="269"/>
      <c r="J40" s="266"/>
      <c r="K40" s="267"/>
      <c r="L40" s="271">
        <f>Model2.0!BX53</f>
        <v>28685.2968</v>
      </c>
      <c r="M40" s="274"/>
      <c r="N40" s="273"/>
      <c r="O40" s="274"/>
      <c r="P40" s="267"/>
      <c r="Q40" s="271">
        <f>Model2.0!BY53</f>
        <v>29259.002736000006</v>
      </c>
      <c r="R40" s="274"/>
      <c r="S40" s="269"/>
      <c r="T40" s="266"/>
      <c r="U40" s="267"/>
      <c r="V40" s="271">
        <f>Model2.0!BZ53</f>
        <v>29844.182790719995</v>
      </c>
      <c r="W40" s="274"/>
      <c r="X40" s="269"/>
      <c r="Y40" s="266"/>
      <c r="Z40" s="267"/>
      <c r="AA40" s="271">
        <f>Model2.0!CA53</f>
        <v>30441.066446534402</v>
      </c>
      <c r="AB40" s="274"/>
      <c r="AC40" s="269"/>
      <c r="AD40" s="270"/>
      <c r="AE40" s="240"/>
    </row>
    <row r="41" spans="3:34" ht="21" x14ac:dyDescent="0.3">
      <c r="C41" s="239"/>
      <c r="D41" s="359" t="s">
        <v>35</v>
      </c>
      <c r="E41" s="266"/>
      <c r="F41" s="267"/>
      <c r="G41" s="271">
        <f>Model2.0!BW54</f>
        <v>0</v>
      </c>
      <c r="H41" s="274"/>
      <c r="I41" s="269"/>
      <c r="J41" s="266"/>
      <c r="K41" s="267"/>
      <c r="L41" s="271">
        <f>Model2.0!BX54</f>
        <v>0</v>
      </c>
      <c r="M41" s="274"/>
      <c r="N41" s="273"/>
      <c r="O41" s="274"/>
      <c r="P41" s="267"/>
      <c r="Q41" s="271">
        <f>Model2.0!BY54</f>
        <v>0</v>
      </c>
      <c r="R41" s="274"/>
      <c r="S41" s="269"/>
      <c r="T41" s="266"/>
      <c r="U41" s="267"/>
      <c r="V41" s="271">
        <f>Model2.0!BZ54</f>
        <v>0</v>
      </c>
      <c r="W41" s="274"/>
      <c r="X41" s="269"/>
      <c r="Y41" s="266"/>
      <c r="Z41" s="267"/>
      <c r="AA41" s="271">
        <f>Model2.0!CA54</f>
        <v>0</v>
      </c>
      <c r="AB41" s="274"/>
      <c r="AC41" s="269"/>
      <c r="AD41" s="270"/>
      <c r="AE41" s="240"/>
    </row>
    <row r="42" spans="3:34" ht="26.4" x14ac:dyDescent="0.3">
      <c r="C42" s="239"/>
      <c r="D42" s="359" t="s">
        <v>36</v>
      </c>
      <c r="E42" s="266"/>
      <c r="F42" s="267"/>
      <c r="G42" s="271">
        <f>Model2.0!BW55</f>
        <v>0</v>
      </c>
      <c r="H42" s="274"/>
      <c r="I42" s="269"/>
      <c r="J42" s="266"/>
      <c r="K42" s="267"/>
      <c r="L42" s="271">
        <f>Model2.0!BX55</f>
        <v>0</v>
      </c>
      <c r="M42" s="355" t="str">
        <f>"Assumed "&amp;TEXT('Inputs &amp; Drivers'!$J$62,"0%")&amp;" Growth Rate"</f>
        <v>Assumed 1% Growth Rate</v>
      </c>
      <c r="N42" s="273"/>
      <c r="O42" s="274"/>
      <c r="P42" s="267"/>
      <c r="Q42" s="271">
        <f>Model2.0!BY55</f>
        <v>0</v>
      </c>
      <c r="R42" s="355" t="str">
        <f>"Assumed "&amp;TEXT('Inputs &amp; Drivers'!$J$63,"0%")&amp;" Growth Rate"</f>
        <v>Assumed 1% Growth Rate</v>
      </c>
      <c r="S42" s="269"/>
      <c r="T42" s="266"/>
      <c r="U42" s="267"/>
      <c r="V42" s="271">
        <f>Model2.0!BZ55</f>
        <v>0</v>
      </c>
      <c r="W42" s="355" t="str">
        <f>"Assumed "&amp;TEXT('Inputs &amp; Drivers'!$J$64,"0%")&amp;" Growth Rate"</f>
        <v>Assumed 1% Growth Rate</v>
      </c>
      <c r="X42" s="269"/>
      <c r="Y42" s="266"/>
      <c r="Z42" s="267"/>
      <c r="AA42" s="271">
        <f>Model2.0!CA55</f>
        <v>0</v>
      </c>
      <c r="AB42" s="355" t="str">
        <f>"Assumed "&amp;TEXT('Inputs &amp; Drivers'!$J$65,"0%")&amp;" Growth Rate"</f>
        <v>Assumed 1% Growth Rate</v>
      </c>
      <c r="AC42" s="269"/>
      <c r="AD42" s="270"/>
      <c r="AE42" s="240"/>
    </row>
    <row r="43" spans="3:34" ht="26.4" x14ac:dyDescent="0.3">
      <c r="C43" s="239"/>
      <c r="D43" s="245" t="s">
        <v>82</v>
      </c>
      <c r="E43" s="266"/>
      <c r="F43" s="267"/>
      <c r="G43" s="271">
        <f>Model2.0!BW56</f>
        <v>0</v>
      </c>
      <c r="H43" s="274"/>
      <c r="I43" s="269"/>
      <c r="J43" s="266"/>
      <c r="K43" s="267"/>
      <c r="L43" s="271">
        <f>Model2.0!BX56</f>
        <v>0</v>
      </c>
      <c r="M43" s="355" t="str">
        <f>"Assumed "&amp;TEXT('Inputs &amp; Drivers'!$J$62,"0%")&amp;" Growth Rate"</f>
        <v>Assumed 1% Growth Rate</v>
      </c>
      <c r="N43" s="273"/>
      <c r="O43" s="274"/>
      <c r="P43" s="267"/>
      <c r="Q43" s="271">
        <f>Model2.0!BY56</f>
        <v>0</v>
      </c>
      <c r="R43" s="355" t="str">
        <f>"Assumed "&amp;TEXT('Inputs &amp; Drivers'!$J$63,"0%")&amp;" Growth Rate"</f>
        <v>Assumed 1% Growth Rate</v>
      </c>
      <c r="S43" s="269"/>
      <c r="T43" s="266"/>
      <c r="U43" s="267"/>
      <c r="V43" s="271">
        <f>Model2.0!BZ56</f>
        <v>0</v>
      </c>
      <c r="W43" s="355" t="str">
        <f>"Assumed "&amp;TEXT('Inputs &amp; Drivers'!$J$64,"0%")&amp;" Growth Rate"</f>
        <v>Assumed 1% Growth Rate</v>
      </c>
      <c r="X43" s="269"/>
      <c r="Y43" s="266"/>
      <c r="Z43" s="267"/>
      <c r="AA43" s="271">
        <f>Model2.0!CA56</f>
        <v>0</v>
      </c>
      <c r="AB43" s="274"/>
      <c r="AC43" s="269"/>
      <c r="AD43" s="270"/>
      <c r="AE43" s="240"/>
    </row>
    <row r="44" spans="3:34" ht="21" x14ac:dyDescent="0.3">
      <c r="C44" s="239"/>
      <c r="D44" s="245"/>
      <c r="E44" s="266"/>
      <c r="F44" s="267"/>
      <c r="G44" s="266"/>
      <c r="H44" s="274"/>
      <c r="I44" s="269"/>
      <c r="J44" s="266"/>
      <c r="K44" s="267"/>
      <c r="L44" s="266"/>
      <c r="M44" s="274"/>
      <c r="N44" s="273"/>
      <c r="O44" s="274"/>
      <c r="P44" s="267"/>
      <c r="Q44" s="266"/>
      <c r="R44" s="274"/>
      <c r="S44" s="269"/>
      <c r="T44" s="266"/>
      <c r="U44" s="267"/>
      <c r="V44" s="266"/>
      <c r="W44" s="274"/>
      <c r="X44" s="269"/>
      <c r="Y44" s="266"/>
      <c r="Z44" s="267"/>
      <c r="AA44" s="266"/>
      <c r="AB44" s="274"/>
      <c r="AC44" s="269"/>
      <c r="AD44" s="270"/>
      <c r="AE44" s="240"/>
    </row>
    <row r="45" spans="3:34" ht="27" customHeight="1" x14ac:dyDescent="0.3">
      <c r="C45" s="239" t="s">
        <v>39</v>
      </c>
      <c r="D45" s="371" t="s">
        <v>37</v>
      </c>
      <c r="E45" s="322" t="s">
        <v>39</v>
      </c>
      <c r="F45" s="323" t="s">
        <v>39</v>
      </c>
      <c r="G45" s="301">
        <f>SUM(G30:G43,G27:G28,G26,G24)</f>
        <v>297496.11157012417</v>
      </c>
      <c r="H45" s="306" t="s">
        <v>39</v>
      </c>
      <c r="I45" s="303" t="s">
        <v>39</v>
      </c>
      <c r="J45" s="304" t="s">
        <v>39</v>
      </c>
      <c r="K45" s="305" t="s">
        <v>39</v>
      </c>
      <c r="L45" s="301">
        <f>SUM(L30:L43,L27:L28,L26,L24)</f>
        <v>310104.74520300375</v>
      </c>
      <c r="M45" s="306" t="s">
        <v>39</v>
      </c>
      <c r="N45" s="303" t="s">
        <v>39</v>
      </c>
      <c r="O45" s="304" t="s">
        <v>39</v>
      </c>
      <c r="P45" s="305" t="s">
        <v>39</v>
      </c>
      <c r="Q45" s="301">
        <f>SUM(Q30:Q43,Q27:Q28,Q26,Q24)</f>
        <v>323892.82239157811</v>
      </c>
      <c r="R45" s="306" t="s">
        <v>39</v>
      </c>
      <c r="S45" s="303" t="s">
        <v>39</v>
      </c>
      <c r="T45" s="304" t="s">
        <v>39</v>
      </c>
      <c r="U45" s="305" t="s">
        <v>39</v>
      </c>
      <c r="V45" s="301">
        <f>SUM(V30:V43,V27:V28,V26,V24)</f>
        <v>331610.28685828409</v>
      </c>
      <c r="W45" s="306" t="s">
        <v>39</v>
      </c>
      <c r="X45" s="303" t="s">
        <v>39</v>
      </c>
      <c r="Y45" s="304" t="s">
        <v>39</v>
      </c>
      <c r="Z45" s="305" t="s">
        <v>39</v>
      </c>
      <c r="AA45" s="301">
        <f>SUM(AA30:AA43,AA27:AA28,AA26,AA24)</f>
        <v>339535.54783112596</v>
      </c>
      <c r="AB45" s="306" t="s">
        <v>39</v>
      </c>
      <c r="AC45" s="324" t="s">
        <v>39</v>
      </c>
      <c r="AD45" s="325"/>
      <c r="AE45" s="240" t="s">
        <v>39</v>
      </c>
    </row>
    <row r="46" spans="3:34" ht="3" customHeight="1" x14ac:dyDescent="0.3">
      <c r="C46" s="239" t="s">
        <v>39</v>
      </c>
      <c r="D46" s="359"/>
      <c r="E46" s="266" t="s">
        <v>39</v>
      </c>
      <c r="F46" s="267" t="s">
        <v>39</v>
      </c>
      <c r="G46" s="266"/>
      <c r="H46" s="274" t="s">
        <v>39</v>
      </c>
      <c r="I46" s="269" t="s">
        <v>39</v>
      </c>
      <c r="J46" s="266" t="s">
        <v>39</v>
      </c>
      <c r="K46" s="267" t="s">
        <v>39</v>
      </c>
      <c r="L46" s="266"/>
      <c r="M46" s="274" t="s">
        <v>39</v>
      </c>
      <c r="N46" s="273" t="s">
        <v>39</v>
      </c>
      <c r="O46" s="274" t="s">
        <v>39</v>
      </c>
      <c r="P46" s="267" t="s">
        <v>39</v>
      </c>
      <c r="Q46" s="266"/>
      <c r="R46" s="274" t="s">
        <v>39</v>
      </c>
      <c r="S46" s="269" t="s">
        <v>39</v>
      </c>
      <c r="T46" s="266" t="s">
        <v>39</v>
      </c>
      <c r="U46" s="267" t="s">
        <v>39</v>
      </c>
      <c r="V46" s="266"/>
      <c r="W46" s="274" t="s">
        <v>39</v>
      </c>
      <c r="X46" s="269" t="s">
        <v>39</v>
      </c>
      <c r="Y46" s="266" t="s">
        <v>39</v>
      </c>
      <c r="Z46" s="267" t="s">
        <v>39</v>
      </c>
      <c r="AA46" s="266"/>
      <c r="AB46" s="274" t="s">
        <v>39</v>
      </c>
      <c r="AC46" s="269" t="s">
        <v>39</v>
      </c>
      <c r="AD46" s="270"/>
      <c r="AE46" s="240" t="s">
        <v>39</v>
      </c>
    </row>
    <row r="47" spans="3:34" ht="26.25" customHeight="1" x14ac:dyDescent="0.3">
      <c r="C47" s="239" t="s">
        <v>39</v>
      </c>
      <c r="D47" s="372" t="s">
        <v>38</v>
      </c>
      <c r="E47" s="299" t="s">
        <v>39</v>
      </c>
      <c r="F47" s="300" t="s">
        <v>39</v>
      </c>
      <c r="G47" s="326">
        <f>G21-G45</f>
        <v>1001731.661954634</v>
      </c>
      <c r="H47" s="327" t="s">
        <v>39</v>
      </c>
      <c r="I47" s="328" t="s">
        <v>39</v>
      </c>
      <c r="J47" s="299" t="s">
        <v>39</v>
      </c>
      <c r="K47" s="300" t="s">
        <v>39</v>
      </c>
      <c r="L47" s="326">
        <f>L21-L45</f>
        <v>1025246.4763268367</v>
      </c>
      <c r="M47" s="327" t="s">
        <v>39</v>
      </c>
      <c r="N47" s="307" t="s">
        <v>39</v>
      </c>
      <c r="O47" s="308" t="s">
        <v>39</v>
      </c>
      <c r="P47" s="300" t="s">
        <v>39</v>
      </c>
      <c r="Q47" s="326">
        <f>Q21-Q45</f>
        <v>1059120.3664966105</v>
      </c>
      <c r="R47" s="327" t="s">
        <v>39</v>
      </c>
      <c r="S47" s="328" t="s">
        <v>39</v>
      </c>
      <c r="T47" s="299" t="s">
        <v>39</v>
      </c>
      <c r="U47" s="300" t="s">
        <v>39</v>
      </c>
      <c r="V47" s="326">
        <f>V21-V45</f>
        <v>1102099.5104635877</v>
      </c>
      <c r="W47" s="327" t="s">
        <v>39</v>
      </c>
      <c r="X47" s="328" t="s">
        <v>39</v>
      </c>
      <c r="Y47" s="299" t="s">
        <v>39</v>
      </c>
      <c r="Z47" s="300" t="s">
        <v>39</v>
      </c>
      <c r="AA47" s="326">
        <f>AA21-AA45</f>
        <v>1147789.0188520269</v>
      </c>
      <c r="AB47" s="327" t="s">
        <v>39</v>
      </c>
      <c r="AC47" s="328" t="s">
        <v>39</v>
      </c>
      <c r="AD47" s="329"/>
      <c r="AE47" s="240" t="s">
        <v>39</v>
      </c>
    </row>
    <row r="48" spans="3:34" ht="18" x14ac:dyDescent="0.3">
      <c r="C48" s="239" t="s">
        <v>39</v>
      </c>
      <c r="D48" s="246" t="s">
        <v>39</v>
      </c>
      <c r="E48" s="246" t="s">
        <v>39</v>
      </c>
      <c r="F48" s="330" t="s">
        <v>39</v>
      </c>
      <c r="G48" s="331" t="s">
        <v>39</v>
      </c>
      <c r="H48" s="331" t="s">
        <v>39</v>
      </c>
      <c r="I48" s="332" t="s">
        <v>39</v>
      </c>
      <c r="J48" s="246" t="s">
        <v>39</v>
      </c>
      <c r="K48" s="330" t="s">
        <v>39</v>
      </c>
      <c r="L48" s="331"/>
      <c r="M48" s="331" t="s">
        <v>39</v>
      </c>
      <c r="N48" s="332" t="s">
        <v>39</v>
      </c>
      <c r="O48" s="246" t="s">
        <v>39</v>
      </c>
      <c r="P48" s="330" t="s">
        <v>39</v>
      </c>
      <c r="Q48" s="331" t="s">
        <v>39</v>
      </c>
      <c r="R48" s="331" t="s">
        <v>39</v>
      </c>
      <c r="S48" s="332" t="s">
        <v>39</v>
      </c>
      <c r="T48" s="246" t="s">
        <v>39</v>
      </c>
      <c r="U48" s="330" t="s">
        <v>39</v>
      </c>
      <c r="V48" s="331"/>
      <c r="W48" s="331" t="s">
        <v>39</v>
      </c>
      <c r="X48" s="332" t="s">
        <v>39</v>
      </c>
      <c r="Y48" s="246" t="s">
        <v>39</v>
      </c>
      <c r="Z48" s="330" t="s">
        <v>39</v>
      </c>
      <c r="AA48" s="331"/>
      <c r="AB48" s="331" t="s">
        <v>39</v>
      </c>
      <c r="AC48" s="332" t="s">
        <v>39</v>
      </c>
      <c r="AD48" s="247"/>
      <c r="AE48" s="240" t="s">
        <v>39</v>
      </c>
    </row>
    <row r="49" spans="3:31" ht="11.25" customHeight="1" x14ac:dyDescent="0.3">
      <c r="C49" s="333" t="s">
        <v>39</v>
      </c>
      <c r="D49" s="334" t="s">
        <v>39</v>
      </c>
      <c r="E49" s="334" t="s">
        <v>39</v>
      </c>
      <c r="F49" s="334" t="s">
        <v>39</v>
      </c>
      <c r="G49" s="334" t="s">
        <v>39</v>
      </c>
      <c r="H49" s="334" t="s">
        <v>39</v>
      </c>
      <c r="I49" s="334" t="s">
        <v>39</v>
      </c>
      <c r="J49" s="334" t="s">
        <v>39</v>
      </c>
      <c r="K49" s="334" t="s">
        <v>39</v>
      </c>
      <c r="L49" s="334" t="s">
        <v>39</v>
      </c>
      <c r="M49" s="334" t="s">
        <v>39</v>
      </c>
      <c r="N49" s="334" t="s">
        <v>39</v>
      </c>
      <c r="O49" s="334" t="s">
        <v>39</v>
      </c>
      <c r="P49" s="334" t="s">
        <v>39</v>
      </c>
      <c r="Q49" s="334" t="s">
        <v>39</v>
      </c>
      <c r="R49" s="334" t="s">
        <v>39</v>
      </c>
      <c r="S49" s="334" t="s">
        <v>39</v>
      </c>
      <c r="T49" s="334" t="s">
        <v>39</v>
      </c>
      <c r="U49" s="334" t="s">
        <v>39</v>
      </c>
      <c r="V49" s="334" t="s">
        <v>39</v>
      </c>
      <c r="W49" s="334" t="s">
        <v>39</v>
      </c>
      <c r="X49" s="334" t="s">
        <v>39</v>
      </c>
      <c r="Y49" s="334" t="s">
        <v>39</v>
      </c>
      <c r="Z49" s="334" t="s">
        <v>39</v>
      </c>
      <c r="AA49" s="334" t="s">
        <v>39</v>
      </c>
      <c r="AB49" s="334" t="s">
        <v>39</v>
      </c>
      <c r="AC49" s="334" t="s">
        <v>39</v>
      </c>
      <c r="AD49" s="335"/>
      <c r="AE49" s="240" t="s">
        <v>39</v>
      </c>
    </row>
    <row r="51" spans="3:31" x14ac:dyDescent="0.3">
      <c r="L51" s="457">
        <f>L47-G47</f>
        <v>23514.814372202731</v>
      </c>
      <c r="Q51" s="457">
        <f>Q47-L47</f>
        <v>33873.890169773716</v>
      </c>
      <c r="V51" s="457">
        <f>V47-Q47</f>
        <v>42979.143966977252</v>
      </c>
      <c r="AA51" s="457">
        <f>AA47-V47</f>
        <v>45689.508388439193</v>
      </c>
    </row>
    <row r="52" spans="3:31" x14ac:dyDescent="0.3">
      <c r="L52" s="458">
        <f>L51/G47</f>
        <v>2.3474165053662503E-2</v>
      </c>
      <c r="Q52" s="458">
        <f>Q51/L47</f>
        <v>3.3039752832054708E-2</v>
      </c>
      <c r="V52" s="458">
        <f>V51/Q47</f>
        <v>4.0580037289949328E-2</v>
      </c>
      <c r="AA52" s="458">
        <f>AA51/V47</f>
        <v>4.1456790384763291E-2</v>
      </c>
    </row>
  </sheetData>
  <pageMargins left="0.25" right="0.25" top="0.75" bottom="0.75" header="0.3" footer="0.3"/>
  <pageSetup scale="2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87A7-9127-482B-8AFE-3BC1FF772610}">
  <sheetPr>
    <tabColor theme="9"/>
  </sheetPr>
  <dimension ref="B2:AH92"/>
  <sheetViews>
    <sheetView showGridLines="0" topLeftCell="A53" zoomScaleNormal="100" workbookViewId="0">
      <selection activeCell="C70" sqref="C70:C71"/>
    </sheetView>
  </sheetViews>
  <sheetFormatPr defaultColWidth="8.6640625" defaultRowHeight="15" x14ac:dyDescent="0.35"/>
  <cols>
    <col min="1" max="1" width="8.6640625" style="134"/>
    <col min="2" max="2" width="24.6640625" style="134" customWidth="1"/>
    <col min="3" max="3" width="13.109375" style="134" customWidth="1"/>
    <col min="4" max="4" width="27.109375" style="134" bestFit="1" customWidth="1"/>
    <col min="5" max="5" width="24.6640625" style="134" customWidth="1"/>
    <col min="6" max="6" width="13.109375" style="134" customWidth="1"/>
    <col min="7" max="7" width="24.6640625" style="134" customWidth="1"/>
    <col min="8" max="8" width="13.33203125" style="134" customWidth="1"/>
    <col min="9" max="9" width="20.44140625" style="134" bestFit="1" customWidth="1"/>
    <col min="10" max="10" width="24.6640625" style="134" customWidth="1"/>
    <col min="12" max="12" width="15.33203125" bestFit="1" customWidth="1"/>
    <col min="13" max="14" width="13.109375" customWidth="1"/>
    <col min="16" max="16" width="17.33203125" bestFit="1" customWidth="1"/>
    <col min="17" max="17" width="4.88671875" bestFit="1" customWidth="1"/>
    <col min="22" max="28" width="13.109375" customWidth="1"/>
    <col min="35" max="16384" width="8.6640625" style="134"/>
  </cols>
  <sheetData>
    <row r="2" spans="2:28" ht="15.6" thickBot="1" x14ac:dyDescent="0.4">
      <c r="B2" s="132" t="s">
        <v>47</v>
      </c>
      <c r="C2" s="132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2:28" ht="15.6" thickTop="1" x14ac:dyDescent="0.35"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</row>
    <row r="4" spans="2:28" x14ac:dyDescent="0.35">
      <c r="B4" s="135" t="s">
        <v>48</v>
      </c>
      <c r="C4" s="136"/>
      <c r="D4" s="136"/>
      <c r="E4" s="136"/>
      <c r="G4" s="135"/>
      <c r="H4" s="136"/>
      <c r="I4" s="136"/>
      <c r="J4" s="136"/>
      <c r="M4" s="137"/>
      <c r="N4" s="134"/>
      <c r="O4" s="134"/>
      <c r="P4" s="134"/>
      <c r="Q4" s="134"/>
      <c r="R4" s="134"/>
      <c r="S4" s="134"/>
      <c r="T4" s="134"/>
      <c r="U4" s="134"/>
      <c r="V4" s="137"/>
      <c r="W4" s="134"/>
      <c r="X4" s="134"/>
      <c r="Y4" s="134"/>
      <c r="Z4" s="134"/>
      <c r="AA4" s="134"/>
      <c r="AB4" s="134"/>
    </row>
    <row r="5" spans="2:28" x14ac:dyDescent="0.35">
      <c r="B5" s="138" t="s">
        <v>49</v>
      </c>
      <c r="C5" s="138"/>
      <c r="D5" s="138"/>
      <c r="E5" s="139" t="s">
        <v>358</v>
      </c>
      <c r="G5" s="140"/>
      <c r="H5" s="141"/>
      <c r="I5" s="142"/>
      <c r="J5" s="142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</row>
    <row r="6" spans="2:28" x14ac:dyDescent="0.35">
      <c r="B6" s="134" t="s">
        <v>50</v>
      </c>
      <c r="E6" s="143" t="s">
        <v>51</v>
      </c>
      <c r="G6" s="144"/>
      <c r="I6" s="145"/>
      <c r="J6" s="146"/>
      <c r="M6" s="147"/>
      <c r="N6" s="147"/>
      <c r="O6" s="134"/>
      <c r="P6" s="134"/>
      <c r="Q6" s="134"/>
      <c r="R6" s="134"/>
      <c r="S6" s="134"/>
      <c r="T6" s="134"/>
      <c r="U6" s="134"/>
      <c r="V6" s="142"/>
      <c r="W6" s="142"/>
      <c r="X6" s="142"/>
      <c r="Y6" s="142"/>
      <c r="Z6" s="142"/>
      <c r="AA6" s="142"/>
      <c r="AB6" s="142"/>
    </row>
    <row r="7" spans="2:28" x14ac:dyDescent="0.35">
      <c r="B7" s="134" t="s">
        <v>52</v>
      </c>
      <c r="E7" s="143" t="s">
        <v>359</v>
      </c>
      <c r="G7" s="144"/>
      <c r="I7" s="146"/>
      <c r="J7" s="146"/>
    </row>
    <row r="8" spans="2:28" x14ac:dyDescent="0.35">
      <c r="B8" s="134" t="s">
        <v>53</v>
      </c>
      <c r="E8" s="143">
        <v>604</v>
      </c>
      <c r="G8" s="144"/>
      <c r="I8" s="146"/>
      <c r="J8" s="146"/>
    </row>
    <row r="9" spans="2:28" x14ac:dyDescent="0.35">
      <c r="B9" s="134" t="s">
        <v>54</v>
      </c>
      <c r="E9" s="143">
        <v>554</v>
      </c>
      <c r="G9" s="144"/>
      <c r="I9" s="146"/>
      <c r="J9" s="146"/>
    </row>
    <row r="10" spans="2:28" x14ac:dyDescent="0.35">
      <c r="B10" s="134" t="s">
        <v>55</v>
      </c>
      <c r="E10" s="143">
        <v>89350</v>
      </c>
      <c r="G10" s="135"/>
      <c r="H10" s="137"/>
      <c r="I10" s="148"/>
      <c r="J10" s="148"/>
    </row>
    <row r="11" spans="2:28" x14ac:dyDescent="0.35">
      <c r="B11" s="135" t="s">
        <v>56</v>
      </c>
      <c r="C11" s="136"/>
      <c r="D11" s="136"/>
      <c r="E11" s="136"/>
      <c r="G11" s="135" t="s">
        <v>156</v>
      </c>
      <c r="H11" s="136"/>
      <c r="I11" s="136"/>
      <c r="J11" s="136"/>
    </row>
    <row r="12" spans="2:28" x14ac:dyDescent="0.35">
      <c r="B12" s="138" t="s">
        <v>57</v>
      </c>
      <c r="C12" s="138"/>
      <c r="D12" s="138"/>
      <c r="E12" s="149">
        <v>46082</v>
      </c>
      <c r="G12" s="140" t="s">
        <v>157</v>
      </c>
      <c r="H12" s="136"/>
      <c r="I12" s="136"/>
      <c r="J12" s="136"/>
    </row>
    <row r="13" spans="2:28" x14ac:dyDescent="0.35">
      <c r="B13" s="134" t="s">
        <v>58</v>
      </c>
      <c r="E13" s="376">
        <v>5</v>
      </c>
      <c r="G13" s="134" t="s">
        <v>158</v>
      </c>
      <c r="I13" s="182">
        <v>0.65</v>
      </c>
      <c r="J13" s="151"/>
    </row>
    <row r="14" spans="2:28" x14ac:dyDescent="0.35">
      <c r="B14" s="134" t="s">
        <v>59</v>
      </c>
      <c r="E14" s="373">
        <v>14000000</v>
      </c>
      <c r="G14" s="134" t="s">
        <v>159</v>
      </c>
      <c r="I14" s="377">
        <v>4.2999999999999997E-2</v>
      </c>
      <c r="J14" s="378" t="s">
        <v>160</v>
      </c>
    </row>
    <row r="15" spans="2:28" x14ac:dyDescent="0.35">
      <c r="B15" s="134" t="s">
        <v>60</v>
      </c>
      <c r="E15" s="375">
        <v>0.01</v>
      </c>
      <c r="G15" s="134" t="s">
        <v>161</v>
      </c>
      <c r="I15" s="377">
        <v>0.02</v>
      </c>
      <c r="J15" s="152" t="s">
        <v>162</v>
      </c>
    </row>
    <row r="16" spans="2:28" x14ac:dyDescent="0.35">
      <c r="E16" s="154"/>
      <c r="G16" s="134" t="s">
        <v>163</v>
      </c>
      <c r="H16" s="137"/>
      <c r="I16" s="379">
        <f>I14+I15</f>
        <v>6.3E-2</v>
      </c>
      <c r="J16" s="153"/>
    </row>
    <row r="17" spans="2:10" x14ac:dyDescent="0.35">
      <c r="B17" s="135"/>
      <c r="C17" s="136"/>
      <c r="D17" s="136"/>
      <c r="E17" s="136"/>
      <c r="G17" s="134" t="s">
        <v>164</v>
      </c>
      <c r="I17" s="380">
        <v>25</v>
      </c>
    </row>
    <row r="18" spans="2:10" x14ac:dyDescent="0.35">
      <c r="D18" s="142"/>
      <c r="E18" s="142"/>
      <c r="G18" s="135" t="s">
        <v>165</v>
      </c>
      <c r="H18" s="136"/>
      <c r="I18" s="381">
        <v>5</v>
      </c>
      <c r="J18" s="136"/>
    </row>
    <row r="19" spans="2:10" x14ac:dyDescent="0.35">
      <c r="B19" s="136"/>
      <c r="C19" s="136"/>
      <c r="D19" s="155"/>
      <c r="E19" s="155"/>
      <c r="G19" s="134" t="s">
        <v>166</v>
      </c>
      <c r="H19" s="137"/>
      <c r="I19" s="382">
        <f>E14*I13</f>
        <v>9100000</v>
      </c>
      <c r="J19" s="151"/>
    </row>
    <row r="20" spans="2:10" x14ac:dyDescent="0.35">
      <c r="D20" s="156"/>
      <c r="E20" s="156"/>
      <c r="J20" s="150"/>
    </row>
    <row r="21" spans="2:10" x14ac:dyDescent="0.35">
      <c r="D21" s="157"/>
      <c r="E21" s="156"/>
      <c r="G21" s="141" t="s">
        <v>167</v>
      </c>
      <c r="J21" s="151"/>
    </row>
    <row r="22" spans="2:10" x14ac:dyDescent="0.35">
      <c r="B22" s="137"/>
      <c r="C22" s="137"/>
      <c r="D22" s="137"/>
      <c r="E22" s="158"/>
      <c r="G22" s="134" t="s">
        <v>168</v>
      </c>
      <c r="I22" s="383">
        <v>25000</v>
      </c>
      <c r="J22" s="152"/>
    </row>
    <row r="23" spans="2:10" x14ac:dyDescent="0.35">
      <c r="G23" s="134" t="s">
        <v>169</v>
      </c>
      <c r="I23" s="383">
        <v>0</v>
      </c>
      <c r="J23" s="157"/>
    </row>
    <row r="24" spans="2:10" x14ac:dyDescent="0.35">
      <c r="B24" s="136"/>
      <c r="C24" s="136"/>
      <c r="D24" s="155"/>
      <c r="E24" s="155"/>
      <c r="G24" s="134" t="s">
        <v>170</v>
      </c>
      <c r="H24" s="137"/>
      <c r="I24" s="382">
        <f>I22+I23</f>
        <v>25000</v>
      </c>
      <c r="J24" s="159"/>
    </row>
    <row r="25" spans="2:10" x14ac:dyDescent="0.35">
      <c r="D25" s="156"/>
      <c r="E25" s="156"/>
      <c r="G25" s="134" t="s">
        <v>171</v>
      </c>
      <c r="I25" s="383">
        <v>0</v>
      </c>
      <c r="J25" s="378" t="s">
        <v>172</v>
      </c>
    </row>
    <row r="26" spans="2:10" x14ac:dyDescent="0.35">
      <c r="D26" s="157"/>
      <c r="E26" s="156"/>
      <c r="J26" s="150"/>
    </row>
    <row r="27" spans="2:10" x14ac:dyDescent="0.35">
      <c r="B27" s="137"/>
      <c r="C27" s="137"/>
      <c r="D27" s="137"/>
      <c r="E27" s="158"/>
      <c r="G27" s="141" t="s">
        <v>173</v>
      </c>
      <c r="J27" s="160"/>
    </row>
    <row r="28" spans="2:10" x14ac:dyDescent="0.35">
      <c r="B28" s="137"/>
      <c r="C28" s="137"/>
      <c r="D28" s="137"/>
      <c r="E28" s="158"/>
      <c r="G28" s="134" t="s">
        <v>174</v>
      </c>
      <c r="I28" s="377">
        <v>6.25E-2</v>
      </c>
      <c r="J28" s="153"/>
    </row>
    <row r="29" spans="2:10" x14ac:dyDescent="0.35">
      <c r="E29" s="154"/>
      <c r="G29" s="134" t="s">
        <v>175</v>
      </c>
      <c r="I29" s="182">
        <v>0.02</v>
      </c>
    </row>
    <row r="30" spans="2:10" x14ac:dyDescent="0.35">
      <c r="G30" s="134" t="s">
        <v>176</v>
      </c>
      <c r="I30" s="379">
        <f>Model2.0!F60/E14</f>
        <v>4.5309752857142858E-2</v>
      </c>
      <c r="J30" s="386" t="s">
        <v>321</v>
      </c>
    </row>
    <row r="31" spans="2:10" ht="16.8" x14ac:dyDescent="0.45">
      <c r="G31" s="134" t="s">
        <v>315</v>
      </c>
      <c r="I31" s="383">
        <v>75000</v>
      </c>
      <c r="J31" s="469" t="s">
        <v>316</v>
      </c>
    </row>
    <row r="32" spans="2:10" x14ac:dyDescent="0.35">
      <c r="B32" s="137" t="s">
        <v>61</v>
      </c>
      <c r="C32" s="137"/>
    </row>
    <row r="33" spans="2:20" x14ac:dyDescent="0.35">
      <c r="B33" s="138"/>
      <c r="C33" s="138"/>
      <c r="D33" s="138"/>
      <c r="E33" s="138"/>
      <c r="F33" s="138"/>
      <c r="G33" s="138"/>
      <c r="H33" s="138"/>
      <c r="I33" s="138"/>
      <c r="J33" s="138"/>
    </row>
    <row r="34" spans="2:20" x14ac:dyDescent="0.35">
      <c r="B34" s="135" t="s">
        <v>62</v>
      </c>
      <c r="C34" s="136"/>
      <c r="D34" s="136"/>
      <c r="E34" s="136"/>
      <c r="G34" s="135" t="s">
        <v>63</v>
      </c>
      <c r="H34" s="136"/>
      <c r="I34" s="136"/>
      <c r="J34" s="136"/>
    </row>
    <row r="35" spans="2:20" x14ac:dyDescent="0.35">
      <c r="B35" s="138"/>
      <c r="C35" s="138"/>
      <c r="D35" s="161" t="s">
        <v>64</v>
      </c>
      <c r="E35" s="161" t="s">
        <v>65</v>
      </c>
      <c r="G35" s="138"/>
      <c r="H35" s="161" t="s">
        <v>66</v>
      </c>
      <c r="I35" s="161" t="s">
        <v>67</v>
      </c>
      <c r="J35" s="161" t="s">
        <v>65</v>
      </c>
    </row>
    <row r="36" spans="2:20" x14ac:dyDescent="0.35">
      <c r="B36" s="134" t="s">
        <v>68</v>
      </c>
      <c r="E36" s="162">
        <f>Model2.0!E24</f>
        <v>0.91721854304635764</v>
      </c>
      <c r="G36" s="144" t="s">
        <v>19</v>
      </c>
      <c r="H36" s="163"/>
      <c r="I36" s="197">
        <v>0.39012221600447666</v>
      </c>
      <c r="J36" s="164">
        <f>I36*$E$10</f>
        <v>34857.419999999991</v>
      </c>
      <c r="L36">
        <v>34857.419999999991</v>
      </c>
      <c r="M36" s="46">
        <f>L36/$E$10</f>
        <v>0.39012221600447666</v>
      </c>
      <c r="N36" t="s">
        <v>19</v>
      </c>
      <c r="T36" s="46"/>
    </row>
    <row r="37" spans="2:20" x14ac:dyDescent="0.35">
      <c r="B37" s="134" t="s">
        <v>69</v>
      </c>
      <c r="E37" s="201">
        <f>Model2.0!E23</f>
        <v>1.0390210800425856</v>
      </c>
      <c r="G37" s="144" t="s">
        <v>70</v>
      </c>
      <c r="H37" s="169">
        <v>1.4429715503389904E-2</v>
      </c>
      <c r="I37" s="198">
        <v>0</v>
      </c>
      <c r="J37" s="163">
        <f>H37*E42</f>
        <v>14744.523989018397</v>
      </c>
      <c r="L37">
        <v>13333.739999999998</v>
      </c>
      <c r="M37" s="46">
        <v>0</v>
      </c>
      <c r="N37" t="s">
        <v>70</v>
      </c>
      <c r="P37" s="129"/>
      <c r="Q37" s="129"/>
      <c r="T37" s="46"/>
    </row>
    <row r="38" spans="2:20" x14ac:dyDescent="0.35">
      <c r="G38" s="144" t="s">
        <v>71</v>
      </c>
      <c r="H38" s="169">
        <v>0</v>
      </c>
      <c r="I38" s="198">
        <v>0</v>
      </c>
      <c r="J38" s="163"/>
      <c r="M38" s="46">
        <f t="shared" ref="M38:M46" si="0">L38/$E$10</f>
        <v>0</v>
      </c>
      <c r="N38" t="s">
        <v>71</v>
      </c>
      <c r="T38" s="46"/>
    </row>
    <row r="39" spans="2:20" x14ac:dyDescent="0.35">
      <c r="B39" s="134" t="s">
        <v>7</v>
      </c>
      <c r="E39" s="166">
        <f>E37*(E10*E36)*12</f>
        <v>1021816.6799999998</v>
      </c>
      <c r="G39" s="134" t="s">
        <v>22</v>
      </c>
      <c r="I39" s="198">
        <v>8.5007535638731799E-2</v>
      </c>
      <c r="J39" s="165">
        <f>I39*$E$10</f>
        <v>7595.4233093206858</v>
      </c>
      <c r="L39">
        <v>0</v>
      </c>
      <c r="M39" s="46">
        <f t="shared" si="0"/>
        <v>0</v>
      </c>
      <c r="N39" t="s">
        <v>22</v>
      </c>
      <c r="T39" s="46"/>
    </row>
    <row r="40" spans="2:20" x14ac:dyDescent="0.35">
      <c r="B40" s="167" t="s">
        <v>9</v>
      </c>
      <c r="C40" s="167"/>
      <c r="D40" s="154">
        <f>-E40/$E$39</f>
        <v>0</v>
      </c>
      <c r="E40" s="168">
        <f>Model2.0!E21</f>
        <v>0</v>
      </c>
      <c r="G40" s="134" t="s">
        <v>23</v>
      </c>
      <c r="I40" s="200">
        <v>4.5914941242305536E-3</v>
      </c>
      <c r="J40" s="165">
        <f>I40*$E$10</f>
        <v>410.24999999999994</v>
      </c>
      <c r="L40">
        <v>410.25</v>
      </c>
      <c r="M40" s="46">
        <f t="shared" si="0"/>
        <v>4.5914941242305536E-3</v>
      </c>
      <c r="N40" t="s">
        <v>23</v>
      </c>
      <c r="T40" s="46"/>
    </row>
    <row r="41" spans="2:20" x14ac:dyDescent="0.35">
      <c r="B41" s="167" t="s">
        <v>74</v>
      </c>
      <c r="C41" s="167"/>
      <c r="D41" s="154">
        <f>-E41/$E$39</f>
        <v>0</v>
      </c>
      <c r="E41" s="168">
        <v>0</v>
      </c>
      <c r="G41" s="144" t="s">
        <v>24</v>
      </c>
      <c r="H41" s="169">
        <v>0.06</v>
      </c>
      <c r="I41" s="199">
        <v>0</v>
      </c>
      <c r="J41" s="163">
        <f>H41*E42</f>
        <v>61309.000799999987</v>
      </c>
      <c r="L41">
        <v>46924.36</v>
      </c>
      <c r="M41" s="46">
        <v>0</v>
      </c>
      <c r="N41" t="s">
        <v>24</v>
      </c>
      <c r="T41" s="46"/>
    </row>
    <row r="42" spans="2:20" x14ac:dyDescent="0.35">
      <c r="B42" s="170" t="s">
        <v>77</v>
      </c>
      <c r="C42" s="170"/>
      <c r="D42" s="170"/>
      <c r="E42" s="171">
        <f>SUM(E39:E41)</f>
        <v>1021816.6799999998</v>
      </c>
      <c r="G42" s="144" t="s">
        <v>25</v>
      </c>
      <c r="H42" s="169">
        <v>0.04</v>
      </c>
      <c r="I42" s="199">
        <v>0</v>
      </c>
      <c r="J42" s="163">
        <f>H42*E42</f>
        <v>40872.667199999996</v>
      </c>
      <c r="L42">
        <v>0</v>
      </c>
      <c r="M42" s="46">
        <f t="shared" si="0"/>
        <v>0</v>
      </c>
      <c r="N42" t="s">
        <v>25</v>
      </c>
      <c r="T42" s="46"/>
    </row>
    <row r="43" spans="2:20" x14ac:dyDescent="0.35">
      <c r="B43" t="s">
        <v>11</v>
      </c>
      <c r="D43" s="214">
        <v>29</v>
      </c>
      <c r="E43" s="202">
        <f>Model2.0!E27</f>
        <v>29888.720000000001</v>
      </c>
      <c r="G43" s="144" t="s">
        <v>26</v>
      </c>
      <c r="H43" s="172"/>
      <c r="I43" s="200">
        <v>1.0059799664241746</v>
      </c>
      <c r="J43" s="525">
        <f>(((52*($D$53*$D$55)+(D54*(($D$53*$D$55))))/12)+((D44*$E$9)*12))*12</f>
        <v>95022.863584019331</v>
      </c>
      <c r="L43">
        <v>89884.310000000012</v>
      </c>
      <c r="M43" s="46">
        <f t="shared" si="0"/>
        <v>1.0059799664241746</v>
      </c>
      <c r="N43" t="s">
        <v>26</v>
      </c>
      <c r="T43" s="46"/>
    </row>
    <row r="44" spans="2:20" x14ac:dyDescent="0.35">
      <c r="B44" t="s">
        <v>12</v>
      </c>
      <c r="D44" s="215">
        <f>'P-Builder'!F82</f>
        <v>0.13431688207003761</v>
      </c>
      <c r="E44" s="202">
        <f>Model2.0!E28</f>
        <v>29888.720000000001</v>
      </c>
      <c r="G44" s="144" t="s">
        <v>27</v>
      </c>
      <c r="H44" s="172"/>
      <c r="I44" s="200">
        <v>1.8577728035814214E-2</v>
      </c>
      <c r="J44" s="165">
        <f t="shared" ref="J44:J46" si="1">I44*$E$10</f>
        <v>1659.92</v>
      </c>
      <c r="L44">
        <v>1659.92</v>
      </c>
      <c r="M44" s="46">
        <f t="shared" si="0"/>
        <v>1.8577728035814214E-2</v>
      </c>
      <c r="N44" t="s">
        <v>27</v>
      </c>
      <c r="T44" s="46"/>
    </row>
    <row r="45" spans="2:20" x14ac:dyDescent="0.35">
      <c r="B45" t="s">
        <v>13</v>
      </c>
      <c r="E45" s="202">
        <f>Model2.0!E29</f>
        <v>38040</v>
      </c>
      <c r="F45" s="163"/>
      <c r="G45" s="134" t="s">
        <v>28</v>
      </c>
      <c r="H45" s="163"/>
      <c r="I45" s="200">
        <v>0.44530083939563503</v>
      </c>
      <c r="J45" s="165">
        <f>I45*$E$10</f>
        <v>39787.62999999999</v>
      </c>
      <c r="L45">
        <v>39787.62999999999</v>
      </c>
      <c r="M45" s="46">
        <f t="shared" si="0"/>
        <v>0.44530083939563503</v>
      </c>
      <c r="N45" t="s">
        <v>28</v>
      </c>
      <c r="T45" s="46"/>
    </row>
    <row r="46" spans="2:20" x14ac:dyDescent="0.35">
      <c r="B46" t="s">
        <v>78</v>
      </c>
      <c r="E46" s="202">
        <f>Model2.0!E30</f>
        <v>0</v>
      </c>
      <c r="G46" s="134" t="s">
        <v>29</v>
      </c>
      <c r="H46" s="163"/>
      <c r="I46" s="200">
        <v>0</v>
      </c>
      <c r="J46" s="165">
        <f t="shared" si="1"/>
        <v>0</v>
      </c>
      <c r="L46">
        <v>0</v>
      </c>
      <c r="M46" s="46">
        <f t="shared" si="0"/>
        <v>0</v>
      </c>
      <c r="N46" t="s">
        <v>29</v>
      </c>
      <c r="T46" s="46"/>
    </row>
    <row r="47" spans="2:20" customFormat="1" x14ac:dyDescent="0.35">
      <c r="B47" s="134" t="s">
        <v>79</v>
      </c>
      <c r="C47" s="134"/>
      <c r="D47" s="134"/>
      <c r="E47" s="202">
        <f>Model2.0!E31</f>
        <v>0</v>
      </c>
      <c r="F47" s="134"/>
      <c r="G47" s="134" t="s">
        <v>30</v>
      </c>
      <c r="H47" s="134"/>
      <c r="I47" s="200">
        <v>4.13717963066592E-2</v>
      </c>
      <c r="J47" s="165">
        <f t="shared" ref="J47:J55" si="2">I47*$E$10</f>
        <v>3696.5699999999997</v>
      </c>
      <c r="L47">
        <v>3696.5699999999993</v>
      </c>
      <c r="M47" s="46">
        <f t="shared" ref="M47:M55" si="3">L47/$E$10</f>
        <v>4.13717963066592E-2</v>
      </c>
      <c r="N47" t="s">
        <v>30</v>
      </c>
      <c r="T47" s="46"/>
    </row>
    <row r="48" spans="2:20" customFormat="1" x14ac:dyDescent="0.35">
      <c r="B48" s="134" t="s">
        <v>16</v>
      </c>
      <c r="C48" s="134"/>
      <c r="D48" s="134"/>
      <c r="E48" s="202">
        <f>Model2.0!E32</f>
        <v>10168.16</v>
      </c>
      <c r="F48" s="134"/>
      <c r="G48" s="134" t="s">
        <v>31</v>
      </c>
      <c r="H48" s="134"/>
      <c r="I48" s="200">
        <v>0.12214336877448237</v>
      </c>
      <c r="J48" s="165">
        <f t="shared" si="2"/>
        <v>10913.51</v>
      </c>
      <c r="L48">
        <v>10913.51</v>
      </c>
      <c r="M48" s="46">
        <f t="shared" si="3"/>
        <v>0.12214336877448237</v>
      </c>
      <c r="N48" t="s">
        <v>31</v>
      </c>
      <c r="T48" s="46"/>
    </row>
    <row r="49" spans="2:27" customFormat="1" x14ac:dyDescent="0.35">
      <c r="B49" s="173" t="s">
        <v>80</v>
      </c>
      <c r="C49" s="173"/>
      <c r="D49" s="174"/>
      <c r="E49" s="175">
        <f>SUM(E42:E48)</f>
        <v>1129802.2799999998</v>
      </c>
      <c r="F49" s="134"/>
      <c r="G49" s="134" t="s">
        <v>32</v>
      </c>
      <c r="H49" s="134"/>
      <c r="I49" s="200">
        <v>0.14911169557918302</v>
      </c>
      <c r="J49" s="165">
        <f t="shared" si="2"/>
        <v>13323.130000000003</v>
      </c>
      <c r="L49">
        <v>13323.130000000003</v>
      </c>
      <c r="M49" s="46">
        <f t="shared" si="3"/>
        <v>0.14911169557918302</v>
      </c>
      <c r="N49" t="s">
        <v>32</v>
      </c>
      <c r="T49" s="46"/>
    </row>
    <row r="50" spans="2:27" customFormat="1" x14ac:dyDescent="0.35">
      <c r="B50" s="134"/>
      <c r="C50" s="134"/>
      <c r="D50" s="134"/>
      <c r="E50" s="134"/>
      <c r="F50" s="134"/>
      <c r="G50" s="134" t="s">
        <v>81</v>
      </c>
      <c r="H50" s="134"/>
      <c r="I50" s="200">
        <v>4.4510688304420828E-2</v>
      </c>
      <c r="J50" s="165">
        <f t="shared" si="2"/>
        <v>3977.0300000000011</v>
      </c>
      <c r="L50">
        <v>3977.0300000000011</v>
      </c>
      <c r="M50" s="46">
        <f t="shared" si="3"/>
        <v>4.4510688304420828E-2</v>
      </c>
      <c r="N50" t="s">
        <v>81</v>
      </c>
      <c r="T50" s="46"/>
    </row>
    <row r="51" spans="2:27" customFormat="1" x14ac:dyDescent="0.35">
      <c r="B51" s="135" t="s">
        <v>26</v>
      </c>
      <c r="C51" s="136"/>
      <c r="D51" s="136"/>
      <c r="E51" s="136"/>
      <c r="F51" s="134"/>
      <c r="G51" s="134" t="s">
        <v>33</v>
      </c>
      <c r="H51" s="134"/>
      <c r="I51" s="200">
        <v>2.172087297146055E-2</v>
      </c>
      <c r="J51" s="165">
        <f t="shared" si="2"/>
        <v>1940.7600000000002</v>
      </c>
      <c r="L51">
        <v>1940.76</v>
      </c>
      <c r="M51" s="46">
        <f t="shared" si="3"/>
        <v>2.172087297146055E-2</v>
      </c>
      <c r="N51" t="s">
        <v>33</v>
      </c>
      <c r="T51" s="46"/>
    </row>
    <row r="52" spans="2:27" customFormat="1" x14ac:dyDescent="0.35">
      <c r="B52" s="138"/>
      <c r="C52" s="138"/>
      <c r="D52" s="161" t="s">
        <v>64</v>
      </c>
      <c r="E52" s="134"/>
      <c r="F52" s="134"/>
      <c r="G52" s="134" t="s">
        <v>34</v>
      </c>
      <c r="H52" s="134"/>
      <c r="I52" s="200">
        <v>0.31474918858421941</v>
      </c>
      <c r="J52" s="165">
        <f t="shared" si="2"/>
        <v>28122.840000000004</v>
      </c>
      <c r="L52">
        <v>28122.840000000004</v>
      </c>
      <c r="M52" s="46">
        <f t="shared" si="3"/>
        <v>0.31474918858421941</v>
      </c>
      <c r="N52" t="s">
        <v>34</v>
      </c>
      <c r="T52" s="46"/>
    </row>
    <row r="53" spans="2:27" customFormat="1" x14ac:dyDescent="0.35">
      <c r="B53" t="s">
        <v>72</v>
      </c>
      <c r="C53" s="134"/>
      <c r="D53" s="231">
        <v>26</v>
      </c>
      <c r="E53" s="134"/>
      <c r="F53" s="134"/>
      <c r="G53" s="134" t="s">
        <v>35</v>
      </c>
      <c r="H53" s="134"/>
      <c r="I53" s="200">
        <v>0</v>
      </c>
      <c r="J53" s="165">
        <f t="shared" si="2"/>
        <v>0</v>
      </c>
      <c r="L53">
        <v>0</v>
      </c>
      <c r="M53" s="46">
        <f t="shared" si="3"/>
        <v>0</v>
      </c>
      <c r="N53" t="s">
        <v>35</v>
      </c>
      <c r="T53" s="46"/>
    </row>
    <row r="54" spans="2:27" customFormat="1" x14ac:dyDescent="0.35">
      <c r="B54" t="s">
        <v>75</v>
      </c>
      <c r="C54" s="134"/>
      <c r="D54" s="188">
        <v>0.3</v>
      </c>
      <c r="E54" s="134" t="str">
        <f>D55&amp;"Hrs/Wk @ "&amp;"$"&amp;D53&amp;" + Burden Rate"</f>
        <v>62Hrs/Wk @ $26 + Burden Rate</v>
      </c>
      <c r="F54" s="134"/>
      <c r="G54" s="134" t="s">
        <v>36</v>
      </c>
      <c r="H54" s="134"/>
      <c r="I54" s="200">
        <v>0</v>
      </c>
      <c r="J54" s="165">
        <f t="shared" si="2"/>
        <v>0</v>
      </c>
      <c r="L54">
        <v>0</v>
      </c>
      <c r="M54" s="46">
        <f t="shared" si="3"/>
        <v>0</v>
      </c>
      <c r="N54" t="s">
        <v>36</v>
      </c>
      <c r="T54" s="46"/>
    </row>
    <row r="55" spans="2:27" customFormat="1" x14ac:dyDescent="0.35">
      <c r="B55" t="s">
        <v>76</v>
      </c>
      <c r="C55" s="134"/>
      <c r="D55" s="145">
        <v>62</v>
      </c>
      <c r="E55" s="134"/>
      <c r="F55" s="134"/>
      <c r="G55" s="134" t="s">
        <v>82</v>
      </c>
      <c r="H55" s="134"/>
      <c r="I55" s="200">
        <v>0</v>
      </c>
      <c r="J55" s="165">
        <f t="shared" si="2"/>
        <v>0</v>
      </c>
      <c r="L55">
        <v>0</v>
      </c>
      <c r="M55" s="46">
        <f t="shared" si="3"/>
        <v>0</v>
      </c>
      <c r="N55" t="s">
        <v>82</v>
      </c>
      <c r="T55" s="46"/>
    </row>
    <row r="56" spans="2:27" customFormat="1" x14ac:dyDescent="0.35">
      <c r="B56" s="134" t="s">
        <v>83</v>
      </c>
      <c r="C56" s="134"/>
      <c r="D56" s="232">
        <f>'P-Builder'!F82</f>
        <v>0.13431688207003761</v>
      </c>
      <c r="E56" s="134"/>
      <c r="F56" s="134"/>
      <c r="G56" s="173" t="s">
        <v>65</v>
      </c>
      <c r="H56" s="176"/>
      <c r="I56" s="203">
        <f>SUM(I36:I55)</f>
        <v>2.6431873901434884</v>
      </c>
      <c r="J56" s="177">
        <f>SUM(J36:J55)</f>
        <v>358233.53888235847</v>
      </c>
    </row>
    <row r="57" spans="2:27" customFormat="1" x14ac:dyDescent="0.35">
      <c r="B57" s="134"/>
      <c r="C57" s="134"/>
      <c r="D57" s="134"/>
      <c r="E57" s="134"/>
      <c r="F57" s="136"/>
      <c r="G57" s="134"/>
      <c r="H57" s="134"/>
      <c r="I57" s="134"/>
      <c r="J57" s="134"/>
    </row>
    <row r="58" spans="2:27" customFormat="1" x14ac:dyDescent="0.35">
      <c r="B58" s="135" t="s">
        <v>84</v>
      </c>
      <c r="C58" s="136"/>
      <c r="D58" s="136"/>
      <c r="E58" s="136"/>
      <c r="F58" s="134"/>
      <c r="J58" s="134"/>
    </row>
    <row r="59" spans="2:27" customFormat="1" x14ac:dyDescent="0.35">
      <c r="B59" s="178"/>
      <c r="C59" s="138"/>
      <c r="D59" s="178"/>
      <c r="E59" s="179" t="s">
        <v>85</v>
      </c>
      <c r="F59" s="179"/>
      <c r="G59" s="179" t="s">
        <v>152</v>
      </c>
      <c r="H59" s="138"/>
      <c r="I59" s="179" t="s">
        <v>86</v>
      </c>
      <c r="J59" s="179" t="s">
        <v>150</v>
      </c>
      <c r="L59" s="357" t="s">
        <v>151</v>
      </c>
      <c r="N59" s="357" t="s">
        <v>152</v>
      </c>
    </row>
    <row r="60" spans="2:27" customFormat="1" x14ac:dyDescent="0.35">
      <c r="B60" s="142" t="s">
        <v>87</v>
      </c>
      <c r="C60" s="134"/>
      <c r="D60" s="142" t="s">
        <v>68</v>
      </c>
      <c r="E60" s="142" t="s">
        <v>88</v>
      </c>
      <c r="F60" s="142"/>
      <c r="G60" s="142" t="s">
        <v>153</v>
      </c>
      <c r="H60" s="134"/>
      <c r="I60" s="142" t="s">
        <v>88</v>
      </c>
      <c r="J60" s="142" t="s">
        <v>88</v>
      </c>
      <c r="N60" s="472">
        <v>0.04</v>
      </c>
      <c r="AA60" s="46"/>
    </row>
    <row r="61" spans="2:27" customFormat="1" x14ac:dyDescent="0.35">
      <c r="B61" s="180">
        <v>1</v>
      </c>
      <c r="C61" s="134"/>
      <c r="D61" s="181">
        <v>0.95</v>
      </c>
      <c r="E61" s="182">
        <v>0.08</v>
      </c>
      <c r="F61" s="182"/>
      <c r="G61" s="182">
        <v>0.04</v>
      </c>
      <c r="H61" s="134"/>
      <c r="I61" s="183">
        <v>0.01</v>
      </c>
      <c r="J61" s="184">
        <v>0</v>
      </c>
      <c r="N61" s="472">
        <v>4.4999999999999998E-2</v>
      </c>
      <c r="AA61" s="46"/>
    </row>
    <row r="62" spans="2:27" customFormat="1" x14ac:dyDescent="0.35">
      <c r="B62" s="145">
        <f>++B61+1</f>
        <v>2</v>
      </c>
      <c r="C62" s="134"/>
      <c r="D62" s="181">
        <v>0.95</v>
      </c>
      <c r="E62" s="182">
        <v>0.04</v>
      </c>
      <c r="F62" s="182"/>
      <c r="G62" s="182">
        <v>4.4999999999999998E-2</v>
      </c>
      <c r="H62" s="134"/>
      <c r="I62" s="183">
        <v>0.02</v>
      </c>
      <c r="J62" s="184">
        <v>0.01</v>
      </c>
      <c r="N62" s="472">
        <v>0.05</v>
      </c>
      <c r="AA62" s="46"/>
    </row>
    <row r="63" spans="2:27" customFormat="1" x14ac:dyDescent="0.35">
      <c r="B63" s="145">
        <f t="shared" ref="B63:B65" si="4">++B62+1</f>
        <v>3</v>
      </c>
      <c r="C63" s="134"/>
      <c r="D63" s="181">
        <v>0.95</v>
      </c>
      <c r="E63" s="182">
        <v>0.04</v>
      </c>
      <c r="F63" s="182"/>
      <c r="G63" s="182">
        <v>0.05</v>
      </c>
      <c r="H63" s="134"/>
      <c r="I63" s="183">
        <v>0.02</v>
      </c>
      <c r="J63" s="184">
        <v>0.01</v>
      </c>
      <c r="N63" s="472">
        <v>0.05</v>
      </c>
      <c r="AA63" s="46"/>
    </row>
    <row r="64" spans="2:27" customFormat="1" x14ac:dyDescent="0.35">
      <c r="B64" s="145">
        <f t="shared" si="4"/>
        <v>4</v>
      </c>
      <c r="C64" s="134"/>
      <c r="D64" s="181">
        <v>0.95</v>
      </c>
      <c r="E64" s="182">
        <v>0.04</v>
      </c>
      <c r="F64" s="182"/>
      <c r="G64" s="182">
        <v>0.05</v>
      </c>
      <c r="H64" s="134"/>
      <c r="I64" s="186">
        <v>0.02</v>
      </c>
      <c r="J64" s="184">
        <v>0.01</v>
      </c>
      <c r="N64" s="472">
        <v>0.05</v>
      </c>
      <c r="AA64" s="46"/>
    </row>
    <row r="65" spans="2:27" customFormat="1" x14ac:dyDescent="0.35">
      <c r="B65" s="145">
        <f t="shared" si="4"/>
        <v>5</v>
      </c>
      <c r="C65" s="134"/>
      <c r="D65" s="188">
        <f>D64</f>
        <v>0.95</v>
      </c>
      <c r="E65" s="182">
        <v>0.04</v>
      </c>
      <c r="F65" s="182"/>
      <c r="G65" s="182">
        <v>0.05</v>
      </c>
      <c r="H65" s="134"/>
      <c r="I65" s="186">
        <f t="shared" ref="I65" si="5">I64</f>
        <v>0.02</v>
      </c>
      <c r="J65" s="187">
        <v>0.01</v>
      </c>
      <c r="N65" s="472">
        <v>0.05</v>
      </c>
      <c r="AA65" s="46"/>
    </row>
    <row r="66" spans="2:27" customFormat="1" x14ac:dyDescent="0.35">
      <c r="B66" s="145"/>
      <c r="C66" s="134"/>
      <c r="D66" s="188"/>
      <c r="E66" s="182"/>
      <c r="F66" s="182"/>
      <c r="G66" s="185"/>
      <c r="H66" s="134"/>
      <c r="I66" s="185"/>
      <c r="J66" s="185"/>
      <c r="AA66" s="46"/>
    </row>
    <row r="67" spans="2:27" customFormat="1" x14ac:dyDescent="0.35">
      <c r="B67" s="145"/>
      <c r="C67" s="134"/>
      <c r="D67" s="188"/>
      <c r="E67" s="188"/>
      <c r="F67" s="182"/>
      <c r="G67" s="185"/>
      <c r="H67" s="134"/>
      <c r="I67" s="185"/>
      <c r="J67" s="185"/>
      <c r="AA67" s="46"/>
    </row>
    <row r="68" spans="2:27" customFormat="1" x14ac:dyDescent="0.35">
      <c r="B68" s="178"/>
      <c r="C68" s="138"/>
      <c r="D68" s="179" t="s">
        <v>154</v>
      </c>
      <c r="E68" s="179"/>
      <c r="F68" s="179"/>
      <c r="G68" s="179"/>
      <c r="H68" s="138"/>
      <c r="I68" s="179"/>
      <c r="J68" s="179"/>
      <c r="L68" s="357" t="s">
        <v>319</v>
      </c>
      <c r="N68" s="357" t="s">
        <v>32</v>
      </c>
      <c r="AA68" s="46"/>
    </row>
    <row r="69" spans="2:27" customFormat="1" x14ac:dyDescent="0.35">
      <c r="B69" s="142" t="s">
        <v>87</v>
      </c>
      <c r="C69" s="134"/>
      <c r="D69" s="142" t="s">
        <v>363</v>
      </c>
      <c r="E69" s="134"/>
      <c r="F69" s="142"/>
      <c r="G69" s="142"/>
      <c r="H69" s="134"/>
      <c r="I69" s="142"/>
      <c r="J69" s="142"/>
      <c r="L69" s="394" t="s">
        <v>320</v>
      </c>
      <c r="N69" s="394" t="s">
        <v>320</v>
      </c>
      <c r="AA69" s="46"/>
    </row>
    <row r="70" spans="2:27" customFormat="1" x14ac:dyDescent="0.35">
      <c r="B70" s="180">
        <v>1</v>
      </c>
      <c r="C70" s="134" t="s">
        <v>364</v>
      </c>
      <c r="D70" s="498">
        <v>16</v>
      </c>
      <c r="E70" s="134"/>
      <c r="F70" s="182"/>
      <c r="G70" s="182"/>
      <c r="H70" s="134"/>
      <c r="L70" s="182">
        <v>1.4999999999999999E-2</v>
      </c>
      <c r="N70" s="182">
        <v>1.4999999999999999E-2</v>
      </c>
      <c r="AA70" s="46"/>
    </row>
    <row r="71" spans="2:27" customFormat="1" x14ac:dyDescent="0.35">
      <c r="B71" s="145">
        <f>++B70+1</f>
        <v>2</v>
      </c>
      <c r="C71" s="134" t="s">
        <v>365</v>
      </c>
      <c r="D71" s="181">
        <v>0.5</v>
      </c>
      <c r="E71" s="134"/>
      <c r="F71" s="182"/>
      <c r="G71" s="498">
        <f>6695.18/20</f>
        <v>334.75900000000001</v>
      </c>
      <c r="H71" s="134"/>
      <c r="AA71" s="46"/>
    </row>
    <row r="72" spans="2:27" customFormat="1" x14ac:dyDescent="0.35">
      <c r="B72" s="145">
        <f t="shared" ref="B72:B74" si="6">++B71+1</f>
        <v>3</v>
      </c>
      <c r="C72" s="134"/>
      <c r="D72" s="181"/>
      <c r="E72" s="134"/>
      <c r="F72" s="182"/>
      <c r="G72" s="182"/>
      <c r="H72" s="134"/>
      <c r="AA72" s="46"/>
    </row>
    <row r="73" spans="2:27" customFormat="1" x14ac:dyDescent="0.35">
      <c r="B73" s="145">
        <f t="shared" si="6"/>
        <v>4</v>
      </c>
      <c r="C73" s="134"/>
      <c r="D73" s="181"/>
      <c r="E73" s="134"/>
      <c r="F73" s="182"/>
      <c r="G73" s="185"/>
      <c r="H73" s="134"/>
      <c r="AA73" s="46"/>
    </row>
    <row r="74" spans="2:27" customFormat="1" x14ac:dyDescent="0.35">
      <c r="B74" s="145">
        <f t="shared" si="6"/>
        <v>5</v>
      </c>
      <c r="C74" s="134"/>
      <c r="D74" s="188"/>
      <c r="E74" s="134"/>
      <c r="F74" s="182"/>
      <c r="G74" s="185"/>
      <c r="H74" s="134"/>
      <c r="AA74" s="46"/>
    </row>
    <row r="75" spans="2:27" customFormat="1" x14ac:dyDescent="0.35">
      <c r="B75" s="145"/>
      <c r="C75" s="134"/>
      <c r="D75" s="188"/>
      <c r="E75" s="182"/>
      <c r="F75" s="182"/>
      <c r="G75" s="185"/>
      <c r="H75" s="134"/>
      <c r="I75" s="185"/>
      <c r="J75" s="185"/>
      <c r="AA75" s="46"/>
    </row>
    <row r="76" spans="2:27" x14ac:dyDescent="0.35">
      <c r="G76" s="185"/>
      <c r="I76" s="185"/>
      <c r="J76" s="185"/>
      <c r="AA76" s="46"/>
    </row>
    <row r="77" spans="2:27" customFormat="1" x14ac:dyDescent="0.35">
      <c r="B77" s="141" t="s">
        <v>289</v>
      </c>
      <c r="C77" s="137"/>
      <c r="D77" s="137"/>
      <c r="E77" s="137"/>
      <c r="F77" s="134"/>
      <c r="G77" s="462" t="s">
        <v>299</v>
      </c>
      <c r="H77" s="134"/>
      <c r="I77" s="185"/>
      <c r="J77" s="185"/>
      <c r="AA77" s="46"/>
    </row>
    <row r="78" spans="2:27" customFormat="1" x14ac:dyDescent="0.35">
      <c r="B78" s="189"/>
      <c r="C78" s="161"/>
      <c r="D78" s="161"/>
      <c r="E78" s="161"/>
      <c r="F78" s="134"/>
      <c r="G78" s="185"/>
      <c r="H78" s="142" t="s">
        <v>66</v>
      </c>
      <c r="I78" s="462" t="s">
        <v>300</v>
      </c>
      <c r="J78" s="185"/>
      <c r="AA78" s="46"/>
    </row>
    <row r="79" spans="2:27" customFormat="1" x14ac:dyDescent="0.35">
      <c r="B79" s="134" t="s">
        <v>290</v>
      </c>
      <c r="C79" s="190"/>
      <c r="D79" s="181">
        <v>0.1</v>
      </c>
      <c r="E79" s="191"/>
      <c r="F79" s="134"/>
      <c r="G79" s="185" t="s">
        <v>301</v>
      </c>
      <c r="H79" s="377">
        <v>5.0000000000000001E-3</v>
      </c>
      <c r="I79" s="463">
        <f>H79*'Inputs &amp; Drivers'!E14</f>
        <v>70000</v>
      </c>
      <c r="J79" s="185"/>
      <c r="AA79" s="46"/>
    </row>
    <row r="80" spans="2:27" customFormat="1" x14ac:dyDescent="0.35">
      <c r="B80" s="134" t="s">
        <v>291</v>
      </c>
      <c r="C80" s="151"/>
      <c r="D80" s="188">
        <f>1-E79</f>
        <v>1</v>
      </c>
      <c r="E80" s="134"/>
      <c r="F80" s="134"/>
      <c r="G80" s="134" t="s">
        <v>302</v>
      </c>
      <c r="H80" s="190"/>
      <c r="I80" s="383">
        <v>0</v>
      </c>
      <c r="J80" s="191"/>
      <c r="AA80" s="46"/>
    </row>
    <row r="81" spans="2:27" customFormat="1" x14ac:dyDescent="0.35">
      <c r="B81" s="134" t="s">
        <v>232</v>
      </c>
      <c r="C81" s="192"/>
      <c r="D81" s="182">
        <v>0.08</v>
      </c>
      <c r="E81" s="193"/>
      <c r="F81" s="134"/>
      <c r="G81" s="134" t="s">
        <v>303</v>
      </c>
      <c r="H81" s="190"/>
      <c r="I81" s="383">
        <v>3500</v>
      </c>
      <c r="J81" s="191"/>
      <c r="AA81" s="46"/>
    </row>
    <row r="82" spans="2:27" customFormat="1" x14ac:dyDescent="0.35">
      <c r="B82" s="134" t="s">
        <v>292</v>
      </c>
      <c r="C82" s="192"/>
      <c r="D82" s="459" t="s">
        <v>293</v>
      </c>
      <c r="E82" s="193"/>
      <c r="F82" s="134"/>
      <c r="G82" s="134" t="s">
        <v>304</v>
      </c>
      <c r="H82" s="190"/>
      <c r="I82" s="383">
        <v>0</v>
      </c>
      <c r="J82" s="464" t="s">
        <v>305</v>
      </c>
      <c r="AA82" s="46"/>
    </row>
    <row r="83" spans="2:27" customFormat="1" x14ac:dyDescent="0.35">
      <c r="B83" s="134" t="s">
        <v>233</v>
      </c>
      <c r="C83" s="192"/>
      <c r="D83" s="181">
        <v>0.25</v>
      </c>
      <c r="E83" s="193"/>
      <c r="F83" s="134"/>
      <c r="G83" s="134" t="s">
        <v>286</v>
      </c>
      <c r="H83" s="377">
        <v>0</v>
      </c>
      <c r="I83" s="383">
        <f>H83*'Inputs &amp; Drivers'!E14</f>
        <v>0</v>
      </c>
      <c r="J83" s="191"/>
      <c r="AA83" s="46"/>
    </row>
    <row r="84" spans="2:27" customFormat="1" x14ac:dyDescent="0.35">
      <c r="B84" s="134"/>
      <c r="C84" s="192"/>
      <c r="D84" s="151"/>
      <c r="E84" s="193"/>
      <c r="F84" s="134"/>
      <c r="G84" s="134" t="s">
        <v>288</v>
      </c>
      <c r="H84" s="377">
        <v>0</v>
      </c>
      <c r="I84" s="384">
        <f>H84*'Inputs &amp; Drivers'!E14</f>
        <v>0</v>
      </c>
      <c r="J84" s="134"/>
      <c r="AA84" s="46"/>
    </row>
    <row r="85" spans="2:27" customFormat="1" x14ac:dyDescent="0.35">
      <c r="B85" s="141" t="s">
        <v>294</v>
      </c>
      <c r="C85" s="134"/>
      <c r="D85" s="194"/>
      <c r="E85" s="163"/>
      <c r="F85" s="134"/>
      <c r="G85" s="137" t="s">
        <v>306</v>
      </c>
      <c r="H85" s="379">
        <f>I85/E14</f>
        <v>5.2500000000000003E-3</v>
      </c>
      <c r="I85" s="385">
        <f>SUM(I79:I84)</f>
        <v>73500</v>
      </c>
      <c r="J85" s="134"/>
      <c r="AA85" s="46"/>
    </row>
    <row r="86" spans="2:27" customFormat="1" x14ac:dyDescent="0.35">
      <c r="B86" s="134" t="s">
        <v>295</v>
      </c>
      <c r="C86" s="134"/>
      <c r="D86" s="460">
        <f>E13</f>
        <v>5</v>
      </c>
      <c r="E86" s="461" t="s">
        <v>296</v>
      </c>
      <c r="F86" s="134"/>
      <c r="G86" s="134"/>
      <c r="H86" s="134"/>
      <c r="I86" s="134"/>
      <c r="J86" s="151"/>
      <c r="AA86" s="46"/>
    </row>
    <row r="87" spans="2:27" customFormat="1" x14ac:dyDescent="0.35">
      <c r="B87" s="134" t="s">
        <v>297</v>
      </c>
      <c r="C87" s="134"/>
      <c r="D87" s="180">
        <v>3</v>
      </c>
      <c r="E87" s="195"/>
      <c r="F87" s="134"/>
      <c r="G87" s="134" t="s">
        <v>307</v>
      </c>
      <c r="H87" s="377">
        <v>0.01</v>
      </c>
      <c r="I87" s="384">
        <f>H87*'Inputs &amp; Drivers'!I19</f>
        <v>91000</v>
      </c>
      <c r="J87" s="134"/>
      <c r="AA87" s="46"/>
    </row>
    <row r="88" spans="2:27" customFormat="1" x14ac:dyDescent="0.35">
      <c r="B88" s="134" t="s">
        <v>298</v>
      </c>
      <c r="C88" s="134"/>
      <c r="D88" s="180">
        <v>7</v>
      </c>
      <c r="E88" s="196"/>
      <c r="F88" s="134"/>
      <c r="G88" s="134" t="s">
        <v>287</v>
      </c>
      <c r="H88" s="182">
        <v>0</v>
      </c>
      <c r="I88" s="134"/>
      <c r="J88" s="134"/>
    </row>
    <row r="89" spans="2:27" customFormat="1" x14ac:dyDescent="0.35">
      <c r="B89" s="134"/>
      <c r="C89" s="134"/>
      <c r="D89" s="134"/>
      <c r="E89" s="154"/>
      <c r="F89" s="134"/>
      <c r="G89" s="134"/>
      <c r="H89" s="134"/>
      <c r="I89" s="134"/>
      <c r="J89" s="134"/>
    </row>
    <row r="90" spans="2:27" x14ac:dyDescent="0.35">
      <c r="G90" s="465" t="s">
        <v>308</v>
      </c>
      <c r="H90" s="467">
        <f>I90/E14</f>
        <v>1.175E-2</v>
      </c>
      <c r="I90" s="466">
        <f>I85+I87</f>
        <v>164500</v>
      </c>
    </row>
    <row r="92" spans="2:27" x14ac:dyDescent="0.35">
      <c r="G92" s="137" t="s">
        <v>309</v>
      </c>
      <c r="I92" s="385">
        <f>E14+I90</f>
        <v>14164500</v>
      </c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189A-E44D-428C-82A4-94E097BE9F42}">
  <sheetPr>
    <tabColor theme="9"/>
  </sheetPr>
  <dimension ref="B2:CM66"/>
  <sheetViews>
    <sheetView tabSelected="1" zoomScale="70" zoomScaleNormal="70" workbookViewId="0">
      <pane ySplit="7" topLeftCell="A11" activePane="bottomLeft" state="frozen"/>
      <selection pane="bottomLeft" activeCell="J30" sqref="J30"/>
    </sheetView>
  </sheetViews>
  <sheetFormatPr defaultRowHeight="14.4" outlineLevelCol="1" x14ac:dyDescent="0.3"/>
  <cols>
    <col min="2" max="2" width="29.109375" bestFit="1" customWidth="1"/>
    <col min="3" max="3" width="14" bestFit="1" customWidth="1"/>
    <col min="4" max="4" width="4" customWidth="1"/>
    <col min="5" max="5" width="15.44140625" bestFit="1" customWidth="1"/>
    <col min="6" max="6" width="14.5546875" bestFit="1" customWidth="1"/>
    <col min="7" max="7" width="4" customWidth="1"/>
    <col min="8" max="8" width="11.88671875" bestFit="1" customWidth="1"/>
    <col min="9" max="20" width="10.88671875" bestFit="1" customWidth="1"/>
    <col min="21" max="31" width="10.88671875" customWidth="1" outlineLevel="1"/>
    <col min="32" max="32" width="11" customWidth="1" outlineLevel="1"/>
    <col min="33" max="37" width="10.88671875" customWidth="1" outlineLevel="1"/>
    <col min="38" max="39" width="11" customWidth="1" outlineLevel="1"/>
    <col min="40" max="43" width="10.88671875" customWidth="1" outlineLevel="1"/>
    <col min="44" max="45" width="11" customWidth="1" outlineLevel="1"/>
    <col min="46" max="54" width="10.88671875" customWidth="1" outlineLevel="1"/>
    <col min="55" max="55" width="11" customWidth="1" outlineLevel="1"/>
    <col min="56" max="68" width="10.88671875" customWidth="1" outlineLevel="1"/>
    <col min="70" max="70" width="12.88671875" bestFit="1" customWidth="1"/>
    <col min="71" max="71" width="12.6640625" bestFit="1" customWidth="1"/>
    <col min="72" max="72" width="11.5546875" bestFit="1" customWidth="1"/>
    <col min="74" max="74" width="34.44140625" bestFit="1" customWidth="1"/>
    <col min="75" max="75" width="12.88671875" bestFit="1" customWidth="1"/>
    <col min="76" max="76" width="12.109375" bestFit="1" customWidth="1"/>
    <col min="77" max="78" width="12.33203125" bestFit="1" customWidth="1"/>
    <col min="79" max="79" width="12.109375" bestFit="1" customWidth="1"/>
    <col min="81" max="81" width="12.88671875" bestFit="1" customWidth="1"/>
    <col min="82" max="82" width="12.109375" bestFit="1" customWidth="1"/>
    <col min="83" max="84" width="12.33203125" bestFit="1" customWidth="1"/>
    <col min="85" max="85" width="12.109375" bestFit="1" customWidth="1"/>
    <col min="87" max="91" width="10.88671875" bestFit="1" customWidth="1"/>
  </cols>
  <sheetData>
    <row r="2" spans="2:79" ht="15.6" thickBot="1" x14ac:dyDescent="0.4">
      <c r="B2" s="122" t="s">
        <v>89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 t="s">
        <v>311</v>
      </c>
      <c r="BW2" s="123"/>
      <c r="BX2" s="123"/>
      <c r="BY2" s="123"/>
      <c r="BZ2" s="123"/>
      <c r="CA2" s="123"/>
    </row>
    <row r="3" spans="2:79" ht="15" thickTop="1" x14ac:dyDescent="0.3">
      <c r="U3" t="s">
        <v>311</v>
      </c>
      <c r="AG3" t="s">
        <v>311</v>
      </c>
      <c r="AS3" t="s">
        <v>311</v>
      </c>
      <c r="BE3" t="s">
        <v>311</v>
      </c>
    </row>
    <row r="4" spans="2:79" ht="15" x14ac:dyDescent="0.35">
      <c r="B4" t="s">
        <v>55</v>
      </c>
      <c r="C4" s="120">
        <f>'Inputs &amp; Drivers'!E10</f>
        <v>89350</v>
      </c>
      <c r="E4" s="130">
        <v>0.25</v>
      </c>
      <c r="F4">
        <f>E4/12</f>
        <v>2.0833333333333332E-2</v>
      </c>
      <c r="H4" s="129" t="s">
        <v>90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R4" s="129" t="s">
        <v>91</v>
      </c>
      <c r="BS4" s="129"/>
      <c r="BT4" s="129"/>
      <c r="BW4" s="129"/>
      <c r="BX4" s="129"/>
      <c r="BY4" s="129"/>
      <c r="BZ4" s="129"/>
      <c r="CA4" s="129"/>
    </row>
    <row r="5" spans="2:79" ht="15" x14ac:dyDescent="0.35">
      <c r="B5" s="119" t="s">
        <v>92</v>
      </c>
      <c r="C5" s="125">
        <f>'Inputs &amp; Drivers'!E12</f>
        <v>46082</v>
      </c>
      <c r="H5" s="126">
        <v>0</v>
      </c>
      <c r="I5" s="126">
        <v>1</v>
      </c>
      <c r="J5" s="126">
        <v>1</v>
      </c>
      <c r="K5" s="126">
        <v>1</v>
      </c>
      <c r="L5" s="126">
        <v>1</v>
      </c>
      <c r="M5" s="126">
        <v>1</v>
      </c>
      <c r="N5" s="126">
        <v>1</v>
      </c>
      <c r="O5" s="126">
        <v>1</v>
      </c>
      <c r="P5" s="126">
        <v>1</v>
      </c>
      <c r="Q5" s="126">
        <v>1</v>
      </c>
      <c r="R5" s="126">
        <v>1</v>
      </c>
      <c r="S5" s="126">
        <v>1</v>
      </c>
      <c r="T5" s="126">
        <f>1+H5</f>
        <v>1</v>
      </c>
      <c r="U5" s="126">
        <f t="shared" ref="U5:BP5" si="0">1+I5</f>
        <v>2</v>
      </c>
      <c r="V5" s="126">
        <f t="shared" si="0"/>
        <v>2</v>
      </c>
      <c r="W5" s="126">
        <f t="shared" si="0"/>
        <v>2</v>
      </c>
      <c r="X5" s="126">
        <f t="shared" si="0"/>
        <v>2</v>
      </c>
      <c r="Y5" s="126">
        <f t="shared" si="0"/>
        <v>2</v>
      </c>
      <c r="Z5" s="126">
        <f t="shared" si="0"/>
        <v>2</v>
      </c>
      <c r="AA5" s="126">
        <f t="shared" si="0"/>
        <v>2</v>
      </c>
      <c r="AB5" s="126">
        <f t="shared" si="0"/>
        <v>2</v>
      </c>
      <c r="AC5" s="126">
        <f t="shared" si="0"/>
        <v>2</v>
      </c>
      <c r="AD5" s="126">
        <f t="shared" si="0"/>
        <v>2</v>
      </c>
      <c r="AE5" s="126">
        <f t="shared" si="0"/>
        <v>2</v>
      </c>
      <c r="AF5" s="126">
        <f t="shared" si="0"/>
        <v>2</v>
      </c>
      <c r="AG5" s="126">
        <f t="shared" si="0"/>
        <v>3</v>
      </c>
      <c r="AH5" s="126">
        <f t="shared" si="0"/>
        <v>3</v>
      </c>
      <c r="AI5" s="126">
        <f t="shared" si="0"/>
        <v>3</v>
      </c>
      <c r="AJ5" s="126">
        <f t="shared" si="0"/>
        <v>3</v>
      </c>
      <c r="AK5" s="126">
        <f t="shared" si="0"/>
        <v>3</v>
      </c>
      <c r="AL5" s="126">
        <f t="shared" si="0"/>
        <v>3</v>
      </c>
      <c r="AM5" s="126">
        <f t="shared" si="0"/>
        <v>3</v>
      </c>
      <c r="AN5" s="126">
        <f t="shared" si="0"/>
        <v>3</v>
      </c>
      <c r="AO5" s="126">
        <f t="shared" si="0"/>
        <v>3</v>
      </c>
      <c r="AP5" s="126">
        <f t="shared" si="0"/>
        <v>3</v>
      </c>
      <c r="AQ5" s="126">
        <f t="shared" si="0"/>
        <v>3</v>
      </c>
      <c r="AR5" s="126">
        <f t="shared" si="0"/>
        <v>3</v>
      </c>
      <c r="AS5" s="126">
        <f t="shared" si="0"/>
        <v>4</v>
      </c>
      <c r="AT5" s="126">
        <f t="shared" si="0"/>
        <v>4</v>
      </c>
      <c r="AU5" s="126">
        <f t="shared" si="0"/>
        <v>4</v>
      </c>
      <c r="AV5" s="126">
        <f t="shared" si="0"/>
        <v>4</v>
      </c>
      <c r="AW5" s="126">
        <f t="shared" si="0"/>
        <v>4</v>
      </c>
      <c r="AX5" s="126">
        <f t="shared" si="0"/>
        <v>4</v>
      </c>
      <c r="AY5" s="126">
        <f t="shared" si="0"/>
        <v>4</v>
      </c>
      <c r="AZ5" s="126">
        <f t="shared" si="0"/>
        <v>4</v>
      </c>
      <c r="BA5" s="126">
        <f t="shared" si="0"/>
        <v>4</v>
      </c>
      <c r="BB5" s="126">
        <f t="shared" si="0"/>
        <v>4</v>
      </c>
      <c r="BC5" s="126">
        <f t="shared" si="0"/>
        <v>4</v>
      </c>
      <c r="BD5" s="126">
        <f t="shared" si="0"/>
        <v>4</v>
      </c>
      <c r="BE5" s="126">
        <f t="shared" si="0"/>
        <v>5</v>
      </c>
      <c r="BF5" s="126">
        <f t="shared" si="0"/>
        <v>5</v>
      </c>
      <c r="BG5" s="126">
        <f t="shared" si="0"/>
        <v>5</v>
      </c>
      <c r="BH5" s="126">
        <f t="shared" si="0"/>
        <v>5</v>
      </c>
      <c r="BI5" s="126">
        <f t="shared" si="0"/>
        <v>5</v>
      </c>
      <c r="BJ5" s="126">
        <f t="shared" si="0"/>
        <v>5</v>
      </c>
      <c r="BK5" s="126">
        <f t="shared" si="0"/>
        <v>5</v>
      </c>
      <c r="BL5" s="126">
        <f t="shared" si="0"/>
        <v>5</v>
      </c>
      <c r="BM5" s="126">
        <f t="shared" si="0"/>
        <v>5</v>
      </c>
      <c r="BN5" s="126">
        <f t="shared" si="0"/>
        <v>5</v>
      </c>
      <c r="BO5" s="126">
        <f t="shared" si="0"/>
        <v>5</v>
      </c>
      <c r="BP5" s="126">
        <f t="shared" si="0"/>
        <v>5</v>
      </c>
      <c r="BR5" s="131">
        <v>1</v>
      </c>
      <c r="BS5" s="131"/>
      <c r="BT5" s="131"/>
      <c r="BW5" s="126"/>
      <c r="BX5" s="126"/>
      <c r="BY5" s="126"/>
      <c r="BZ5" s="126"/>
      <c r="CA5" s="126"/>
    </row>
    <row r="6" spans="2:79" ht="15" x14ac:dyDescent="0.35">
      <c r="B6" s="119" t="s">
        <v>53</v>
      </c>
      <c r="C6" s="120">
        <f>'Inputs &amp; Drivers'!E8</f>
        <v>604</v>
      </c>
      <c r="H6" s="127">
        <v>0</v>
      </c>
      <c r="I6" s="128">
        <f>++H6+1</f>
        <v>1</v>
      </c>
      <c r="J6" s="128">
        <f t="shared" ref="J6:T6" si="1">++I6+1</f>
        <v>2</v>
      </c>
      <c r="K6" s="128">
        <f t="shared" si="1"/>
        <v>3</v>
      </c>
      <c r="L6" s="128">
        <f t="shared" si="1"/>
        <v>4</v>
      </c>
      <c r="M6" s="128">
        <f t="shared" si="1"/>
        <v>5</v>
      </c>
      <c r="N6" s="128">
        <f t="shared" si="1"/>
        <v>6</v>
      </c>
      <c r="O6" s="128">
        <f t="shared" si="1"/>
        <v>7</v>
      </c>
      <c r="P6" s="128">
        <f t="shared" si="1"/>
        <v>8</v>
      </c>
      <c r="Q6" s="128">
        <f t="shared" si="1"/>
        <v>9</v>
      </c>
      <c r="R6" s="128">
        <f t="shared" si="1"/>
        <v>10</v>
      </c>
      <c r="S6" s="128">
        <f t="shared" si="1"/>
        <v>11</v>
      </c>
      <c r="T6" s="128">
        <f t="shared" si="1"/>
        <v>12</v>
      </c>
      <c r="U6" s="128">
        <f t="shared" ref="U6" si="2">++T6+1</f>
        <v>13</v>
      </c>
      <c r="V6" s="128">
        <f t="shared" ref="V6" si="3">++U6+1</f>
        <v>14</v>
      </c>
      <c r="W6" s="128">
        <f t="shared" ref="W6" si="4">++V6+1</f>
        <v>15</v>
      </c>
      <c r="X6" s="128">
        <f t="shared" ref="X6" si="5">++W6+1</f>
        <v>16</v>
      </c>
      <c r="Y6" s="128">
        <f t="shared" ref="Y6" si="6">++X6+1</f>
        <v>17</v>
      </c>
      <c r="Z6" s="128">
        <f t="shared" ref="Z6" si="7">++Y6+1</f>
        <v>18</v>
      </c>
      <c r="AA6" s="128">
        <f t="shared" ref="AA6" si="8">++Z6+1</f>
        <v>19</v>
      </c>
      <c r="AB6" s="128">
        <f t="shared" ref="AB6" si="9">++AA6+1</f>
        <v>20</v>
      </c>
      <c r="AC6" s="128">
        <f t="shared" ref="AC6" si="10">++AB6+1</f>
        <v>21</v>
      </c>
      <c r="AD6" s="128">
        <f t="shared" ref="AD6" si="11">++AC6+1</f>
        <v>22</v>
      </c>
      <c r="AE6" s="128">
        <f t="shared" ref="AE6" si="12">++AD6+1</f>
        <v>23</v>
      </c>
      <c r="AF6" s="128">
        <f t="shared" ref="AF6" si="13">++AE6+1</f>
        <v>24</v>
      </c>
      <c r="AG6" s="128">
        <f t="shared" ref="AG6" si="14">++AF6+1</f>
        <v>25</v>
      </c>
      <c r="AH6" s="128">
        <f t="shared" ref="AH6" si="15">++AG6+1</f>
        <v>26</v>
      </c>
      <c r="AI6" s="128">
        <f t="shared" ref="AI6" si="16">++AH6+1</f>
        <v>27</v>
      </c>
      <c r="AJ6" s="128">
        <f t="shared" ref="AJ6" si="17">++AI6+1</f>
        <v>28</v>
      </c>
      <c r="AK6" s="128">
        <f t="shared" ref="AK6" si="18">++AJ6+1</f>
        <v>29</v>
      </c>
      <c r="AL6" s="128">
        <f t="shared" ref="AL6" si="19">++AK6+1</f>
        <v>30</v>
      </c>
      <c r="AM6" s="128">
        <f t="shared" ref="AM6" si="20">++AL6+1</f>
        <v>31</v>
      </c>
      <c r="AN6" s="128">
        <f t="shared" ref="AN6" si="21">++AM6+1</f>
        <v>32</v>
      </c>
      <c r="AO6" s="128">
        <f t="shared" ref="AO6" si="22">++AN6+1</f>
        <v>33</v>
      </c>
      <c r="AP6" s="128">
        <f t="shared" ref="AP6" si="23">++AO6+1</f>
        <v>34</v>
      </c>
      <c r="AQ6" s="128">
        <f t="shared" ref="AQ6" si="24">++AP6+1</f>
        <v>35</v>
      </c>
      <c r="AR6" s="128">
        <f t="shared" ref="AR6" si="25">++AQ6+1</f>
        <v>36</v>
      </c>
      <c r="AS6" s="128">
        <f t="shared" ref="AS6" si="26">++AR6+1</f>
        <v>37</v>
      </c>
      <c r="AT6" s="128">
        <f t="shared" ref="AT6" si="27">++AS6+1</f>
        <v>38</v>
      </c>
      <c r="AU6" s="128">
        <f t="shared" ref="AU6" si="28">++AT6+1</f>
        <v>39</v>
      </c>
      <c r="AV6" s="128">
        <f t="shared" ref="AV6" si="29">++AU6+1</f>
        <v>40</v>
      </c>
      <c r="AW6" s="128">
        <f t="shared" ref="AW6" si="30">++AV6+1</f>
        <v>41</v>
      </c>
      <c r="AX6" s="128">
        <f t="shared" ref="AX6" si="31">++AW6+1</f>
        <v>42</v>
      </c>
      <c r="AY6" s="128">
        <f t="shared" ref="AY6" si="32">++AX6+1</f>
        <v>43</v>
      </c>
      <c r="AZ6" s="128">
        <f t="shared" ref="AZ6" si="33">++AY6+1</f>
        <v>44</v>
      </c>
      <c r="BA6" s="128">
        <f t="shared" ref="BA6" si="34">++AZ6+1</f>
        <v>45</v>
      </c>
      <c r="BB6" s="128">
        <f t="shared" ref="BB6" si="35">++BA6+1</f>
        <v>46</v>
      </c>
      <c r="BC6" s="128">
        <f t="shared" ref="BC6" si="36">++BB6+1</f>
        <v>47</v>
      </c>
      <c r="BD6" s="128">
        <f t="shared" ref="BD6" si="37">++BC6+1</f>
        <v>48</v>
      </c>
      <c r="BE6" s="128">
        <f t="shared" ref="BE6" si="38">++BD6+1</f>
        <v>49</v>
      </c>
      <c r="BF6" s="128">
        <f t="shared" ref="BF6" si="39">++BE6+1</f>
        <v>50</v>
      </c>
      <c r="BG6" s="128">
        <f t="shared" ref="BG6" si="40">++BF6+1</f>
        <v>51</v>
      </c>
      <c r="BH6" s="128">
        <f t="shared" ref="BH6" si="41">++BG6+1</f>
        <v>52</v>
      </c>
      <c r="BI6" s="128">
        <f t="shared" ref="BI6" si="42">++BH6+1</f>
        <v>53</v>
      </c>
      <c r="BJ6" s="128">
        <f t="shared" ref="BJ6" si="43">++BI6+1</f>
        <v>54</v>
      </c>
      <c r="BK6" s="128">
        <f t="shared" ref="BK6" si="44">++BJ6+1</f>
        <v>55</v>
      </c>
      <c r="BL6" s="128">
        <f t="shared" ref="BL6" si="45">++BK6+1</f>
        <v>56</v>
      </c>
      <c r="BM6" s="128">
        <f t="shared" ref="BM6" si="46">++BL6+1</f>
        <v>57</v>
      </c>
      <c r="BN6" s="128">
        <f t="shared" ref="BN6" si="47">++BM6+1</f>
        <v>58</v>
      </c>
      <c r="BO6" s="128">
        <f t="shared" ref="BO6" si="48">++BN6+1</f>
        <v>59</v>
      </c>
      <c r="BP6" s="128">
        <f t="shared" ref="BP6" si="49">++BO6+1</f>
        <v>60</v>
      </c>
      <c r="BR6" s="129"/>
      <c r="BS6" s="129"/>
      <c r="BT6" s="129"/>
    </row>
    <row r="7" spans="2:79" ht="29.4" x14ac:dyDescent="0.35">
      <c r="B7" s="119" t="s">
        <v>54</v>
      </c>
      <c r="C7" s="120">
        <f>'Inputs &amp; Drivers'!E9</f>
        <v>554</v>
      </c>
      <c r="E7" s="117" t="s">
        <v>93</v>
      </c>
      <c r="F7" s="117" t="s">
        <v>4</v>
      </c>
      <c r="H7" s="124">
        <f>C5</f>
        <v>46082</v>
      </c>
      <c r="I7" s="124">
        <f>EOMONTH(H7,1)</f>
        <v>46142</v>
      </c>
      <c r="J7" s="124">
        <f t="shared" ref="J7:T7" si="50">EOMONTH(I7,1)</f>
        <v>46173</v>
      </c>
      <c r="K7" s="124">
        <f t="shared" si="50"/>
        <v>46203</v>
      </c>
      <c r="L7" s="124">
        <f t="shared" si="50"/>
        <v>46234</v>
      </c>
      <c r="M7" s="124">
        <f t="shared" si="50"/>
        <v>46265</v>
      </c>
      <c r="N7" s="124">
        <f t="shared" si="50"/>
        <v>46295</v>
      </c>
      <c r="O7" s="124">
        <f t="shared" si="50"/>
        <v>46326</v>
      </c>
      <c r="P7" s="124">
        <f t="shared" si="50"/>
        <v>46356</v>
      </c>
      <c r="Q7" s="124">
        <f t="shared" si="50"/>
        <v>46387</v>
      </c>
      <c r="R7" s="124">
        <f t="shared" si="50"/>
        <v>46418</v>
      </c>
      <c r="S7" s="124">
        <f t="shared" si="50"/>
        <v>46446</v>
      </c>
      <c r="T7" s="124">
        <f t="shared" si="50"/>
        <v>46477</v>
      </c>
      <c r="U7" s="124">
        <f t="shared" ref="U7" si="51">EOMONTH(T7,1)</f>
        <v>46507</v>
      </c>
      <c r="V7" s="124">
        <f t="shared" ref="V7" si="52">EOMONTH(U7,1)</f>
        <v>46538</v>
      </c>
      <c r="W7" s="124">
        <f t="shared" ref="W7" si="53">EOMONTH(V7,1)</f>
        <v>46568</v>
      </c>
      <c r="X7" s="124">
        <f t="shared" ref="X7" si="54">EOMONTH(W7,1)</f>
        <v>46599</v>
      </c>
      <c r="Y7" s="124">
        <f t="shared" ref="Y7" si="55">EOMONTH(X7,1)</f>
        <v>46630</v>
      </c>
      <c r="Z7" s="124">
        <f t="shared" ref="Z7" si="56">EOMONTH(Y7,1)</f>
        <v>46660</v>
      </c>
      <c r="AA7" s="124">
        <f t="shared" ref="AA7" si="57">EOMONTH(Z7,1)</f>
        <v>46691</v>
      </c>
      <c r="AB7" s="124">
        <f t="shared" ref="AB7" si="58">EOMONTH(AA7,1)</f>
        <v>46721</v>
      </c>
      <c r="AC7" s="124">
        <f t="shared" ref="AC7" si="59">EOMONTH(AB7,1)</f>
        <v>46752</v>
      </c>
      <c r="AD7" s="124">
        <f t="shared" ref="AD7" si="60">EOMONTH(AC7,1)</f>
        <v>46783</v>
      </c>
      <c r="AE7" s="124">
        <f t="shared" ref="AE7" si="61">EOMONTH(AD7,1)</f>
        <v>46812</v>
      </c>
      <c r="AF7" s="124">
        <f t="shared" ref="AF7" si="62">EOMONTH(AE7,1)</f>
        <v>46843</v>
      </c>
      <c r="AG7" s="124">
        <f t="shared" ref="AG7" si="63">EOMONTH(AF7,1)</f>
        <v>46873</v>
      </c>
      <c r="AH7" s="124">
        <f t="shared" ref="AH7" si="64">EOMONTH(AG7,1)</f>
        <v>46904</v>
      </c>
      <c r="AI7" s="124">
        <f t="shared" ref="AI7" si="65">EOMONTH(AH7,1)</f>
        <v>46934</v>
      </c>
      <c r="AJ7" s="124">
        <f t="shared" ref="AJ7" si="66">EOMONTH(AI7,1)</f>
        <v>46965</v>
      </c>
      <c r="AK7" s="124">
        <f t="shared" ref="AK7" si="67">EOMONTH(AJ7,1)</f>
        <v>46996</v>
      </c>
      <c r="AL7" s="124">
        <f t="shared" ref="AL7" si="68">EOMONTH(AK7,1)</f>
        <v>47026</v>
      </c>
      <c r="AM7" s="124">
        <f t="shared" ref="AM7" si="69">EOMONTH(AL7,1)</f>
        <v>47057</v>
      </c>
      <c r="AN7" s="124">
        <f t="shared" ref="AN7" si="70">EOMONTH(AM7,1)</f>
        <v>47087</v>
      </c>
      <c r="AO7" s="124">
        <f t="shared" ref="AO7" si="71">EOMONTH(AN7,1)</f>
        <v>47118</v>
      </c>
      <c r="AP7" s="124">
        <f t="shared" ref="AP7" si="72">EOMONTH(AO7,1)</f>
        <v>47149</v>
      </c>
      <c r="AQ7" s="124">
        <f t="shared" ref="AQ7" si="73">EOMONTH(AP7,1)</f>
        <v>47177</v>
      </c>
      <c r="AR7" s="124">
        <f t="shared" ref="AR7" si="74">EOMONTH(AQ7,1)</f>
        <v>47208</v>
      </c>
      <c r="AS7" s="124">
        <f t="shared" ref="AS7" si="75">EOMONTH(AR7,1)</f>
        <v>47238</v>
      </c>
      <c r="AT7" s="124">
        <f t="shared" ref="AT7" si="76">EOMONTH(AS7,1)</f>
        <v>47269</v>
      </c>
      <c r="AU7" s="124">
        <f t="shared" ref="AU7" si="77">EOMONTH(AT7,1)</f>
        <v>47299</v>
      </c>
      <c r="AV7" s="124">
        <f t="shared" ref="AV7" si="78">EOMONTH(AU7,1)</f>
        <v>47330</v>
      </c>
      <c r="AW7" s="124">
        <f t="shared" ref="AW7" si="79">EOMONTH(AV7,1)</f>
        <v>47361</v>
      </c>
      <c r="AX7" s="124">
        <f t="shared" ref="AX7" si="80">EOMONTH(AW7,1)</f>
        <v>47391</v>
      </c>
      <c r="AY7" s="124">
        <f t="shared" ref="AY7" si="81">EOMONTH(AX7,1)</f>
        <v>47422</v>
      </c>
      <c r="AZ7" s="124">
        <f t="shared" ref="AZ7" si="82">EOMONTH(AY7,1)</f>
        <v>47452</v>
      </c>
      <c r="BA7" s="124">
        <f t="shared" ref="BA7" si="83">EOMONTH(AZ7,1)</f>
        <v>47483</v>
      </c>
      <c r="BB7" s="124">
        <f t="shared" ref="BB7" si="84">EOMONTH(BA7,1)</f>
        <v>47514</v>
      </c>
      <c r="BC7" s="124">
        <f t="shared" ref="BC7" si="85">EOMONTH(BB7,1)</f>
        <v>47542</v>
      </c>
      <c r="BD7" s="124">
        <f t="shared" ref="BD7" si="86">EOMONTH(BC7,1)</f>
        <v>47573</v>
      </c>
      <c r="BE7" s="124">
        <f t="shared" ref="BE7" si="87">EOMONTH(BD7,1)</f>
        <v>47603</v>
      </c>
      <c r="BF7" s="124">
        <f t="shared" ref="BF7" si="88">EOMONTH(BE7,1)</f>
        <v>47634</v>
      </c>
      <c r="BG7" s="124">
        <f t="shared" ref="BG7" si="89">EOMONTH(BF7,1)</f>
        <v>47664</v>
      </c>
      <c r="BH7" s="124">
        <f t="shared" ref="BH7" si="90">EOMONTH(BG7,1)</f>
        <v>47695</v>
      </c>
      <c r="BI7" s="124">
        <f t="shared" ref="BI7" si="91">EOMONTH(BH7,1)</f>
        <v>47726</v>
      </c>
      <c r="BJ7" s="124">
        <f t="shared" ref="BJ7" si="92">EOMONTH(BI7,1)</f>
        <v>47756</v>
      </c>
      <c r="BK7" s="124">
        <f t="shared" ref="BK7" si="93">EOMONTH(BJ7,1)</f>
        <v>47787</v>
      </c>
      <c r="BL7" s="124">
        <f t="shared" ref="BL7" si="94">EOMONTH(BK7,1)</f>
        <v>47817</v>
      </c>
      <c r="BM7" s="124">
        <f t="shared" ref="BM7" si="95">EOMONTH(BL7,1)</f>
        <v>47848</v>
      </c>
      <c r="BN7" s="124">
        <f t="shared" ref="BN7" si="96">EOMONTH(BM7,1)</f>
        <v>47879</v>
      </c>
      <c r="BO7" s="124">
        <f t="shared" ref="BO7" si="97">EOMONTH(BN7,1)</f>
        <v>47907</v>
      </c>
      <c r="BP7" s="124">
        <f t="shared" ref="BP7" si="98">EOMONTH(BO7,1)</f>
        <v>47938</v>
      </c>
      <c r="BR7" s="47" t="s">
        <v>94</v>
      </c>
      <c r="BS7" s="47" t="s">
        <v>5</v>
      </c>
      <c r="BT7" s="47" t="s">
        <v>95</v>
      </c>
    </row>
    <row r="9" spans="2:79" x14ac:dyDescent="0.3">
      <c r="B9" s="111" t="s">
        <v>96</v>
      </c>
      <c r="E9">
        <f>C4</f>
        <v>89350</v>
      </c>
      <c r="F9">
        <f>C4</f>
        <v>89350</v>
      </c>
      <c r="I9" s="210">
        <f>$C$4</f>
        <v>89350</v>
      </c>
      <c r="J9" s="210">
        <f t="shared" ref="J9:BP9" si="99">$C$4</f>
        <v>89350</v>
      </c>
      <c r="K9" s="210">
        <f t="shared" si="99"/>
        <v>89350</v>
      </c>
      <c r="L9" s="210">
        <f t="shared" si="99"/>
        <v>89350</v>
      </c>
      <c r="M9" s="210">
        <f t="shared" si="99"/>
        <v>89350</v>
      </c>
      <c r="N9" s="210">
        <f t="shared" si="99"/>
        <v>89350</v>
      </c>
      <c r="O9" s="210">
        <f t="shared" si="99"/>
        <v>89350</v>
      </c>
      <c r="P9" s="210">
        <f t="shared" si="99"/>
        <v>89350</v>
      </c>
      <c r="Q9" s="210">
        <f t="shared" si="99"/>
        <v>89350</v>
      </c>
      <c r="R9" s="210">
        <f t="shared" si="99"/>
        <v>89350</v>
      </c>
      <c r="S9" s="210">
        <f t="shared" si="99"/>
        <v>89350</v>
      </c>
      <c r="T9" s="210">
        <f t="shared" si="99"/>
        <v>89350</v>
      </c>
      <c r="U9" s="210">
        <f t="shared" si="99"/>
        <v>89350</v>
      </c>
      <c r="V9" s="210">
        <f t="shared" si="99"/>
        <v>89350</v>
      </c>
      <c r="W9" s="210">
        <f t="shared" si="99"/>
        <v>89350</v>
      </c>
      <c r="X9" s="210">
        <f t="shared" si="99"/>
        <v>89350</v>
      </c>
      <c r="Y9" s="210">
        <f t="shared" si="99"/>
        <v>89350</v>
      </c>
      <c r="Z9" s="210">
        <f t="shared" si="99"/>
        <v>89350</v>
      </c>
      <c r="AA9" s="210">
        <f t="shared" si="99"/>
        <v>89350</v>
      </c>
      <c r="AB9" s="210">
        <f t="shared" si="99"/>
        <v>89350</v>
      </c>
      <c r="AC9" s="210">
        <f t="shared" si="99"/>
        <v>89350</v>
      </c>
      <c r="AD9" s="210">
        <f t="shared" si="99"/>
        <v>89350</v>
      </c>
      <c r="AE9" s="210">
        <f t="shared" si="99"/>
        <v>89350</v>
      </c>
      <c r="AF9" s="210">
        <f t="shared" si="99"/>
        <v>89350</v>
      </c>
      <c r="AG9" s="210">
        <f t="shared" si="99"/>
        <v>89350</v>
      </c>
      <c r="AH9" s="210">
        <f t="shared" si="99"/>
        <v>89350</v>
      </c>
      <c r="AI9" s="210">
        <f t="shared" si="99"/>
        <v>89350</v>
      </c>
      <c r="AJ9" s="210">
        <f t="shared" si="99"/>
        <v>89350</v>
      </c>
      <c r="AK9" s="210">
        <f t="shared" si="99"/>
        <v>89350</v>
      </c>
      <c r="AL9" s="210">
        <f t="shared" si="99"/>
        <v>89350</v>
      </c>
      <c r="AM9" s="210">
        <f t="shared" si="99"/>
        <v>89350</v>
      </c>
      <c r="AN9" s="210">
        <f t="shared" si="99"/>
        <v>89350</v>
      </c>
      <c r="AO9" s="210">
        <f t="shared" si="99"/>
        <v>89350</v>
      </c>
      <c r="AP9" s="210">
        <f t="shared" si="99"/>
        <v>89350</v>
      </c>
      <c r="AQ9" s="210">
        <f t="shared" si="99"/>
        <v>89350</v>
      </c>
      <c r="AR9" s="210">
        <f t="shared" si="99"/>
        <v>89350</v>
      </c>
      <c r="AS9" s="210">
        <f t="shared" si="99"/>
        <v>89350</v>
      </c>
      <c r="AT9" s="210">
        <f t="shared" si="99"/>
        <v>89350</v>
      </c>
      <c r="AU9" s="210">
        <f t="shared" si="99"/>
        <v>89350</v>
      </c>
      <c r="AV9" s="210">
        <f t="shared" si="99"/>
        <v>89350</v>
      </c>
      <c r="AW9" s="210">
        <f t="shared" si="99"/>
        <v>89350</v>
      </c>
      <c r="AX9" s="210">
        <f t="shared" si="99"/>
        <v>89350</v>
      </c>
      <c r="AY9" s="210">
        <f t="shared" si="99"/>
        <v>89350</v>
      </c>
      <c r="AZ9" s="210">
        <f t="shared" si="99"/>
        <v>89350</v>
      </c>
      <c r="BA9" s="210">
        <f t="shared" si="99"/>
        <v>89350</v>
      </c>
      <c r="BB9" s="210">
        <f t="shared" si="99"/>
        <v>89350</v>
      </c>
      <c r="BC9" s="210">
        <f t="shared" si="99"/>
        <v>89350</v>
      </c>
      <c r="BD9" s="210">
        <f t="shared" si="99"/>
        <v>89350</v>
      </c>
      <c r="BE9" s="210">
        <f t="shared" si="99"/>
        <v>89350</v>
      </c>
      <c r="BF9" s="210">
        <f t="shared" si="99"/>
        <v>89350</v>
      </c>
      <c r="BG9" s="210">
        <f t="shared" si="99"/>
        <v>89350</v>
      </c>
      <c r="BH9" s="210">
        <f t="shared" si="99"/>
        <v>89350</v>
      </c>
      <c r="BI9" s="210">
        <f t="shared" si="99"/>
        <v>89350</v>
      </c>
      <c r="BJ9" s="210">
        <f t="shared" si="99"/>
        <v>89350</v>
      </c>
      <c r="BK9" s="210">
        <f t="shared" si="99"/>
        <v>89350</v>
      </c>
      <c r="BL9" s="210">
        <f t="shared" si="99"/>
        <v>89350</v>
      </c>
      <c r="BM9" s="210">
        <f t="shared" si="99"/>
        <v>89350</v>
      </c>
      <c r="BN9" s="210">
        <f t="shared" si="99"/>
        <v>89350</v>
      </c>
      <c r="BO9" s="210">
        <f t="shared" si="99"/>
        <v>89350</v>
      </c>
      <c r="BP9" s="210">
        <f t="shared" si="99"/>
        <v>89350</v>
      </c>
    </row>
    <row r="10" spans="2:79" x14ac:dyDescent="0.3">
      <c r="B10" s="111" t="s">
        <v>97</v>
      </c>
      <c r="E10" s="43">
        <f>E19/($C$4*E24)/12</f>
        <v>1.0390210800425856</v>
      </c>
      <c r="F10" s="43">
        <f>H19/($C$4*F24)</f>
        <v>1.0793784892494731</v>
      </c>
      <c r="H10" s="43">
        <f>H19/($C$4*E24)</f>
        <v>1.0793784892494731</v>
      </c>
      <c r="I10" s="209">
        <f>(1+(INDEX('Inputs &amp; Drivers'!$E$61:$E$65,MATCH(Model2.0!I$5,'Inputs &amp; Drivers'!$B$61:$B$65,0))/12))*H10</f>
        <v>1.0865743458444694</v>
      </c>
      <c r="J10" s="209">
        <f>(1+(INDEX('Inputs &amp; Drivers'!$E$61:$E$65,MATCH(Model2.0!J$5,'Inputs &amp; Drivers'!$B$61:$B$65,0))/12))*I10</f>
        <v>1.0938181748167659</v>
      </c>
      <c r="K10" s="209">
        <f>(1+(INDEX('Inputs &amp; Drivers'!$E$61:$E$65,MATCH(Model2.0!K$5,'Inputs &amp; Drivers'!$B$61:$B$65,0))/12))*J10</f>
        <v>1.101110295982211</v>
      </c>
      <c r="L10" s="209">
        <f>(1+(INDEX('Inputs &amp; Drivers'!$E$61:$E$65,MATCH(Model2.0!L$5,'Inputs &amp; Drivers'!$B$61:$B$65,0))/12))*K10</f>
        <v>1.108451031288759</v>
      </c>
      <c r="M10" s="209">
        <f>(1+(INDEX('Inputs &amp; Drivers'!$E$61:$E$65,MATCH(Model2.0!M$5,'Inputs &amp; Drivers'!$B$61:$B$65,0))/12))*L10</f>
        <v>1.115840704830684</v>
      </c>
      <c r="N10" s="209">
        <f>(1+(INDEX('Inputs &amp; Drivers'!$E$61:$E$65,MATCH(Model2.0!N$5,'Inputs &amp; Drivers'!$B$61:$B$65,0))/12))*M10</f>
        <v>1.1232796428628884</v>
      </c>
      <c r="O10" s="209">
        <f>(1+(INDEX('Inputs &amp; Drivers'!$E$61:$E$65,MATCH(Model2.0!O$5,'Inputs &amp; Drivers'!$B$61:$B$65,0))/12))*N10</f>
        <v>1.1307681738153075</v>
      </c>
      <c r="P10" s="209">
        <f>(1+(INDEX('Inputs &amp; Drivers'!$E$61:$E$65,MATCH(Model2.0!P$5,'Inputs &amp; Drivers'!$B$61:$B$65,0))/12))*O10</f>
        <v>1.1383066283074095</v>
      </c>
      <c r="Q10" s="209">
        <f>(1+(INDEX('Inputs &amp; Drivers'!$E$61:$E$65,MATCH(Model2.0!Q$5,'Inputs &amp; Drivers'!$B$61:$B$65,0))/12))*P10</f>
        <v>1.1458953391627922</v>
      </c>
      <c r="R10" s="209">
        <f>(1+(INDEX('Inputs &amp; Drivers'!$E$61:$E$65,MATCH(Model2.0!R$5,'Inputs &amp; Drivers'!$B$61:$B$65,0))/12))*Q10</f>
        <v>1.1535346414238774</v>
      </c>
      <c r="S10" s="209">
        <f>(1+(INDEX('Inputs &amp; Drivers'!$E$61:$E$65,MATCH(Model2.0!S$5,'Inputs &amp; Drivers'!$B$61:$B$65,0))/12))*R10</f>
        <v>1.1612248723667031</v>
      </c>
      <c r="T10" s="209">
        <f>(1+(INDEX('Inputs &amp; Drivers'!$E$61:$E$65,MATCH(Model2.0!T$5,'Inputs &amp; Drivers'!$B$61:$B$65,0))/12))*S10</f>
        <v>1.1689663715158145</v>
      </c>
      <c r="U10" s="209">
        <f>(1+(INDEX('Inputs &amp; Drivers'!$E$61:$E$65,MATCH(Model2.0!U$5,'Inputs &amp; Drivers'!$B$61:$B$65,0))/12))*T10</f>
        <v>1.1728629260875341</v>
      </c>
      <c r="V10" s="209">
        <f>(1+(INDEX('Inputs &amp; Drivers'!$E$61:$E$65,MATCH(Model2.0!V$5,'Inputs &amp; Drivers'!$B$61:$B$65,0))/12))*U10</f>
        <v>1.1767724691744925</v>
      </c>
      <c r="W10" s="209">
        <f>(1+(INDEX('Inputs &amp; Drivers'!$E$61:$E$65,MATCH(Model2.0!W$5,'Inputs &amp; Drivers'!$B$61:$B$65,0))/12))*V10</f>
        <v>1.180695044071741</v>
      </c>
      <c r="X10" s="209">
        <f>(1+(INDEX('Inputs &amp; Drivers'!$E$61:$E$65,MATCH(Model2.0!X$5,'Inputs &amp; Drivers'!$B$61:$B$65,0))/12))*W10</f>
        <v>1.1846306942186469</v>
      </c>
      <c r="Y10" s="209">
        <f>(1+(INDEX('Inputs &amp; Drivers'!$E$61:$E$65,MATCH(Model2.0!Y$5,'Inputs &amp; Drivers'!$B$61:$B$65,0))/12))*X10</f>
        <v>1.1885794631993758</v>
      </c>
      <c r="Z10" s="209">
        <f>(1+(INDEX('Inputs &amp; Drivers'!$E$61:$E$65,MATCH(Model2.0!Z$5,'Inputs &amp; Drivers'!$B$61:$B$65,0))/12))*Y10</f>
        <v>1.1925413947433738</v>
      </c>
      <c r="AA10" s="209">
        <f>(1+(INDEX('Inputs &amp; Drivers'!$E$61:$E$65,MATCH(Model2.0!AA$5,'Inputs &amp; Drivers'!$B$61:$B$65,0))/12))*Z10</f>
        <v>1.1965165327258518</v>
      </c>
      <c r="AB10" s="209">
        <f>(1+(INDEX('Inputs &amp; Drivers'!$E$61:$E$65,MATCH(Model2.0!AB$5,'Inputs &amp; Drivers'!$B$61:$B$65,0))/12))*AA10</f>
        <v>1.2005049211682715</v>
      </c>
      <c r="AC10" s="209">
        <f>(1+(INDEX('Inputs &amp; Drivers'!$E$61:$E$65,MATCH(Model2.0!AC$5,'Inputs &amp; Drivers'!$B$61:$B$65,0))/12))*AB10</f>
        <v>1.2045066042388324</v>
      </c>
      <c r="AD10" s="209">
        <f>(1+(INDEX('Inputs &amp; Drivers'!$E$61:$E$65,MATCH(Model2.0!AD$5,'Inputs &amp; Drivers'!$B$61:$B$65,0))/12))*AC10</f>
        <v>1.2085216262529619</v>
      </c>
      <c r="AE10" s="209">
        <f>(1+(INDEX('Inputs &amp; Drivers'!$E$61:$E$65,MATCH(Model2.0!AE$5,'Inputs &amp; Drivers'!$B$61:$B$65,0))/12))*AD10</f>
        <v>1.2125500316738052</v>
      </c>
      <c r="AF10" s="209">
        <f>(1+(INDEX('Inputs &amp; Drivers'!$E$61:$E$65,MATCH(Model2.0!AF$5,'Inputs &amp; Drivers'!$B$61:$B$65,0))/12))*AE10</f>
        <v>1.2165918651127179</v>
      </c>
      <c r="AG10" s="209">
        <f>(1+(INDEX('Inputs &amp; Drivers'!$E$61:$E$65,MATCH(Model2.0!AG$5,'Inputs &amp; Drivers'!$B$61:$B$65,0))/12))*AF10</f>
        <v>1.2206471713297604</v>
      </c>
      <c r="AH10" s="209">
        <f>(1+(INDEX('Inputs &amp; Drivers'!$E$61:$E$65,MATCH(Model2.0!AH$5,'Inputs &amp; Drivers'!$B$61:$B$65,0))/12))*AG10</f>
        <v>1.2247159952341931</v>
      </c>
      <c r="AI10" s="209">
        <f>(1+(INDEX('Inputs &amp; Drivers'!$E$61:$E$65,MATCH(Model2.0!AI$5,'Inputs &amp; Drivers'!$B$61:$B$65,0))/12))*AH10</f>
        <v>1.2287983818849737</v>
      </c>
      <c r="AJ10" s="209">
        <f>(1+(INDEX('Inputs &amp; Drivers'!$E$61:$E$65,MATCH(Model2.0!AJ$5,'Inputs &amp; Drivers'!$B$61:$B$65,0))/12))*AI10</f>
        <v>1.232894376491257</v>
      </c>
      <c r="AK10" s="209">
        <f>(1+(INDEX('Inputs &amp; Drivers'!$E$61:$E$65,MATCH(Model2.0!AK$5,'Inputs &amp; Drivers'!$B$61:$B$65,0))/12))*AJ10</f>
        <v>1.2370040244128946</v>
      </c>
      <c r="AL10" s="209">
        <f>(1+(INDEX('Inputs &amp; Drivers'!$E$61:$E$65,MATCH(Model2.0!AL$5,'Inputs &amp; Drivers'!$B$61:$B$65,0))/12))*AK10</f>
        <v>1.2411273711609376</v>
      </c>
      <c r="AM10" s="209">
        <f>(1+(INDEX('Inputs &amp; Drivers'!$E$61:$E$65,MATCH(Model2.0!AM$5,'Inputs &amp; Drivers'!$B$61:$B$65,0))/12))*AL10</f>
        <v>1.2452644623981408</v>
      </c>
      <c r="AN10" s="209">
        <f>(1+(INDEX('Inputs &amp; Drivers'!$E$61:$E$65,MATCH(Model2.0!AN$5,'Inputs &amp; Drivers'!$B$61:$B$65,0))/12))*AM10</f>
        <v>1.249415343939468</v>
      </c>
      <c r="AO10" s="209">
        <f>(1+(INDEX('Inputs &amp; Drivers'!$E$61:$E$65,MATCH(Model2.0!AO$5,'Inputs &amp; Drivers'!$B$61:$B$65,0))/12))*AN10</f>
        <v>1.2535800617525996</v>
      </c>
      <c r="AP10" s="209">
        <f>(1+(INDEX('Inputs &amp; Drivers'!$E$61:$E$65,MATCH(Model2.0!AP$5,'Inputs &amp; Drivers'!$B$61:$B$65,0))/12))*AO10</f>
        <v>1.2577586619584418</v>
      </c>
      <c r="AQ10" s="209">
        <f>(1+(INDEX('Inputs &amp; Drivers'!$E$61:$E$65,MATCH(Model2.0!AQ$5,'Inputs &amp; Drivers'!$B$61:$B$65,0))/12))*AP10</f>
        <v>1.2619511908316368</v>
      </c>
      <c r="AR10" s="209">
        <f>(1+(INDEX('Inputs &amp; Drivers'!$E$61:$E$65,MATCH(Model2.0!AR$5,'Inputs &amp; Drivers'!$B$61:$B$65,0))/12))*AQ10</f>
        <v>1.2661576948010755</v>
      </c>
      <c r="AS10" s="209">
        <f>(1+(INDEX('Inputs &amp; Drivers'!$E$61:$E$65,MATCH(Model2.0!AS$5,'Inputs &amp; Drivers'!$B$61:$B$65,0))/12))*AR10</f>
        <v>1.2703782204504126</v>
      </c>
      <c r="AT10" s="209">
        <f>(1+(INDEX('Inputs &amp; Drivers'!$E$61:$E$65,MATCH(Model2.0!AT$5,'Inputs &amp; Drivers'!$B$61:$B$65,0))/12))*AS10</f>
        <v>1.2746128145185807</v>
      </c>
      <c r="AU10" s="209">
        <f>(1+(INDEX('Inputs &amp; Drivers'!$E$61:$E$65,MATCH(Model2.0!AU$5,'Inputs &amp; Drivers'!$B$61:$B$65,0))/12))*AT10</f>
        <v>1.2788615239003094</v>
      </c>
      <c r="AV10" s="209">
        <f>(1+(INDEX('Inputs &amp; Drivers'!$E$61:$E$65,MATCH(Model2.0!AV$5,'Inputs &amp; Drivers'!$B$61:$B$65,0))/12))*AU10</f>
        <v>1.2831243956466438</v>
      </c>
      <c r="AW10" s="209">
        <f>(1+(INDEX('Inputs &amp; Drivers'!$E$61:$E$65,MATCH(Model2.0!AW$5,'Inputs &amp; Drivers'!$B$61:$B$65,0))/12))*AV10</f>
        <v>1.287401476965466</v>
      </c>
      <c r="AX10" s="209">
        <f>(1+(INDEX('Inputs &amp; Drivers'!$E$61:$E$65,MATCH(Model2.0!AX$5,'Inputs &amp; Drivers'!$B$61:$B$65,0))/12))*AW10</f>
        <v>1.2916928152220177</v>
      </c>
      <c r="AY10" s="209">
        <f>(1+(INDEX('Inputs &amp; Drivers'!$E$61:$E$65,MATCH(Model2.0!AY$5,'Inputs &amp; Drivers'!$B$61:$B$65,0))/12))*AX10</f>
        <v>1.2959984579394246</v>
      </c>
      <c r="AZ10" s="209">
        <f>(1+(INDEX('Inputs &amp; Drivers'!$E$61:$E$65,MATCH(Model2.0!AZ$5,'Inputs &amp; Drivers'!$B$61:$B$65,0))/12))*AY10</f>
        <v>1.3003184527992229</v>
      </c>
      <c r="BA10" s="209">
        <f>(1+(INDEX('Inputs &amp; Drivers'!$E$61:$E$65,MATCH(Model2.0!BA$5,'Inputs &amp; Drivers'!$B$61:$B$65,0))/12))*AZ10</f>
        <v>1.304652847641887</v>
      </c>
      <c r="BB10" s="209">
        <f>(1+(INDEX('Inputs &amp; Drivers'!$E$61:$E$65,MATCH(Model2.0!BB$5,'Inputs &amp; Drivers'!$B$61:$B$65,0))/12))*BA10</f>
        <v>1.30900169046736</v>
      </c>
      <c r="BC10" s="209">
        <f>(1+(INDEX('Inputs &amp; Drivers'!$E$61:$E$65,MATCH(Model2.0!BC$5,'Inputs &amp; Drivers'!$B$61:$B$65,0))/12))*BB10</f>
        <v>1.3133650294355848</v>
      </c>
      <c r="BD10" s="209">
        <f>(1+(INDEX('Inputs &amp; Drivers'!$E$61:$E$65,MATCH(Model2.0!BD$5,'Inputs &amp; Drivers'!$B$61:$B$65,0))/12))*BC10</f>
        <v>1.3177429128670368</v>
      </c>
      <c r="BE10" s="209">
        <f>(1+(INDEX('Inputs &amp; Drivers'!$E$61:$E$65,MATCH(Model2.0!BE$5,'Inputs &amp; Drivers'!$B$61:$B$65,0))/12))*BD10</f>
        <v>1.3221353892432604</v>
      </c>
      <c r="BF10" s="209">
        <f>(1+(INDEX('Inputs &amp; Drivers'!$E$61:$E$65,MATCH(Model2.0!BF$5,'Inputs &amp; Drivers'!$B$61:$B$65,0))/12))*BE10</f>
        <v>1.3265425072074046</v>
      </c>
      <c r="BG10" s="209">
        <f>(1+(INDEX('Inputs &amp; Drivers'!$E$61:$E$65,MATCH(Model2.0!BG$5,'Inputs &amp; Drivers'!$B$61:$B$65,0))/12))*BF10</f>
        <v>1.3309643155647628</v>
      </c>
      <c r="BH10" s="209">
        <f>(1+(INDEX('Inputs &amp; Drivers'!$E$61:$E$65,MATCH(Model2.0!BH$5,'Inputs &amp; Drivers'!$B$61:$B$65,0))/12))*BG10</f>
        <v>1.3354008632833121</v>
      </c>
      <c r="BI10" s="209">
        <f>(1+(INDEX('Inputs &amp; Drivers'!$E$61:$E$65,MATCH(Model2.0!BI$5,'Inputs &amp; Drivers'!$B$61:$B$65,0))/12))*BH10</f>
        <v>1.3398521994942565</v>
      </c>
      <c r="BJ10" s="209">
        <f>(1+(INDEX('Inputs &amp; Drivers'!$E$61:$E$65,MATCH(Model2.0!BJ$5,'Inputs &amp; Drivers'!$B$61:$B$65,0))/12))*BI10</f>
        <v>1.3443183734925708</v>
      </c>
      <c r="BK10" s="209">
        <f>(1+(INDEX('Inputs &amp; Drivers'!$E$61:$E$65,MATCH(Model2.0!BK$5,'Inputs &amp; Drivers'!$B$61:$B$65,0))/12))*BJ10</f>
        <v>1.348799434737546</v>
      </c>
      <c r="BL10" s="209">
        <f>(1+(INDEX('Inputs &amp; Drivers'!$E$61:$E$65,MATCH(Model2.0!BL$5,'Inputs &amp; Drivers'!$B$61:$B$65,0))/12))*BK10</f>
        <v>1.353295432853338</v>
      </c>
      <c r="BM10" s="209">
        <f>(1+(INDEX('Inputs &amp; Drivers'!$E$61:$E$65,MATCH(Model2.0!BM$5,'Inputs &amp; Drivers'!$B$61:$B$65,0))/12))*BL10</f>
        <v>1.3578064176295159</v>
      </c>
      <c r="BN10" s="209">
        <f>(1+(INDEX('Inputs &amp; Drivers'!$E$61:$E$65,MATCH(Model2.0!BN$5,'Inputs &amp; Drivers'!$B$61:$B$65,0))/12))*BM10</f>
        <v>1.3623324390216145</v>
      </c>
      <c r="BO10" s="209">
        <f>(1+(INDEX('Inputs &amp; Drivers'!$E$61:$E$65,MATCH(Model2.0!BO$5,'Inputs &amp; Drivers'!$B$61:$B$65,0))/12))*BN10</f>
        <v>1.3668735471516866</v>
      </c>
      <c r="BP10" s="209">
        <f>(1+(INDEX('Inputs &amp; Drivers'!$E$61:$E$65,MATCH(Model2.0!BP$5,'Inputs &amp; Drivers'!$B$61:$B$65,0))/12))*BO10</f>
        <v>1.371429792308859</v>
      </c>
    </row>
    <row r="11" spans="2:79" x14ac:dyDescent="0.3">
      <c r="B11" s="111" t="s">
        <v>1</v>
      </c>
      <c r="E11" s="130">
        <f>1-E24</f>
        <v>8.2781456953642363E-2</v>
      </c>
      <c r="F11" s="130">
        <f>1-F24</f>
        <v>8.2781456953642363E-2</v>
      </c>
      <c r="I11" s="130">
        <f>($C$6-I15)/$C$6</f>
        <v>8.2781456953642391E-2</v>
      </c>
      <c r="J11" s="130">
        <f t="shared" ref="J11:T11" si="100">($C$6-J15)/$C$6</f>
        <v>8.2781456953642391E-2</v>
      </c>
      <c r="K11" s="130">
        <f t="shared" si="100"/>
        <v>8.2781456953642391E-2</v>
      </c>
      <c r="L11" s="130">
        <f t="shared" si="100"/>
        <v>8.2781456953642391E-2</v>
      </c>
      <c r="M11" s="130">
        <f t="shared" si="100"/>
        <v>8.2781456953642391E-2</v>
      </c>
      <c r="N11" s="130">
        <f t="shared" si="100"/>
        <v>8.2781456953642391E-2</v>
      </c>
      <c r="O11" s="130">
        <f t="shared" si="100"/>
        <v>8.2781456953642391E-2</v>
      </c>
      <c r="P11" s="130">
        <f t="shared" si="100"/>
        <v>8.2781456953642391E-2</v>
      </c>
      <c r="Q11" s="130">
        <f t="shared" si="100"/>
        <v>8.2781456953642391E-2</v>
      </c>
      <c r="R11" s="130">
        <f t="shared" si="100"/>
        <v>8.2781456953642391E-2</v>
      </c>
      <c r="S11" s="130">
        <f t="shared" si="100"/>
        <v>8.2781456953642391E-2</v>
      </c>
      <c r="T11" s="130">
        <f t="shared" si="100"/>
        <v>8.2781456953642391E-2</v>
      </c>
      <c r="U11" s="130">
        <f t="shared" ref="U11:BP11" si="101">($C$6-U15)/$C$6</f>
        <v>8.2781456953642391E-2</v>
      </c>
      <c r="V11" s="130">
        <f t="shared" si="101"/>
        <v>8.2781456953642391E-2</v>
      </c>
      <c r="W11" s="130">
        <f t="shared" si="101"/>
        <v>8.2781456953642391E-2</v>
      </c>
      <c r="X11" s="130">
        <f t="shared" si="101"/>
        <v>8.2781456953642391E-2</v>
      </c>
      <c r="Y11" s="130">
        <f t="shared" si="101"/>
        <v>8.2781456953642391E-2</v>
      </c>
      <c r="Z11" s="130">
        <f t="shared" si="101"/>
        <v>8.2781456953642391E-2</v>
      </c>
      <c r="AA11" s="130">
        <f t="shared" si="101"/>
        <v>8.2781456953642391E-2</v>
      </c>
      <c r="AB11" s="130">
        <f t="shared" si="101"/>
        <v>8.2781456953642391E-2</v>
      </c>
      <c r="AC11" s="130">
        <f t="shared" si="101"/>
        <v>8.2781456953642391E-2</v>
      </c>
      <c r="AD11" s="130">
        <f t="shared" si="101"/>
        <v>8.2781456953642391E-2</v>
      </c>
      <c r="AE11" s="130">
        <f t="shared" si="101"/>
        <v>8.2781456953642391E-2</v>
      </c>
      <c r="AF11" s="130">
        <f t="shared" si="101"/>
        <v>8.2781456953642391E-2</v>
      </c>
      <c r="AG11" s="130">
        <f t="shared" si="101"/>
        <v>8.2781456953642391E-2</v>
      </c>
      <c r="AH11" s="130">
        <f t="shared" si="101"/>
        <v>8.2781456953642391E-2</v>
      </c>
      <c r="AI11" s="130">
        <f t="shared" si="101"/>
        <v>8.2781456953642391E-2</v>
      </c>
      <c r="AJ11" s="130">
        <f t="shared" si="101"/>
        <v>8.2781456953642391E-2</v>
      </c>
      <c r="AK11" s="130">
        <f t="shared" si="101"/>
        <v>8.2781456953642391E-2</v>
      </c>
      <c r="AL11" s="130">
        <f t="shared" si="101"/>
        <v>8.2781456953642391E-2</v>
      </c>
      <c r="AM11" s="130">
        <f t="shared" si="101"/>
        <v>8.2781456953642391E-2</v>
      </c>
      <c r="AN11" s="130">
        <f t="shared" si="101"/>
        <v>8.2781456953642391E-2</v>
      </c>
      <c r="AO11" s="130">
        <f t="shared" si="101"/>
        <v>8.2781456953642391E-2</v>
      </c>
      <c r="AP11" s="130">
        <f t="shared" si="101"/>
        <v>8.2781456953642391E-2</v>
      </c>
      <c r="AQ11" s="130">
        <f t="shared" si="101"/>
        <v>8.2781456953642391E-2</v>
      </c>
      <c r="AR11" s="130">
        <f t="shared" si="101"/>
        <v>8.2781456953642391E-2</v>
      </c>
      <c r="AS11" s="130">
        <f t="shared" si="101"/>
        <v>8.2781456953642391E-2</v>
      </c>
      <c r="AT11" s="130">
        <f t="shared" si="101"/>
        <v>8.2781456953642391E-2</v>
      </c>
      <c r="AU11" s="130">
        <f t="shared" si="101"/>
        <v>8.2781456953642391E-2</v>
      </c>
      <c r="AV11" s="130">
        <f t="shared" si="101"/>
        <v>8.2781456953642391E-2</v>
      </c>
      <c r="AW11" s="130">
        <f t="shared" si="101"/>
        <v>8.2781456953642391E-2</v>
      </c>
      <c r="AX11" s="130">
        <f t="shared" si="101"/>
        <v>8.2781456953642391E-2</v>
      </c>
      <c r="AY11" s="130">
        <f t="shared" si="101"/>
        <v>8.2781456953642391E-2</v>
      </c>
      <c r="AZ11" s="130">
        <f t="shared" si="101"/>
        <v>8.2781456953642391E-2</v>
      </c>
      <c r="BA11" s="130">
        <f t="shared" si="101"/>
        <v>8.2781456953642391E-2</v>
      </c>
      <c r="BB11" s="130">
        <f t="shared" si="101"/>
        <v>8.2781456953642391E-2</v>
      </c>
      <c r="BC11" s="130">
        <f t="shared" si="101"/>
        <v>8.2781456953642391E-2</v>
      </c>
      <c r="BD11" s="130">
        <f t="shared" si="101"/>
        <v>8.2781456953642391E-2</v>
      </c>
      <c r="BE11" s="130">
        <f t="shared" si="101"/>
        <v>8.2781456953642391E-2</v>
      </c>
      <c r="BF11" s="130">
        <f t="shared" si="101"/>
        <v>8.2781456953642391E-2</v>
      </c>
      <c r="BG11" s="130">
        <f t="shared" si="101"/>
        <v>8.2781456953642391E-2</v>
      </c>
      <c r="BH11" s="130">
        <f t="shared" si="101"/>
        <v>8.2781456953642391E-2</v>
      </c>
      <c r="BI11" s="130">
        <f t="shared" si="101"/>
        <v>8.2781456953642391E-2</v>
      </c>
      <c r="BJ11" s="130">
        <f t="shared" si="101"/>
        <v>8.2781456953642391E-2</v>
      </c>
      <c r="BK11" s="130">
        <f t="shared" si="101"/>
        <v>8.2781456953642391E-2</v>
      </c>
      <c r="BL11" s="130">
        <f t="shared" si="101"/>
        <v>8.2781456953642391E-2</v>
      </c>
      <c r="BM11" s="130">
        <f t="shared" si="101"/>
        <v>8.2781456953642391E-2</v>
      </c>
      <c r="BN11" s="130">
        <f t="shared" si="101"/>
        <v>8.2781456953642391E-2</v>
      </c>
      <c r="BO11" s="130">
        <f t="shared" si="101"/>
        <v>8.2781456953642391E-2</v>
      </c>
      <c r="BP11" s="130">
        <f t="shared" si="101"/>
        <v>8.2781456953642391E-2</v>
      </c>
    </row>
    <row r="12" spans="2:79" x14ac:dyDescent="0.3">
      <c r="B12" s="233" t="s">
        <v>98</v>
      </c>
      <c r="E12" s="130"/>
      <c r="F12" s="233" t="s">
        <v>98</v>
      </c>
      <c r="I12" s="130">
        <v>0</v>
      </c>
      <c r="J12" s="130">
        <v>0</v>
      </c>
      <c r="K12" s="130">
        <v>0</v>
      </c>
      <c r="L12" s="130">
        <v>0.05</v>
      </c>
      <c r="M12" s="130">
        <v>0.05</v>
      </c>
      <c r="N12" s="130">
        <v>0.05</v>
      </c>
      <c r="O12" s="130">
        <v>0.02</v>
      </c>
      <c r="P12" s="130">
        <v>0.02</v>
      </c>
      <c r="Q12" s="130">
        <v>0.02</v>
      </c>
      <c r="R12" s="130">
        <v>0.02</v>
      </c>
      <c r="S12" s="130">
        <v>0.02</v>
      </c>
      <c r="T12" s="130">
        <v>0.02</v>
      </c>
      <c r="U12" s="130">
        <v>0.05</v>
      </c>
      <c r="V12" s="130">
        <v>0.01</v>
      </c>
      <c r="W12" s="130">
        <v>0.01</v>
      </c>
      <c r="X12" s="130">
        <v>0.01</v>
      </c>
      <c r="Y12" s="130">
        <v>0.01</v>
      </c>
      <c r="Z12" s="130">
        <v>0.01</v>
      </c>
      <c r="AA12" s="130">
        <v>0.01</v>
      </c>
      <c r="AB12" s="130">
        <v>0.01</v>
      </c>
      <c r="AC12" s="130">
        <v>0.01</v>
      </c>
      <c r="AD12" s="130">
        <v>0.01</v>
      </c>
      <c r="AE12" s="130">
        <v>0.01</v>
      </c>
      <c r="AF12" s="130">
        <v>0.01</v>
      </c>
      <c r="AG12" s="130">
        <v>0.05</v>
      </c>
      <c r="AH12" s="130">
        <v>0.01</v>
      </c>
      <c r="AI12" s="130">
        <v>0.01</v>
      </c>
      <c r="AJ12" s="130">
        <v>0.01</v>
      </c>
      <c r="AK12" s="130">
        <v>0.01</v>
      </c>
      <c r="AL12" s="130">
        <v>0.01</v>
      </c>
      <c r="AM12" s="130">
        <v>0.01</v>
      </c>
      <c r="AN12" s="130">
        <v>0.01</v>
      </c>
      <c r="AO12" s="130">
        <v>0.01</v>
      </c>
      <c r="AP12" s="130">
        <v>0.01</v>
      </c>
      <c r="AQ12" s="130">
        <v>0.01</v>
      </c>
      <c r="AR12" s="130">
        <v>0.01</v>
      </c>
      <c r="AS12" s="130">
        <v>0.05</v>
      </c>
      <c r="AT12" s="130">
        <v>0.01</v>
      </c>
      <c r="AU12" s="130">
        <v>0.01</v>
      </c>
      <c r="AV12" s="130">
        <v>0.01</v>
      </c>
      <c r="AW12" s="130">
        <v>0.01</v>
      </c>
      <c r="AX12" s="130">
        <v>0.01</v>
      </c>
      <c r="AY12" s="130">
        <v>0.01</v>
      </c>
      <c r="AZ12" s="130">
        <v>0.01</v>
      </c>
      <c r="BA12" s="130">
        <v>0.01</v>
      </c>
      <c r="BB12" s="130">
        <v>0.01</v>
      </c>
      <c r="BC12" s="130">
        <v>0.01</v>
      </c>
      <c r="BD12" s="130">
        <v>0.01</v>
      </c>
      <c r="BE12" s="130">
        <v>0.05</v>
      </c>
      <c r="BF12" s="130">
        <v>0.01</v>
      </c>
      <c r="BG12" s="130">
        <v>0.01</v>
      </c>
      <c r="BH12" s="130">
        <v>0.01</v>
      </c>
      <c r="BI12" s="130">
        <v>0.01</v>
      </c>
      <c r="BJ12" s="130">
        <v>0.01</v>
      </c>
      <c r="BK12" s="130">
        <v>0.01</v>
      </c>
      <c r="BL12" s="130">
        <v>0.01</v>
      </c>
      <c r="BM12" s="130">
        <v>0.01</v>
      </c>
      <c r="BN12" s="130">
        <v>0.01</v>
      </c>
      <c r="BO12" s="130">
        <v>0.01</v>
      </c>
      <c r="BP12" s="130">
        <v>0.01</v>
      </c>
    </row>
    <row r="13" spans="2:79" x14ac:dyDescent="0.3">
      <c r="B13" s="111" t="s">
        <v>99</v>
      </c>
      <c r="H13" s="210">
        <v>20</v>
      </c>
      <c r="I13" s="210">
        <v>20</v>
      </c>
      <c r="J13" s="210">
        <v>20</v>
      </c>
      <c r="K13" s="210">
        <v>20</v>
      </c>
      <c r="L13" s="210">
        <v>20</v>
      </c>
      <c r="M13" s="210">
        <v>20</v>
      </c>
      <c r="N13" s="210">
        <v>20</v>
      </c>
      <c r="O13" s="210">
        <v>20</v>
      </c>
      <c r="P13" s="210">
        <v>20</v>
      </c>
      <c r="Q13" s="210">
        <v>20</v>
      </c>
      <c r="R13" s="210">
        <v>20</v>
      </c>
      <c r="S13" s="210">
        <v>20</v>
      </c>
      <c r="T13" s="210">
        <v>20</v>
      </c>
      <c r="U13" s="210">
        <v>20</v>
      </c>
      <c r="V13" s="210">
        <v>20</v>
      </c>
      <c r="W13" s="210">
        <v>20</v>
      </c>
      <c r="X13" s="210">
        <v>20</v>
      </c>
      <c r="Y13" s="210">
        <v>20</v>
      </c>
      <c r="Z13" s="210">
        <v>20</v>
      </c>
      <c r="AA13" s="210">
        <v>20</v>
      </c>
      <c r="AB13" s="210">
        <v>20</v>
      </c>
      <c r="AC13" s="210">
        <v>20</v>
      </c>
      <c r="AD13" s="210">
        <v>20</v>
      </c>
      <c r="AE13" s="210">
        <v>20</v>
      </c>
      <c r="AF13" s="210">
        <v>20</v>
      </c>
      <c r="AG13" s="210">
        <v>20</v>
      </c>
      <c r="AH13" s="210">
        <v>20</v>
      </c>
      <c r="AI13" s="210">
        <v>20</v>
      </c>
      <c r="AJ13" s="210">
        <v>20</v>
      </c>
      <c r="AK13" s="210">
        <v>20</v>
      </c>
      <c r="AL13" s="210">
        <v>20</v>
      </c>
      <c r="AM13" s="210">
        <v>20</v>
      </c>
      <c r="AN13" s="210">
        <v>20</v>
      </c>
      <c r="AO13" s="210">
        <v>20</v>
      </c>
      <c r="AP13" s="210">
        <v>20</v>
      </c>
      <c r="AQ13" s="210">
        <v>20</v>
      </c>
      <c r="AR13" s="210">
        <v>20</v>
      </c>
      <c r="AS13" s="210">
        <v>20</v>
      </c>
      <c r="AT13" s="210">
        <v>20</v>
      </c>
      <c r="AU13" s="210">
        <v>20</v>
      </c>
      <c r="AV13" s="210">
        <v>20</v>
      </c>
      <c r="AW13" s="210">
        <v>20</v>
      </c>
      <c r="AX13" s="210">
        <v>20</v>
      </c>
      <c r="AY13" s="210">
        <v>20</v>
      </c>
      <c r="AZ13" s="210">
        <v>20</v>
      </c>
      <c r="BA13" s="210">
        <v>20</v>
      </c>
      <c r="BB13" s="210">
        <v>20</v>
      </c>
      <c r="BC13" s="210">
        <v>20</v>
      </c>
      <c r="BD13" s="210">
        <v>20</v>
      </c>
      <c r="BE13" s="210">
        <v>20</v>
      </c>
      <c r="BF13" s="210">
        <v>20</v>
      </c>
      <c r="BG13" s="210">
        <v>20</v>
      </c>
      <c r="BH13" s="210">
        <v>20</v>
      </c>
      <c r="BI13" s="210">
        <v>20</v>
      </c>
      <c r="BJ13" s="210">
        <v>20</v>
      </c>
      <c r="BK13" s="210">
        <v>20</v>
      </c>
      <c r="BL13" s="210">
        <v>20</v>
      </c>
      <c r="BM13" s="210">
        <v>20</v>
      </c>
      <c r="BN13" s="210">
        <v>20</v>
      </c>
      <c r="BO13" s="210">
        <v>20</v>
      </c>
      <c r="BP13" s="210">
        <v>20</v>
      </c>
    </row>
    <row r="14" spans="2:79" x14ac:dyDescent="0.3">
      <c r="B14" s="111" t="s">
        <v>100</v>
      </c>
      <c r="H14" s="210">
        <v>20</v>
      </c>
      <c r="I14" s="210">
        <v>20</v>
      </c>
      <c r="J14" s="210">
        <v>20</v>
      </c>
      <c r="K14" s="210">
        <v>20</v>
      </c>
      <c r="L14" s="210">
        <v>20</v>
      </c>
      <c r="M14" s="210">
        <v>20</v>
      </c>
      <c r="N14" s="210">
        <v>20</v>
      </c>
      <c r="O14" s="210">
        <v>20</v>
      </c>
      <c r="P14" s="210">
        <v>20</v>
      </c>
      <c r="Q14" s="210">
        <v>20</v>
      </c>
      <c r="R14" s="210">
        <v>20</v>
      </c>
      <c r="S14" s="210">
        <v>20</v>
      </c>
      <c r="T14" s="210">
        <v>20</v>
      </c>
      <c r="U14" s="210">
        <v>20</v>
      </c>
      <c r="V14" s="210">
        <v>20</v>
      </c>
      <c r="W14" s="210">
        <v>20</v>
      </c>
      <c r="X14" s="210">
        <v>20</v>
      </c>
      <c r="Y14" s="210">
        <v>20</v>
      </c>
      <c r="Z14" s="210">
        <v>20</v>
      </c>
      <c r="AA14" s="210">
        <v>20</v>
      </c>
      <c r="AB14" s="210">
        <v>20</v>
      </c>
      <c r="AC14" s="210">
        <v>20</v>
      </c>
      <c r="AD14" s="210">
        <v>20</v>
      </c>
      <c r="AE14" s="210">
        <v>20</v>
      </c>
      <c r="AF14" s="210">
        <v>20</v>
      </c>
      <c r="AG14" s="210">
        <v>20</v>
      </c>
      <c r="AH14" s="210">
        <v>20</v>
      </c>
      <c r="AI14" s="210">
        <v>20</v>
      </c>
      <c r="AJ14" s="210">
        <v>20</v>
      </c>
      <c r="AK14" s="210">
        <v>20</v>
      </c>
      <c r="AL14" s="210">
        <v>20</v>
      </c>
      <c r="AM14" s="210">
        <v>20</v>
      </c>
      <c r="AN14" s="210">
        <v>20</v>
      </c>
      <c r="AO14" s="210">
        <v>20</v>
      </c>
      <c r="AP14" s="210">
        <v>20</v>
      </c>
      <c r="AQ14" s="210">
        <v>20</v>
      </c>
      <c r="AR14" s="210">
        <v>20</v>
      </c>
      <c r="AS14" s="210">
        <v>20</v>
      </c>
      <c r="AT14" s="210">
        <v>20</v>
      </c>
      <c r="AU14" s="210">
        <v>20</v>
      </c>
      <c r="AV14" s="210">
        <v>20</v>
      </c>
      <c r="AW14" s="210">
        <v>20</v>
      </c>
      <c r="AX14" s="210">
        <v>20</v>
      </c>
      <c r="AY14" s="210">
        <v>20</v>
      </c>
      <c r="AZ14" s="210">
        <v>20</v>
      </c>
      <c r="BA14" s="210">
        <v>20</v>
      </c>
      <c r="BB14" s="210">
        <v>20</v>
      </c>
      <c r="BC14" s="210">
        <v>20</v>
      </c>
      <c r="BD14" s="210">
        <v>20</v>
      </c>
      <c r="BE14" s="210">
        <v>20</v>
      </c>
      <c r="BF14" s="210">
        <v>20</v>
      </c>
      <c r="BG14" s="210">
        <v>20</v>
      </c>
      <c r="BH14" s="210">
        <v>20</v>
      </c>
      <c r="BI14" s="210">
        <v>20</v>
      </c>
      <c r="BJ14" s="210">
        <v>20</v>
      </c>
      <c r="BK14" s="210">
        <v>20</v>
      </c>
      <c r="BL14" s="210">
        <v>20</v>
      </c>
      <c r="BM14" s="210">
        <v>20</v>
      </c>
      <c r="BN14" s="210">
        <v>20</v>
      </c>
      <c r="BO14" s="210">
        <v>20</v>
      </c>
      <c r="BP14" s="210">
        <v>20</v>
      </c>
    </row>
    <row r="15" spans="2:79" x14ac:dyDescent="0.3">
      <c r="B15" s="111" t="s">
        <v>101</v>
      </c>
      <c r="E15">
        <f>C7</f>
        <v>554</v>
      </c>
      <c r="F15">
        <f>C7</f>
        <v>554</v>
      </c>
      <c r="H15">
        <f>E15+(H13-H14)</f>
        <v>554</v>
      </c>
      <c r="I15">
        <f>F15+(I13-I14)</f>
        <v>554</v>
      </c>
      <c r="J15">
        <f>I15+(J13-J14)</f>
        <v>554</v>
      </c>
      <c r="K15">
        <f t="shared" ref="K15:T15" si="102">J15+(K13-K14)</f>
        <v>554</v>
      </c>
      <c r="L15">
        <f t="shared" si="102"/>
        <v>554</v>
      </c>
      <c r="M15">
        <f t="shared" si="102"/>
        <v>554</v>
      </c>
      <c r="N15">
        <f t="shared" si="102"/>
        <v>554</v>
      </c>
      <c r="O15">
        <f t="shared" si="102"/>
        <v>554</v>
      </c>
      <c r="P15">
        <f t="shared" si="102"/>
        <v>554</v>
      </c>
      <c r="Q15">
        <f t="shared" si="102"/>
        <v>554</v>
      </c>
      <c r="R15">
        <f t="shared" si="102"/>
        <v>554</v>
      </c>
      <c r="S15">
        <f t="shared" si="102"/>
        <v>554</v>
      </c>
      <c r="T15">
        <f t="shared" si="102"/>
        <v>554</v>
      </c>
      <c r="U15">
        <f t="shared" ref="U15" si="103">T15+(U13-U14)</f>
        <v>554</v>
      </c>
      <c r="V15">
        <f t="shared" ref="V15" si="104">U15+(V13-V14)</f>
        <v>554</v>
      </c>
      <c r="W15">
        <f t="shared" ref="W15" si="105">V15+(W13-W14)</f>
        <v>554</v>
      </c>
      <c r="X15">
        <f t="shared" ref="X15" si="106">W15+(X13-X14)</f>
        <v>554</v>
      </c>
      <c r="Y15">
        <f t="shared" ref="Y15" si="107">X15+(Y13-Y14)</f>
        <v>554</v>
      </c>
      <c r="Z15">
        <f t="shared" ref="Z15" si="108">Y15+(Z13-Z14)</f>
        <v>554</v>
      </c>
      <c r="AA15">
        <f t="shared" ref="AA15" si="109">Z15+(AA13-AA14)</f>
        <v>554</v>
      </c>
      <c r="AB15">
        <f t="shared" ref="AB15" si="110">AA15+(AB13-AB14)</f>
        <v>554</v>
      </c>
      <c r="AC15">
        <f t="shared" ref="AC15" si="111">AB15+(AC13-AC14)</f>
        <v>554</v>
      </c>
      <c r="AD15">
        <f t="shared" ref="AD15" si="112">AC15+(AD13-AD14)</f>
        <v>554</v>
      </c>
      <c r="AE15">
        <f t="shared" ref="AE15" si="113">AD15+(AE13-AE14)</f>
        <v>554</v>
      </c>
      <c r="AF15">
        <f t="shared" ref="AF15" si="114">AE15+(AF13-AF14)</f>
        <v>554</v>
      </c>
      <c r="AG15">
        <f t="shared" ref="AG15" si="115">AF15+(AG13-AG14)</f>
        <v>554</v>
      </c>
      <c r="AH15">
        <f t="shared" ref="AH15" si="116">AG15+(AH13-AH14)</f>
        <v>554</v>
      </c>
      <c r="AI15">
        <f t="shared" ref="AI15" si="117">AH15+(AI13-AI14)</f>
        <v>554</v>
      </c>
      <c r="AJ15">
        <f t="shared" ref="AJ15" si="118">AI15+(AJ13-AJ14)</f>
        <v>554</v>
      </c>
      <c r="AK15">
        <f t="shared" ref="AK15" si="119">AJ15+(AK13-AK14)</f>
        <v>554</v>
      </c>
      <c r="AL15">
        <f t="shared" ref="AL15" si="120">AK15+(AL13-AL14)</f>
        <v>554</v>
      </c>
      <c r="AM15">
        <f t="shared" ref="AM15" si="121">AL15+(AM13-AM14)</f>
        <v>554</v>
      </c>
      <c r="AN15">
        <f t="shared" ref="AN15" si="122">AM15+(AN13-AN14)</f>
        <v>554</v>
      </c>
      <c r="AO15">
        <f t="shared" ref="AO15" si="123">AN15+(AO13-AO14)</f>
        <v>554</v>
      </c>
      <c r="AP15">
        <f t="shared" ref="AP15" si="124">AO15+(AP13-AP14)</f>
        <v>554</v>
      </c>
      <c r="AQ15">
        <f t="shared" ref="AQ15" si="125">AP15+(AQ13-AQ14)</f>
        <v>554</v>
      </c>
      <c r="AR15">
        <f t="shared" ref="AR15" si="126">AQ15+(AR13-AR14)</f>
        <v>554</v>
      </c>
      <c r="AS15">
        <f t="shared" ref="AS15" si="127">AR15+(AS13-AS14)</f>
        <v>554</v>
      </c>
      <c r="AT15">
        <f t="shared" ref="AT15" si="128">AS15+(AT13-AT14)</f>
        <v>554</v>
      </c>
      <c r="AU15">
        <f t="shared" ref="AU15" si="129">AT15+(AU13-AU14)</f>
        <v>554</v>
      </c>
      <c r="AV15">
        <f t="shared" ref="AV15" si="130">AU15+(AV13-AV14)</f>
        <v>554</v>
      </c>
      <c r="AW15">
        <f t="shared" ref="AW15" si="131">AV15+(AW13-AW14)</f>
        <v>554</v>
      </c>
      <c r="AX15">
        <f t="shared" ref="AX15" si="132">AW15+(AX13-AX14)</f>
        <v>554</v>
      </c>
      <c r="AY15">
        <f t="shared" ref="AY15" si="133">AX15+(AY13-AY14)</f>
        <v>554</v>
      </c>
      <c r="AZ15">
        <f t="shared" ref="AZ15" si="134">AY15+(AZ13-AZ14)</f>
        <v>554</v>
      </c>
      <c r="BA15">
        <f t="shared" ref="BA15" si="135">AZ15+(BA13-BA14)</f>
        <v>554</v>
      </c>
      <c r="BB15">
        <f t="shared" ref="BB15" si="136">BA15+(BB13-BB14)</f>
        <v>554</v>
      </c>
      <c r="BC15">
        <f t="shared" ref="BC15" si="137">BB15+(BC13-BC14)</f>
        <v>554</v>
      </c>
      <c r="BD15">
        <f t="shared" ref="BD15" si="138">BC15+(BD13-BD14)</f>
        <v>554</v>
      </c>
      <c r="BE15">
        <f t="shared" ref="BE15" si="139">BD15+(BE13-BE14)</f>
        <v>554</v>
      </c>
      <c r="BF15">
        <f t="shared" ref="BF15" si="140">BE15+(BF13-BF14)</f>
        <v>554</v>
      </c>
      <c r="BG15">
        <f t="shared" ref="BG15" si="141">BF15+(BG13-BG14)</f>
        <v>554</v>
      </c>
      <c r="BH15">
        <f t="shared" ref="BH15" si="142">BG15+(BH13-BH14)</f>
        <v>554</v>
      </c>
      <c r="BI15">
        <f t="shared" ref="BI15" si="143">BH15+(BI13-BI14)</f>
        <v>554</v>
      </c>
      <c r="BJ15">
        <f t="shared" ref="BJ15" si="144">BI15+(BJ13-BJ14)</f>
        <v>554</v>
      </c>
      <c r="BK15">
        <f t="shared" ref="BK15" si="145">BJ15+(BK13-BK14)</f>
        <v>554</v>
      </c>
      <c r="BL15">
        <f t="shared" ref="BL15" si="146">BK15+(BL13-BL14)</f>
        <v>554</v>
      </c>
      <c r="BM15">
        <f t="shared" ref="BM15" si="147">BL15+(BM13-BM14)</f>
        <v>554</v>
      </c>
      <c r="BN15">
        <f t="shared" ref="BN15" si="148">BM15+(BN13-BN14)</f>
        <v>554</v>
      </c>
      <c r="BO15">
        <f t="shared" ref="BO15" si="149">BN15+(BO13-BO14)</f>
        <v>554</v>
      </c>
      <c r="BP15">
        <f t="shared" ref="BP15" si="150">BO15+(BP13-BP14)</f>
        <v>554</v>
      </c>
    </row>
    <row r="16" spans="2:79" x14ac:dyDescent="0.3">
      <c r="B16" s="111" t="s">
        <v>155</v>
      </c>
      <c r="H16" s="130">
        <v>0.6</v>
      </c>
      <c r="I16" s="130">
        <f>H16+0.02</f>
        <v>0.62</v>
      </c>
      <c r="J16" s="130">
        <f t="shared" ref="J16:R16" si="151">I16+0.02</f>
        <v>0.64</v>
      </c>
      <c r="K16" s="130">
        <f t="shared" si="151"/>
        <v>0.66</v>
      </c>
      <c r="L16" s="130">
        <f t="shared" si="151"/>
        <v>0.68</v>
      </c>
      <c r="M16" s="130">
        <f t="shared" si="151"/>
        <v>0.70000000000000007</v>
      </c>
      <c r="N16" s="130">
        <f t="shared" si="151"/>
        <v>0.72000000000000008</v>
      </c>
      <c r="O16" s="130">
        <f t="shared" si="151"/>
        <v>0.7400000000000001</v>
      </c>
      <c r="P16" s="130">
        <f t="shared" si="151"/>
        <v>0.76000000000000012</v>
      </c>
      <c r="Q16" s="130">
        <f t="shared" si="151"/>
        <v>0.78000000000000014</v>
      </c>
      <c r="R16" s="130">
        <f t="shared" si="151"/>
        <v>0.80000000000000016</v>
      </c>
      <c r="S16" s="130">
        <f>R16</f>
        <v>0.80000000000000016</v>
      </c>
      <c r="T16" s="130">
        <f t="shared" ref="T16:BP16" si="152">S16</f>
        <v>0.80000000000000016</v>
      </c>
      <c r="U16" s="130">
        <f t="shared" si="152"/>
        <v>0.80000000000000016</v>
      </c>
      <c r="V16" s="130">
        <f t="shared" si="152"/>
        <v>0.80000000000000016</v>
      </c>
      <c r="W16" s="130">
        <f t="shared" si="152"/>
        <v>0.80000000000000016</v>
      </c>
      <c r="X16" s="130">
        <f t="shared" si="152"/>
        <v>0.80000000000000016</v>
      </c>
      <c r="Y16" s="130">
        <f t="shared" si="152"/>
        <v>0.80000000000000016</v>
      </c>
      <c r="Z16" s="130">
        <f t="shared" si="152"/>
        <v>0.80000000000000016</v>
      </c>
      <c r="AA16" s="130">
        <f t="shared" si="152"/>
        <v>0.80000000000000016</v>
      </c>
      <c r="AB16" s="130">
        <f t="shared" si="152"/>
        <v>0.80000000000000016</v>
      </c>
      <c r="AC16" s="130">
        <f t="shared" si="152"/>
        <v>0.80000000000000016</v>
      </c>
      <c r="AD16" s="130">
        <f t="shared" si="152"/>
        <v>0.80000000000000016</v>
      </c>
      <c r="AE16" s="130">
        <f t="shared" si="152"/>
        <v>0.80000000000000016</v>
      </c>
      <c r="AF16" s="130">
        <f t="shared" si="152"/>
        <v>0.80000000000000016</v>
      </c>
      <c r="AG16" s="130">
        <f t="shared" si="152"/>
        <v>0.80000000000000016</v>
      </c>
      <c r="AH16" s="130">
        <f t="shared" si="152"/>
        <v>0.80000000000000016</v>
      </c>
      <c r="AI16" s="130">
        <f t="shared" si="152"/>
        <v>0.80000000000000016</v>
      </c>
      <c r="AJ16" s="130">
        <f t="shared" si="152"/>
        <v>0.80000000000000016</v>
      </c>
      <c r="AK16" s="130">
        <f t="shared" si="152"/>
        <v>0.80000000000000016</v>
      </c>
      <c r="AL16" s="130">
        <f t="shared" si="152"/>
        <v>0.80000000000000016</v>
      </c>
      <c r="AM16" s="130">
        <f t="shared" si="152"/>
        <v>0.80000000000000016</v>
      </c>
      <c r="AN16" s="130">
        <f t="shared" si="152"/>
        <v>0.80000000000000016</v>
      </c>
      <c r="AO16" s="130">
        <f t="shared" si="152"/>
        <v>0.80000000000000016</v>
      </c>
      <c r="AP16" s="130">
        <f t="shared" si="152"/>
        <v>0.80000000000000016</v>
      </c>
      <c r="AQ16" s="130">
        <f t="shared" si="152"/>
        <v>0.80000000000000016</v>
      </c>
      <c r="AR16" s="130">
        <f t="shared" si="152"/>
        <v>0.80000000000000016</v>
      </c>
      <c r="AS16" s="130">
        <f t="shared" si="152"/>
        <v>0.80000000000000016</v>
      </c>
      <c r="AT16" s="130">
        <f t="shared" si="152"/>
        <v>0.80000000000000016</v>
      </c>
      <c r="AU16" s="130">
        <f t="shared" si="152"/>
        <v>0.80000000000000016</v>
      </c>
      <c r="AV16" s="130">
        <f t="shared" si="152"/>
        <v>0.80000000000000016</v>
      </c>
      <c r="AW16" s="130">
        <f t="shared" si="152"/>
        <v>0.80000000000000016</v>
      </c>
      <c r="AX16" s="130">
        <f t="shared" si="152"/>
        <v>0.80000000000000016</v>
      </c>
      <c r="AY16" s="130">
        <f t="shared" si="152"/>
        <v>0.80000000000000016</v>
      </c>
      <c r="AZ16" s="130">
        <f t="shared" si="152"/>
        <v>0.80000000000000016</v>
      </c>
      <c r="BA16" s="130">
        <f t="shared" si="152"/>
        <v>0.80000000000000016</v>
      </c>
      <c r="BB16" s="130">
        <f t="shared" si="152"/>
        <v>0.80000000000000016</v>
      </c>
      <c r="BC16" s="130">
        <f t="shared" si="152"/>
        <v>0.80000000000000016</v>
      </c>
      <c r="BD16" s="130">
        <f t="shared" si="152"/>
        <v>0.80000000000000016</v>
      </c>
      <c r="BE16" s="130">
        <f t="shared" si="152"/>
        <v>0.80000000000000016</v>
      </c>
      <c r="BF16" s="130">
        <f t="shared" si="152"/>
        <v>0.80000000000000016</v>
      </c>
      <c r="BG16" s="130">
        <f t="shared" si="152"/>
        <v>0.80000000000000016</v>
      </c>
      <c r="BH16" s="130">
        <f t="shared" si="152"/>
        <v>0.80000000000000016</v>
      </c>
      <c r="BI16" s="130">
        <f t="shared" si="152"/>
        <v>0.80000000000000016</v>
      </c>
      <c r="BJ16" s="130">
        <f t="shared" si="152"/>
        <v>0.80000000000000016</v>
      </c>
      <c r="BK16" s="130">
        <f t="shared" si="152"/>
        <v>0.80000000000000016</v>
      </c>
      <c r="BL16" s="130">
        <f t="shared" si="152"/>
        <v>0.80000000000000016</v>
      </c>
      <c r="BM16" s="130">
        <f t="shared" si="152"/>
        <v>0.80000000000000016</v>
      </c>
      <c r="BN16" s="130">
        <f t="shared" si="152"/>
        <v>0.80000000000000016</v>
      </c>
      <c r="BO16" s="130">
        <f t="shared" si="152"/>
        <v>0.80000000000000016</v>
      </c>
      <c r="BP16" s="130">
        <f t="shared" si="152"/>
        <v>0.80000000000000016</v>
      </c>
      <c r="BW16" s="129" t="s">
        <v>102</v>
      </c>
      <c r="BX16" s="129"/>
      <c r="BY16" s="129"/>
      <c r="BZ16" s="129"/>
      <c r="CA16" s="129"/>
    </row>
    <row r="17" spans="2:91" x14ac:dyDescent="0.3">
      <c r="E17" s="130">
        <f>1-E11</f>
        <v>0.91721854304635764</v>
      </c>
      <c r="F17" s="130">
        <f>1-F11</f>
        <v>0.91721854304635764</v>
      </c>
      <c r="I17" s="130">
        <f>1-I11</f>
        <v>0.91721854304635764</v>
      </c>
      <c r="J17" s="130">
        <f t="shared" ref="J17:BP17" si="153">1-J11</f>
        <v>0.91721854304635764</v>
      </c>
      <c r="K17" s="130">
        <f t="shared" si="153"/>
        <v>0.91721854304635764</v>
      </c>
      <c r="L17" s="130">
        <f t="shared" si="153"/>
        <v>0.91721854304635764</v>
      </c>
      <c r="M17" s="130">
        <f t="shared" si="153"/>
        <v>0.91721854304635764</v>
      </c>
      <c r="N17" s="130">
        <f t="shared" si="153"/>
        <v>0.91721854304635764</v>
      </c>
      <c r="O17" s="130">
        <f t="shared" si="153"/>
        <v>0.91721854304635764</v>
      </c>
      <c r="P17" s="130">
        <f t="shared" si="153"/>
        <v>0.91721854304635764</v>
      </c>
      <c r="Q17" s="130">
        <f t="shared" si="153"/>
        <v>0.91721854304635764</v>
      </c>
      <c r="R17" s="130">
        <f t="shared" si="153"/>
        <v>0.91721854304635764</v>
      </c>
      <c r="S17" s="130">
        <f t="shared" si="153"/>
        <v>0.91721854304635764</v>
      </c>
      <c r="T17" s="130">
        <f t="shared" si="153"/>
        <v>0.91721854304635764</v>
      </c>
      <c r="U17" s="130">
        <f t="shared" si="153"/>
        <v>0.91721854304635764</v>
      </c>
      <c r="V17" s="130">
        <f t="shared" si="153"/>
        <v>0.91721854304635764</v>
      </c>
      <c r="W17" s="130">
        <f t="shared" si="153"/>
        <v>0.91721854304635764</v>
      </c>
      <c r="X17" s="130">
        <f t="shared" si="153"/>
        <v>0.91721854304635764</v>
      </c>
      <c r="Y17" s="130">
        <f t="shared" si="153"/>
        <v>0.91721854304635764</v>
      </c>
      <c r="Z17" s="130">
        <f t="shared" si="153"/>
        <v>0.91721854304635764</v>
      </c>
      <c r="AA17" s="130">
        <f t="shared" si="153"/>
        <v>0.91721854304635764</v>
      </c>
      <c r="AB17" s="130">
        <f t="shared" si="153"/>
        <v>0.91721854304635764</v>
      </c>
      <c r="AC17" s="130">
        <f t="shared" si="153"/>
        <v>0.91721854304635764</v>
      </c>
      <c r="AD17" s="130">
        <f t="shared" si="153"/>
        <v>0.91721854304635764</v>
      </c>
      <c r="AE17" s="130">
        <f t="shared" si="153"/>
        <v>0.91721854304635764</v>
      </c>
      <c r="AF17" s="130">
        <f t="shared" si="153"/>
        <v>0.91721854304635764</v>
      </c>
      <c r="AG17" s="130">
        <f t="shared" si="153"/>
        <v>0.91721854304635764</v>
      </c>
      <c r="AH17" s="130">
        <f t="shared" si="153"/>
        <v>0.91721854304635764</v>
      </c>
      <c r="AI17" s="130">
        <f t="shared" si="153"/>
        <v>0.91721854304635764</v>
      </c>
      <c r="AJ17" s="130">
        <f t="shared" si="153"/>
        <v>0.91721854304635764</v>
      </c>
      <c r="AK17" s="130">
        <f t="shared" si="153"/>
        <v>0.91721854304635764</v>
      </c>
      <c r="AL17" s="130">
        <f t="shared" si="153"/>
        <v>0.91721854304635764</v>
      </c>
      <c r="AM17" s="130">
        <f t="shared" si="153"/>
        <v>0.91721854304635764</v>
      </c>
      <c r="AN17" s="130">
        <f t="shared" si="153"/>
        <v>0.91721854304635764</v>
      </c>
      <c r="AO17" s="130">
        <f t="shared" si="153"/>
        <v>0.91721854304635764</v>
      </c>
      <c r="AP17" s="130">
        <f t="shared" si="153"/>
        <v>0.91721854304635764</v>
      </c>
      <c r="AQ17" s="130">
        <f t="shared" si="153"/>
        <v>0.91721854304635764</v>
      </c>
      <c r="AR17" s="130">
        <f t="shared" si="153"/>
        <v>0.91721854304635764</v>
      </c>
      <c r="AS17" s="130">
        <f t="shared" si="153"/>
        <v>0.91721854304635764</v>
      </c>
      <c r="AT17" s="130">
        <f t="shared" si="153"/>
        <v>0.91721854304635764</v>
      </c>
      <c r="AU17" s="130">
        <f t="shared" si="153"/>
        <v>0.91721854304635764</v>
      </c>
      <c r="AV17" s="130">
        <f t="shared" si="153"/>
        <v>0.91721854304635764</v>
      </c>
      <c r="AW17" s="130">
        <f t="shared" si="153"/>
        <v>0.91721854304635764</v>
      </c>
      <c r="AX17" s="130">
        <f t="shared" si="153"/>
        <v>0.91721854304635764</v>
      </c>
      <c r="AY17" s="130">
        <f t="shared" si="153"/>
        <v>0.91721854304635764</v>
      </c>
      <c r="AZ17" s="130">
        <f t="shared" si="153"/>
        <v>0.91721854304635764</v>
      </c>
      <c r="BA17" s="130">
        <f t="shared" si="153"/>
        <v>0.91721854304635764</v>
      </c>
      <c r="BB17" s="130">
        <f t="shared" si="153"/>
        <v>0.91721854304635764</v>
      </c>
      <c r="BC17" s="130">
        <f t="shared" si="153"/>
        <v>0.91721854304635764</v>
      </c>
      <c r="BD17" s="130">
        <f t="shared" si="153"/>
        <v>0.91721854304635764</v>
      </c>
      <c r="BE17" s="130">
        <f t="shared" si="153"/>
        <v>0.91721854304635764</v>
      </c>
      <c r="BF17" s="130">
        <f t="shared" si="153"/>
        <v>0.91721854304635764</v>
      </c>
      <c r="BG17" s="130">
        <f t="shared" si="153"/>
        <v>0.91721854304635764</v>
      </c>
      <c r="BH17" s="130">
        <f t="shared" si="153"/>
        <v>0.91721854304635764</v>
      </c>
      <c r="BI17" s="130">
        <f t="shared" si="153"/>
        <v>0.91721854304635764</v>
      </c>
      <c r="BJ17" s="130">
        <f t="shared" si="153"/>
        <v>0.91721854304635764</v>
      </c>
      <c r="BK17" s="130">
        <f t="shared" si="153"/>
        <v>0.91721854304635764</v>
      </c>
      <c r="BL17" s="130">
        <f t="shared" si="153"/>
        <v>0.91721854304635764</v>
      </c>
      <c r="BM17" s="130">
        <f t="shared" si="153"/>
        <v>0.91721854304635764</v>
      </c>
      <c r="BN17" s="130">
        <f t="shared" si="153"/>
        <v>0.91721854304635764</v>
      </c>
      <c r="BO17" s="130">
        <f t="shared" si="153"/>
        <v>0.91721854304635764</v>
      </c>
      <c r="BP17" s="130">
        <f t="shared" si="153"/>
        <v>0.91721854304635764</v>
      </c>
      <c r="BW17" s="129"/>
      <c r="BX17" s="129"/>
      <c r="BY17" s="129"/>
      <c r="BZ17" s="129"/>
      <c r="CA17" s="129"/>
    </row>
    <row r="18" spans="2:91" ht="15" x14ac:dyDescent="0.35">
      <c r="B18" t="s">
        <v>2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BS18" s="43"/>
      <c r="BV18" t="s">
        <v>2</v>
      </c>
      <c r="BW18" s="126">
        <v>1</v>
      </c>
      <c r="BX18" s="126">
        <v>2</v>
      </c>
      <c r="BY18" s="126">
        <v>3</v>
      </c>
      <c r="BZ18" s="126">
        <v>4</v>
      </c>
      <c r="CA18" s="126">
        <v>5</v>
      </c>
    </row>
    <row r="19" spans="2:91" x14ac:dyDescent="0.3">
      <c r="B19" t="s">
        <v>7</v>
      </c>
      <c r="E19" s="121">
        <f>SUM('P-Builder'!O5:Q5)*4</f>
        <v>1021816.6799999999</v>
      </c>
      <c r="F19" s="121">
        <f>SUM('P-Builder'!F5:Q5)</f>
        <v>832809.83</v>
      </c>
      <c r="H19" s="220">
        <f>'P-Builder'!Q5</f>
        <v>88458.819999999992</v>
      </c>
      <c r="I19" s="217">
        <f>I10*(I9*(1-I11))</f>
        <v>89048.545466666648</v>
      </c>
      <c r="J19" s="217">
        <f t="shared" ref="J19:BP19" si="154">J10*(J9*(1-J11))</f>
        <v>89642.202436444422</v>
      </c>
      <c r="K19" s="217">
        <f t="shared" si="154"/>
        <v>90239.817119354062</v>
      </c>
      <c r="L19" s="217">
        <f t="shared" si="154"/>
        <v>90841.415900149746</v>
      </c>
      <c r="M19" s="217">
        <f t="shared" si="154"/>
        <v>91447.025339484069</v>
      </c>
      <c r="N19" s="217">
        <f t="shared" si="154"/>
        <v>92056.672175080617</v>
      </c>
      <c r="O19" s="217">
        <f t="shared" si="154"/>
        <v>92670.38332291448</v>
      </c>
      <c r="P19" s="217">
        <f t="shared" si="154"/>
        <v>93288.185878400574</v>
      </c>
      <c r="Q19" s="217">
        <f t="shared" si="154"/>
        <v>93910.107117589898</v>
      </c>
      <c r="R19" s="217">
        <f t="shared" si="154"/>
        <v>94536.174498373832</v>
      </c>
      <c r="S19" s="217">
        <f t="shared" si="154"/>
        <v>95166.415661696316</v>
      </c>
      <c r="T19" s="217">
        <f t="shared" si="154"/>
        <v>95800.858432774286</v>
      </c>
      <c r="U19" s="217">
        <f t="shared" si="154"/>
        <v>96120.194627550212</v>
      </c>
      <c r="V19" s="217">
        <f t="shared" si="154"/>
        <v>96440.595276308726</v>
      </c>
      <c r="W19" s="217">
        <f t="shared" si="154"/>
        <v>96762.063927229756</v>
      </c>
      <c r="X19" s="217">
        <f t="shared" si="154"/>
        <v>97084.604140320531</v>
      </c>
      <c r="Y19" s="217">
        <f t="shared" si="154"/>
        <v>97408.219487454946</v>
      </c>
      <c r="Z19" s="217">
        <f t="shared" si="154"/>
        <v>97732.913552413142</v>
      </c>
      <c r="AA19" s="217">
        <f t="shared" si="154"/>
        <v>98058.689930921188</v>
      </c>
      <c r="AB19" s="217">
        <f t="shared" si="154"/>
        <v>98385.552230690941</v>
      </c>
      <c r="AC19" s="217">
        <f t="shared" si="154"/>
        <v>98713.504071459902</v>
      </c>
      <c r="AD19" s="217">
        <f t="shared" si="154"/>
        <v>99042.549085031453</v>
      </c>
      <c r="AE19" s="217">
        <f t="shared" si="154"/>
        <v>99372.690915314888</v>
      </c>
      <c r="AF19" s="217">
        <f t="shared" si="154"/>
        <v>99703.933218365943</v>
      </c>
      <c r="AG19" s="217">
        <f t="shared" si="154"/>
        <v>100036.27966242717</v>
      </c>
      <c r="AH19" s="217">
        <f t="shared" si="154"/>
        <v>100369.73392796861</v>
      </c>
      <c r="AI19" s="217">
        <f t="shared" si="154"/>
        <v>100704.2997077285</v>
      </c>
      <c r="AJ19" s="217">
        <f t="shared" si="154"/>
        <v>101039.98070675427</v>
      </c>
      <c r="AK19" s="217">
        <f t="shared" si="154"/>
        <v>101376.78064244345</v>
      </c>
      <c r="AL19" s="217">
        <f t="shared" si="154"/>
        <v>101714.70324458493</v>
      </c>
      <c r="AM19" s="217">
        <f t="shared" si="154"/>
        <v>102053.75225540022</v>
      </c>
      <c r="AN19" s="217">
        <f t="shared" si="154"/>
        <v>102393.93142958489</v>
      </c>
      <c r="AO19" s="217">
        <f t="shared" si="154"/>
        <v>102735.24453435019</v>
      </c>
      <c r="AP19" s="217">
        <f t="shared" si="154"/>
        <v>103077.6953494647</v>
      </c>
      <c r="AQ19" s="217">
        <f t="shared" si="154"/>
        <v>103421.28766729626</v>
      </c>
      <c r="AR19" s="217">
        <f t="shared" si="154"/>
        <v>103766.02529285391</v>
      </c>
      <c r="AS19" s="217">
        <f t="shared" si="154"/>
        <v>104111.9120438301</v>
      </c>
      <c r="AT19" s="217">
        <f t="shared" si="154"/>
        <v>104458.95175064287</v>
      </c>
      <c r="AU19" s="217">
        <f t="shared" si="154"/>
        <v>104807.14825647837</v>
      </c>
      <c r="AV19" s="217">
        <f t="shared" si="154"/>
        <v>105156.50541733329</v>
      </c>
      <c r="AW19" s="217">
        <f t="shared" si="154"/>
        <v>105507.02710205775</v>
      </c>
      <c r="AX19" s="217">
        <f t="shared" si="154"/>
        <v>105858.71719239795</v>
      </c>
      <c r="AY19" s="217">
        <f t="shared" si="154"/>
        <v>106211.57958303929</v>
      </c>
      <c r="AZ19" s="217">
        <f t="shared" si="154"/>
        <v>106565.61818164944</v>
      </c>
      <c r="BA19" s="217">
        <f t="shared" si="154"/>
        <v>106920.8369089216</v>
      </c>
      <c r="BB19" s="217">
        <f t="shared" si="154"/>
        <v>107277.23969861801</v>
      </c>
      <c r="BC19" s="217">
        <f t="shared" si="154"/>
        <v>107634.83049761342</v>
      </c>
      <c r="BD19" s="217">
        <f t="shared" si="154"/>
        <v>107993.61326593881</v>
      </c>
      <c r="BE19" s="217">
        <f t="shared" si="154"/>
        <v>108353.59197682528</v>
      </c>
      <c r="BF19" s="217">
        <f t="shared" si="154"/>
        <v>108714.77061674804</v>
      </c>
      <c r="BG19" s="217">
        <f t="shared" si="154"/>
        <v>109077.15318547054</v>
      </c>
      <c r="BH19" s="217">
        <f t="shared" si="154"/>
        <v>109440.74369608879</v>
      </c>
      <c r="BI19" s="217">
        <f t="shared" si="154"/>
        <v>109805.54617507575</v>
      </c>
      <c r="BJ19" s="217">
        <f t="shared" si="154"/>
        <v>110171.56466232601</v>
      </c>
      <c r="BK19" s="217">
        <f t="shared" si="154"/>
        <v>110538.80321120043</v>
      </c>
      <c r="BL19" s="217">
        <f t="shared" si="154"/>
        <v>110907.26588857111</v>
      </c>
      <c r="BM19" s="217">
        <f t="shared" si="154"/>
        <v>111276.95677486635</v>
      </c>
      <c r="BN19" s="217">
        <f t="shared" si="154"/>
        <v>111647.87996411593</v>
      </c>
      <c r="BO19" s="217">
        <f t="shared" si="154"/>
        <v>112020.03956399632</v>
      </c>
      <c r="BP19" s="217">
        <f t="shared" si="154"/>
        <v>112393.43969587631</v>
      </c>
      <c r="BR19" s="217">
        <f>SUM(I19:T19)</f>
        <v>1108647.8033489289</v>
      </c>
      <c r="BS19" s="220">
        <f>(E19*1.07)+ABS(BR21)</f>
        <v>1133367.2340024884</v>
      </c>
      <c r="BT19" s="217">
        <f>BR19-BS19</f>
        <v>-24719.43065355951</v>
      </c>
      <c r="BV19" t="s">
        <v>7</v>
      </c>
      <c r="BW19" s="217">
        <f t="shared" ref="BW19:CA22" si="155">SUMIF($I$5:$BP$5,BW$18,$I19:$BP19)</f>
        <v>1108647.8033489289</v>
      </c>
      <c r="BX19" s="217">
        <f t="shared" si="155"/>
        <v>1174825.5104630617</v>
      </c>
      <c r="BY19" s="217">
        <f t="shared" si="155"/>
        <v>1222689.7144208569</v>
      </c>
      <c r="BZ19" s="217">
        <f t="shared" si="155"/>
        <v>1272503.979898521</v>
      </c>
      <c r="CA19" s="217">
        <f t="shared" si="155"/>
        <v>1324347.7554111609</v>
      </c>
      <c r="CC19" s="217">
        <f>SUM($I19:$T19)</f>
        <v>1108647.8033489289</v>
      </c>
      <c r="CD19" s="217">
        <f>SUM($U19:$AF19)</f>
        <v>1174825.5104630617</v>
      </c>
      <c r="CE19" s="217">
        <f>SUM($AG19:$AR19)</f>
        <v>1222689.7144208569</v>
      </c>
      <c r="CF19" s="217">
        <f>SUM($AS19:$BD19)</f>
        <v>1272503.979898521</v>
      </c>
      <c r="CG19" s="217">
        <f>SUM($BE19:$BP19)</f>
        <v>1324347.7554111609</v>
      </c>
      <c r="CI19" t="str">
        <f>IF(CC19=BW19,"OK","Check")</f>
        <v>OK</v>
      </c>
      <c r="CJ19" t="str">
        <f t="shared" ref="CJ19:CM21" si="156">IF(CD19=BX19,"OK","Check")</f>
        <v>OK</v>
      </c>
      <c r="CK19" t="str">
        <f t="shared" si="156"/>
        <v>OK</v>
      </c>
      <c r="CL19" t="str">
        <f t="shared" si="156"/>
        <v>OK</v>
      </c>
      <c r="CM19" t="str">
        <f>IF(CG19=CA19,"OK","Check")</f>
        <v>OK</v>
      </c>
    </row>
    <row r="20" spans="2:91" x14ac:dyDescent="0.3">
      <c r="B20" s="207" t="s">
        <v>8</v>
      </c>
      <c r="C20" s="207"/>
      <c r="D20" s="207"/>
      <c r="E20" s="208">
        <v>0</v>
      </c>
      <c r="F20" s="208">
        <v>0</v>
      </c>
      <c r="G20" s="207"/>
      <c r="H20" s="218">
        <f t="shared" ref="H20" si="157">H19*H12</f>
        <v>0</v>
      </c>
      <c r="I20" s="218">
        <f t="shared" ref="I20" si="158">IF(I5=H5,H20+(I19*I12),I19*I12)</f>
        <v>0</v>
      </c>
      <c r="J20" s="218">
        <f t="shared" ref="J20" si="159">IF(J5=I5,I20+(J19*J12),J19*J12)</f>
        <v>0</v>
      </c>
      <c r="K20" s="218">
        <f t="shared" ref="K20" si="160">IF(K5=J5,J20+(K19*K12),K19*K12)</f>
        <v>0</v>
      </c>
      <c r="L20" s="218">
        <f t="shared" ref="L20" si="161">IF(L5=K5,K20+(L19*L12),L19*L12)</f>
        <v>4542.0707950074875</v>
      </c>
      <c r="M20" s="218">
        <f t="shared" ref="M20" si="162">IF(M5=L5,L20+(M19*M12),M19*M12)</f>
        <v>9114.4220619816915</v>
      </c>
      <c r="N20" s="218">
        <f t="shared" ref="N20" si="163">IF(N5=M5,M20+(N19*N12),N19*N12)</f>
        <v>13717.255670735722</v>
      </c>
      <c r="O20" s="218">
        <f t="shared" ref="O20" si="164">IF(O5=N5,N20+(O19*O12),O19*O12)</f>
        <v>15570.663337194012</v>
      </c>
      <c r="P20" s="218">
        <f t="shared" ref="P20" si="165">IF(P5=O5,O20+(P19*P12),P19*P12)</f>
        <v>17436.427054762022</v>
      </c>
      <c r="Q20" s="218">
        <f t="shared" ref="Q20" si="166">IF(Q5=P5,P20+(Q19*Q12),Q19*Q12)</f>
        <v>19314.62919711382</v>
      </c>
      <c r="R20" s="218">
        <f t="shared" ref="R20" si="167">IF(R5=Q5,Q20+(R19*R12),R19*R12)</f>
        <v>21205.352687081297</v>
      </c>
      <c r="S20" s="218">
        <f t="shared" ref="S20" si="168">IF(S5=R5,R20+(S19*S12),S19*S12)</f>
        <v>23108.681000315224</v>
      </c>
      <c r="T20" s="218">
        <f t="shared" ref="T20" si="169">IF(T5=S5,S20+(T19*T12),T19*T12)</f>
        <v>25024.69816897071</v>
      </c>
      <c r="U20" s="218">
        <f t="shared" ref="U20" si="170">IF(U5=T5,T20+(U19*U12),U19*U12)</f>
        <v>4806.0097313775104</v>
      </c>
      <c r="V20" s="218">
        <f t="shared" ref="V20" si="171">IF(V5=U5,U20+(V19*V12),V19*V12)</f>
        <v>5770.4156841405975</v>
      </c>
      <c r="W20" s="218">
        <f t="shared" ref="W20" si="172">IF(W5=V5,V20+(W19*W12),W19*W12)</f>
        <v>6738.0363234128954</v>
      </c>
      <c r="X20" s="218">
        <f t="shared" ref="X20" si="173">IF(X5=W5,W20+(X19*X12),X19*X12)</f>
        <v>7708.8823648161006</v>
      </c>
      <c r="Y20" s="218">
        <f t="shared" ref="Y20" si="174">IF(Y5=X5,X20+(Y19*Y12),Y19*Y12)</f>
        <v>8682.9645596906503</v>
      </c>
      <c r="Z20" s="218">
        <f t="shared" ref="Z20" si="175">IF(Z5=Y5,Y20+(Z19*Z12),Z19*Z12)</f>
        <v>9660.2936952147811</v>
      </c>
      <c r="AA20" s="218">
        <f t="shared" ref="AA20" si="176">IF(AA5=Z5,Z20+(AA19*AA12),AA19*AA12)</f>
        <v>10640.880594523993</v>
      </c>
      <c r="AB20" s="218">
        <f t="shared" ref="AB20" si="177">IF(AB5=AA5,AA20+(AB19*AB12),AB19*AB12)</f>
        <v>11624.736116830902</v>
      </c>
      <c r="AC20" s="218">
        <f t="shared" ref="AC20" si="178">IF(AC5=AB5,AB20+(AC19*AC12),AC19*AC12)</f>
        <v>12611.8711575455</v>
      </c>
      <c r="AD20" s="218">
        <f t="shared" ref="AD20" si="179">IF(AD5=AC5,AC20+(AD19*AD12),AD19*AD12)</f>
        <v>13602.296648395815</v>
      </c>
      <c r="AE20" s="218">
        <f t="shared" ref="AE20" si="180">IF(AE5=AD5,AD20+(AE19*AE12),AE19*AE12)</f>
        <v>14596.023557548964</v>
      </c>
      <c r="AF20" s="218">
        <f t="shared" ref="AF20" si="181">IF(AF5=AE5,AE20+(AF19*AF12),AF19*AF12)</f>
        <v>15593.062889732624</v>
      </c>
      <c r="AG20" s="218">
        <f t="shared" ref="AG20" si="182">IF(AG5=AF5,AF20+(AG19*AG12),AG19*AG12)</f>
        <v>5001.8139831213593</v>
      </c>
      <c r="AH20" s="218">
        <f t="shared" ref="AH20" si="183">IF(AH5=AG5,AG20+(AH19*AH12),AH19*AH12)</f>
        <v>6005.5113224010456</v>
      </c>
      <c r="AI20" s="218">
        <f t="shared" ref="AI20" si="184">IF(AI5=AH5,AH20+(AI19*AI12),AI19*AI12)</f>
        <v>7012.5543194783304</v>
      </c>
      <c r="AJ20" s="218">
        <f t="shared" ref="AJ20" si="185">IF(AJ5=AI5,AI20+(AJ19*AJ12),AJ19*AJ12)</f>
        <v>8022.9541265458729</v>
      </c>
      <c r="AK20" s="218">
        <f t="shared" ref="AK20" si="186">IF(AK5=AJ5,AJ20+(AK19*AK12),AK19*AK12)</f>
        <v>9036.7219329703075</v>
      </c>
      <c r="AL20" s="218">
        <f t="shared" ref="AL20" si="187">IF(AL5=AK5,AK20+(AL19*AL12),AL19*AL12)</f>
        <v>10053.868965416157</v>
      </c>
      <c r="AM20" s="218">
        <f t="shared" ref="AM20" si="188">IF(AM5=AL5,AL20+(AM19*AM12),AM19*AM12)</f>
        <v>11074.40648797016</v>
      </c>
      <c r="AN20" s="218">
        <f t="shared" ref="AN20" si="189">IF(AN5=AM5,AM20+(AN19*AN12),AN19*AN12)</f>
        <v>12098.345802266009</v>
      </c>
      <c r="AO20" s="218">
        <f t="shared" ref="AO20" si="190">IF(AO5=AN5,AN20+(AO19*AO12),AO19*AO12)</f>
        <v>13125.698247609511</v>
      </c>
      <c r="AP20" s="218">
        <f t="shared" ref="AP20" si="191">IF(AP5=AO5,AO20+(AP19*AP12),AP19*AP12)</f>
        <v>14156.475201104158</v>
      </c>
      <c r="AQ20" s="218">
        <f t="shared" ref="AQ20" si="192">IF(AQ5=AP5,AP20+(AQ19*AQ12),AQ19*AQ12)</f>
        <v>15190.68807777712</v>
      </c>
      <c r="AR20" s="218">
        <f t="shared" ref="AR20" si="193">IF(AR5=AQ5,AQ20+(AR19*AR12),AR19*AR12)</f>
        <v>16228.348330705659</v>
      </c>
      <c r="AS20" s="218">
        <f t="shared" ref="AS20" si="194">IF(AS5=AR5,AR20+(AS19*AS12),AS19*AS12)</f>
        <v>5205.5956021915053</v>
      </c>
      <c r="AT20" s="218">
        <f t="shared" ref="AT20" si="195">IF(AT5=AS5,AS20+(AT19*AT12),AT19*AT12)</f>
        <v>6250.1851196979342</v>
      </c>
      <c r="AU20" s="218">
        <f t="shared" ref="AU20" si="196">IF(AU5=AT5,AT20+(AU19*AU12),AU19*AU12)</f>
        <v>7298.2566022627179</v>
      </c>
      <c r="AV20" s="218">
        <f t="shared" ref="AV20" si="197">IF(AV5=AU5,AU20+(AV19*AV12),AV19*AV12)</f>
        <v>8349.8216564360519</v>
      </c>
      <c r="AW20" s="218">
        <f t="shared" ref="AW20" si="198">IF(AW5=AV5,AV20+(AW19*AW12),AW19*AW12)</f>
        <v>9404.8919274566288</v>
      </c>
      <c r="AX20" s="218">
        <f t="shared" ref="AX20" si="199">IF(AX5=AW5,AW20+(AX19*AX12),AX19*AX12)</f>
        <v>10463.479099380609</v>
      </c>
      <c r="AY20" s="218">
        <f t="shared" ref="AY20" si="200">IF(AY5=AX5,AX20+(AY19*AY12),AY19*AY12)</f>
        <v>11525.594895211001</v>
      </c>
      <c r="AZ20" s="218">
        <f t="shared" ref="AZ20" si="201">IF(AZ5=AY5,AY20+(AZ19*AZ12),AZ19*AZ12)</f>
        <v>12591.251077027495</v>
      </c>
      <c r="BA20" s="218">
        <f t="shared" ref="BA20" si="202">IF(BA5=AZ5,AZ20+(BA19*BA12),BA19*BA12)</f>
        <v>13660.459446116711</v>
      </c>
      <c r="BB20" s="218">
        <f t="shared" ref="BB20" si="203">IF(BB5=BA5,BA20+(BB19*BB12),BB19*BB12)</f>
        <v>14733.231843102891</v>
      </c>
      <c r="BC20" s="218">
        <f t="shared" ref="BC20" si="204">IF(BC5=BB5,BB20+(BC19*BC12),BC19*BC12)</f>
        <v>15809.580148079025</v>
      </c>
      <c r="BD20" s="218">
        <f t="shared" ref="BD20" si="205">IF(BD5=BC5,BC20+(BD19*BD12),BD19*BD12)</f>
        <v>16889.516280738411</v>
      </c>
      <c r="BE20" s="218">
        <f t="shared" ref="BE20" si="206">IF(BE5=BD5,BD20+(BE19*BE12),BE19*BE12)</f>
        <v>5417.6795988412641</v>
      </c>
      <c r="BF20" s="218">
        <f t="shared" ref="BF20" si="207">IF(BF5=BE5,BE20+(BF19*BF12),BF19*BF12)</f>
        <v>6504.8273050087446</v>
      </c>
      <c r="BG20" s="218">
        <f t="shared" ref="BG20" si="208">IF(BG5=BF5,BF20+(BG19*BG12),BG19*BG12)</f>
        <v>7595.5988368634498</v>
      </c>
      <c r="BH20" s="218">
        <f t="shared" ref="BH20" si="209">IF(BH5=BG5,BG20+(BH19*BH12),BH19*BH12)</f>
        <v>8690.0062738243378</v>
      </c>
      <c r="BI20" s="218">
        <f t="shared" ref="BI20" si="210">IF(BI5=BH5,BH20+(BI19*BI12),BI19*BI12)</f>
        <v>9788.0617355750946</v>
      </c>
      <c r="BJ20" s="218">
        <f t="shared" ref="BJ20" si="211">IF(BJ5=BI5,BI20+(BJ19*BJ12),BJ19*BJ12)</f>
        <v>10889.777382198356</v>
      </c>
      <c r="BK20" s="218">
        <f t="shared" ref="BK20" si="212">IF(BK5=BJ5,BJ20+(BK19*BK12),BK19*BK12)</f>
        <v>11995.165414310361</v>
      </c>
      <c r="BL20" s="218">
        <f t="shared" ref="BL20" si="213">IF(BL5=BK5,BK20+(BL19*BL12),BL19*BL12)</f>
        <v>13104.238073196071</v>
      </c>
      <c r="BM20" s="218">
        <f t="shared" ref="BM20" si="214">IF(BM5=BL5,BL20+(BM19*BM12),BM19*BM12)</f>
        <v>14217.007640944736</v>
      </c>
      <c r="BN20" s="218">
        <f t="shared" ref="BN20" si="215">IF(BN5=BM5,BM20+(BN19*BN12),BN19*BN12)</f>
        <v>15333.486440585895</v>
      </c>
      <c r="BO20" s="218">
        <f t="shared" ref="BO20" si="216">IF(BO5=BN5,BN20+(BO19*BO12),BO19*BO12)</f>
        <v>16453.686836225857</v>
      </c>
      <c r="BP20" s="218">
        <f t="shared" ref="BP20" si="217">IF(BP5=BO5,BO20+(BP19*BP12),BP19*BP12)</f>
        <v>17577.621233184622</v>
      </c>
      <c r="BQ20" s="207"/>
      <c r="BR20" s="218">
        <f>SUM(I20:T20)</f>
        <v>149034.19997316197</v>
      </c>
      <c r="BS20" s="218">
        <f>E20</f>
        <v>0</v>
      </c>
      <c r="BT20" s="218">
        <f>BR20-BS20</f>
        <v>149034.19997316197</v>
      </c>
      <c r="BV20" t="s">
        <v>8</v>
      </c>
      <c r="BW20" s="217">
        <f t="shared" si="155"/>
        <v>149034.19997316197</v>
      </c>
      <c r="BX20" s="217">
        <f t="shared" si="155"/>
        <v>122035.47332323033</v>
      </c>
      <c r="BY20" s="217">
        <f t="shared" si="155"/>
        <v>127007.38679736569</v>
      </c>
      <c r="BZ20" s="217">
        <f t="shared" si="155"/>
        <v>132181.86369770099</v>
      </c>
      <c r="CA20" s="217">
        <f t="shared" si="155"/>
        <v>137567.1567707588</v>
      </c>
      <c r="CC20" s="217">
        <f t="shared" ref="CC20:CC21" si="218">SUM($I20:$T20)</f>
        <v>149034.19997316197</v>
      </c>
      <c r="CD20" s="217">
        <f t="shared" ref="CD20:CD21" si="219">SUM($U20:$AF20)</f>
        <v>122035.47332323033</v>
      </c>
      <c r="CE20" s="217">
        <f t="shared" ref="CE20:CE21" si="220">SUM($AG20:$AR20)</f>
        <v>127007.38679736569</v>
      </c>
      <c r="CF20" s="217">
        <f t="shared" ref="CF20:CF21" si="221">SUM($AS20:$BD20)</f>
        <v>132181.86369770099</v>
      </c>
      <c r="CG20" s="217">
        <f t="shared" ref="CG20:CG21" si="222">SUM($BE20:$BP20)</f>
        <v>137567.1567707588</v>
      </c>
      <c r="CI20" t="str">
        <f t="shared" ref="CI20:CI21" si="223">IF(CC20=BW20,"OK","Check")</f>
        <v>OK</v>
      </c>
      <c r="CJ20" t="str">
        <f t="shared" si="156"/>
        <v>OK</v>
      </c>
      <c r="CK20" t="str">
        <f t="shared" si="156"/>
        <v>OK</v>
      </c>
      <c r="CL20" t="str">
        <f t="shared" si="156"/>
        <v>OK</v>
      </c>
      <c r="CM20" t="str">
        <f t="shared" si="156"/>
        <v>OK</v>
      </c>
    </row>
    <row r="21" spans="2:91" x14ac:dyDescent="0.3">
      <c r="B21" s="211" t="s">
        <v>9</v>
      </c>
      <c r="E21" s="121">
        <f>SUM('P-Builder'!O6:Q6)*4</f>
        <v>0</v>
      </c>
      <c r="F21" s="121">
        <f>SUM('P-Builder'!F6:Q6)</f>
        <v>0</v>
      </c>
      <c r="H21" s="220">
        <f>'P-Builder'!Q7</f>
        <v>0</v>
      </c>
      <c r="I21" s="217">
        <f>((I10*I13)*($C$4/$C$6))*(-1)</f>
        <v>-3214.7489338146797</v>
      </c>
      <c r="J21" s="217">
        <f t="shared" ref="J21:BP21" si="224">((J10*J13)*($C$4/$C$6))*(-1)</f>
        <v>-3236.1805933734445</v>
      </c>
      <c r="K21" s="217">
        <f t="shared" si="224"/>
        <v>-3257.755130662601</v>
      </c>
      <c r="L21" s="217">
        <f t="shared" si="224"/>
        <v>-3279.4734982003511</v>
      </c>
      <c r="M21" s="217">
        <f t="shared" si="224"/>
        <v>-3301.3366548550202</v>
      </c>
      <c r="N21" s="217">
        <f t="shared" si="224"/>
        <v>-3323.3455658873863</v>
      </c>
      <c r="O21" s="217">
        <f t="shared" si="224"/>
        <v>-3345.5012029933018</v>
      </c>
      <c r="P21" s="217">
        <f t="shared" si="224"/>
        <v>-3367.8045443465903</v>
      </c>
      <c r="Q21" s="217">
        <f t="shared" si="224"/>
        <v>-3390.2565746422342</v>
      </c>
      <c r="R21" s="217">
        <f t="shared" si="224"/>
        <v>-3412.8582851398487</v>
      </c>
      <c r="S21" s="217">
        <f t="shared" si="224"/>
        <v>-3435.6106737074474</v>
      </c>
      <c r="T21" s="217">
        <f t="shared" si="224"/>
        <v>-3458.5147448654975</v>
      </c>
      <c r="U21" s="217">
        <f t="shared" si="224"/>
        <v>-3470.0431273483828</v>
      </c>
      <c r="V21" s="217">
        <f t="shared" si="224"/>
        <v>-3481.6099377728774</v>
      </c>
      <c r="W21" s="217">
        <f t="shared" si="224"/>
        <v>-3493.2153042321206</v>
      </c>
      <c r="X21" s="217">
        <f t="shared" si="224"/>
        <v>-3504.8593552462285</v>
      </c>
      <c r="Y21" s="217">
        <f t="shared" si="224"/>
        <v>-3516.5422197637158</v>
      </c>
      <c r="Z21" s="217">
        <f t="shared" si="224"/>
        <v>-3528.2640271629289</v>
      </c>
      <c r="AA21" s="217">
        <f t="shared" si="224"/>
        <v>-3540.0249072534716</v>
      </c>
      <c r="AB21" s="217">
        <f t="shared" si="224"/>
        <v>-3551.8249902776502</v>
      </c>
      <c r="AC21" s="217">
        <f t="shared" si="224"/>
        <v>-3563.6644069119097</v>
      </c>
      <c r="AD21" s="217">
        <f t="shared" si="224"/>
        <v>-3575.5432882682826</v>
      </c>
      <c r="AE21" s="217">
        <f t="shared" si="224"/>
        <v>-3587.4617658958437</v>
      </c>
      <c r="AF21" s="217">
        <f t="shared" si="224"/>
        <v>-3599.4199717821634</v>
      </c>
      <c r="AG21" s="217">
        <f t="shared" si="224"/>
        <v>-3611.4180383547709</v>
      </c>
      <c r="AH21" s="217">
        <f t="shared" si="224"/>
        <v>-3623.4560984826207</v>
      </c>
      <c r="AI21" s="217">
        <f t="shared" si="224"/>
        <v>-3635.5342854775627</v>
      </c>
      <c r="AJ21" s="217">
        <f t="shared" si="224"/>
        <v>-3647.6527330958211</v>
      </c>
      <c r="AK21" s="217">
        <f t="shared" si="224"/>
        <v>-3659.8115755394742</v>
      </c>
      <c r="AL21" s="217">
        <f t="shared" si="224"/>
        <v>-3672.010947457939</v>
      </c>
      <c r="AM21" s="217">
        <f t="shared" si="224"/>
        <v>-3684.250983949466</v>
      </c>
      <c r="AN21" s="217">
        <f t="shared" si="224"/>
        <v>-3696.5318205626309</v>
      </c>
      <c r="AO21" s="217">
        <f t="shared" si="224"/>
        <v>-3708.8535932978402</v>
      </c>
      <c r="AP21" s="217">
        <f t="shared" si="224"/>
        <v>-3721.2164386088334</v>
      </c>
      <c r="AQ21" s="217">
        <f t="shared" si="224"/>
        <v>-3733.6204934041966</v>
      </c>
      <c r="AR21" s="217">
        <f t="shared" si="224"/>
        <v>-3746.0658950488769</v>
      </c>
      <c r="AS21" s="217">
        <f t="shared" si="224"/>
        <v>-3758.5527813657072</v>
      </c>
      <c r="AT21" s="217">
        <f t="shared" si="224"/>
        <v>-3771.0812906369265</v>
      </c>
      <c r="AU21" s="217">
        <f t="shared" si="224"/>
        <v>-3783.6515616057159</v>
      </c>
      <c r="AV21" s="217">
        <f t="shared" si="224"/>
        <v>-3796.2637334777355</v>
      </c>
      <c r="AW21" s="217">
        <f t="shared" si="224"/>
        <v>-3808.9179459226616</v>
      </c>
      <c r="AX21" s="217">
        <f t="shared" si="224"/>
        <v>-3821.6143390757375</v>
      </c>
      <c r="AY21" s="217">
        <f t="shared" si="224"/>
        <v>-3834.3530535393234</v>
      </c>
      <c r="AZ21" s="217">
        <f t="shared" si="224"/>
        <v>-3847.1342303844553</v>
      </c>
      <c r="BA21" s="217">
        <f t="shared" si="224"/>
        <v>-3859.9580111524042</v>
      </c>
      <c r="BB21" s="217">
        <f t="shared" si="224"/>
        <v>-3872.8245378562456</v>
      </c>
      <c r="BC21" s="217">
        <f t="shared" si="224"/>
        <v>-3885.7339529824335</v>
      </c>
      <c r="BD21" s="217">
        <f t="shared" si="224"/>
        <v>-3898.6863994923751</v>
      </c>
      <c r="BE21" s="217">
        <f t="shared" si="224"/>
        <v>-3911.6820208240165</v>
      </c>
      <c r="BF21" s="217">
        <f t="shared" si="224"/>
        <v>-3924.7209608934304</v>
      </c>
      <c r="BG21" s="217">
        <f t="shared" si="224"/>
        <v>-3937.8033640964086</v>
      </c>
      <c r="BH21" s="217">
        <f t="shared" si="224"/>
        <v>-3950.9293753100637</v>
      </c>
      <c r="BI21" s="217">
        <f t="shared" si="224"/>
        <v>-3964.0991398944307</v>
      </c>
      <c r="BJ21" s="217">
        <f t="shared" si="224"/>
        <v>-3977.3128036940789</v>
      </c>
      <c r="BK21" s="217">
        <f t="shared" si="224"/>
        <v>-3990.5705130397259</v>
      </c>
      <c r="BL21" s="217">
        <f t="shared" si="224"/>
        <v>-4003.8724147498592</v>
      </c>
      <c r="BM21" s="217">
        <f t="shared" si="224"/>
        <v>-4017.2186561323588</v>
      </c>
      <c r="BN21" s="217">
        <f t="shared" si="224"/>
        <v>-4030.6093849861336</v>
      </c>
      <c r="BO21" s="217">
        <f t="shared" si="224"/>
        <v>-4044.0447496027546</v>
      </c>
      <c r="BP21" s="217">
        <f t="shared" si="224"/>
        <v>-4057.5248987680975</v>
      </c>
      <c r="BR21" s="225">
        <f>SUM(I21:T21)</f>
        <v>-40023.386402488395</v>
      </c>
      <c r="BS21" s="224">
        <f>BR21</f>
        <v>-40023.386402488395</v>
      </c>
      <c r="BT21" s="225">
        <f>BR21-BS21</f>
        <v>0</v>
      </c>
      <c r="BV21" t="s">
        <v>9</v>
      </c>
      <c r="BW21" s="217">
        <f t="shared" si="155"/>
        <v>-40023.386402488395</v>
      </c>
      <c r="BX21" s="217">
        <f t="shared" si="155"/>
        <v>-42412.473301915576</v>
      </c>
      <c r="BY21" s="217">
        <f t="shared" si="155"/>
        <v>-44140.422903280036</v>
      </c>
      <c r="BZ21" s="217">
        <f t="shared" si="155"/>
        <v>-45938.771837491717</v>
      </c>
      <c r="CA21" s="217">
        <f t="shared" si="155"/>
        <v>-47810.388281991363</v>
      </c>
      <c r="CC21" s="217">
        <f t="shared" si="218"/>
        <v>-40023.386402488395</v>
      </c>
      <c r="CD21" s="217">
        <f t="shared" si="219"/>
        <v>-42412.473301915576</v>
      </c>
      <c r="CE21" s="217">
        <f t="shared" si="220"/>
        <v>-44140.422903280036</v>
      </c>
      <c r="CF21" s="217">
        <f t="shared" si="221"/>
        <v>-45938.771837491717</v>
      </c>
      <c r="CG21" s="217">
        <f t="shared" si="222"/>
        <v>-47810.388281991363</v>
      </c>
      <c r="CI21" t="str">
        <f t="shared" si="223"/>
        <v>OK</v>
      </c>
      <c r="CJ21" t="str">
        <f t="shared" si="156"/>
        <v>OK</v>
      </c>
      <c r="CK21" t="str">
        <f t="shared" si="156"/>
        <v>OK</v>
      </c>
      <c r="CL21" t="str">
        <f t="shared" si="156"/>
        <v>OK</v>
      </c>
      <c r="CM21" t="str">
        <f t="shared" si="156"/>
        <v>OK</v>
      </c>
    </row>
    <row r="22" spans="2:91" x14ac:dyDescent="0.3">
      <c r="B22" t="s">
        <v>10</v>
      </c>
      <c r="E22" s="43">
        <f>SUM(E19:E21)</f>
        <v>1021816.6799999999</v>
      </c>
      <c r="F22" s="43">
        <f>SUM(F19:F21)</f>
        <v>832809.83</v>
      </c>
      <c r="H22" s="220">
        <f>'P-Builder'!Q8</f>
        <v>88458.819999999992</v>
      </c>
      <c r="I22" s="217">
        <f t="shared" ref="I22:T22" si="225">SUM(I19:I21)</f>
        <v>85833.796532851964</v>
      </c>
      <c r="J22" s="217">
        <f t="shared" si="225"/>
        <v>86406.021843070979</v>
      </c>
      <c r="K22" s="217">
        <f t="shared" si="225"/>
        <v>86982.061988691465</v>
      </c>
      <c r="L22" s="217">
        <f t="shared" si="225"/>
        <v>92104.013196956876</v>
      </c>
      <c r="M22" s="217">
        <f t="shared" si="225"/>
        <v>97260.110746610735</v>
      </c>
      <c r="N22" s="217">
        <f t="shared" si="225"/>
        <v>102450.58227992895</v>
      </c>
      <c r="O22" s="217">
        <f t="shared" si="225"/>
        <v>104895.54545711519</v>
      </c>
      <c r="P22" s="217">
        <f t="shared" si="225"/>
        <v>107356.808388816</v>
      </c>
      <c r="Q22" s="217">
        <f t="shared" si="225"/>
        <v>109834.47974006148</v>
      </c>
      <c r="R22" s="217">
        <f t="shared" si="225"/>
        <v>112328.66890031527</v>
      </c>
      <c r="S22" s="217">
        <f t="shared" si="225"/>
        <v>114839.48598830409</v>
      </c>
      <c r="T22" s="217">
        <f t="shared" si="225"/>
        <v>117367.04185687948</v>
      </c>
      <c r="U22" s="217">
        <f t="shared" ref="U22" si="226">SUM(U19:U21)</f>
        <v>97456.161231579332</v>
      </c>
      <c r="V22" s="217">
        <f t="shared" ref="V22" si="227">SUM(V19:V21)</f>
        <v>98729.401022676437</v>
      </c>
      <c r="W22" s="217">
        <f t="shared" ref="W22" si="228">SUM(W19:W21)</f>
        <v>100006.88494641053</v>
      </c>
      <c r="X22" s="217">
        <f t="shared" ref="X22" si="229">SUM(X19:X21)</f>
        <v>101288.62714989041</v>
      </c>
      <c r="Y22" s="217">
        <f t="shared" ref="Y22" si="230">SUM(Y19:Y21)</f>
        <v>102574.64182738189</v>
      </c>
      <c r="Z22" s="217">
        <f t="shared" ref="Z22" si="231">SUM(Z19:Z21)</f>
        <v>103864.94322046499</v>
      </c>
      <c r="AA22" s="217">
        <f t="shared" ref="AA22" si="232">SUM(AA19:AA21)</f>
        <v>105159.54561819171</v>
      </c>
      <c r="AB22" s="217">
        <f t="shared" ref="AB22" si="233">SUM(AB19:AB21)</f>
        <v>106458.4633572442</v>
      </c>
      <c r="AC22" s="217">
        <f t="shared" ref="AC22" si="234">SUM(AC19:AC21)</f>
        <v>107761.71082209349</v>
      </c>
      <c r="AD22" s="217">
        <f t="shared" ref="AD22" si="235">SUM(AD19:AD21)</f>
        <v>109069.30244515899</v>
      </c>
      <c r="AE22" s="217">
        <f t="shared" ref="AE22" si="236">SUM(AE19:AE21)</f>
        <v>110381.25270696801</v>
      </c>
      <c r="AF22" s="217">
        <f t="shared" ref="AF22" si="237">SUM(AF19:AF21)</f>
        <v>111697.57613631641</v>
      </c>
      <c r="AG22" s="217">
        <f t="shared" ref="AG22" si="238">SUM(AG19:AG21)</f>
        <v>101426.67560719377</v>
      </c>
      <c r="AH22" s="217">
        <f t="shared" ref="AH22" si="239">SUM(AH19:AH21)</f>
        <v>102751.78915188703</v>
      </c>
      <c r="AI22" s="217">
        <f t="shared" ref="AI22" si="240">SUM(AI19:AI21)</f>
        <v>104081.31974172925</v>
      </c>
      <c r="AJ22" s="217">
        <f t="shared" ref="AJ22" si="241">SUM(AJ19:AJ21)</f>
        <v>105415.28210020432</v>
      </c>
      <c r="AK22" s="217">
        <f t="shared" ref="AK22" si="242">SUM(AK19:AK21)</f>
        <v>106753.69099987429</v>
      </c>
      <c r="AL22" s="217">
        <f t="shared" ref="AL22" si="243">SUM(AL19:AL21)</f>
        <v>108096.56126254315</v>
      </c>
      <c r="AM22" s="217">
        <f t="shared" ref="AM22" si="244">SUM(AM19:AM21)</f>
        <v>109443.90775942092</v>
      </c>
      <c r="AN22" s="217">
        <f t="shared" ref="AN22" si="245">SUM(AN19:AN21)</f>
        <v>110795.74541128827</v>
      </c>
      <c r="AO22" s="217">
        <f t="shared" ref="AO22" si="246">SUM(AO19:AO21)</f>
        <v>112152.08918866186</v>
      </c>
      <c r="AP22" s="217">
        <f t="shared" ref="AP22" si="247">SUM(AP19:AP21)</f>
        <v>113512.95411196002</v>
      </c>
      <c r="AQ22" s="217">
        <f t="shared" ref="AQ22" si="248">SUM(AQ19:AQ21)</f>
        <v>114878.35525166917</v>
      </c>
      <c r="AR22" s="217">
        <f t="shared" ref="AR22" si="249">SUM(AR19:AR21)</f>
        <v>116248.3077285107</v>
      </c>
      <c r="AS22" s="217">
        <f t="shared" ref="AS22" si="250">SUM(AS19:AS21)</f>
        <v>105558.9548646559</v>
      </c>
      <c r="AT22" s="217">
        <f t="shared" ref="AT22" si="251">SUM(AT19:AT21)</f>
        <v>106938.05557970388</v>
      </c>
      <c r="AU22" s="217">
        <f t="shared" ref="AU22" si="252">SUM(AU19:AU21)</f>
        <v>108321.75329713536</v>
      </c>
      <c r="AV22" s="217">
        <f t="shared" ref="AV22" si="253">SUM(AV19:AV21)</f>
        <v>109710.0633402916</v>
      </c>
      <c r="AW22" s="217">
        <f t="shared" ref="AW22" si="254">SUM(AW19:AW21)</f>
        <v>111103.00108359172</v>
      </c>
      <c r="AX22" s="217">
        <f t="shared" ref="AX22" si="255">SUM(AX19:AX21)</f>
        <v>112500.58195270282</v>
      </c>
      <c r="AY22" s="217">
        <f t="shared" ref="AY22" si="256">SUM(AY19:AY21)</f>
        <v>113902.82142471097</v>
      </c>
      <c r="AZ22" s="217">
        <f t="shared" ref="AZ22" si="257">SUM(AZ19:AZ21)</f>
        <v>115309.73502829247</v>
      </c>
      <c r="BA22" s="217">
        <f t="shared" ref="BA22" si="258">SUM(BA19:BA21)</f>
        <v>116721.33834388592</v>
      </c>
      <c r="BB22" s="217">
        <f t="shared" ref="BB22" si="259">SUM(BB19:BB21)</f>
        <v>118137.64700386467</v>
      </c>
      <c r="BC22" s="217">
        <f t="shared" ref="BC22" si="260">SUM(BC19:BC21)</f>
        <v>119558.67669271001</v>
      </c>
      <c r="BD22" s="217">
        <f t="shared" ref="BD22" si="261">SUM(BD19:BD21)</f>
        <v>120984.44314718485</v>
      </c>
      <c r="BE22" s="217">
        <f t="shared" ref="BE22" si="262">SUM(BE19:BE21)</f>
        <v>109859.58955484253</v>
      </c>
      <c r="BF22" s="217">
        <f t="shared" ref="BF22" si="263">SUM(BF19:BF21)</f>
        <v>111294.87696086334</v>
      </c>
      <c r="BG22" s="217">
        <f t="shared" ref="BG22" si="264">SUM(BG19:BG21)</f>
        <v>112734.94865823758</v>
      </c>
      <c r="BH22" s="217">
        <f t="shared" ref="BH22" si="265">SUM(BH19:BH21)</f>
        <v>114179.82059460306</v>
      </c>
      <c r="BI22" s="217">
        <f t="shared" ref="BI22" si="266">SUM(BI19:BI21)</f>
        <v>115629.50877075641</v>
      </c>
      <c r="BJ22" s="217">
        <f t="shared" ref="BJ22" si="267">SUM(BJ19:BJ21)</f>
        <v>117084.02924083029</v>
      </c>
      <c r="BK22" s="217">
        <f t="shared" ref="BK22" si="268">SUM(BK19:BK21)</f>
        <v>118543.39811247107</v>
      </c>
      <c r="BL22" s="217">
        <f t="shared" ref="BL22" si="269">SUM(BL19:BL21)</f>
        <v>120007.63154701733</v>
      </c>
      <c r="BM22" s="217">
        <f t="shared" ref="BM22" si="270">SUM(BM19:BM21)</f>
        <v>121476.74575967873</v>
      </c>
      <c r="BN22" s="217">
        <f t="shared" ref="BN22" si="271">SUM(BN19:BN21)</f>
        <v>122950.75701971569</v>
      </c>
      <c r="BO22" s="217">
        <f t="shared" ref="BO22" si="272">SUM(BO19:BO21)</f>
        <v>124429.68165061943</v>
      </c>
      <c r="BP22" s="217">
        <f t="shared" ref="BP22" si="273">SUM(BP19:BP21)</f>
        <v>125913.53603029283</v>
      </c>
      <c r="BR22" s="217">
        <f>SUM(BR19:BR21)</f>
        <v>1217658.6169196025</v>
      </c>
      <c r="BS22" s="217">
        <f>SUM(BS19:BS21)</f>
        <v>1093343.8476</v>
      </c>
      <c r="BT22" s="217">
        <f>BR22-BS22</f>
        <v>124314.76931960252</v>
      </c>
      <c r="BV22" t="s">
        <v>10</v>
      </c>
      <c r="BW22" s="217">
        <f t="shared" si="155"/>
        <v>1217658.6169196023</v>
      </c>
      <c r="BX22" s="217">
        <f t="shared" si="155"/>
        <v>1254448.5104843765</v>
      </c>
      <c r="BY22" s="217">
        <f t="shared" si="155"/>
        <v>1305556.6783149429</v>
      </c>
      <c r="BZ22" s="217">
        <f t="shared" si="155"/>
        <v>1358747.0717587301</v>
      </c>
      <c r="CA22" s="217">
        <f t="shared" si="155"/>
        <v>1414104.5238999284</v>
      </c>
      <c r="CC22" s="217">
        <f>SUM($I22:$T22)</f>
        <v>1217658.6169196023</v>
      </c>
      <c r="CD22" s="217">
        <f>SUM($U22:$AF22)</f>
        <v>1254448.5104843765</v>
      </c>
      <c r="CE22" s="217">
        <f>SUM($AG22:$AR22)</f>
        <v>1305556.6783149429</v>
      </c>
      <c r="CF22" s="217">
        <f>SUM($AS22:$BD22)</f>
        <v>1358747.0717587301</v>
      </c>
      <c r="CG22" s="217">
        <f>SUM($BE22:$BP22)</f>
        <v>1414104.5238999284</v>
      </c>
    </row>
    <row r="23" spans="2:91" ht="16.8" x14ac:dyDescent="0.45">
      <c r="B23" s="118" t="s">
        <v>103</v>
      </c>
      <c r="E23" s="43">
        <f>E19/($C$4*E24)/12</f>
        <v>1.0390210800425856</v>
      </c>
      <c r="F23" s="43">
        <f>F19/($C$4*F24)/12</f>
        <v>0.84683190827994925</v>
      </c>
      <c r="H23" s="43">
        <f>'Inputs &amp; Drivers'!E37</f>
        <v>1.0390210800425856</v>
      </c>
      <c r="I23" s="43">
        <f>I19/($C$4*I24)</f>
        <v>1.0865743458444694</v>
      </c>
      <c r="J23" s="43">
        <f t="shared" ref="J23:T23" si="274">J19/($C$4*J24)</f>
        <v>1.0938181748167659</v>
      </c>
      <c r="K23" s="43">
        <f t="shared" si="274"/>
        <v>1.101110295982211</v>
      </c>
      <c r="L23" s="43">
        <f t="shared" si="274"/>
        <v>1.108451031288759</v>
      </c>
      <c r="M23" s="43">
        <f t="shared" si="274"/>
        <v>1.115840704830684</v>
      </c>
      <c r="N23" s="43">
        <f t="shared" si="274"/>
        <v>1.1232796428628884</v>
      </c>
      <c r="O23" s="43">
        <f t="shared" si="274"/>
        <v>1.1307681738153075</v>
      </c>
      <c r="P23" s="43">
        <f t="shared" si="274"/>
        <v>1.1383066283074095</v>
      </c>
      <c r="Q23" s="43">
        <f>Q19/($C$4*Q24)</f>
        <v>1.1458953391627922</v>
      </c>
      <c r="R23" s="43">
        <f t="shared" si="274"/>
        <v>1.1535346414238774</v>
      </c>
      <c r="S23" s="43">
        <f t="shared" si="274"/>
        <v>1.1612248723667031</v>
      </c>
      <c r="T23" s="43">
        <f t="shared" si="274"/>
        <v>1.1689663715158145</v>
      </c>
      <c r="U23" s="43">
        <f t="shared" ref="U23" si="275">U19/($C$4*U24)</f>
        <v>1.1728629260875341</v>
      </c>
      <c r="V23" s="43">
        <f t="shared" ref="V23" si="276">V19/($C$4*V24)</f>
        <v>1.1767724691744925</v>
      </c>
      <c r="W23" s="43">
        <f t="shared" ref="W23" si="277">W19/($C$4*W24)</f>
        <v>1.180695044071741</v>
      </c>
      <c r="X23" s="43">
        <f t="shared" ref="X23" si="278">X19/($C$4*X24)</f>
        <v>1.1846306942186469</v>
      </c>
      <c r="Y23" s="43">
        <f t="shared" ref="Y23" si="279">Y19/($C$4*Y24)</f>
        <v>1.1885794631993758</v>
      </c>
      <c r="Z23" s="43">
        <f t="shared" ref="Z23" si="280">Z19/($C$4*Z24)</f>
        <v>1.1925413947433738</v>
      </c>
      <c r="AA23" s="43">
        <f t="shared" ref="AA23" si="281">AA19/($C$4*AA24)</f>
        <v>1.1965165327258518</v>
      </c>
      <c r="AB23" s="43">
        <f t="shared" ref="AB23" si="282">AB19/($C$4*AB24)</f>
        <v>1.2005049211682715</v>
      </c>
      <c r="AC23" s="43">
        <f t="shared" ref="AC23" si="283">AC19/($C$4*AC24)</f>
        <v>1.2045066042388324</v>
      </c>
      <c r="AD23" s="43">
        <f t="shared" ref="AD23" si="284">AD19/($C$4*AD24)</f>
        <v>1.2085216262529619</v>
      </c>
      <c r="AE23" s="43">
        <f t="shared" ref="AE23" si="285">AE19/($C$4*AE24)</f>
        <v>1.2125500316738052</v>
      </c>
      <c r="AF23" s="43">
        <f t="shared" ref="AF23" si="286">AF19/($C$4*AF24)</f>
        <v>1.2165918651127179</v>
      </c>
      <c r="AG23" s="43">
        <f t="shared" ref="AG23" si="287">AG19/($C$4*AG24)</f>
        <v>1.2206471713297604</v>
      </c>
      <c r="AH23" s="43">
        <f t="shared" ref="AH23" si="288">AH19/($C$4*AH24)</f>
        <v>1.2247159952341931</v>
      </c>
      <c r="AI23" s="43">
        <f t="shared" ref="AI23" si="289">AI19/($C$4*AI24)</f>
        <v>1.2287983818849737</v>
      </c>
      <c r="AJ23" s="43">
        <f t="shared" ref="AJ23" si="290">AJ19/($C$4*AJ24)</f>
        <v>1.232894376491257</v>
      </c>
      <c r="AK23" s="43">
        <f t="shared" ref="AK23" si="291">AK19/($C$4*AK24)</f>
        <v>1.2370040244128946</v>
      </c>
      <c r="AL23" s="43">
        <f t="shared" ref="AL23" si="292">AL19/($C$4*AL24)</f>
        <v>1.2411273711609376</v>
      </c>
      <c r="AM23" s="43">
        <f t="shared" ref="AM23" si="293">AM19/($C$4*AM24)</f>
        <v>1.2452644623981408</v>
      </c>
      <c r="AN23" s="43">
        <f t="shared" ref="AN23" si="294">AN19/($C$4*AN24)</f>
        <v>1.249415343939468</v>
      </c>
      <c r="AO23" s="43">
        <f t="shared" ref="AO23" si="295">AO19/($C$4*AO24)</f>
        <v>1.2535800617525996</v>
      </c>
      <c r="AP23" s="43">
        <f t="shared" ref="AP23" si="296">AP19/($C$4*AP24)</f>
        <v>1.2577586619584418</v>
      </c>
      <c r="AQ23" s="43">
        <f t="shared" ref="AQ23" si="297">AQ19/($C$4*AQ24)</f>
        <v>1.2619511908316368</v>
      </c>
      <c r="AR23" s="43">
        <f t="shared" ref="AR23" si="298">AR19/($C$4*AR24)</f>
        <v>1.2661576948010755</v>
      </c>
      <c r="AS23" s="43">
        <f t="shared" ref="AS23" si="299">AS19/($C$4*AS24)</f>
        <v>1.2703782204504126</v>
      </c>
      <c r="AT23" s="43">
        <f t="shared" ref="AT23" si="300">AT19/($C$4*AT24)</f>
        <v>1.2746128145185807</v>
      </c>
      <c r="AU23" s="43">
        <f t="shared" ref="AU23" si="301">AU19/($C$4*AU24)</f>
        <v>1.2788615239003094</v>
      </c>
      <c r="AV23" s="43">
        <f t="shared" ref="AV23" si="302">AV19/($C$4*AV24)</f>
        <v>1.2831243956466438</v>
      </c>
      <c r="AW23" s="43">
        <f t="shared" ref="AW23" si="303">AW19/($C$4*AW24)</f>
        <v>1.287401476965466</v>
      </c>
      <c r="AX23" s="43">
        <f t="shared" ref="AX23" si="304">AX19/($C$4*AX24)</f>
        <v>1.2916928152220177</v>
      </c>
      <c r="AY23" s="43">
        <f t="shared" ref="AY23" si="305">AY19/($C$4*AY24)</f>
        <v>1.2959984579394246</v>
      </c>
      <c r="AZ23" s="43">
        <f t="shared" ref="AZ23" si="306">AZ19/($C$4*AZ24)</f>
        <v>1.3003184527992229</v>
      </c>
      <c r="BA23" s="43">
        <f t="shared" ref="BA23" si="307">BA19/($C$4*BA24)</f>
        <v>1.304652847641887</v>
      </c>
      <c r="BB23" s="43">
        <f t="shared" ref="BB23" si="308">BB19/($C$4*BB24)</f>
        <v>1.30900169046736</v>
      </c>
      <c r="BC23" s="43">
        <f t="shared" ref="BC23" si="309">BC19/($C$4*BC24)</f>
        <v>1.3133650294355848</v>
      </c>
      <c r="BD23" s="43">
        <f t="shared" ref="BD23" si="310">BD19/($C$4*BD24)</f>
        <v>1.3177429128670368</v>
      </c>
      <c r="BE23" s="43">
        <f t="shared" ref="BE23" si="311">BE19/($C$4*BE24)</f>
        <v>1.3221353892432604</v>
      </c>
      <c r="BF23" s="43">
        <f t="shared" ref="BF23" si="312">BF19/($C$4*BF24)</f>
        <v>1.3265425072074046</v>
      </c>
      <c r="BG23" s="43">
        <f t="shared" ref="BG23" si="313">BG19/($C$4*BG24)</f>
        <v>1.3309643155647628</v>
      </c>
      <c r="BH23" s="43">
        <f t="shared" ref="BH23" si="314">BH19/($C$4*BH24)</f>
        <v>1.3354008632833121</v>
      </c>
      <c r="BI23" s="43">
        <f t="shared" ref="BI23" si="315">BI19/($C$4*BI24)</f>
        <v>1.3398521994942565</v>
      </c>
      <c r="BJ23" s="43">
        <f t="shared" ref="BJ23" si="316">BJ19/($C$4*BJ24)</f>
        <v>1.3443183734925708</v>
      </c>
      <c r="BK23" s="43">
        <f t="shared" ref="BK23" si="317">BK19/($C$4*BK24)</f>
        <v>1.348799434737546</v>
      </c>
      <c r="BL23" s="43">
        <f t="shared" ref="BL23" si="318">BL19/($C$4*BL24)</f>
        <v>1.353295432853338</v>
      </c>
      <c r="BM23" s="43">
        <f t="shared" ref="BM23" si="319">BM19/($C$4*BM24)</f>
        <v>1.3578064176295159</v>
      </c>
      <c r="BN23" s="43">
        <f t="shared" ref="BN23" si="320">BN19/($C$4*BN24)</f>
        <v>1.3623324390216145</v>
      </c>
      <c r="BO23" s="43">
        <f t="shared" ref="BO23" si="321">BO19/($C$4*BO24)</f>
        <v>1.3668735471516866</v>
      </c>
      <c r="BP23" s="43">
        <f t="shared" ref="BP23" si="322">BP19/($C$4*BP24)</f>
        <v>1.371429792308859</v>
      </c>
      <c r="BR23" s="225"/>
      <c r="BS23" s="225"/>
      <c r="BT23" s="225"/>
      <c r="BW23" s="228"/>
      <c r="BX23" s="228"/>
      <c r="BY23" s="228"/>
      <c r="BZ23" s="228"/>
      <c r="CA23" s="228"/>
      <c r="CC23" t="str">
        <f>IF(CC22=BW22,"OK","Check")</f>
        <v>OK</v>
      </c>
      <c r="CD23" t="str">
        <f t="shared" ref="CD23:CG23" si="323">IF(CD22=BX22,"OK","Check")</f>
        <v>OK</v>
      </c>
      <c r="CE23" t="str">
        <f t="shared" si="323"/>
        <v>OK</v>
      </c>
      <c r="CF23" t="str">
        <f t="shared" si="323"/>
        <v>OK</v>
      </c>
      <c r="CG23" t="str">
        <f t="shared" si="323"/>
        <v>OK</v>
      </c>
    </row>
    <row r="24" spans="2:91" ht="16.8" x14ac:dyDescent="0.45">
      <c r="B24" s="118" t="s">
        <v>104</v>
      </c>
      <c r="E24" s="130">
        <f>C7/C6</f>
        <v>0.91721854304635764</v>
      </c>
      <c r="F24" s="130">
        <f>C7/C6</f>
        <v>0.91721854304635764</v>
      </c>
      <c r="H24" s="130">
        <f t="shared" ref="H24:T24" si="324">H15/$C$6</f>
        <v>0.91721854304635764</v>
      </c>
      <c r="I24" s="130">
        <f t="shared" si="324"/>
        <v>0.91721854304635764</v>
      </c>
      <c r="J24" s="130">
        <f t="shared" si="324"/>
        <v>0.91721854304635764</v>
      </c>
      <c r="K24" s="130">
        <f t="shared" si="324"/>
        <v>0.91721854304635764</v>
      </c>
      <c r="L24" s="130">
        <f t="shared" si="324"/>
        <v>0.91721854304635764</v>
      </c>
      <c r="M24" s="130">
        <f t="shared" si="324"/>
        <v>0.91721854304635764</v>
      </c>
      <c r="N24" s="130">
        <f t="shared" si="324"/>
        <v>0.91721854304635764</v>
      </c>
      <c r="O24" s="130">
        <f t="shared" si="324"/>
        <v>0.91721854304635764</v>
      </c>
      <c r="P24" s="130">
        <f t="shared" si="324"/>
        <v>0.91721854304635764</v>
      </c>
      <c r="Q24" s="130">
        <f t="shared" si="324"/>
        <v>0.91721854304635764</v>
      </c>
      <c r="R24" s="130">
        <f t="shared" si="324"/>
        <v>0.91721854304635764</v>
      </c>
      <c r="S24" s="130">
        <f t="shared" si="324"/>
        <v>0.91721854304635764</v>
      </c>
      <c r="T24" s="130">
        <f t="shared" si="324"/>
        <v>0.91721854304635764</v>
      </c>
      <c r="U24" s="130">
        <f t="shared" ref="U24:BP24" si="325">U15/$C$6</f>
        <v>0.91721854304635764</v>
      </c>
      <c r="V24" s="130">
        <f t="shared" si="325"/>
        <v>0.91721854304635764</v>
      </c>
      <c r="W24" s="130">
        <f t="shared" si="325"/>
        <v>0.91721854304635764</v>
      </c>
      <c r="X24" s="130">
        <f t="shared" si="325"/>
        <v>0.91721854304635764</v>
      </c>
      <c r="Y24" s="130">
        <f t="shared" si="325"/>
        <v>0.91721854304635764</v>
      </c>
      <c r="Z24" s="130">
        <f t="shared" si="325"/>
        <v>0.91721854304635764</v>
      </c>
      <c r="AA24" s="130">
        <f t="shared" si="325"/>
        <v>0.91721854304635764</v>
      </c>
      <c r="AB24" s="130">
        <f t="shared" si="325"/>
        <v>0.91721854304635764</v>
      </c>
      <c r="AC24" s="130">
        <f t="shared" si="325"/>
        <v>0.91721854304635764</v>
      </c>
      <c r="AD24" s="130">
        <f t="shared" si="325"/>
        <v>0.91721854304635764</v>
      </c>
      <c r="AE24" s="130">
        <f t="shared" si="325"/>
        <v>0.91721854304635764</v>
      </c>
      <c r="AF24" s="130">
        <f t="shared" si="325"/>
        <v>0.91721854304635764</v>
      </c>
      <c r="AG24" s="130">
        <f t="shared" si="325"/>
        <v>0.91721854304635764</v>
      </c>
      <c r="AH24" s="130">
        <f t="shared" si="325"/>
        <v>0.91721854304635764</v>
      </c>
      <c r="AI24" s="130">
        <f t="shared" si="325"/>
        <v>0.91721854304635764</v>
      </c>
      <c r="AJ24" s="130">
        <f t="shared" si="325"/>
        <v>0.91721854304635764</v>
      </c>
      <c r="AK24" s="130">
        <f t="shared" si="325"/>
        <v>0.91721854304635764</v>
      </c>
      <c r="AL24" s="130">
        <f t="shared" si="325"/>
        <v>0.91721854304635764</v>
      </c>
      <c r="AM24" s="130">
        <f t="shared" si="325"/>
        <v>0.91721854304635764</v>
      </c>
      <c r="AN24" s="130">
        <f t="shared" si="325"/>
        <v>0.91721854304635764</v>
      </c>
      <c r="AO24" s="130">
        <f t="shared" si="325"/>
        <v>0.91721854304635764</v>
      </c>
      <c r="AP24" s="130">
        <f t="shared" si="325"/>
        <v>0.91721854304635764</v>
      </c>
      <c r="AQ24" s="130">
        <f t="shared" si="325"/>
        <v>0.91721854304635764</v>
      </c>
      <c r="AR24" s="130">
        <f t="shared" si="325"/>
        <v>0.91721854304635764</v>
      </c>
      <c r="AS24" s="130">
        <f t="shared" si="325"/>
        <v>0.91721854304635764</v>
      </c>
      <c r="AT24" s="130">
        <f t="shared" si="325"/>
        <v>0.91721854304635764</v>
      </c>
      <c r="AU24" s="130">
        <f t="shared" si="325"/>
        <v>0.91721854304635764</v>
      </c>
      <c r="AV24" s="130">
        <f t="shared" si="325"/>
        <v>0.91721854304635764</v>
      </c>
      <c r="AW24" s="130">
        <f t="shared" si="325"/>
        <v>0.91721854304635764</v>
      </c>
      <c r="AX24" s="130">
        <f t="shared" si="325"/>
        <v>0.91721854304635764</v>
      </c>
      <c r="AY24" s="130">
        <f t="shared" si="325"/>
        <v>0.91721854304635764</v>
      </c>
      <c r="AZ24" s="130">
        <f t="shared" si="325"/>
        <v>0.91721854304635764</v>
      </c>
      <c r="BA24" s="130">
        <f t="shared" si="325"/>
        <v>0.91721854304635764</v>
      </c>
      <c r="BB24" s="130">
        <f t="shared" si="325"/>
        <v>0.91721854304635764</v>
      </c>
      <c r="BC24" s="130">
        <f t="shared" si="325"/>
        <v>0.91721854304635764</v>
      </c>
      <c r="BD24" s="130">
        <f t="shared" si="325"/>
        <v>0.91721854304635764</v>
      </c>
      <c r="BE24" s="130">
        <f t="shared" si="325"/>
        <v>0.91721854304635764</v>
      </c>
      <c r="BF24" s="130">
        <f t="shared" si="325"/>
        <v>0.91721854304635764</v>
      </c>
      <c r="BG24" s="130">
        <f t="shared" si="325"/>
        <v>0.91721854304635764</v>
      </c>
      <c r="BH24" s="130">
        <f t="shared" si="325"/>
        <v>0.91721854304635764</v>
      </c>
      <c r="BI24" s="130">
        <f t="shared" si="325"/>
        <v>0.91721854304635764</v>
      </c>
      <c r="BJ24" s="130">
        <f t="shared" si="325"/>
        <v>0.91721854304635764</v>
      </c>
      <c r="BK24" s="130">
        <f t="shared" si="325"/>
        <v>0.91721854304635764</v>
      </c>
      <c r="BL24" s="130">
        <f t="shared" si="325"/>
        <v>0.91721854304635764</v>
      </c>
      <c r="BM24" s="130">
        <f t="shared" si="325"/>
        <v>0.91721854304635764</v>
      </c>
      <c r="BN24" s="130">
        <f t="shared" si="325"/>
        <v>0.91721854304635764</v>
      </c>
      <c r="BO24" s="130">
        <f t="shared" si="325"/>
        <v>0.91721854304635764</v>
      </c>
      <c r="BP24" s="130">
        <f t="shared" si="325"/>
        <v>0.91721854304635764</v>
      </c>
      <c r="BR24" s="225"/>
      <c r="BS24" s="225"/>
      <c r="BT24" s="225"/>
      <c r="BW24" s="228"/>
      <c r="BX24" s="228"/>
      <c r="BY24" s="228"/>
      <c r="BZ24" s="228"/>
      <c r="CA24" s="228"/>
    </row>
    <row r="25" spans="2:91" x14ac:dyDescent="0.3"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R25" s="225"/>
      <c r="BS25" s="225"/>
      <c r="BT25" s="225"/>
      <c r="BW25" s="228"/>
      <c r="BX25" s="228"/>
      <c r="BY25" s="228"/>
      <c r="BZ25" s="228"/>
      <c r="CA25" s="228"/>
    </row>
    <row r="26" spans="2:91" x14ac:dyDescent="0.3"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R26" s="225"/>
      <c r="BS26" s="225"/>
      <c r="BT26" s="225"/>
      <c r="BW26" s="228"/>
      <c r="BX26" s="228"/>
      <c r="BY26" s="228"/>
      <c r="BZ26" s="228"/>
      <c r="CA26" s="228"/>
    </row>
    <row r="27" spans="2:91" x14ac:dyDescent="0.3">
      <c r="B27" s="211" t="s">
        <v>11</v>
      </c>
      <c r="E27" s="121">
        <f>SUM('P-Builder'!O10:Q10)*4</f>
        <v>29888.720000000001</v>
      </c>
      <c r="F27" s="121">
        <f>SUM('P-Builder'!F10:Q10)</f>
        <v>22165.125</v>
      </c>
      <c r="H27" s="216">
        <f>'Inputs &amp; Drivers'!D43*H13</f>
        <v>580</v>
      </c>
      <c r="I27" s="217">
        <f>I13*'Inputs &amp; Drivers'!$D$43</f>
        <v>580</v>
      </c>
      <c r="J27" s="217">
        <f>J13*'Inputs &amp; Drivers'!$D$43</f>
        <v>580</v>
      </c>
      <c r="K27" s="217">
        <f>K13*'Inputs &amp; Drivers'!$D$43</f>
        <v>580</v>
      </c>
      <c r="L27" s="217">
        <f>L13*'Inputs &amp; Drivers'!$D$43</f>
        <v>580</v>
      </c>
      <c r="M27" s="217">
        <f>M13*'Inputs &amp; Drivers'!$D$43</f>
        <v>580</v>
      </c>
      <c r="N27" s="217">
        <f>N13*'Inputs &amp; Drivers'!$D$43</f>
        <v>580</v>
      </c>
      <c r="O27" s="217">
        <f>O13*'Inputs &amp; Drivers'!$D$43</f>
        <v>580</v>
      </c>
      <c r="P27" s="217">
        <f>P13*'Inputs &amp; Drivers'!$D$43</f>
        <v>580</v>
      </c>
      <c r="Q27" s="217">
        <f>Q13*'Inputs &amp; Drivers'!$D$43</f>
        <v>580</v>
      </c>
      <c r="R27" s="217">
        <f>R13*'Inputs &amp; Drivers'!$D$43</f>
        <v>580</v>
      </c>
      <c r="S27" s="217">
        <f>S13*'Inputs &amp; Drivers'!$D$43</f>
        <v>580</v>
      </c>
      <c r="T27" s="217">
        <f>T13*'Inputs &amp; Drivers'!$D$43</f>
        <v>580</v>
      </c>
      <c r="U27" s="217">
        <f>U13*'Inputs &amp; Drivers'!$D$43</f>
        <v>580</v>
      </c>
      <c r="V27" s="217">
        <f>V13*'Inputs &amp; Drivers'!$D$43</f>
        <v>580</v>
      </c>
      <c r="W27" s="217">
        <f>W13*'Inputs &amp; Drivers'!$D$43</f>
        <v>580</v>
      </c>
      <c r="X27" s="217">
        <f>X13*'Inputs &amp; Drivers'!$D$43</f>
        <v>580</v>
      </c>
      <c r="Y27" s="217">
        <f>Y13*'Inputs &amp; Drivers'!$D$43</f>
        <v>580</v>
      </c>
      <c r="Z27" s="217">
        <f>Z13*'Inputs &amp; Drivers'!$D$43</f>
        <v>580</v>
      </c>
      <c r="AA27" s="217">
        <f>AA13*'Inputs &amp; Drivers'!$D$43</f>
        <v>580</v>
      </c>
      <c r="AB27" s="217">
        <f>AB13*'Inputs &amp; Drivers'!$D$43</f>
        <v>580</v>
      </c>
      <c r="AC27" s="217">
        <f>AC13*'Inputs &amp; Drivers'!$D$43</f>
        <v>580</v>
      </c>
      <c r="AD27" s="217">
        <f>AD13*'Inputs &amp; Drivers'!$D$43</f>
        <v>580</v>
      </c>
      <c r="AE27" s="217">
        <f>AE13*'Inputs &amp; Drivers'!$D$43</f>
        <v>580</v>
      </c>
      <c r="AF27" s="217">
        <f>AF13*'Inputs &amp; Drivers'!$D$43</f>
        <v>580</v>
      </c>
      <c r="AG27" s="217">
        <f>AG13*'Inputs &amp; Drivers'!$D$43</f>
        <v>580</v>
      </c>
      <c r="AH27" s="217">
        <f>AH13*'Inputs &amp; Drivers'!$D$43</f>
        <v>580</v>
      </c>
      <c r="AI27" s="217">
        <f>AI13*'Inputs &amp; Drivers'!$D$43</f>
        <v>580</v>
      </c>
      <c r="AJ27" s="217">
        <f>AJ13*'Inputs &amp; Drivers'!$D$43</f>
        <v>580</v>
      </c>
      <c r="AK27" s="217">
        <f>AK13*'Inputs &amp; Drivers'!$D$43</f>
        <v>580</v>
      </c>
      <c r="AL27" s="217">
        <f>AL13*'Inputs &amp; Drivers'!$D$43</f>
        <v>580</v>
      </c>
      <c r="AM27" s="217">
        <f>AM13*'Inputs &amp; Drivers'!$D$43</f>
        <v>580</v>
      </c>
      <c r="AN27" s="217">
        <f>AN13*'Inputs &amp; Drivers'!$D$43</f>
        <v>580</v>
      </c>
      <c r="AO27" s="217">
        <f>AO13*'Inputs &amp; Drivers'!$D$43</f>
        <v>580</v>
      </c>
      <c r="AP27" s="217">
        <f>AP13*'Inputs &amp; Drivers'!$D$43</f>
        <v>580</v>
      </c>
      <c r="AQ27" s="217">
        <f>AQ13*'Inputs &amp; Drivers'!$D$43</f>
        <v>580</v>
      </c>
      <c r="AR27" s="217">
        <f>AR13*'Inputs &amp; Drivers'!$D$43</f>
        <v>580</v>
      </c>
      <c r="AS27" s="217">
        <f>AS13*'Inputs &amp; Drivers'!$D$43</f>
        <v>580</v>
      </c>
      <c r="AT27" s="217">
        <f>AT13*'Inputs &amp; Drivers'!$D$43</f>
        <v>580</v>
      </c>
      <c r="AU27" s="217">
        <f>AU13*'Inputs &amp; Drivers'!$D$43</f>
        <v>580</v>
      </c>
      <c r="AV27" s="217">
        <f>AV13*'Inputs &amp; Drivers'!$D$43</f>
        <v>580</v>
      </c>
      <c r="AW27" s="217">
        <f>AW13*'Inputs &amp; Drivers'!$D$43</f>
        <v>580</v>
      </c>
      <c r="AX27" s="217">
        <f>AX13*'Inputs &amp; Drivers'!$D$43</f>
        <v>580</v>
      </c>
      <c r="AY27" s="217">
        <f>AY13*'Inputs &amp; Drivers'!$D$43</f>
        <v>580</v>
      </c>
      <c r="AZ27" s="217">
        <f>AZ13*'Inputs &amp; Drivers'!$D$43</f>
        <v>580</v>
      </c>
      <c r="BA27" s="217">
        <f>BA13*'Inputs &amp; Drivers'!$D$43</f>
        <v>580</v>
      </c>
      <c r="BB27" s="217">
        <f>BB13*'Inputs &amp; Drivers'!$D$43</f>
        <v>580</v>
      </c>
      <c r="BC27" s="217">
        <f>BC13*'Inputs &amp; Drivers'!$D$43</f>
        <v>580</v>
      </c>
      <c r="BD27" s="217">
        <f>BD13*'Inputs &amp; Drivers'!$D$43</f>
        <v>580</v>
      </c>
      <c r="BE27" s="217">
        <f>BE13*'Inputs &amp; Drivers'!$D$43</f>
        <v>580</v>
      </c>
      <c r="BF27" s="217">
        <f>BF13*'Inputs &amp; Drivers'!$D$43</f>
        <v>580</v>
      </c>
      <c r="BG27" s="217">
        <f>BG13*'Inputs &amp; Drivers'!$D$43</f>
        <v>580</v>
      </c>
      <c r="BH27" s="217">
        <f>BH13*'Inputs &amp; Drivers'!$D$43</f>
        <v>580</v>
      </c>
      <c r="BI27" s="217">
        <f>BI13*'Inputs &amp; Drivers'!$D$43</f>
        <v>580</v>
      </c>
      <c r="BJ27" s="217">
        <f>BJ13*'Inputs &amp; Drivers'!$D$43</f>
        <v>580</v>
      </c>
      <c r="BK27" s="217">
        <f>BK13*'Inputs &amp; Drivers'!$D$43</f>
        <v>580</v>
      </c>
      <c r="BL27" s="217">
        <f>BL13*'Inputs &amp; Drivers'!$D$43</f>
        <v>580</v>
      </c>
      <c r="BM27" s="217">
        <f>BM13*'Inputs &amp; Drivers'!$D$43</f>
        <v>580</v>
      </c>
      <c r="BN27" s="217">
        <f>BN13*'Inputs &amp; Drivers'!$D$43</f>
        <v>580</v>
      </c>
      <c r="BO27" s="217">
        <f>BO13*'Inputs &amp; Drivers'!$D$43</f>
        <v>580</v>
      </c>
      <c r="BP27" s="217">
        <f>BP13*'Inputs &amp; Drivers'!$D$43</f>
        <v>580</v>
      </c>
      <c r="BR27" s="217">
        <f>SUM(I27:T27)</f>
        <v>6960</v>
      </c>
      <c r="BS27" s="217">
        <f>SUM(I27:T27)</f>
        <v>6960</v>
      </c>
      <c r="BT27" s="217">
        <f t="shared" ref="BT27:BT32" si="326">BR27-BS27</f>
        <v>0</v>
      </c>
      <c r="BV27" t="s">
        <v>11</v>
      </c>
      <c r="BW27" s="217">
        <f>SUMIF($I$5:$BP$5,BW$18,$I27:$BP27)</f>
        <v>6960</v>
      </c>
      <c r="BX27" s="217">
        <f t="shared" ref="BW27:CA32" si="327">SUMIF($I$5:$BP$5,BX$18,$I27:$BP27)</f>
        <v>6960</v>
      </c>
      <c r="BY27" s="217">
        <f t="shared" si="327"/>
        <v>6960</v>
      </c>
      <c r="BZ27" s="217">
        <f t="shared" si="327"/>
        <v>6960</v>
      </c>
      <c r="CA27" s="217">
        <f t="shared" si="327"/>
        <v>6960</v>
      </c>
      <c r="CC27" s="217">
        <f>SUM($I27:$T27)</f>
        <v>6960</v>
      </c>
      <c r="CD27" s="217">
        <f>SUM($U27:$AF27)</f>
        <v>6960</v>
      </c>
      <c r="CE27" s="217">
        <f>SUM($AG27:$AR27)</f>
        <v>6960</v>
      </c>
      <c r="CF27" s="217">
        <f>SUM($AS27:$BD27)</f>
        <v>6960</v>
      </c>
      <c r="CG27" s="217">
        <f>SUM($BE27:$BP27)</f>
        <v>6960</v>
      </c>
      <c r="CI27" t="str">
        <f>IF(CC27=BW27,"OK","Check")</f>
        <v>OK</v>
      </c>
      <c r="CJ27" t="str">
        <f t="shared" ref="CJ27:CM32" si="328">IF(CD27=BX27,"OK","Check")</f>
        <v>OK</v>
      </c>
      <c r="CK27" t="str">
        <f t="shared" si="328"/>
        <v>OK</v>
      </c>
      <c r="CL27" t="str">
        <f t="shared" si="328"/>
        <v>OK</v>
      </c>
      <c r="CM27" t="str">
        <f>IF(CG27=CA27,"OK","Check")</f>
        <v>OK</v>
      </c>
    </row>
    <row r="28" spans="2:91" x14ac:dyDescent="0.3">
      <c r="B28" s="211" t="s">
        <v>12</v>
      </c>
      <c r="E28" s="121">
        <f>SUM('P-Builder'!O11:Q11)*4</f>
        <v>29888.720000000001</v>
      </c>
      <c r="F28" s="121">
        <f>SUM('P-Builder'!F11:Q11)</f>
        <v>22165.125</v>
      </c>
      <c r="H28">
        <f>(H19*'Inputs &amp; Drivers'!D44)*0.2</f>
        <v>2376.3025787989368</v>
      </c>
      <c r="I28" s="217">
        <f>(I19*'Inputs &amp; Drivers'!D44)*0.2</f>
        <v>2392.1445959909297</v>
      </c>
      <c r="J28" s="217">
        <f>I28*0.98</f>
        <v>2344.3017040711111</v>
      </c>
      <c r="K28" s="217">
        <f t="shared" ref="K28:BP28" si="329">J28*0.98</f>
        <v>2297.4156699896889</v>
      </c>
      <c r="L28" s="217">
        <f t="shared" si="329"/>
        <v>2251.4673565898952</v>
      </c>
      <c r="M28" s="217">
        <f t="shared" si="329"/>
        <v>2206.4380094580974</v>
      </c>
      <c r="N28" s="217">
        <f t="shared" si="329"/>
        <v>2162.3092492689357</v>
      </c>
      <c r="O28" s="217">
        <f t="shared" si="329"/>
        <v>2119.0630642835567</v>
      </c>
      <c r="P28" s="217">
        <f t="shared" si="329"/>
        <v>2076.6818029978854</v>
      </c>
      <c r="Q28" s="217">
        <f t="shared" si="329"/>
        <v>2035.1481669379277</v>
      </c>
      <c r="R28" s="217">
        <f t="shared" si="329"/>
        <v>1994.4452035991692</v>
      </c>
      <c r="S28" s="217">
        <f t="shared" si="329"/>
        <v>1954.5562995271857</v>
      </c>
      <c r="T28" s="217">
        <f t="shared" si="329"/>
        <v>1915.4651735366419</v>
      </c>
      <c r="U28" s="217">
        <f t="shared" si="329"/>
        <v>1877.1558700659091</v>
      </c>
      <c r="V28" s="217">
        <f t="shared" si="329"/>
        <v>1839.612752664591</v>
      </c>
      <c r="W28" s="217">
        <f t="shared" si="329"/>
        <v>1802.8204976112991</v>
      </c>
      <c r="X28" s="217">
        <f t="shared" si="329"/>
        <v>1766.7640876590731</v>
      </c>
      <c r="Y28" s="217">
        <f t="shared" si="329"/>
        <v>1731.4288059058915</v>
      </c>
      <c r="Z28" s="217">
        <f t="shared" si="329"/>
        <v>1696.8002297877736</v>
      </c>
      <c r="AA28" s="217">
        <f t="shared" si="329"/>
        <v>1662.864225192018</v>
      </c>
      <c r="AB28" s="217">
        <f t="shared" si="329"/>
        <v>1629.6069406881777</v>
      </c>
      <c r="AC28" s="217">
        <f t="shared" si="329"/>
        <v>1597.0148018744142</v>
      </c>
      <c r="AD28" s="217">
        <f t="shared" si="329"/>
        <v>1565.0745058369259</v>
      </c>
      <c r="AE28" s="217">
        <f t="shared" si="329"/>
        <v>1533.7730157201875</v>
      </c>
      <c r="AF28" s="217">
        <f t="shared" si="329"/>
        <v>1503.0975554057836</v>
      </c>
      <c r="AG28" s="217">
        <f t="shared" si="329"/>
        <v>1473.035604297668</v>
      </c>
      <c r="AH28" s="217">
        <f t="shared" si="329"/>
        <v>1443.5748922117145</v>
      </c>
      <c r="AI28" s="217">
        <f t="shared" si="329"/>
        <v>1414.7033943674803</v>
      </c>
      <c r="AJ28" s="217">
        <f t="shared" si="329"/>
        <v>1386.4093264801306</v>
      </c>
      <c r="AK28" s="217">
        <f t="shared" si="329"/>
        <v>1358.6811399505279</v>
      </c>
      <c r="AL28" s="217">
        <f t="shared" si="329"/>
        <v>1331.5075171515173</v>
      </c>
      <c r="AM28" s="217">
        <f t="shared" si="329"/>
        <v>1304.8773668084868</v>
      </c>
      <c r="AN28" s="217">
        <f t="shared" si="329"/>
        <v>1278.7798194723171</v>
      </c>
      <c r="AO28" s="217">
        <f t="shared" si="329"/>
        <v>1253.2042230828706</v>
      </c>
      <c r="AP28" s="217">
        <f t="shared" si="329"/>
        <v>1228.1401386212133</v>
      </c>
      <c r="AQ28" s="217">
        <f t="shared" si="329"/>
        <v>1203.5773358487891</v>
      </c>
      <c r="AR28" s="217">
        <f t="shared" si="329"/>
        <v>1179.5057891318133</v>
      </c>
      <c r="AS28" s="217">
        <f t="shared" si="329"/>
        <v>1155.915673349177</v>
      </c>
      <c r="AT28" s="217">
        <f t="shared" si="329"/>
        <v>1132.7973598821934</v>
      </c>
      <c r="AU28" s="217">
        <f t="shared" si="329"/>
        <v>1110.1414126845496</v>
      </c>
      <c r="AV28" s="217">
        <f t="shared" si="329"/>
        <v>1087.9385844308586</v>
      </c>
      <c r="AW28" s="217">
        <f t="shared" si="329"/>
        <v>1066.1798127422414</v>
      </c>
      <c r="AX28" s="217">
        <f t="shared" si="329"/>
        <v>1044.8562164873965</v>
      </c>
      <c r="AY28" s="217">
        <f t="shared" si="329"/>
        <v>1023.9590921576486</v>
      </c>
      <c r="AZ28" s="217">
        <f t="shared" si="329"/>
        <v>1003.4799103144956</v>
      </c>
      <c r="BA28" s="217">
        <f t="shared" si="329"/>
        <v>983.41031210820563</v>
      </c>
      <c r="BB28" s="217">
        <f t="shared" si="329"/>
        <v>963.74210586604147</v>
      </c>
      <c r="BC28" s="217">
        <f t="shared" si="329"/>
        <v>944.4672637487206</v>
      </c>
      <c r="BD28" s="217">
        <f t="shared" si="329"/>
        <v>925.57791847374619</v>
      </c>
      <c r="BE28" s="217">
        <f t="shared" si="329"/>
        <v>907.06636010427121</v>
      </c>
      <c r="BF28" s="217">
        <f t="shared" si="329"/>
        <v>888.92503290218576</v>
      </c>
      <c r="BG28" s="217">
        <f t="shared" si="329"/>
        <v>871.14653224414201</v>
      </c>
      <c r="BH28" s="217">
        <f t="shared" si="329"/>
        <v>853.72360159925915</v>
      </c>
      <c r="BI28" s="217">
        <f t="shared" si="329"/>
        <v>836.64912956727392</v>
      </c>
      <c r="BJ28" s="217">
        <f t="shared" si="329"/>
        <v>819.91614697592843</v>
      </c>
      <c r="BK28" s="217">
        <f t="shared" si="329"/>
        <v>803.51782403640982</v>
      </c>
      <c r="BL28" s="217">
        <f t="shared" si="329"/>
        <v>787.44746755568156</v>
      </c>
      <c r="BM28" s="217">
        <f t="shared" si="329"/>
        <v>771.6985182045679</v>
      </c>
      <c r="BN28" s="217">
        <f t="shared" si="329"/>
        <v>756.26454784047655</v>
      </c>
      <c r="BO28" s="217">
        <f t="shared" si="329"/>
        <v>741.13925688366703</v>
      </c>
      <c r="BP28" s="217">
        <f t="shared" si="329"/>
        <v>726.31647174599368</v>
      </c>
      <c r="BR28" s="217">
        <f>SUM(I28:T28)</f>
        <v>25749.436296251028</v>
      </c>
      <c r="BS28" s="217">
        <f>SUM(I28:T28)</f>
        <v>25749.436296251028</v>
      </c>
      <c r="BT28" s="217">
        <f t="shared" si="326"/>
        <v>0</v>
      </c>
      <c r="BV28" t="s">
        <v>12</v>
      </c>
      <c r="BW28" s="217">
        <f t="shared" si="327"/>
        <v>25749.436296251028</v>
      </c>
      <c r="BX28" s="217">
        <f t="shared" si="327"/>
        <v>20206.013288412047</v>
      </c>
      <c r="BY28" s="217">
        <f t="shared" si="327"/>
        <v>15855.996547424527</v>
      </c>
      <c r="BZ28" s="217">
        <f t="shared" si="327"/>
        <v>12442.465662245275</v>
      </c>
      <c r="CA28" s="217">
        <f t="shared" si="327"/>
        <v>9763.8108896598551</v>
      </c>
      <c r="CC28" s="217">
        <f t="shared" ref="CC28:CC32" si="330">SUM($I28:$T28)</f>
        <v>25749.436296251028</v>
      </c>
      <c r="CD28" s="217">
        <f t="shared" ref="CD28:CD32" si="331">SUM($U28:$AF28)</f>
        <v>20206.013288412047</v>
      </c>
      <c r="CE28" s="217">
        <f t="shared" ref="CE28:CE32" si="332">SUM($AG28:$AR28)</f>
        <v>15855.996547424527</v>
      </c>
      <c r="CF28" s="217">
        <f t="shared" ref="CF28:CF32" si="333">SUM($AS28:$BD28)</f>
        <v>12442.465662245275</v>
      </c>
      <c r="CG28" s="217">
        <f t="shared" ref="CG28:CG32" si="334">SUM($BE28:$BP28)</f>
        <v>9763.8108896598551</v>
      </c>
      <c r="CI28" t="str">
        <f t="shared" ref="CI28:CI32" si="335">IF(CC28=BW28,"OK","Check")</f>
        <v>OK</v>
      </c>
      <c r="CJ28" t="str">
        <f t="shared" si="328"/>
        <v>OK</v>
      </c>
      <c r="CK28" t="str">
        <f t="shared" si="328"/>
        <v>OK</v>
      </c>
      <c r="CL28" t="str">
        <f t="shared" si="328"/>
        <v>OK</v>
      </c>
      <c r="CM28" t="str">
        <f t="shared" si="328"/>
        <v>OK</v>
      </c>
    </row>
    <row r="29" spans="2:91" x14ac:dyDescent="0.3">
      <c r="B29" s="212" t="s">
        <v>13</v>
      </c>
      <c r="C29" s="204"/>
      <c r="D29" s="204"/>
      <c r="E29" s="205">
        <f>SUM('P-Builder'!O12:Q12)*4</f>
        <v>38040</v>
      </c>
      <c r="F29" s="205">
        <f>SUM('P-Builder'!F12:Q12)</f>
        <v>35796</v>
      </c>
      <c r="G29" s="204"/>
      <c r="H29" s="206">
        <f>F29/12</f>
        <v>2983</v>
      </c>
      <c r="I29" s="219">
        <f>H29*1.002</f>
        <v>2988.9659999999999</v>
      </c>
      <c r="J29" s="219">
        <f t="shared" ref="J29" si="336">I29*1.002</f>
        <v>2994.9439319999997</v>
      </c>
      <c r="K29" s="219">
        <f t="shared" ref="K29:BP29" si="337">J29*1.002</f>
        <v>3000.9338198639998</v>
      </c>
      <c r="L29" s="219">
        <f t="shared" si="337"/>
        <v>3006.9356875037279</v>
      </c>
      <c r="M29" s="219">
        <f t="shared" si="337"/>
        <v>3012.9495588787354</v>
      </c>
      <c r="N29" s="219">
        <f t="shared" si="337"/>
        <v>3018.9754579964929</v>
      </c>
      <c r="O29" s="219">
        <f t="shared" si="337"/>
        <v>3025.0134089124858</v>
      </c>
      <c r="P29" s="219">
        <f t="shared" si="337"/>
        <v>3031.0634357303106</v>
      </c>
      <c r="Q29" s="219">
        <f t="shared" si="337"/>
        <v>3037.1255626017714</v>
      </c>
      <c r="R29" s="219">
        <f t="shared" si="337"/>
        <v>3043.1998137269752</v>
      </c>
      <c r="S29" s="219">
        <f t="shared" si="337"/>
        <v>3049.286213354429</v>
      </c>
      <c r="T29" s="219">
        <f t="shared" si="337"/>
        <v>3055.3847857811379</v>
      </c>
      <c r="U29" s="219">
        <f t="shared" si="337"/>
        <v>3061.4955553527002</v>
      </c>
      <c r="V29" s="219">
        <f t="shared" si="337"/>
        <v>3067.6185464634054</v>
      </c>
      <c r="W29" s="219">
        <f t="shared" si="337"/>
        <v>3073.7537835563321</v>
      </c>
      <c r="X29" s="219">
        <f t="shared" si="337"/>
        <v>3079.9012911234449</v>
      </c>
      <c r="Y29" s="219">
        <f t="shared" si="337"/>
        <v>3086.0610937056917</v>
      </c>
      <c r="Z29" s="219">
        <f t="shared" si="337"/>
        <v>3092.2332158931031</v>
      </c>
      <c r="AA29" s="219">
        <f t="shared" si="337"/>
        <v>3098.4176823248895</v>
      </c>
      <c r="AB29" s="219">
        <f t="shared" si="337"/>
        <v>3104.6145176895393</v>
      </c>
      <c r="AC29" s="219">
        <f t="shared" si="337"/>
        <v>3110.8237467249182</v>
      </c>
      <c r="AD29" s="219">
        <f t="shared" si="337"/>
        <v>3117.0453942183681</v>
      </c>
      <c r="AE29" s="219">
        <f t="shared" si="337"/>
        <v>3123.2794850068049</v>
      </c>
      <c r="AF29" s="219">
        <f t="shared" si="337"/>
        <v>3129.5260439768185</v>
      </c>
      <c r="AG29" s="219">
        <f t="shared" si="337"/>
        <v>3135.785096064772</v>
      </c>
      <c r="AH29" s="219">
        <f t="shared" si="337"/>
        <v>3142.0566662569017</v>
      </c>
      <c r="AI29" s="219">
        <f t="shared" si="337"/>
        <v>3148.3407795894154</v>
      </c>
      <c r="AJ29" s="219">
        <f t="shared" si="337"/>
        <v>3154.6374611485944</v>
      </c>
      <c r="AK29" s="219">
        <f t="shared" si="337"/>
        <v>3160.9467360708918</v>
      </c>
      <c r="AL29" s="219">
        <f t="shared" si="337"/>
        <v>3167.2686295430335</v>
      </c>
      <c r="AM29" s="219">
        <f t="shared" si="337"/>
        <v>3173.6031668021196</v>
      </c>
      <c r="AN29" s="219">
        <f t="shared" si="337"/>
        <v>3179.950373135724</v>
      </c>
      <c r="AO29" s="219">
        <f t="shared" si="337"/>
        <v>3186.3102738819953</v>
      </c>
      <c r="AP29" s="219">
        <f t="shared" si="337"/>
        <v>3192.6828944297595</v>
      </c>
      <c r="AQ29" s="219">
        <f t="shared" si="337"/>
        <v>3199.0682602186189</v>
      </c>
      <c r="AR29" s="219">
        <f t="shared" si="337"/>
        <v>3205.4663967390561</v>
      </c>
      <c r="AS29" s="219">
        <f t="shared" si="337"/>
        <v>3211.8773295325341</v>
      </c>
      <c r="AT29" s="219">
        <f t="shared" si="337"/>
        <v>3218.3010841915993</v>
      </c>
      <c r="AU29" s="219">
        <f t="shared" si="337"/>
        <v>3224.7376863599825</v>
      </c>
      <c r="AV29" s="219">
        <f t="shared" si="337"/>
        <v>3231.1871617327024</v>
      </c>
      <c r="AW29" s="219">
        <f t="shared" si="337"/>
        <v>3237.649536056168</v>
      </c>
      <c r="AX29" s="219">
        <f t="shared" si="337"/>
        <v>3244.1248351282802</v>
      </c>
      <c r="AY29" s="219">
        <f t="shared" si="337"/>
        <v>3250.6130847985369</v>
      </c>
      <c r="AZ29" s="219">
        <f t="shared" si="337"/>
        <v>3257.1143109681339</v>
      </c>
      <c r="BA29" s="219">
        <f t="shared" si="337"/>
        <v>3263.62853959007</v>
      </c>
      <c r="BB29" s="219">
        <f t="shared" si="337"/>
        <v>3270.1557966692503</v>
      </c>
      <c r="BC29" s="219">
        <f t="shared" si="337"/>
        <v>3276.696108262589</v>
      </c>
      <c r="BD29" s="219">
        <f t="shared" si="337"/>
        <v>3283.249500479114</v>
      </c>
      <c r="BE29" s="219">
        <f t="shared" si="337"/>
        <v>3289.8159994800722</v>
      </c>
      <c r="BF29" s="219">
        <f t="shared" si="337"/>
        <v>3296.3956314790321</v>
      </c>
      <c r="BG29" s="219">
        <f t="shared" si="337"/>
        <v>3302.9884227419902</v>
      </c>
      <c r="BH29" s="219">
        <f t="shared" si="337"/>
        <v>3309.5943995874741</v>
      </c>
      <c r="BI29" s="219">
        <f t="shared" si="337"/>
        <v>3316.213588386649</v>
      </c>
      <c r="BJ29" s="219">
        <f t="shared" si="337"/>
        <v>3322.8460155634225</v>
      </c>
      <c r="BK29" s="219">
        <f t="shared" si="337"/>
        <v>3329.4917075945496</v>
      </c>
      <c r="BL29" s="219">
        <f t="shared" si="337"/>
        <v>3336.1506910097387</v>
      </c>
      <c r="BM29" s="219">
        <f t="shared" si="337"/>
        <v>3342.8229923917584</v>
      </c>
      <c r="BN29" s="219">
        <f t="shared" si="337"/>
        <v>3349.508638376542</v>
      </c>
      <c r="BO29" s="219">
        <f t="shared" si="337"/>
        <v>3356.2076556532952</v>
      </c>
      <c r="BP29" s="219">
        <f t="shared" si="337"/>
        <v>3362.920070964602</v>
      </c>
      <c r="BQ29" s="204"/>
      <c r="BR29" s="221">
        <v>0</v>
      </c>
      <c r="BS29" s="221">
        <f>SUM(I29:T29)</f>
        <v>36264.777676350059</v>
      </c>
      <c r="BT29" s="221"/>
      <c r="BV29" t="s">
        <v>13</v>
      </c>
      <c r="BW29" s="217">
        <f t="shared" si="327"/>
        <v>36264.777676350059</v>
      </c>
      <c r="BX29" s="217">
        <f t="shared" si="327"/>
        <v>37144.77035603601</v>
      </c>
      <c r="BY29" s="217">
        <f t="shared" si="327"/>
        <v>38046.116733880888</v>
      </c>
      <c r="BZ29" s="217">
        <f t="shared" si="327"/>
        <v>38969.334973768957</v>
      </c>
      <c r="CA29" s="217">
        <f t="shared" si="327"/>
        <v>39914.95581322912</v>
      </c>
      <c r="CC29" s="217">
        <f t="shared" si="330"/>
        <v>36264.777676350059</v>
      </c>
      <c r="CD29" s="217">
        <f t="shared" si="331"/>
        <v>37144.77035603601</v>
      </c>
      <c r="CE29" s="217">
        <f t="shared" si="332"/>
        <v>38046.116733880888</v>
      </c>
      <c r="CF29" s="217">
        <f t="shared" si="333"/>
        <v>38969.334973768957</v>
      </c>
      <c r="CG29" s="217">
        <f t="shared" si="334"/>
        <v>39914.95581322912</v>
      </c>
      <c r="CI29" t="str">
        <f t="shared" si="335"/>
        <v>OK</v>
      </c>
      <c r="CJ29" t="str">
        <f t="shared" si="328"/>
        <v>OK</v>
      </c>
      <c r="CK29" t="str">
        <f t="shared" si="328"/>
        <v>OK</v>
      </c>
      <c r="CL29" t="str">
        <f t="shared" si="328"/>
        <v>OK</v>
      </c>
      <c r="CM29" t="str">
        <f t="shared" si="328"/>
        <v>OK</v>
      </c>
    </row>
    <row r="30" spans="2:91" x14ac:dyDescent="0.3">
      <c r="B30" s="213" t="s">
        <v>14</v>
      </c>
      <c r="C30" s="207"/>
      <c r="D30" s="207"/>
      <c r="E30" s="208">
        <f>SUM('P-Builder'!O13:Q13)*4</f>
        <v>0</v>
      </c>
      <c r="F30" s="208">
        <f>SUM('P-Builder'!F13:Q13)</f>
        <v>0</v>
      </c>
      <c r="G30" s="207"/>
      <c r="H30" s="207">
        <v>15</v>
      </c>
      <c r="I30" s="218">
        <f>((I15*'Inputs &amp; Drivers'!$D$70)*I16)*'Inputs &amp; Drivers'!$D$71*(1+'Inputs &amp; Drivers'!$L$70)^(I5-1)</f>
        <v>2747.84</v>
      </c>
      <c r="J30" s="218">
        <f>((J15*'Inputs &amp; Drivers'!$D$70)*J16)*'Inputs &amp; Drivers'!$D$71*(1+'Inputs &amp; Drivers'!$L$70)^(J5-1)</f>
        <v>2836.48</v>
      </c>
      <c r="K30" s="218">
        <f>((K15*'Inputs &amp; Drivers'!$D$70)*K16)*'Inputs &amp; Drivers'!$D$71*(1+'Inputs &amp; Drivers'!$L$70)^(K5-1)</f>
        <v>2925.1200000000003</v>
      </c>
      <c r="L30" s="218">
        <f>((L15*'Inputs &amp; Drivers'!$D$70)*L16)*'Inputs &amp; Drivers'!$D$71*(1+'Inputs &amp; Drivers'!$L$70)^(L5-1)</f>
        <v>3013.76</v>
      </c>
      <c r="M30" s="218">
        <f>((M15*'Inputs &amp; Drivers'!$D$70)*M16)*'Inputs &amp; Drivers'!$D$71*(1+'Inputs &amp; Drivers'!$L$70)^(M5-1)</f>
        <v>3102.4</v>
      </c>
      <c r="N30" s="218">
        <f>((N15*'Inputs &amp; Drivers'!$D$70)*N16)*'Inputs &amp; Drivers'!$D$71*(1+'Inputs &amp; Drivers'!$L$70)^(N5-1)</f>
        <v>3191.0400000000004</v>
      </c>
      <c r="O30" s="218">
        <f>((O15*'Inputs &amp; Drivers'!$D$70)*O16)*'Inputs &amp; Drivers'!$D$71*(1+'Inputs &amp; Drivers'!$L$70)^(O5-1)</f>
        <v>3279.6800000000003</v>
      </c>
      <c r="P30" s="218">
        <f>((P15*'Inputs &amp; Drivers'!$D$70)*P16)*'Inputs &amp; Drivers'!$D$71*(1+'Inputs &amp; Drivers'!$L$70)^(P5-1)</f>
        <v>3368.3200000000006</v>
      </c>
      <c r="Q30" s="218">
        <f>((Q15*'Inputs &amp; Drivers'!$D$70)*Q16)*'Inputs &amp; Drivers'!$D$71*(1+'Inputs &amp; Drivers'!$L$70)^(Q5-1)</f>
        <v>3456.9600000000005</v>
      </c>
      <c r="R30" s="218">
        <f>((R15*'Inputs &amp; Drivers'!$D$70)*R16)*'Inputs &amp; Drivers'!$D$71*(1+'Inputs &amp; Drivers'!$L$70)^(R5-1)</f>
        <v>3545.6000000000008</v>
      </c>
      <c r="S30" s="218">
        <f>((S15*'Inputs &amp; Drivers'!$D$70)*S16)*'Inputs &amp; Drivers'!$D$71*(1+'Inputs &amp; Drivers'!$L$70)^(S5-1)</f>
        <v>3545.6000000000008</v>
      </c>
      <c r="T30" s="218">
        <f>((T15*'Inputs &amp; Drivers'!$D$70)*T16)*'Inputs &amp; Drivers'!$D$71*(1+'Inputs &amp; Drivers'!$L$70)^(T5-1)</f>
        <v>3545.6000000000008</v>
      </c>
      <c r="U30" s="218">
        <f>((U15*'Inputs &amp; Drivers'!$D$70)*U16)*'Inputs &amp; Drivers'!$D$71*(1+'Inputs &amp; Drivers'!$L$70)^(U5-1)</f>
        <v>3598.7840000000006</v>
      </c>
      <c r="V30" s="218">
        <f>((V15*'Inputs &amp; Drivers'!$D$70)*V16)*'Inputs &amp; Drivers'!$D$71*(1+'Inputs &amp; Drivers'!$L$70)^(V5-1)</f>
        <v>3598.7840000000006</v>
      </c>
      <c r="W30" s="218">
        <f>((W15*'Inputs &amp; Drivers'!$D$70)*W16)*'Inputs &amp; Drivers'!$D$71*(1+'Inputs &amp; Drivers'!$L$70)^(W5-1)</f>
        <v>3598.7840000000006</v>
      </c>
      <c r="X30" s="218">
        <f>((X15*'Inputs &amp; Drivers'!$D$70)*X16)*'Inputs &amp; Drivers'!$D$71*(1+'Inputs &amp; Drivers'!$L$70)^(X5-1)</f>
        <v>3598.7840000000006</v>
      </c>
      <c r="Y30" s="218">
        <f>((Y15*'Inputs &amp; Drivers'!$D$70)*Y16)*'Inputs &amp; Drivers'!$D$71*(1+'Inputs &amp; Drivers'!$L$70)^(Y5-1)</f>
        <v>3598.7840000000006</v>
      </c>
      <c r="Z30" s="218">
        <f>((Z15*'Inputs &amp; Drivers'!$D$70)*Z16)*'Inputs &amp; Drivers'!$D$71*(1+'Inputs &amp; Drivers'!$L$70)^(Z5-1)</f>
        <v>3598.7840000000006</v>
      </c>
      <c r="AA30" s="218">
        <f>((AA15*'Inputs &amp; Drivers'!$D$70)*AA16)*'Inputs &amp; Drivers'!$D$71*(1+'Inputs &amp; Drivers'!$L$70)^(AA5-1)</f>
        <v>3598.7840000000006</v>
      </c>
      <c r="AB30" s="218">
        <f>((AB15*'Inputs &amp; Drivers'!$D$70)*AB16)*'Inputs &amp; Drivers'!$D$71*(1+'Inputs &amp; Drivers'!$L$70)^(AB5-1)</f>
        <v>3598.7840000000006</v>
      </c>
      <c r="AC30" s="218">
        <f>((AC15*'Inputs &amp; Drivers'!$D$70)*AC16)*'Inputs &amp; Drivers'!$D$71*(1+'Inputs &amp; Drivers'!$L$70)^(AC5-1)</f>
        <v>3598.7840000000006</v>
      </c>
      <c r="AD30" s="218">
        <f>((AD15*'Inputs &amp; Drivers'!$D$70)*AD16)*'Inputs &amp; Drivers'!$D$71*(1+'Inputs &amp; Drivers'!$L$70)^(AD5-1)</f>
        <v>3598.7840000000006</v>
      </c>
      <c r="AE30" s="218">
        <f>((AE15*'Inputs &amp; Drivers'!$D$70)*AE16)*'Inputs &amp; Drivers'!$D$71*(1+'Inputs &amp; Drivers'!$L$70)^(AE5-1)</f>
        <v>3598.7840000000006</v>
      </c>
      <c r="AF30" s="218">
        <f>((AF15*'Inputs &amp; Drivers'!$D$70)*AF16)*'Inputs &amp; Drivers'!$D$71*(1+'Inputs &amp; Drivers'!$L$70)^(AF5-1)</f>
        <v>3598.7840000000006</v>
      </c>
      <c r="AG30" s="218">
        <f>((AG15*'Inputs &amp; Drivers'!$D$70)*AG16)*'Inputs &amp; Drivers'!$D$71*(1+'Inputs &amp; Drivers'!$L$70)^(AG5-1)</f>
        <v>3652.7657599999998</v>
      </c>
      <c r="AH30" s="218">
        <f>((AH15*'Inputs &amp; Drivers'!$D$70)*AH16)*'Inputs &amp; Drivers'!$D$71*(1+'Inputs &amp; Drivers'!$L$70)^(AH5-1)</f>
        <v>3652.7657599999998</v>
      </c>
      <c r="AI30" s="218">
        <f>((AI15*'Inputs &amp; Drivers'!$D$70)*AI16)*'Inputs &amp; Drivers'!$D$71*(1+'Inputs &amp; Drivers'!$L$70)^(AI5-1)</f>
        <v>3652.7657599999998</v>
      </c>
      <c r="AJ30" s="218">
        <f>((AJ15*'Inputs &amp; Drivers'!$D$70)*AJ16)*'Inputs &amp; Drivers'!$D$71*(1+'Inputs &amp; Drivers'!$L$70)^(AJ5-1)</f>
        <v>3652.7657599999998</v>
      </c>
      <c r="AK30" s="218">
        <f>((AK15*'Inputs &amp; Drivers'!$D$70)*AK16)*'Inputs &amp; Drivers'!$D$71*(1+'Inputs &amp; Drivers'!$L$70)^(AK5-1)</f>
        <v>3652.7657599999998</v>
      </c>
      <c r="AL30" s="218">
        <f>((AL15*'Inputs &amp; Drivers'!$D$70)*AL16)*'Inputs &amp; Drivers'!$D$71*(1+'Inputs &amp; Drivers'!$L$70)^(AL5-1)</f>
        <v>3652.7657599999998</v>
      </c>
      <c r="AM30" s="218">
        <f>((AM15*'Inputs &amp; Drivers'!$D$70)*AM16)*'Inputs &amp; Drivers'!$D$71*(1+'Inputs &amp; Drivers'!$L$70)^(AM5-1)</f>
        <v>3652.7657599999998</v>
      </c>
      <c r="AN30" s="218">
        <f>((AN15*'Inputs &amp; Drivers'!$D$70)*AN16)*'Inputs &amp; Drivers'!$D$71*(1+'Inputs &amp; Drivers'!$L$70)^(AN5-1)</f>
        <v>3652.7657599999998</v>
      </c>
      <c r="AO30" s="218">
        <f>((AO15*'Inputs &amp; Drivers'!$D$70)*AO16)*'Inputs &amp; Drivers'!$D$71*(1+'Inputs &amp; Drivers'!$L$70)^(AO5-1)</f>
        <v>3652.7657599999998</v>
      </c>
      <c r="AP30" s="218">
        <f>((AP15*'Inputs &amp; Drivers'!$D$70)*AP16)*'Inputs &amp; Drivers'!$D$71*(1+'Inputs &amp; Drivers'!$L$70)^(AP5-1)</f>
        <v>3652.7657599999998</v>
      </c>
      <c r="AQ30" s="218">
        <f>((AQ15*'Inputs &amp; Drivers'!$D$70)*AQ16)*'Inputs &amp; Drivers'!$D$71*(1+'Inputs &amp; Drivers'!$L$70)^(AQ5-1)</f>
        <v>3652.7657599999998</v>
      </c>
      <c r="AR30" s="218">
        <f>((AR15*'Inputs &amp; Drivers'!$D$70)*AR16)*'Inputs &amp; Drivers'!$D$71*(1+'Inputs &amp; Drivers'!$L$70)^(AR5-1)</f>
        <v>3652.7657599999998</v>
      </c>
      <c r="AS30" s="218">
        <f>((AS15*'Inputs &amp; Drivers'!$D$70)*AS16)*'Inputs &amp; Drivers'!$D$71*(1+'Inputs &amp; Drivers'!$L$70)^(AS5-1)</f>
        <v>3707.5572463999993</v>
      </c>
      <c r="AT30" s="218">
        <f>((AT15*'Inputs &amp; Drivers'!$D$70)*AT16)*'Inputs &amp; Drivers'!$D$71*(1+'Inputs &amp; Drivers'!$L$70)^(AT5-1)</f>
        <v>3707.5572463999993</v>
      </c>
      <c r="AU30" s="218">
        <f>((AU15*'Inputs &amp; Drivers'!$D$70)*AU16)*'Inputs &amp; Drivers'!$D$71*(1+'Inputs &amp; Drivers'!$L$70)^(AU5-1)</f>
        <v>3707.5572463999993</v>
      </c>
      <c r="AV30" s="218">
        <f>((AV15*'Inputs &amp; Drivers'!$D$70)*AV16)*'Inputs &amp; Drivers'!$D$71*(1+'Inputs &amp; Drivers'!$L$70)^(AV5-1)</f>
        <v>3707.5572463999993</v>
      </c>
      <c r="AW30" s="218">
        <f>((AW15*'Inputs &amp; Drivers'!$D$70)*AW16)*'Inputs &amp; Drivers'!$D$71*(1+'Inputs &amp; Drivers'!$L$70)^(AW5-1)</f>
        <v>3707.5572463999993</v>
      </c>
      <c r="AX30" s="218">
        <f>((AX15*'Inputs &amp; Drivers'!$D$70)*AX16)*'Inputs &amp; Drivers'!$D$71*(1+'Inputs &amp; Drivers'!$L$70)^(AX5-1)</f>
        <v>3707.5572463999993</v>
      </c>
      <c r="AY30" s="218">
        <f>((AY15*'Inputs &amp; Drivers'!$D$70)*AY16)*'Inputs &amp; Drivers'!$D$71*(1+'Inputs &amp; Drivers'!$L$70)^(AY5-1)</f>
        <v>3707.5572463999993</v>
      </c>
      <c r="AZ30" s="218">
        <f>((AZ15*'Inputs &amp; Drivers'!$D$70)*AZ16)*'Inputs &amp; Drivers'!$D$71*(1+'Inputs &amp; Drivers'!$L$70)^(AZ5-1)</f>
        <v>3707.5572463999993</v>
      </c>
      <c r="BA30" s="218">
        <f>((BA15*'Inputs &amp; Drivers'!$D$70)*BA16)*'Inputs &amp; Drivers'!$D$71*(1+'Inputs &amp; Drivers'!$L$70)^(BA5-1)</f>
        <v>3707.5572463999993</v>
      </c>
      <c r="BB30" s="218">
        <f>((BB15*'Inputs &amp; Drivers'!$D$70)*BB16)*'Inputs &amp; Drivers'!$D$71*(1+'Inputs &amp; Drivers'!$L$70)^(BB5-1)</f>
        <v>3707.5572463999993</v>
      </c>
      <c r="BC30" s="218">
        <f>((BC15*'Inputs &amp; Drivers'!$D$70)*BC16)*'Inputs &amp; Drivers'!$D$71*(1+'Inputs &amp; Drivers'!$L$70)^(BC5-1)</f>
        <v>3707.5572463999993</v>
      </c>
      <c r="BD30" s="218">
        <f>((BD15*'Inputs &amp; Drivers'!$D$70)*BD16)*'Inputs &amp; Drivers'!$D$71*(1+'Inputs &amp; Drivers'!$L$70)^(BD5-1)</f>
        <v>3707.5572463999993</v>
      </c>
      <c r="BE30" s="218">
        <f>((BE15*'Inputs &amp; Drivers'!$D$70)*BE16)*'Inputs &amp; Drivers'!$D$71*(1+'Inputs &amp; Drivers'!$L$70)^(BE5-1)</f>
        <v>3763.1706050959988</v>
      </c>
      <c r="BF30" s="218">
        <f>((BF15*'Inputs &amp; Drivers'!$D$70)*BF16)*'Inputs &amp; Drivers'!$D$71*(1+'Inputs &amp; Drivers'!$L$70)^(BF5-1)</f>
        <v>3763.1706050959988</v>
      </c>
      <c r="BG30" s="218">
        <f>((BG15*'Inputs &amp; Drivers'!$D$70)*BG16)*'Inputs &amp; Drivers'!$D$71*(1+'Inputs &amp; Drivers'!$L$70)^(BG5-1)</f>
        <v>3763.1706050959988</v>
      </c>
      <c r="BH30" s="218">
        <f>((BH15*'Inputs &amp; Drivers'!$D$70)*BH16)*'Inputs &amp; Drivers'!$D$71*(1+'Inputs &amp; Drivers'!$L$70)^(BH5-1)</f>
        <v>3763.1706050959988</v>
      </c>
      <c r="BI30" s="218">
        <f>((BI15*'Inputs &amp; Drivers'!$D$70)*BI16)*'Inputs &amp; Drivers'!$D$71*(1+'Inputs &amp; Drivers'!$L$70)^(BI5-1)</f>
        <v>3763.1706050959988</v>
      </c>
      <c r="BJ30" s="218">
        <f>((BJ15*'Inputs &amp; Drivers'!$D$70)*BJ16)*'Inputs &amp; Drivers'!$D$71*(1+'Inputs &amp; Drivers'!$L$70)^(BJ5-1)</f>
        <v>3763.1706050959988</v>
      </c>
      <c r="BK30" s="218">
        <f>((BK15*'Inputs &amp; Drivers'!$D$70)*BK16)*'Inputs &amp; Drivers'!$D$71*(1+'Inputs &amp; Drivers'!$L$70)^(BK5-1)</f>
        <v>3763.1706050959988</v>
      </c>
      <c r="BL30" s="218">
        <f>((BL15*'Inputs &amp; Drivers'!$D$70)*BL16)*'Inputs &amp; Drivers'!$D$71*(1+'Inputs &amp; Drivers'!$L$70)^(BL5-1)</f>
        <v>3763.1706050959988</v>
      </c>
      <c r="BM30" s="218">
        <f>((BM15*'Inputs &amp; Drivers'!$D$70)*BM16)*'Inputs &amp; Drivers'!$D$71*(1+'Inputs &amp; Drivers'!$L$70)^(BM5-1)</f>
        <v>3763.1706050959988</v>
      </c>
      <c r="BN30" s="218">
        <f>((BN15*'Inputs &amp; Drivers'!$D$70)*BN16)*'Inputs &amp; Drivers'!$D$71*(1+'Inputs &amp; Drivers'!$L$70)^(BN5-1)</f>
        <v>3763.1706050959988</v>
      </c>
      <c r="BO30" s="218">
        <f>((BO15*'Inputs &amp; Drivers'!$D$70)*BO16)*'Inputs &amp; Drivers'!$D$71*(1+'Inputs &amp; Drivers'!$L$70)^(BO5-1)</f>
        <v>3763.1706050959988</v>
      </c>
      <c r="BP30" s="218">
        <f>((BP15*'Inputs &amp; Drivers'!$D$70)*BP16)*'Inputs &amp; Drivers'!$D$71*(1+'Inputs &amp; Drivers'!$L$70)^(BP5-1)</f>
        <v>3763.1706050959988</v>
      </c>
      <c r="BQ30" s="207"/>
      <c r="BR30" s="218">
        <f>SUM(I30:T30)</f>
        <v>38558.400000000001</v>
      </c>
      <c r="BS30" s="218">
        <v>0</v>
      </c>
      <c r="BT30" s="218">
        <f>BR30-BS29</f>
        <v>2293.6223236499427</v>
      </c>
      <c r="BV30" t="s">
        <v>14</v>
      </c>
      <c r="BW30" s="217">
        <f t="shared" si="327"/>
        <v>38558.400000000001</v>
      </c>
      <c r="BX30" s="217">
        <f t="shared" si="327"/>
        <v>43185.408000000003</v>
      </c>
      <c r="BY30" s="217">
        <f t="shared" si="327"/>
        <v>43833.189120000003</v>
      </c>
      <c r="BZ30" s="217">
        <f t="shared" si="327"/>
        <v>44490.686956799989</v>
      </c>
      <c r="CA30" s="217">
        <f t="shared" si="327"/>
        <v>45158.047261151987</v>
      </c>
      <c r="CC30" s="217">
        <f t="shared" si="330"/>
        <v>38558.400000000001</v>
      </c>
      <c r="CD30" s="217">
        <f t="shared" si="331"/>
        <v>43185.408000000003</v>
      </c>
      <c r="CE30" s="217">
        <f t="shared" si="332"/>
        <v>43833.189120000003</v>
      </c>
      <c r="CF30" s="217">
        <f t="shared" si="333"/>
        <v>44490.686956799989</v>
      </c>
      <c r="CG30" s="217">
        <f t="shared" si="334"/>
        <v>45158.047261151987</v>
      </c>
      <c r="CI30" t="str">
        <f t="shared" si="335"/>
        <v>OK</v>
      </c>
      <c r="CJ30" t="str">
        <f t="shared" si="328"/>
        <v>OK</v>
      </c>
      <c r="CK30" t="str">
        <f t="shared" si="328"/>
        <v>OK</v>
      </c>
      <c r="CL30" t="str">
        <f t="shared" si="328"/>
        <v>OK</v>
      </c>
      <c r="CM30" t="str">
        <f t="shared" si="328"/>
        <v>OK</v>
      </c>
    </row>
    <row r="31" spans="2:91" x14ac:dyDescent="0.3">
      <c r="B31" s="211" t="s">
        <v>15</v>
      </c>
      <c r="E31" s="121">
        <f>SUM('P-Builder'!O14:Q14)*4</f>
        <v>0</v>
      </c>
      <c r="F31" s="121">
        <f>SUM('P-Builder'!F14:Q14)</f>
        <v>0</v>
      </c>
      <c r="H31" s="43">
        <f>E31/12</f>
        <v>0</v>
      </c>
      <c r="I31" s="217">
        <f t="shared" ref="I31:J32" si="338">H31*1.002</f>
        <v>0</v>
      </c>
      <c r="J31" s="217">
        <f t="shared" si="338"/>
        <v>0</v>
      </c>
      <c r="K31" s="217">
        <f t="shared" ref="K31:BP31" si="339">J31*1.002</f>
        <v>0</v>
      </c>
      <c r="L31" s="217">
        <f t="shared" si="339"/>
        <v>0</v>
      </c>
      <c r="M31" s="217">
        <f t="shared" si="339"/>
        <v>0</v>
      </c>
      <c r="N31" s="217">
        <f t="shared" si="339"/>
        <v>0</v>
      </c>
      <c r="O31" s="217">
        <f t="shared" si="339"/>
        <v>0</v>
      </c>
      <c r="P31" s="217">
        <f t="shared" si="339"/>
        <v>0</v>
      </c>
      <c r="Q31" s="217">
        <f t="shared" si="339"/>
        <v>0</v>
      </c>
      <c r="R31" s="217">
        <f t="shared" si="339"/>
        <v>0</v>
      </c>
      <c r="S31" s="217">
        <f t="shared" si="339"/>
        <v>0</v>
      </c>
      <c r="T31" s="217">
        <f t="shared" si="339"/>
        <v>0</v>
      </c>
      <c r="U31" s="217">
        <f t="shared" si="339"/>
        <v>0</v>
      </c>
      <c r="V31" s="217">
        <f t="shared" si="339"/>
        <v>0</v>
      </c>
      <c r="W31" s="217">
        <f t="shared" si="339"/>
        <v>0</v>
      </c>
      <c r="X31" s="217">
        <f t="shared" si="339"/>
        <v>0</v>
      </c>
      <c r="Y31" s="217">
        <f t="shared" si="339"/>
        <v>0</v>
      </c>
      <c r="Z31" s="217">
        <f t="shared" si="339"/>
        <v>0</v>
      </c>
      <c r="AA31" s="217">
        <f t="shared" si="339"/>
        <v>0</v>
      </c>
      <c r="AB31" s="217">
        <f t="shared" si="339"/>
        <v>0</v>
      </c>
      <c r="AC31" s="217">
        <f t="shared" si="339"/>
        <v>0</v>
      </c>
      <c r="AD31" s="217">
        <f t="shared" si="339"/>
        <v>0</v>
      </c>
      <c r="AE31" s="217">
        <f t="shared" si="339"/>
        <v>0</v>
      </c>
      <c r="AF31" s="217">
        <f t="shared" si="339"/>
        <v>0</v>
      </c>
      <c r="AG31" s="217">
        <f t="shared" si="339"/>
        <v>0</v>
      </c>
      <c r="AH31" s="217">
        <f t="shared" si="339"/>
        <v>0</v>
      </c>
      <c r="AI31" s="217">
        <f t="shared" si="339"/>
        <v>0</v>
      </c>
      <c r="AJ31" s="217">
        <f t="shared" si="339"/>
        <v>0</v>
      </c>
      <c r="AK31" s="217">
        <f t="shared" si="339"/>
        <v>0</v>
      </c>
      <c r="AL31" s="217">
        <f t="shared" si="339"/>
        <v>0</v>
      </c>
      <c r="AM31" s="217">
        <f t="shared" si="339"/>
        <v>0</v>
      </c>
      <c r="AN31" s="217">
        <f t="shared" si="339"/>
        <v>0</v>
      </c>
      <c r="AO31" s="217">
        <f t="shared" si="339"/>
        <v>0</v>
      </c>
      <c r="AP31" s="217">
        <f t="shared" si="339"/>
        <v>0</v>
      </c>
      <c r="AQ31" s="217">
        <f t="shared" si="339"/>
        <v>0</v>
      </c>
      <c r="AR31" s="217">
        <f t="shared" si="339"/>
        <v>0</v>
      </c>
      <c r="AS31" s="217">
        <f t="shared" si="339"/>
        <v>0</v>
      </c>
      <c r="AT31" s="217">
        <f t="shared" si="339"/>
        <v>0</v>
      </c>
      <c r="AU31" s="217">
        <f t="shared" si="339"/>
        <v>0</v>
      </c>
      <c r="AV31" s="217">
        <f t="shared" si="339"/>
        <v>0</v>
      </c>
      <c r="AW31" s="217">
        <f t="shared" si="339"/>
        <v>0</v>
      </c>
      <c r="AX31" s="217">
        <f t="shared" si="339"/>
        <v>0</v>
      </c>
      <c r="AY31" s="217">
        <f t="shared" si="339"/>
        <v>0</v>
      </c>
      <c r="AZ31" s="217">
        <f t="shared" si="339"/>
        <v>0</v>
      </c>
      <c r="BA31" s="217">
        <f t="shared" si="339"/>
        <v>0</v>
      </c>
      <c r="BB31" s="217">
        <f t="shared" si="339"/>
        <v>0</v>
      </c>
      <c r="BC31" s="217">
        <f t="shared" si="339"/>
        <v>0</v>
      </c>
      <c r="BD31" s="217">
        <f t="shared" si="339"/>
        <v>0</v>
      </c>
      <c r="BE31" s="217">
        <f t="shared" si="339"/>
        <v>0</v>
      </c>
      <c r="BF31" s="217">
        <f t="shared" si="339"/>
        <v>0</v>
      </c>
      <c r="BG31" s="217">
        <f t="shared" si="339"/>
        <v>0</v>
      </c>
      <c r="BH31" s="217">
        <f t="shared" si="339"/>
        <v>0</v>
      </c>
      <c r="BI31" s="217">
        <f t="shared" si="339"/>
        <v>0</v>
      </c>
      <c r="BJ31" s="217">
        <f t="shared" si="339"/>
        <v>0</v>
      </c>
      <c r="BK31" s="217">
        <f t="shared" si="339"/>
        <v>0</v>
      </c>
      <c r="BL31" s="217">
        <f t="shared" si="339"/>
        <v>0</v>
      </c>
      <c r="BM31" s="217">
        <f t="shared" si="339"/>
        <v>0</v>
      </c>
      <c r="BN31" s="217">
        <f t="shared" si="339"/>
        <v>0</v>
      </c>
      <c r="BO31" s="217">
        <f t="shared" si="339"/>
        <v>0</v>
      </c>
      <c r="BP31" s="217">
        <f t="shared" si="339"/>
        <v>0</v>
      </c>
      <c r="BR31" s="217">
        <f>SUM(I31:T31)</f>
        <v>0</v>
      </c>
      <c r="BS31" s="217">
        <f>SUM(I31:T31)</f>
        <v>0</v>
      </c>
      <c r="BT31" s="217">
        <f t="shared" si="326"/>
        <v>0</v>
      </c>
      <c r="BV31" t="s">
        <v>15</v>
      </c>
      <c r="BW31" s="217">
        <f t="shared" si="327"/>
        <v>0</v>
      </c>
      <c r="BX31" s="217">
        <f t="shared" si="327"/>
        <v>0</v>
      </c>
      <c r="BY31" s="217">
        <f t="shared" si="327"/>
        <v>0</v>
      </c>
      <c r="BZ31" s="217">
        <f t="shared" si="327"/>
        <v>0</v>
      </c>
      <c r="CA31" s="217">
        <f t="shared" si="327"/>
        <v>0</v>
      </c>
      <c r="CC31" s="217">
        <f t="shared" si="330"/>
        <v>0</v>
      </c>
      <c r="CD31" s="217">
        <f t="shared" si="331"/>
        <v>0</v>
      </c>
      <c r="CE31" s="217">
        <f t="shared" si="332"/>
        <v>0</v>
      </c>
      <c r="CF31" s="217">
        <f t="shared" si="333"/>
        <v>0</v>
      </c>
      <c r="CG31" s="217">
        <f t="shared" si="334"/>
        <v>0</v>
      </c>
      <c r="CI31" t="str">
        <f t="shared" si="335"/>
        <v>OK</v>
      </c>
      <c r="CJ31" t="str">
        <f t="shared" si="328"/>
        <v>OK</v>
      </c>
      <c r="CK31" t="str">
        <f t="shared" si="328"/>
        <v>OK</v>
      </c>
      <c r="CL31" t="str">
        <f t="shared" si="328"/>
        <v>OK</v>
      </c>
      <c r="CM31" t="str">
        <f t="shared" si="328"/>
        <v>OK</v>
      </c>
    </row>
    <row r="32" spans="2:91" x14ac:dyDescent="0.3">
      <c r="B32" s="211" t="s">
        <v>16</v>
      </c>
      <c r="E32" s="121">
        <f>SUM('P-Builder'!O15:Q15)*4</f>
        <v>10168.16</v>
      </c>
      <c r="F32" s="121">
        <f>SUM('P-Builder'!F15:Q15)</f>
        <v>10231.93</v>
      </c>
      <c r="H32" s="43">
        <f>E32/12</f>
        <v>847.34666666666669</v>
      </c>
      <c r="I32" s="217">
        <f>H32*1.002</f>
        <v>849.04136000000005</v>
      </c>
      <c r="J32" s="217">
        <f t="shared" si="338"/>
        <v>850.73944272000006</v>
      </c>
      <c r="K32" s="217">
        <f t="shared" ref="K32:BP32" si="340">J32*1.002</f>
        <v>852.44092160544005</v>
      </c>
      <c r="L32" s="217">
        <f t="shared" si="340"/>
        <v>854.1458034486509</v>
      </c>
      <c r="M32" s="217">
        <f t="shared" si="340"/>
        <v>855.85409505554821</v>
      </c>
      <c r="N32" s="217">
        <f t="shared" si="340"/>
        <v>857.56580324565937</v>
      </c>
      <c r="O32" s="217">
        <f t="shared" si="340"/>
        <v>859.28093485215072</v>
      </c>
      <c r="P32" s="217">
        <f t="shared" si="340"/>
        <v>860.99949672185505</v>
      </c>
      <c r="Q32" s="217">
        <f t="shared" si="340"/>
        <v>862.72149571529872</v>
      </c>
      <c r="R32" s="217">
        <f t="shared" si="340"/>
        <v>864.44693870672927</v>
      </c>
      <c r="S32" s="217">
        <f t="shared" si="340"/>
        <v>866.17583258414277</v>
      </c>
      <c r="T32" s="217">
        <f t="shared" si="340"/>
        <v>867.90818424931103</v>
      </c>
      <c r="U32" s="217">
        <f t="shared" si="340"/>
        <v>869.64400061780964</v>
      </c>
      <c r="V32" s="217">
        <f t="shared" si="340"/>
        <v>871.38328861904529</v>
      </c>
      <c r="W32" s="217">
        <f t="shared" si="340"/>
        <v>873.12605519628335</v>
      </c>
      <c r="X32" s="217">
        <f t="shared" si="340"/>
        <v>874.87230730667591</v>
      </c>
      <c r="Y32" s="217">
        <f t="shared" si="340"/>
        <v>876.62205192128931</v>
      </c>
      <c r="Z32" s="217">
        <f t="shared" si="340"/>
        <v>878.37529602513189</v>
      </c>
      <c r="AA32" s="217">
        <f t="shared" si="340"/>
        <v>880.13204661718214</v>
      </c>
      <c r="AB32" s="217">
        <f t="shared" si="340"/>
        <v>881.8923107104165</v>
      </c>
      <c r="AC32" s="217">
        <f t="shared" si="340"/>
        <v>883.65609533183738</v>
      </c>
      <c r="AD32" s="217">
        <f t="shared" si="340"/>
        <v>885.42340752250107</v>
      </c>
      <c r="AE32" s="217">
        <f t="shared" si="340"/>
        <v>887.19425433754611</v>
      </c>
      <c r="AF32" s="217">
        <f t="shared" si="340"/>
        <v>888.9686428462212</v>
      </c>
      <c r="AG32" s="217">
        <f t="shared" si="340"/>
        <v>890.74658013191367</v>
      </c>
      <c r="AH32" s="217">
        <f t="shared" si="340"/>
        <v>892.52807329217751</v>
      </c>
      <c r="AI32" s="217">
        <f t="shared" si="340"/>
        <v>894.31312943876185</v>
      </c>
      <c r="AJ32" s="217">
        <f t="shared" si="340"/>
        <v>896.10175569763942</v>
      </c>
      <c r="AK32" s="217">
        <f t="shared" si="340"/>
        <v>897.89395920903473</v>
      </c>
      <c r="AL32" s="217">
        <f t="shared" si="340"/>
        <v>899.68974712745285</v>
      </c>
      <c r="AM32" s="217">
        <f t="shared" si="340"/>
        <v>901.48912662170778</v>
      </c>
      <c r="AN32" s="217">
        <f t="shared" si="340"/>
        <v>903.29210487495118</v>
      </c>
      <c r="AO32" s="217">
        <f t="shared" si="340"/>
        <v>905.09868908470105</v>
      </c>
      <c r="AP32" s="217">
        <f t="shared" si="340"/>
        <v>906.90888646287044</v>
      </c>
      <c r="AQ32" s="217">
        <f t="shared" si="340"/>
        <v>908.72270423579619</v>
      </c>
      <c r="AR32" s="217">
        <f t="shared" si="340"/>
        <v>910.54014964426779</v>
      </c>
      <c r="AS32" s="217">
        <f t="shared" si="340"/>
        <v>912.36122994355628</v>
      </c>
      <c r="AT32" s="217">
        <f t="shared" si="340"/>
        <v>914.18595240344337</v>
      </c>
      <c r="AU32" s="217">
        <f t="shared" si="340"/>
        <v>916.01432430825025</v>
      </c>
      <c r="AV32" s="217">
        <f t="shared" si="340"/>
        <v>917.84635295686678</v>
      </c>
      <c r="AW32" s="217">
        <f t="shared" si="340"/>
        <v>919.68204566278052</v>
      </c>
      <c r="AX32" s="217">
        <f t="shared" si="340"/>
        <v>921.52140975410612</v>
      </c>
      <c r="AY32" s="217">
        <f t="shared" si="340"/>
        <v>923.36445257361436</v>
      </c>
      <c r="AZ32" s="217">
        <f t="shared" si="340"/>
        <v>925.21118147876155</v>
      </c>
      <c r="BA32" s="217">
        <f t="shared" si="340"/>
        <v>927.06160384171903</v>
      </c>
      <c r="BB32" s="217">
        <f t="shared" si="340"/>
        <v>928.91572704940245</v>
      </c>
      <c r="BC32" s="217">
        <f t="shared" si="340"/>
        <v>930.77355850350125</v>
      </c>
      <c r="BD32" s="217">
        <f t="shared" si="340"/>
        <v>932.63510562050828</v>
      </c>
      <c r="BE32" s="217">
        <f t="shared" si="340"/>
        <v>934.50037583174935</v>
      </c>
      <c r="BF32" s="217">
        <f t="shared" si="340"/>
        <v>936.36937658341287</v>
      </c>
      <c r="BG32" s="217">
        <f t="shared" si="340"/>
        <v>938.24211533657967</v>
      </c>
      <c r="BH32" s="217">
        <f t="shared" si="340"/>
        <v>940.11859956725289</v>
      </c>
      <c r="BI32" s="217">
        <f t="shared" si="340"/>
        <v>941.9988367663874</v>
      </c>
      <c r="BJ32" s="217">
        <f t="shared" si="340"/>
        <v>943.8828344399202</v>
      </c>
      <c r="BK32" s="217">
        <f t="shared" si="340"/>
        <v>945.77060010880007</v>
      </c>
      <c r="BL32" s="217">
        <f t="shared" si="340"/>
        <v>947.66214130901767</v>
      </c>
      <c r="BM32" s="217">
        <f t="shared" si="340"/>
        <v>949.55746559163572</v>
      </c>
      <c r="BN32" s="217">
        <f t="shared" si="340"/>
        <v>951.45658052281897</v>
      </c>
      <c r="BO32" s="217">
        <f t="shared" si="340"/>
        <v>953.35949368386457</v>
      </c>
      <c r="BP32" s="217">
        <f t="shared" si="340"/>
        <v>955.26621267123232</v>
      </c>
      <c r="BR32" s="217">
        <f>SUM(I32:T32)</f>
        <v>10301.320308904786</v>
      </c>
      <c r="BS32" s="217">
        <f>SUM(I32:T32)</f>
        <v>10301.320308904786</v>
      </c>
      <c r="BT32" s="217">
        <f t="shared" si="326"/>
        <v>0</v>
      </c>
      <c r="BV32" t="s">
        <v>16</v>
      </c>
      <c r="BW32" s="217">
        <f t="shared" si="327"/>
        <v>10301.320308904786</v>
      </c>
      <c r="BX32" s="217">
        <f t="shared" si="327"/>
        <v>10551.28975705194</v>
      </c>
      <c r="BY32" s="217">
        <f t="shared" si="327"/>
        <v>10807.324905821273</v>
      </c>
      <c r="BZ32" s="217">
        <f t="shared" si="327"/>
        <v>11069.57294409651</v>
      </c>
      <c r="CA32" s="217">
        <f t="shared" si="327"/>
        <v>11338.184632412673</v>
      </c>
      <c r="CC32" s="217">
        <f t="shared" si="330"/>
        <v>10301.320308904786</v>
      </c>
      <c r="CD32" s="217">
        <f t="shared" si="331"/>
        <v>10551.28975705194</v>
      </c>
      <c r="CE32" s="217">
        <f t="shared" si="332"/>
        <v>10807.324905821273</v>
      </c>
      <c r="CF32" s="217">
        <f t="shared" si="333"/>
        <v>11069.57294409651</v>
      </c>
      <c r="CG32" s="217">
        <f t="shared" si="334"/>
        <v>11338.184632412673</v>
      </c>
      <c r="CI32" t="str">
        <f t="shared" si="335"/>
        <v>OK</v>
      </c>
      <c r="CJ32" t="str">
        <f t="shared" si="328"/>
        <v>OK</v>
      </c>
      <c r="CK32" t="str">
        <f t="shared" si="328"/>
        <v>OK</v>
      </c>
      <c r="CL32" t="str">
        <f t="shared" si="328"/>
        <v>OK</v>
      </c>
      <c r="CM32" t="str">
        <f t="shared" si="328"/>
        <v>OK</v>
      </c>
    </row>
    <row r="33" spans="2:91" x14ac:dyDescent="0.3"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R33" s="217"/>
      <c r="BS33" s="217"/>
      <c r="BT33" s="217"/>
      <c r="BW33" s="217"/>
      <c r="BX33" s="217"/>
      <c r="BY33" s="217"/>
      <c r="BZ33" s="217"/>
      <c r="CA33" s="217"/>
    </row>
    <row r="34" spans="2:91" x14ac:dyDescent="0.3">
      <c r="B34" t="s">
        <v>17</v>
      </c>
      <c r="E34" s="43">
        <f>SUM(E27:E32,E22)</f>
        <v>1129802.28</v>
      </c>
      <c r="F34" s="43">
        <f>SUM(F22,F27:F32)</f>
        <v>923168.01</v>
      </c>
      <c r="I34" s="217">
        <f>SUM(I22,I27:I28,I30:I32)</f>
        <v>92402.822488842896</v>
      </c>
      <c r="J34" s="217">
        <f t="shared" ref="J34:BP34" si="341">SUM(J22,J27:J28,J30:J32)</f>
        <v>93017.542989862093</v>
      </c>
      <c r="K34" s="217">
        <f t="shared" si="341"/>
        <v>93637.038580286579</v>
      </c>
      <c r="L34" s="217">
        <f t="shared" si="341"/>
        <v>98803.386356995426</v>
      </c>
      <c r="M34" s="217">
        <f t="shared" si="341"/>
        <v>104004.80285112438</v>
      </c>
      <c r="N34" s="217">
        <f t="shared" si="341"/>
        <v>109241.49733244353</v>
      </c>
      <c r="O34" s="217">
        <f t="shared" si="341"/>
        <v>111733.56945625092</v>
      </c>
      <c r="P34" s="217">
        <f t="shared" si="341"/>
        <v>114242.80968853575</v>
      </c>
      <c r="Q34" s="217">
        <f t="shared" si="341"/>
        <v>116769.30940271472</v>
      </c>
      <c r="R34" s="217">
        <f t="shared" si="341"/>
        <v>119313.16104262118</v>
      </c>
      <c r="S34" s="217">
        <f t="shared" si="341"/>
        <v>121785.81812041542</v>
      </c>
      <c r="T34" s="217">
        <f t="shared" si="341"/>
        <v>124276.01521466544</v>
      </c>
      <c r="U34" s="217">
        <f t="shared" si="341"/>
        <v>104381.74510226306</v>
      </c>
      <c r="V34" s="217">
        <f t="shared" si="341"/>
        <v>105619.18106396007</v>
      </c>
      <c r="W34" s="217">
        <f t="shared" si="341"/>
        <v>106861.61549921811</v>
      </c>
      <c r="X34" s="217">
        <f t="shared" si="341"/>
        <v>108109.04754485616</v>
      </c>
      <c r="Y34" s="217">
        <f t="shared" si="341"/>
        <v>109361.47668520907</v>
      </c>
      <c r="Z34" s="217">
        <f t="shared" si="341"/>
        <v>110618.90274627789</v>
      </c>
      <c r="AA34" s="217">
        <f t="shared" si="341"/>
        <v>111881.32589000092</v>
      </c>
      <c r="AB34" s="217">
        <f t="shared" si="341"/>
        <v>113148.74660864279</v>
      </c>
      <c r="AC34" s="217">
        <f t="shared" si="341"/>
        <v>114421.16571929974</v>
      </c>
      <c r="AD34" s="217">
        <f t="shared" si="341"/>
        <v>115698.5843585184</v>
      </c>
      <c r="AE34" s="217">
        <f t="shared" si="341"/>
        <v>116981.00397702574</v>
      </c>
      <c r="AF34" s="217">
        <f t="shared" si="341"/>
        <v>118268.4263345684</v>
      </c>
      <c r="AG34" s="217">
        <f t="shared" si="341"/>
        <v>108023.22355162335</v>
      </c>
      <c r="AH34" s="217">
        <f t="shared" si="341"/>
        <v>109320.65787739093</v>
      </c>
      <c r="AI34" s="217">
        <f t="shared" si="341"/>
        <v>110623.10202553548</v>
      </c>
      <c r="AJ34" s="217">
        <f t="shared" si="341"/>
        <v>111930.55894238209</v>
      </c>
      <c r="AK34" s="217">
        <f t="shared" si="341"/>
        <v>113243.03185903384</v>
      </c>
      <c r="AL34" s="217">
        <f t="shared" si="341"/>
        <v>114560.52428682212</v>
      </c>
      <c r="AM34" s="217">
        <f t="shared" si="341"/>
        <v>115883.04001285111</v>
      </c>
      <c r="AN34" s="217">
        <f t="shared" si="341"/>
        <v>117210.58309563553</v>
      </c>
      <c r="AO34" s="217">
        <f t="shared" si="341"/>
        <v>118543.15786082942</v>
      </c>
      <c r="AP34" s="217">
        <f t="shared" si="341"/>
        <v>119880.76889704409</v>
      </c>
      <c r="AQ34" s="217">
        <f t="shared" si="341"/>
        <v>121223.42105175376</v>
      </c>
      <c r="AR34" s="217">
        <f t="shared" si="341"/>
        <v>122571.11942728677</v>
      </c>
      <c r="AS34" s="217">
        <f t="shared" si="341"/>
        <v>111914.78901434864</v>
      </c>
      <c r="AT34" s="217">
        <f t="shared" si="341"/>
        <v>113272.59613838952</v>
      </c>
      <c r="AU34" s="217">
        <f t="shared" si="341"/>
        <v>114635.46628052817</v>
      </c>
      <c r="AV34" s="217">
        <f t="shared" si="341"/>
        <v>116003.40552407932</v>
      </c>
      <c r="AW34" s="217">
        <f t="shared" si="341"/>
        <v>117376.42018839673</v>
      </c>
      <c r="AX34" s="217">
        <f t="shared" si="341"/>
        <v>118754.51682534433</v>
      </c>
      <c r="AY34" s="217">
        <f t="shared" si="341"/>
        <v>120137.70221584223</v>
      </c>
      <c r="AZ34" s="217">
        <f t="shared" si="341"/>
        <v>121525.98336648573</v>
      </c>
      <c r="BA34" s="217">
        <f t="shared" si="341"/>
        <v>122919.36750623584</v>
      </c>
      <c r="BB34" s="217">
        <f t="shared" si="341"/>
        <v>124317.86208318011</v>
      </c>
      <c r="BC34" s="217">
        <f t="shared" si="341"/>
        <v>125721.47476136223</v>
      </c>
      <c r="BD34" s="217">
        <f t="shared" si="341"/>
        <v>127130.2134176791</v>
      </c>
      <c r="BE34" s="217">
        <f t="shared" si="341"/>
        <v>116044.32689587456</v>
      </c>
      <c r="BF34" s="217">
        <f t="shared" si="341"/>
        <v>117463.34197544496</v>
      </c>
      <c r="BG34" s="217">
        <f t="shared" si="341"/>
        <v>118887.50791091431</v>
      </c>
      <c r="BH34" s="217">
        <f t="shared" si="341"/>
        <v>120316.83340086558</v>
      </c>
      <c r="BI34" s="217">
        <f t="shared" si="341"/>
        <v>121751.32734218608</v>
      </c>
      <c r="BJ34" s="217">
        <f t="shared" si="341"/>
        <v>123190.99882734215</v>
      </c>
      <c r="BK34" s="217">
        <f t="shared" si="341"/>
        <v>124635.85714171227</v>
      </c>
      <c r="BL34" s="217">
        <f t="shared" si="341"/>
        <v>126085.91176097804</v>
      </c>
      <c r="BM34" s="217">
        <f t="shared" si="341"/>
        <v>127541.17234857094</v>
      </c>
      <c r="BN34" s="217">
        <f t="shared" si="341"/>
        <v>129001.64875317499</v>
      </c>
      <c r="BO34" s="217">
        <f t="shared" si="341"/>
        <v>130467.35100628296</v>
      </c>
      <c r="BP34" s="217">
        <f t="shared" si="341"/>
        <v>131938.28931980606</v>
      </c>
      <c r="BR34" s="217">
        <f>SUM(BR22,BR27:BR32)</f>
        <v>1299227.7735247584</v>
      </c>
      <c r="BS34" s="217">
        <f>SUM(BS22,BS27:BS32)</f>
        <v>1172619.3818815059</v>
      </c>
      <c r="BT34" s="217">
        <f>BR34-BS34</f>
        <v>126608.39164325246</v>
      </c>
      <c r="BV34" t="s">
        <v>17</v>
      </c>
      <c r="BW34" s="217">
        <f>SUM(BW30:BW32,BW27:BW28,BW22)</f>
        <v>1299227.7735247582</v>
      </c>
      <c r="BX34" s="217">
        <f t="shared" ref="BX34:CA34" si="342">SUM(BX30:BX32,BX27:BX28,BX22)</f>
        <v>1335351.2215298405</v>
      </c>
      <c r="BY34" s="217">
        <f t="shared" si="342"/>
        <v>1383013.1888881887</v>
      </c>
      <c r="BZ34" s="217">
        <f t="shared" si="342"/>
        <v>1433709.7973218719</v>
      </c>
      <c r="CA34" s="217">
        <f t="shared" si="342"/>
        <v>1487324.5666831529</v>
      </c>
      <c r="CC34" s="217">
        <f>SUM($I34:$T34)</f>
        <v>1299227.7735247584</v>
      </c>
      <c r="CD34" s="217">
        <f>SUM($U34:$AF34)</f>
        <v>1335351.22152984</v>
      </c>
      <c r="CE34" s="217">
        <f>SUM($AG34:$AR34)</f>
        <v>1383013.1888881885</v>
      </c>
      <c r="CF34" s="217">
        <f>SUM($AS34:$BD34)</f>
        <v>1433709.7973218716</v>
      </c>
      <c r="CG34" s="217">
        <f>SUM($BE34:$BP34)</f>
        <v>1487324.5666831529</v>
      </c>
      <c r="CI34" t="str">
        <f>IF(CC34=BW34,"OK","Check")</f>
        <v>OK</v>
      </c>
      <c r="CJ34" t="str">
        <f t="shared" ref="CJ34:CL34" si="343">IF(CD34=BX34,"OK","Check")</f>
        <v>OK</v>
      </c>
      <c r="CK34" t="str">
        <f t="shared" si="343"/>
        <v>OK</v>
      </c>
      <c r="CL34" t="str">
        <f t="shared" si="343"/>
        <v>OK</v>
      </c>
      <c r="CM34" t="str">
        <f>IF(CG34=CA34,"OK","Check")</f>
        <v>OK</v>
      </c>
    </row>
    <row r="35" spans="2:91" x14ac:dyDescent="0.3"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R35" s="225"/>
      <c r="BS35" s="225"/>
      <c r="BT35" s="225"/>
      <c r="BW35" s="228"/>
      <c r="BX35" s="45">
        <f>(BX34-BW34)/BW34</f>
        <v>2.7803783709980819E-2</v>
      </c>
      <c r="BY35" s="45">
        <f t="shared" ref="BY35:CA35" si="344">(BY34-BX34)/BX34</f>
        <v>3.5692457976519786E-2</v>
      </c>
      <c r="BZ35" s="45">
        <f t="shared" si="344"/>
        <v>3.6656634109497127E-2</v>
      </c>
      <c r="CA35" s="45">
        <f t="shared" si="344"/>
        <v>3.7395831054117014E-2</v>
      </c>
      <c r="CC35" t="str">
        <f>IF(CC34=BW34,"OK","Check")</f>
        <v>OK</v>
      </c>
      <c r="CD35" t="str">
        <f t="shared" ref="CD35:CG35" si="345">IF(CD34=BX34,"OK","Check")</f>
        <v>OK</v>
      </c>
      <c r="CE35" t="str">
        <f t="shared" si="345"/>
        <v>OK</v>
      </c>
      <c r="CF35" t="str">
        <f t="shared" si="345"/>
        <v>OK</v>
      </c>
      <c r="CG35" t="str">
        <f t="shared" si="345"/>
        <v>OK</v>
      </c>
    </row>
    <row r="36" spans="2:91" x14ac:dyDescent="0.3">
      <c r="B36" t="s">
        <v>18</v>
      </c>
      <c r="H36" t="s">
        <v>360</v>
      </c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R36" s="225"/>
      <c r="BS36" s="225"/>
      <c r="BT36" s="225"/>
      <c r="BV36" t="s">
        <v>18</v>
      </c>
      <c r="BW36" s="228"/>
      <c r="BX36" s="228"/>
      <c r="BY36" s="228"/>
      <c r="BZ36" s="228"/>
      <c r="CA36" s="228"/>
    </row>
    <row r="37" spans="2:91" x14ac:dyDescent="0.3">
      <c r="B37" t="s">
        <v>19</v>
      </c>
      <c r="E37" s="121">
        <f>SUM('P-Builder'!O20:Q20)*4</f>
        <v>23123.879999999997</v>
      </c>
      <c r="F37" s="121">
        <f>SUM('P-Builder'!F20:Q20)</f>
        <v>34857.419999999991</v>
      </c>
      <c r="H37" s="220">
        <f>'P-Builder'!Q20</f>
        <v>2235.4499999999998</v>
      </c>
      <c r="I37" s="220">
        <v>3000</v>
      </c>
      <c r="J37" s="217">
        <f>(1+INDEX('Inputs &amp; Drivers'!$I$61:$I$65,MATCH(Model2.0!J$5,'Inputs &amp; Drivers'!$B$61:$B$65,0))*(Model2.0!J$5&lt;&gt;Model2.0!I$5))*Model2.0!I37</f>
        <v>3000</v>
      </c>
      <c r="K37" s="217">
        <f>(1+INDEX('Inputs &amp; Drivers'!$I$61:$I$65,MATCH(Model2.0!K$5,'Inputs &amp; Drivers'!$B$61:$B$65,0))*(Model2.0!K$5&lt;&gt;Model2.0!J$5))*Model2.0!J37</f>
        <v>3000</v>
      </c>
      <c r="L37" s="217">
        <f>(1+INDEX('Inputs &amp; Drivers'!$I$61:$I$65,MATCH(Model2.0!L$5,'Inputs &amp; Drivers'!$B$61:$B$65,0))*(Model2.0!L$5&lt;&gt;Model2.0!K$5))*Model2.0!K37</f>
        <v>3000</v>
      </c>
      <c r="M37" s="217">
        <f>(1+INDEX('Inputs &amp; Drivers'!$I$61:$I$65,MATCH(Model2.0!M$5,'Inputs &amp; Drivers'!$B$61:$B$65,0))*(Model2.0!M$5&lt;&gt;Model2.0!L$5))*Model2.0!L37</f>
        <v>3000</v>
      </c>
      <c r="N37" s="217">
        <f>(1+INDEX('Inputs &amp; Drivers'!$I$61:$I$65,MATCH(Model2.0!N$5,'Inputs &amp; Drivers'!$B$61:$B$65,0))*(Model2.0!N$5&lt;&gt;Model2.0!M$5))*Model2.0!M37</f>
        <v>3000</v>
      </c>
      <c r="O37" s="217">
        <f>(1+INDEX('Inputs &amp; Drivers'!$I$61:$I$65,MATCH(Model2.0!O$5,'Inputs &amp; Drivers'!$B$61:$B$65,0))*(Model2.0!O$5&lt;&gt;Model2.0!N$5))*Model2.0!N37</f>
        <v>3000</v>
      </c>
      <c r="P37" s="217">
        <f>(1+INDEX('Inputs &amp; Drivers'!$I$61:$I$65,MATCH(Model2.0!P$5,'Inputs &amp; Drivers'!$B$61:$B$65,0))*(Model2.0!P$5&lt;&gt;Model2.0!O$5))*Model2.0!O37</f>
        <v>3000</v>
      </c>
      <c r="Q37" s="217">
        <f>(1+INDEX('Inputs &amp; Drivers'!$I$61:$I$65,MATCH(Model2.0!Q$5,'Inputs &amp; Drivers'!$B$61:$B$65,0))*(Model2.0!Q$5&lt;&gt;Model2.0!P$5))*Model2.0!P37</f>
        <v>3000</v>
      </c>
      <c r="R37" s="217">
        <f>(1+INDEX('Inputs &amp; Drivers'!$I$61:$I$65,MATCH(Model2.0!R$5,'Inputs &amp; Drivers'!$B$61:$B$65,0))*(Model2.0!R$5&lt;&gt;Model2.0!Q$5))*Model2.0!Q37</f>
        <v>3000</v>
      </c>
      <c r="S37" s="217">
        <f>(1+INDEX('Inputs &amp; Drivers'!$I$61:$I$65,MATCH(Model2.0!S$5,'Inputs &amp; Drivers'!$B$61:$B$65,0))*(Model2.0!S$5&lt;&gt;Model2.0!R$5))*Model2.0!R37</f>
        <v>3000</v>
      </c>
      <c r="T37" s="217">
        <f>(1+INDEX('Inputs &amp; Drivers'!$I$61:$I$65,MATCH(Model2.0!T$5,'Inputs &amp; Drivers'!$B$61:$B$65,0))*(Model2.0!T$5&lt;&gt;Model2.0!S$5))*Model2.0!S37</f>
        <v>3000</v>
      </c>
      <c r="U37" s="217">
        <f>(1+INDEX('Inputs &amp; Drivers'!$I$61:$I$65,MATCH(Model2.0!U$5,'Inputs &amp; Drivers'!$B$61:$B$65,0))*(Model2.0!U$5&lt;&gt;Model2.0!T$5))*Model2.0!T37</f>
        <v>3060</v>
      </c>
      <c r="V37" s="217">
        <f>(1+INDEX('Inputs &amp; Drivers'!$I$61:$I$65,MATCH(Model2.0!V$5,'Inputs &amp; Drivers'!$B$61:$B$65,0))*(Model2.0!V$5&lt;&gt;Model2.0!U$5))*Model2.0!U37</f>
        <v>3060</v>
      </c>
      <c r="W37" s="217">
        <f>(1+INDEX('Inputs &amp; Drivers'!$I$61:$I$65,MATCH(Model2.0!W$5,'Inputs &amp; Drivers'!$B$61:$B$65,0))*(Model2.0!W$5&lt;&gt;Model2.0!V$5))*Model2.0!V37</f>
        <v>3060</v>
      </c>
      <c r="X37" s="217">
        <f>(1+INDEX('Inputs &amp; Drivers'!$I$61:$I$65,MATCH(Model2.0!X$5,'Inputs &amp; Drivers'!$B$61:$B$65,0))*(Model2.0!X$5&lt;&gt;Model2.0!W$5))*Model2.0!W37</f>
        <v>3060</v>
      </c>
      <c r="Y37" s="217">
        <f>(1+INDEX('Inputs &amp; Drivers'!$I$61:$I$65,MATCH(Model2.0!Y$5,'Inputs &amp; Drivers'!$B$61:$B$65,0))*(Model2.0!Y$5&lt;&gt;Model2.0!X$5))*Model2.0!X37</f>
        <v>3060</v>
      </c>
      <c r="Z37" s="217">
        <f>(1+INDEX('Inputs &amp; Drivers'!$I$61:$I$65,MATCH(Model2.0!Z$5,'Inputs &amp; Drivers'!$B$61:$B$65,0))*(Model2.0!Z$5&lt;&gt;Model2.0!Y$5))*Model2.0!Y37</f>
        <v>3060</v>
      </c>
      <c r="AA37" s="217">
        <f>(1+INDEX('Inputs &amp; Drivers'!$I$61:$I$65,MATCH(Model2.0!AA$5,'Inputs &amp; Drivers'!$B$61:$B$65,0))*(Model2.0!AA$5&lt;&gt;Model2.0!Z$5))*Model2.0!Z37</f>
        <v>3060</v>
      </c>
      <c r="AB37" s="217">
        <f>(1+INDEX('Inputs &amp; Drivers'!$I$61:$I$65,MATCH(Model2.0!AB$5,'Inputs &amp; Drivers'!$B$61:$B$65,0))*(Model2.0!AB$5&lt;&gt;Model2.0!AA$5))*Model2.0!AA37</f>
        <v>3060</v>
      </c>
      <c r="AC37" s="217">
        <f>(1+INDEX('Inputs &amp; Drivers'!$I$61:$I$65,MATCH(Model2.0!AC$5,'Inputs &amp; Drivers'!$B$61:$B$65,0))*(Model2.0!AC$5&lt;&gt;Model2.0!AB$5))*Model2.0!AB37</f>
        <v>3060</v>
      </c>
      <c r="AD37" s="217">
        <f>(1+INDEX('Inputs &amp; Drivers'!$I$61:$I$65,MATCH(Model2.0!AD$5,'Inputs &amp; Drivers'!$B$61:$B$65,0))*(Model2.0!AD$5&lt;&gt;Model2.0!AC$5))*Model2.0!AC37</f>
        <v>3060</v>
      </c>
      <c r="AE37" s="217">
        <f>(1+INDEX('Inputs &amp; Drivers'!$I$61:$I$65,MATCH(Model2.0!AE$5,'Inputs &amp; Drivers'!$B$61:$B$65,0))*(Model2.0!AE$5&lt;&gt;Model2.0!AD$5))*Model2.0!AD37</f>
        <v>3060</v>
      </c>
      <c r="AF37" s="217">
        <f>(1+INDEX('Inputs &amp; Drivers'!$I$61:$I$65,MATCH(Model2.0!AF$5,'Inputs &amp; Drivers'!$B$61:$B$65,0))*(Model2.0!AF$5&lt;&gt;Model2.0!AE$5))*Model2.0!AE37</f>
        <v>3060</v>
      </c>
      <c r="AG37" s="217">
        <f>(1+INDEX('Inputs &amp; Drivers'!$I$61:$I$65,MATCH(Model2.0!AG$5,'Inputs &amp; Drivers'!$B$61:$B$65,0))*(Model2.0!AG$5&lt;&gt;Model2.0!AF$5))*Model2.0!AF37</f>
        <v>3121.2000000000003</v>
      </c>
      <c r="AH37" s="217">
        <f>(1+INDEX('Inputs &amp; Drivers'!$I$61:$I$65,MATCH(Model2.0!AH$5,'Inputs &amp; Drivers'!$B$61:$B$65,0))*(Model2.0!AH$5&lt;&gt;Model2.0!AG$5))*Model2.0!AG37</f>
        <v>3121.2000000000003</v>
      </c>
      <c r="AI37" s="217">
        <f>(1+INDEX('Inputs &amp; Drivers'!$I$61:$I$65,MATCH(Model2.0!AI$5,'Inputs &amp; Drivers'!$B$61:$B$65,0))*(Model2.0!AI$5&lt;&gt;Model2.0!AH$5))*Model2.0!AH37</f>
        <v>3121.2000000000003</v>
      </c>
      <c r="AJ37" s="217">
        <f>(1+INDEX('Inputs &amp; Drivers'!$I$61:$I$65,MATCH(Model2.0!AJ$5,'Inputs &amp; Drivers'!$B$61:$B$65,0))*(Model2.0!AJ$5&lt;&gt;Model2.0!AI$5))*Model2.0!AI37</f>
        <v>3121.2000000000003</v>
      </c>
      <c r="AK37" s="217">
        <f>(1+INDEX('Inputs &amp; Drivers'!$I$61:$I$65,MATCH(Model2.0!AK$5,'Inputs &amp; Drivers'!$B$61:$B$65,0))*(Model2.0!AK$5&lt;&gt;Model2.0!AJ$5))*Model2.0!AJ37</f>
        <v>3121.2000000000003</v>
      </c>
      <c r="AL37" s="217">
        <f>(1+INDEX('Inputs &amp; Drivers'!$I$61:$I$65,MATCH(Model2.0!AL$5,'Inputs &amp; Drivers'!$B$61:$B$65,0))*(Model2.0!AL$5&lt;&gt;Model2.0!AK$5))*Model2.0!AK37</f>
        <v>3121.2000000000003</v>
      </c>
      <c r="AM37" s="217">
        <f>(1+INDEX('Inputs &amp; Drivers'!$I$61:$I$65,MATCH(Model2.0!AM$5,'Inputs &amp; Drivers'!$B$61:$B$65,0))*(Model2.0!AM$5&lt;&gt;Model2.0!AL$5))*Model2.0!AL37</f>
        <v>3121.2000000000003</v>
      </c>
      <c r="AN37" s="217">
        <f>(1+INDEX('Inputs &amp; Drivers'!$I$61:$I$65,MATCH(Model2.0!AN$5,'Inputs &amp; Drivers'!$B$61:$B$65,0))*(Model2.0!AN$5&lt;&gt;Model2.0!AM$5))*Model2.0!AM37</f>
        <v>3121.2000000000003</v>
      </c>
      <c r="AO37" s="217">
        <f>(1+INDEX('Inputs &amp; Drivers'!$I$61:$I$65,MATCH(Model2.0!AO$5,'Inputs &amp; Drivers'!$B$61:$B$65,0))*(Model2.0!AO$5&lt;&gt;Model2.0!AN$5))*Model2.0!AN37</f>
        <v>3121.2000000000003</v>
      </c>
      <c r="AP37" s="217">
        <f>(1+INDEX('Inputs &amp; Drivers'!$I$61:$I$65,MATCH(Model2.0!AP$5,'Inputs &amp; Drivers'!$B$61:$B$65,0))*(Model2.0!AP$5&lt;&gt;Model2.0!AO$5))*Model2.0!AO37</f>
        <v>3121.2000000000003</v>
      </c>
      <c r="AQ37" s="217">
        <f>(1+INDEX('Inputs &amp; Drivers'!$I$61:$I$65,MATCH(Model2.0!AQ$5,'Inputs &amp; Drivers'!$B$61:$B$65,0))*(Model2.0!AQ$5&lt;&gt;Model2.0!AP$5))*Model2.0!AP37</f>
        <v>3121.2000000000003</v>
      </c>
      <c r="AR37" s="217">
        <f>(1+INDEX('Inputs &amp; Drivers'!$I$61:$I$65,MATCH(Model2.0!AR$5,'Inputs &amp; Drivers'!$B$61:$B$65,0))*(Model2.0!AR$5&lt;&gt;Model2.0!AQ$5))*Model2.0!AQ37</f>
        <v>3121.2000000000003</v>
      </c>
      <c r="AS37" s="217">
        <f>(1+INDEX('Inputs &amp; Drivers'!$I$61:$I$65,MATCH(Model2.0!AS$5,'Inputs &amp; Drivers'!$B$61:$B$65,0))*(Model2.0!AS$5&lt;&gt;Model2.0!AR$5))*Model2.0!AR37</f>
        <v>3183.6240000000003</v>
      </c>
      <c r="AT37" s="217">
        <f>(1+INDEX('Inputs &amp; Drivers'!$I$61:$I$65,MATCH(Model2.0!AT$5,'Inputs &amp; Drivers'!$B$61:$B$65,0))*(Model2.0!AT$5&lt;&gt;Model2.0!AS$5))*Model2.0!AS37</f>
        <v>3183.6240000000003</v>
      </c>
      <c r="AU37" s="217">
        <f>(1+INDEX('Inputs &amp; Drivers'!$I$61:$I$65,MATCH(Model2.0!AU$5,'Inputs &amp; Drivers'!$B$61:$B$65,0))*(Model2.0!AU$5&lt;&gt;Model2.0!AT$5))*Model2.0!AT37</f>
        <v>3183.6240000000003</v>
      </c>
      <c r="AV37" s="217">
        <f>(1+INDEX('Inputs &amp; Drivers'!$I$61:$I$65,MATCH(Model2.0!AV$5,'Inputs &amp; Drivers'!$B$61:$B$65,0))*(Model2.0!AV$5&lt;&gt;Model2.0!AU$5))*Model2.0!AU37</f>
        <v>3183.6240000000003</v>
      </c>
      <c r="AW37" s="217">
        <f>(1+INDEX('Inputs &amp; Drivers'!$I$61:$I$65,MATCH(Model2.0!AW$5,'Inputs &amp; Drivers'!$B$61:$B$65,0))*(Model2.0!AW$5&lt;&gt;Model2.0!AV$5))*Model2.0!AV37</f>
        <v>3183.6240000000003</v>
      </c>
      <c r="AX37" s="217">
        <f>(1+INDEX('Inputs &amp; Drivers'!$I$61:$I$65,MATCH(Model2.0!AX$5,'Inputs &amp; Drivers'!$B$61:$B$65,0))*(Model2.0!AX$5&lt;&gt;Model2.0!AW$5))*Model2.0!AW37</f>
        <v>3183.6240000000003</v>
      </c>
      <c r="AY37" s="217">
        <f>(1+INDEX('Inputs &amp; Drivers'!$I$61:$I$65,MATCH(Model2.0!AY$5,'Inputs &amp; Drivers'!$B$61:$B$65,0))*(Model2.0!AY$5&lt;&gt;Model2.0!AX$5))*Model2.0!AX37</f>
        <v>3183.6240000000003</v>
      </c>
      <c r="AZ37" s="217">
        <f>(1+INDEX('Inputs &amp; Drivers'!$I$61:$I$65,MATCH(Model2.0!AZ$5,'Inputs &amp; Drivers'!$B$61:$B$65,0))*(Model2.0!AZ$5&lt;&gt;Model2.0!AY$5))*Model2.0!AY37</f>
        <v>3183.6240000000003</v>
      </c>
      <c r="BA37" s="217">
        <f>(1+INDEX('Inputs &amp; Drivers'!$I$61:$I$65,MATCH(Model2.0!BA$5,'Inputs &amp; Drivers'!$B$61:$B$65,0))*(Model2.0!BA$5&lt;&gt;Model2.0!AZ$5))*Model2.0!AZ37</f>
        <v>3183.6240000000003</v>
      </c>
      <c r="BB37" s="217">
        <f>(1+INDEX('Inputs &amp; Drivers'!$I$61:$I$65,MATCH(Model2.0!BB$5,'Inputs &amp; Drivers'!$B$61:$B$65,0))*(Model2.0!BB$5&lt;&gt;Model2.0!BA$5))*Model2.0!BA37</f>
        <v>3183.6240000000003</v>
      </c>
      <c r="BC37" s="217">
        <f>(1+INDEX('Inputs &amp; Drivers'!$I$61:$I$65,MATCH(Model2.0!BC$5,'Inputs &amp; Drivers'!$B$61:$B$65,0))*(Model2.0!BC$5&lt;&gt;Model2.0!BB$5))*Model2.0!BB37</f>
        <v>3183.6240000000003</v>
      </c>
      <c r="BD37" s="217">
        <f>(1+INDEX('Inputs &amp; Drivers'!$I$61:$I$65,MATCH(Model2.0!BD$5,'Inputs &amp; Drivers'!$B$61:$B$65,0))*(Model2.0!BD$5&lt;&gt;Model2.0!BC$5))*Model2.0!BC37</f>
        <v>3183.6240000000003</v>
      </c>
      <c r="BE37" s="217">
        <f>(1+INDEX('Inputs &amp; Drivers'!$I$61:$I$65,MATCH(Model2.0!BE$5,'Inputs &amp; Drivers'!$B$61:$B$65,0))*(Model2.0!BE$5&lt;&gt;Model2.0!BD$5))*Model2.0!BD37</f>
        <v>3247.2964800000004</v>
      </c>
      <c r="BF37" s="217">
        <f>(1+INDEX('Inputs &amp; Drivers'!$I$61:$I$65,MATCH(Model2.0!BF$5,'Inputs &amp; Drivers'!$B$61:$B$65,0))*(Model2.0!BF$5&lt;&gt;Model2.0!BE$5))*Model2.0!BE37</f>
        <v>3247.2964800000004</v>
      </c>
      <c r="BG37" s="217">
        <f>(1+INDEX('Inputs &amp; Drivers'!$I$61:$I$65,MATCH(Model2.0!BG$5,'Inputs &amp; Drivers'!$B$61:$B$65,0))*(Model2.0!BG$5&lt;&gt;Model2.0!BF$5))*Model2.0!BF37</f>
        <v>3247.2964800000004</v>
      </c>
      <c r="BH37" s="217">
        <f>(1+INDEX('Inputs &amp; Drivers'!$I$61:$I$65,MATCH(Model2.0!BH$5,'Inputs &amp; Drivers'!$B$61:$B$65,0))*(Model2.0!BH$5&lt;&gt;Model2.0!BG$5))*Model2.0!BG37</f>
        <v>3247.2964800000004</v>
      </c>
      <c r="BI37" s="217">
        <f>(1+INDEX('Inputs &amp; Drivers'!$I$61:$I$65,MATCH(Model2.0!BI$5,'Inputs &amp; Drivers'!$B$61:$B$65,0))*(Model2.0!BI$5&lt;&gt;Model2.0!BH$5))*Model2.0!BH37</f>
        <v>3247.2964800000004</v>
      </c>
      <c r="BJ37" s="217">
        <f>(1+INDEX('Inputs &amp; Drivers'!$I$61:$I$65,MATCH(Model2.0!BJ$5,'Inputs &amp; Drivers'!$B$61:$B$65,0))*(Model2.0!BJ$5&lt;&gt;Model2.0!BI$5))*Model2.0!BI37</f>
        <v>3247.2964800000004</v>
      </c>
      <c r="BK37" s="217">
        <f>(1+INDEX('Inputs &amp; Drivers'!$I$61:$I$65,MATCH(Model2.0!BK$5,'Inputs &amp; Drivers'!$B$61:$B$65,0))*(Model2.0!BK$5&lt;&gt;Model2.0!BJ$5))*Model2.0!BJ37</f>
        <v>3247.2964800000004</v>
      </c>
      <c r="BL37" s="217">
        <f>(1+INDEX('Inputs &amp; Drivers'!$I$61:$I$65,MATCH(Model2.0!BL$5,'Inputs &amp; Drivers'!$B$61:$B$65,0))*(Model2.0!BL$5&lt;&gt;Model2.0!BK$5))*Model2.0!BK37</f>
        <v>3247.2964800000004</v>
      </c>
      <c r="BM37" s="217">
        <f>(1+INDEX('Inputs &amp; Drivers'!$I$61:$I$65,MATCH(Model2.0!BM$5,'Inputs &amp; Drivers'!$B$61:$B$65,0))*(Model2.0!BM$5&lt;&gt;Model2.0!BL$5))*Model2.0!BL37</f>
        <v>3247.2964800000004</v>
      </c>
      <c r="BN37" s="217">
        <f>(1+INDEX('Inputs &amp; Drivers'!$I$61:$I$65,MATCH(Model2.0!BN$5,'Inputs &amp; Drivers'!$B$61:$B$65,0))*(Model2.0!BN$5&lt;&gt;Model2.0!BM$5))*Model2.0!BM37</f>
        <v>3247.2964800000004</v>
      </c>
      <c r="BO37" s="217">
        <f>(1+INDEX('Inputs &amp; Drivers'!$I$61:$I$65,MATCH(Model2.0!BO$5,'Inputs &amp; Drivers'!$B$61:$B$65,0))*(Model2.0!BO$5&lt;&gt;Model2.0!BN$5))*Model2.0!BN37</f>
        <v>3247.2964800000004</v>
      </c>
      <c r="BP37" s="217">
        <f>(1+INDEX('Inputs &amp; Drivers'!$I$61:$I$65,MATCH(Model2.0!BP$5,'Inputs &amp; Drivers'!$B$61:$B$65,0))*(Model2.0!BP$5&lt;&gt;Model2.0!BO$5))*Model2.0!BO37</f>
        <v>3247.2964800000004</v>
      </c>
      <c r="BR37" s="217">
        <f>SUM(I37:T37)</f>
        <v>36000</v>
      </c>
      <c r="BS37" s="217">
        <f>SUM(I37:T37)</f>
        <v>36000</v>
      </c>
      <c r="BT37" s="217">
        <f t="shared" ref="BT37" si="346">BS37-BR37</f>
        <v>0</v>
      </c>
      <c r="BV37" t="s">
        <v>19</v>
      </c>
      <c r="BW37" s="217">
        <f t="shared" ref="BW37:CA46" si="347">SUMIF($I$5:$BP$5,BW$18,$I37:$BP37)</f>
        <v>36000</v>
      </c>
      <c r="BX37" s="217">
        <f t="shared" si="347"/>
        <v>36720</v>
      </c>
      <c r="BY37" s="217">
        <f t="shared" si="347"/>
        <v>37454.400000000001</v>
      </c>
      <c r="BZ37" s="217">
        <f t="shared" si="347"/>
        <v>38203.488000000005</v>
      </c>
      <c r="CA37" s="217">
        <f t="shared" si="347"/>
        <v>38967.557760000003</v>
      </c>
      <c r="CC37" s="217">
        <f>SUM($I37:$T37)</f>
        <v>36000</v>
      </c>
      <c r="CD37" s="217">
        <f>SUM($U37:$AF37)</f>
        <v>36720</v>
      </c>
      <c r="CE37" s="217">
        <f>SUM($AG37:$AR37)</f>
        <v>37454.400000000001</v>
      </c>
      <c r="CF37" s="217">
        <f>SUM($AS37:$BD37)</f>
        <v>38203.488000000005</v>
      </c>
      <c r="CG37" s="217">
        <f>SUM($BE37:$BP37)</f>
        <v>38967.557760000003</v>
      </c>
      <c r="CI37" t="str">
        <f>IF(CC37=BW37,"OK","Check")</f>
        <v>OK</v>
      </c>
      <c r="CJ37" t="str">
        <f t="shared" ref="CJ37:CM53" si="348">IF(CD37=BX37,"OK","Check")</f>
        <v>OK</v>
      </c>
      <c r="CK37" t="str">
        <f t="shared" si="348"/>
        <v>OK</v>
      </c>
      <c r="CL37" t="str">
        <f t="shared" si="348"/>
        <v>OK</v>
      </c>
      <c r="CM37" t="str">
        <f>IF(CG37=CA37,"OK","Check")</f>
        <v>OK</v>
      </c>
    </row>
    <row r="38" spans="2:91" x14ac:dyDescent="0.3">
      <c r="B38" s="204" t="s">
        <v>70</v>
      </c>
      <c r="C38" s="204"/>
      <c r="D38" s="204"/>
      <c r="E38" s="205">
        <f>SUM('P-Builder'!O21:Q21)*4</f>
        <v>16760.400000000001</v>
      </c>
      <c r="F38" s="205">
        <f>SUM('P-Builder'!F21:Q21)</f>
        <v>13333.739999999998</v>
      </c>
      <c r="G38" s="204"/>
      <c r="H38" s="219">
        <f>'P-Builder'!Q21</f>
        <v>1484.59</v>
      </c>
      <c r="I38" s="235">
        <f>I34*'Inputs &amp; Drivers'!$H$37</f>
        <v>1333.3464402242416</v>
      </c>
      <c r="J38" s="235">
        <f>J34*'Inputs &amp; Drivers'!$H$37</f>
        <v>1342.2166821680498</v>
      </c>
      <c r="K38" s="235">
        <f>K34*'Inputs &amp; Drivers'!$H$37</f>
        <v>1351.1558272934797</v>
      </c>
      <c r="L38" s="235">
        <f>L34*'Inputs &amp; Drivers'!$H$37</f>
        <v>1425.7047559029595</v>
      </c>
      <c r="M38" s="235">
        <f>M34*'Inputs &amp; Drivers'!$H$37</f>
        <v>1500.7597161278798</v>
      </c>
      <c r="N38" s="235">
        <f>N34*'Inputs &amp; Drivers'!$H$37</f>
        <v>1576.3237276714872</v>
      </c>
      <c r="O38" s="235">
        <f>O34*'Inputs &amp; Drivers'!$H$37</f>
        <v>1612.2836194319564</v>
      </c>
      <c r="P38" s="235">
        <f>P34*'Inputs &amp; Drivers'!$H$37</f>
        <v>1648.4912421134866</v>
      </c>
      <c r="Q38" s="235">
        <f>Q34*'Inputs &amp; Drivers'!$H$37</f>
        <v>1684.9479142084849</v>
      </c>
      <c r="R38" s="235">
        <f>R34*'Inputs &amp; Drivers'!$H$37</f>
        <v>1721.6549696551672</v>
      </c>
      <c r="S38" s="235">
        <f>S34*'Inputs &amp; Drivers'!$H$37</f>
        <v>1757.3347078251816</v>
      </c>
      <c r="T38" s="235">
        <f>T34*'Inputs &amp; Drivers'!$H$37</f>
        <v>1793.2675434425776</v>
      </c>
      <c r="U38" s="235">
        <f>U34*'Inputs &amp; Drivers'!$H$37</f>
        <v>1506.1988855730183</v>
      </c>
      <c r="V38" s="235">
        <f>V34*'Inputs &amp; Drivers'!$H$37</f>
        <v>1524.05473445397</v>
      </c>
      <c r="W38" s="235">
        <f>W34*'Inputs &amp; Drivers'!$H$37</f>
        <v>1541.9827098863584</v>
      </c>
      <c r="X38" s="235">
        <f>X34*'Inputs &amp; Drivers'!$H$37</f>
        <v>1559.9827994147272</v>
      </c>
      <c r="Y38" s="235">
        <f>Y34*'Inputs &amp; Drivers'!$H$37</f>
        <v>1578.0549955981749</v>
      </c>
      <c r="Z38" s="235">
        <f>Z34*'Inputs &amp; Drivers'!$H$37</f>
        <v>1596.199295925946</v>
      </c>
      <c r="AA38" s="235">
        <f>AA34*'Inputs &amp; Drivers'!$H$37</f>
        <v>1614.4157027347646</v>
      </c>
      <c r="AB38" s="235">
        <f>AB34*'Inputs &amp; Drivers'!$H$37</f>
        <v>1632.7042231278685</v>
      </c>
      <c r="AC38" s="235">
        <f>AC34*'Inputs &amp; Drivers'!$H$37</f>
        <v>1651.0648688957249</v>
      </c>
      <c r="AD38" s="235">
        <f>AD34*'Inputs &amp; Drivers'!$H$37</f>
        <v>1669.4976564383776</v>
      </c>
      <c r="AE38" s="235">
        <f>AE34*'Inputs &amp; Drivers'!$H$37</f>
        <v>1688.0026066894043</v>
      </c>
      <c r="AF38" s="235">
        <f>AF34*'Inputs &amp; Drivers'!$H$37</f>
        <v>1706.5797450414484</v>
      </c>
      <c r="AG38" s="235">
        <f>AG34*'Inputs &amp; Drivers'!$H$37</f>
        <v>1558.7443836090129</v>
      </c>
      <c r="AH38" s="235">
        <f>AH34*'Inputs &amp; Drivers'!$H$37</f>
        <v>1577.4659918141715</v>
      </c>
      <c r="AI38" s="235">
        <f>AI34*'Inputs &amp; Drivers'!$H$37</f>
        <v>1596.2598903309524</v>
      </c>
      <c r="AJ38" s="235">
        <f>AJ34*'Inputs &amp; Drivers'!$H$37</f>
        <v>1615.1261216739883</v>
      </c>
      <c r="AK38" s="235">
        <f>AK34*'Inputs &amp; Drivers'!$H$37</f>
        <v>1634.0647324671775</v>
      </c>
      <c r="AL38" s="235">
        <f>AL34*'Inputs &amp; Drivers'!$H$37</f>
        <v>1653.0757733780329</v>
      </c>
      <c r="AM38" s="235">
        <f>AM34*'Inputs &amp; Drivers'!$H$37</f>
        <v>1672.1592990533902</v>
      </c>
      <c r="AN38" s="235">
        <f>AN34*'Inputs &amp; Drivers'!$H$37</f>
        <v>1691.3153680564626</v>
      </c>
      <c r="AO38" s="235">
        <f>AO34*'Inputs &amp; Drivers'!$H$37</f>
        <v>1710.544042805207</v>
      </c>
      <c r="AP38" s="235">
        <f>AP34*'Inputs &amp; Drivers'!$H$37</f>
        <v>1729.8453895119794</v>
      </c>
      <c r="AQ38" s="235">
        <f>AQ34*'Inputs &amp; Drivers'!$H$37</f>
        <v>1749.2194781244532</v>
      </c>
      <c r="AR38" s="235">
        <f>AR34*'Inputs &amp; Drivers'!$H$37</f>
        <v>1768.6663822677754</v>
      </c>
      <c r="AS38" s="235">
        <f>AS34*'Inputs &amp; Drivers'!$H$37</f>
        <v>1614.8985660989567</v>
      </c>
      <c r="AT38" s="235">
        <f>AT34*'Inputs &amp; Drivers'!$H$37</f>
        <v>1634.4913366073426</v>
      </c>
      <c r="AU38" s="235">
        <f>AU34*'Inputs &amp; Drivers'!$H$37</f>
        <v>1654.157165026468</v>
      </c>
      <c r="AV38" s="235">
        <f>AV34*'Inputs &amp; Drivers'!$H$37</f>
        <v>1673.8961391368334</v>
      </c>
      <c r="AW38" s="235">
        <f>AW34*'Inputs &amp; Drivers'!$H$37</f>
        <v>1693.708350124916</v>
      </c>
      <c r="AX38" s="235">
        <f>AX34*'Inputs &amp; Drivers'!$H$37</f>
        <v>1713.5938925322482</v>
      </c>
      <c r="AY38" s="235">
        <f>AY34*'Inputs &amp; Drivers'!$H$37</f>
        <v>1733.5528642055783</v>
      </c>
      <c r="AZ38" s="235">
        <f>AZ34*'Inputs &amp; Drivers'!$H$37</f>
        <v>1753.5853662480827</v>
      </c>
      <c r="BA38" s="235">
        <f>BA34*'Inputs &amp; Drivers'!$H$37</f>
        <v>1773.6915029716124</v>
      </c>
      <c r="BB38" s="235">
        <f>BB34*'Inputs &amp; Drivers'!$H$37</f>
        <v>1793.8713818499518</v>
      </c>
      <c r="BC38" s="235">
        <f>BC34*'Inputs &amp; Drivers'!$H$37</f>
        <v>1814.125113473071</v>
      </c>
      <c r="BD38" s="235">
        <f>BD34*'Inputs &amp; Drivers'!$H$37</f>
        <v>1834.4528115023513</v>
      </c>
      <c r="BE38" s="235">
        <f>BE34*'Inputs &amp; Drivers'!$H$37</f>
        <v>1674.486622889847</v>
      </c>
      <c r="BF38" s="235">
        <f>BF34*'Inputs &amp; Drivers'!$H$37</f>
        <v>1694.9626067830682</v>
      </c>
      <c r="BG38" s="235">
        <f>BG34*'Inputs &amp; Drivers'!$H$37</f>
        <v>1715.5129160615102</v>
      </c>
      <c r="BH38" s="235">
        <f>BH34*'Inputs &amp; Drivers'!$H$37</f>
        <v>1736.1376762432503</v>
      </c>
      <c r="BI38" s="235">
        <f>BI34*'Inputs &amp; Drivers'!$H$37</f>
        <v>1756.8370157078416</v>
      </c>
      <c r="BJ38" s="235">
        <f>BJ34*'Inputs &amp; Drivers'!$H$37</f>
        <v>1777.6110656569865</v>
      </c>
      <c r="BK38" s="235">
        <f>BK34*'Inputs &amp; Drivers'!$H$37</f>
        <v>1798.4599600760548</v>
      </c>
      <c r="BL38" s="235">
        <f>BL34*'Inputs &amp; Drivers'!$H$37</f>
        <v>1819.3838356964361</v>
      </c>
      <c r="BM38" s="235">
        <f>BM34*'Inputs &amp; Drivers'!$H$37</f>
        <v>1840.3828319586978</v>
      </c>
      <c r="BN38" s="235">
        <f>BN34*'Inputs &amp; Drivers'!$H$37</f>
        <v>1861.457090976548</v>
      </c>
      <c r="BO38" s="235">
        <f>BO34*'Inputs &amp; Drivers'!$H$37</f>
        <v>1882.6067575015736</v>
      </c>
      <c r="BP38" s="235">
        <f>BP34*'Inputs &amp; Drivers'!$H$37</f>
        <v>1903.8319788887482</v>
      </c>
      <c r="BQ38" s="204"/>
      <c r="BR38" s="221">
        <v>0</v>
      </c>
      <c r="BS38" s="221">
        <f>SUM(I38:T38)</f>
        <v>18747.487146064952</v>
      </c>
      <c r="BT38" s="221"/>
      <c r="BV38" t="s">
        <v>70</v>
      </c>
      <c r="BW38" s="217">
        <f t="shared" si="347"/>
        <v>18747.487146064952</v>
      </c>
      <c r="BX38" s="217">
        <f t="shared" si="347"/>
        <v>19268.738223779779</v>
      </c>
      <c r="BY38" s="217">
        <f t="shared" si="347"/>
        <v>19956.486853092603</v>
      </c>
      <c r="BZ38" s="217">
        <f t="shared" si="347"/>
        <v>20688.02448977741</v>
      </c>
      <c r="CA38" s="217">
        <f t="shared" si="347"/>
        <v>21461.670358440562</v>
      </c>
      <c r="CC38" s="217">
        <f t="shared" ref="CC38:CC56" si="349">SUM($I38:$T38)</f>
        <v>18747.487146064952</v>
      </c>
      <c r="CD38" s="217">
        <f t="shared" ref="CD38:CD56" si="350">SUM($U38:$AF38)</f>
        <v>19268.738223779779</v>
      </c>
      <c r="CE38" s="217">
        <f t="shared" ref="CE38:CE56" si="351">SUM($AG38:$AR38)</f>
        <v>19956.486853092603</v>
      </c>
      <c r="CF38" s="217">
        <f t="shared" ref="CF38:CF56" si="352">SUM($AS38:$BD38)</f>
        <v>20688.02448977741</v>
      </c>
      <c r="CG38" s="217">
        <f t="shared" ref="CG38:CG56" si="353">SUM($BE38:$BP38)</f>
        <v>21461.670358440562</v>
      </c>
      <c r="CI38" t="str">
        <f t="shared" ref="CI38:CM55" si="354">IF(CC38=BW38,"OK","Check")</f>
        <v>OK</v>
      </c>
      <c r="CJ38" t="str">
        <f t="shared" si="348"/>
        <v>OK</v>
      </c>
      <c r="CK38" t="str">
        <f t="shared" si="348"/>
        <v>OK</v>
      </c>
      <c r="CL38" t="str">
        <f t="shared" si="348"/>
        <v>OK</v>
      </c>
      <c r="CM38" t="str">
        <f t="shared" si="348"/>
        <v>OK</v>
      </c>
    </row>
    <row r="39" spans="2:91" x14ac:dyDescent="0.3">
      <c r="B39" s="207" t="s">
        <v>71</v>
      </c>
      <c r="C39" s="207"/>
      <c r="D39" s="207"/>
      <c r="E39" s="208"/>
      <c r="F39" s="208"/>
      <c r="G39" s="207"/>
      <c r="H39" s="222">
        <f>'P-Builder'!Q22</f>
        <v>0</v>
      </c>
      <c r="I39" s="222">
        <f>'Inputs &amp; Drivers'!J38/12</f>
        <v>0</v>
      </c>
      <c r="J39" s="218">
        <f>(1+INDEX('Inputs &amp; Drivers'!$I$61:$I$65,MATCH(Model2.0!J$5,'Inputs &amp; Drivers'!$B$61:$B$65,0))*(Model2.0!J$5&lt;&gt;Model2.0!I$5))*Model2.0!I39</f>
        <v>0</v>
      </c>
      <c r="K39" s="218">
        <f>(1+INDEX('Inputs &amp; Drivers'!$I$61:$I$65,MATCH(Model2.0!K$5,'Inputs &amp; Drivers'!$B$61:$B$65,0))*(Model2.0!K$5&lt;&gt;Model2.0!J$5))*Model2.0!J39</f>
        <v>0</v>
      </c>
      <c r="L39" s="218">
        <f>(1+INDEX('Inputs &amp; Drivers'!$I$61:$I$65,MATCH(Model2.0!L$5,'Inputs &amp; Drivers'!$B$61:$B$65,0))*(Model2.0!L$5&lt;&gt;Model2.0!K$5))*Model2.0!K39</f>
        <v>0</v>
      </c>
      <c r="M39" s="218">
        <f>(1+INDEX('Inputs &amp; Drivers'!$I$61:$I$65,MATCH(Model2.0!M$5,'Inputs &amp; Drivers'!$B$61:$B$65,0))*(Model2.0!M$5&lt;&gt;Model2.0!L$5))*Model2.0!L39</f>
        <v>0</v>
      </c>
      <c r="N39" s="218">
        <f>(1+INDEX('Inputs &amp; Drivers'!$I$61:$I$65,MATCH(Model2.0!N$5,'Inputs &amp; Drivers'!$B$61:$B$65,0))*(Model2.0!N$5&lt;&gt;Model2.0!M$5))*Model2.0!M39</f>
        <v>0</v>
      </c>
      <c r="O39" s="218">
        <f>(1+INDEX('Inputs &amp; Drivers'!$I$61:$I$65,MATCH(Model2.0!O$5,'Inputs &amp; Drivers'!$B$61:$B$65,0))*(Model2.0!O$5&lt;&gt;Model2.0!N$5))*Model2.0!N39</f>
        <v>0</v>
      </c>
      <c r="P39" s="218">
        <f>(1+INDEX('Inputs &amp; Drivers'!$I$61:$I$65,MATCH(Model2.0!P$5,'Inputs &amp; Drivers'!$B$61:$B$65,0))*(Model2.0!P$5&lt;&gt;Model2.0!O$5))*Model2.0!O39</f>
        <v>0</v>
      </c>
      <c r="Q39" s="218">
        <f>(1+INDEX('Inputs &amp; Drivers'!$I$61:$I$65,MATCH(Model2.0!Q$5,'Inputs &amp; Drivers'!$B$61:$B$65,0))*(Model2.0!Q$5&lt;&gt;Model2.0!P$5))*Model2.0!P39</f>
        <v>0</v>
      </c>
      <c r="R39" s="218">
        <f>(1+INDEX('Inputs &amp; Drivers'!$I$61:$I$65,MATCH(Model2.0!R$5,'Inputs &amp; Drivers'!$B$61:$B$65,0))*(Model2.0!R$5&lt;&gt;Model2.0!Q$5))*Model2.0!Q39</f>
        <v>0</v>
      </c>
      <c r="S39" s="218">
        <f>(1+INDEX('Inputs &amp; Drivers'!$I$61:$I$65,MATCH(Model2.0!S$5,'Inputs &amp; Drivers'!$B$61:$B$65,0))*(Model2.0!S$5&lt;&gt;Model2.0!R$5))*Model2.0!R39</f>
        <v>0</v>
      </c>
      <c r="T39" s="218">
        <f>(1+INDEX('Inputs &amp; Drivers'!$I$61:$I$65,MATCH(Model2.0!T$5,'Inputs &amp; Drivers'!$B$61:$B$65,0))*(Model2.0!T$5&lt;&gt;Model2.0!S$5))*Model2.0!S39</f>
        <v>0</v>
      </c>
      <c r="U39" s="218">
        <f>(1+INDEX('Inputs &amp; Drivers'!$I$61:$I$65,MATCH(Model2.0!U$5,'Inputs &amp; Drivers'!$B$61:$B$65,0))*(Model2.0!U$5&lt;&gt;Model2.0!T$5))*Model2.0!T39</f>
        <v>0</v>
      </c>
      <c r="V39" s="218">
        <f>(1+INDEX('Inputs &amp; Drivers'!$I$61:$I$65,MATCH(Model2.0!V$5,'Inputs &amp; Drivers'!$B$61:$B$65,0))*(Model2.0!V$5&lt;&gt;Model2.0!U$5))*Model2.0!U39</f>
        <v>0</v>
      </c>
      <c r="W39" s="218">
        <f>(1+INDEX('Inputs &amp; Drivers'!$I$61:$I$65,MATCH(Model2.0!W$5,'Inputs &amp; Drivers'!$B$61:$B$65,0))*(Model2.0!W$5&lt;&gt;Model2.0!V$5))*Model2.0!V39</f>
        <v>0</v>
      </c>
      <c r="X39" s="218">
        <f>(1+INDEX('Inputs &amp; Drivers'!$I$61:$I$65,MATCH(Model2.0!X$5,'Inputs &amp; Drivers'!$B$61:$B$65,0))*(Model2.0!X$5&lt;&gt;Model2.0!W$5))*Model2.0!W39</f>
        <v>0</v>
      </c>
      <c r="Y39" s="218">
        <f>(1+INDEX('Inputs &amp; Drivers'!$I$61:$I$65,MATCH(Model2.0!Y$5,'Inputs &amp; Drivers'!$B$61:$B$65,0))*(Model2.0!Y$5&lt;&gt;Model2.0!X$5))*Model2.0!X39</f>
        <v>0</v>
      </c>
      <c r="Z39" s="218">
        <f>(1+INDEX('Inputs &amp; Drivers'!$I$61:$I$65,MATCH(Model2.0!Z$5,'Inputs &amp; Drivers'!$B$61:$B$65,0))*(Model2.0!Z$5&lt;&gt;Model2.0!Y$5))*Model2.0!Y39</f>
        <v>0</v>
      </c>
      <c r="AA39" s="218">
        <f>(1+INDEX('Inputs &amp; Drivers'!$I$61:$I$65,MATCH(Model2.0!AA$5,'Inputs &amp; Drivers'!$B$61:$B$65,0))*(Model2.0!AA$5&lt;&gt;Model2.0!Z$5))*Model2.0!Z39</f>
        <v>0</v>
      </c>
      <c r="AB39" s="218">
        <f>(1+INDEX('Inputs &amp; Drivers'!$I$61:$I$65,MATCH(Model2.0!AB$5,'Inputs &amp; Drivers'!$B$61:$B$65,0))*(Model2.0!AB$5&lt;&gt;Model2.0!AA$5))*Model2.0!AA39</f>
        <v>0</v>
      </c>
      <c r="AC39" s="218">
        <f>(1+INDEX('Inputs &amp; Drivers'!$I$61:$I$65,MATCH(Model2.0!AC$5,'Inputs &amp; Drivers'!$B$61:$B$65,0))*(Model2.0!AC$5&lt;&gt;Model2.0!AB$5))*Model2.0!AB39</f>
        <v>0</v>
      </c>
      <c r="AD39" s="218">
        <f>(1+INDEX('Inputs &amp; Drivers'!$I$61:$I$65,MATCH(Model2.0!AD$5,'Inputs &amp; Drivers'!$B$61:$B$65,0))*(Model2.0!AD$5&lt;&gt;Model2.0!AC$5))*Model2.0!AC39</f>
        <v>0</v>
      </c>
      <c r="AE39" s="218">
        <f>(1+INDEX('Inputs &amp; Drivers'!$I$61:$I$65,MATCH(Model2.0!AE$5,'Inputs &amp; Drivers'!$B$61:$B$65,0))*(Model2.0!AE$5&lt;&gt;Model2.0!AD$5))*Model2.0!AD39</f>
        <v>0</v>
      </c>
      <c r="AF39" s="218">
        <f>(1+INDEX('Inputs &amp; Drivers'!$I$61:$I$65,MATCH(Model2.0!AF$5,'Inputs &amp; Drivers'!$B$61:$B$65,0))*(Model2.0!AF$5&lt;&gt;Model2.0!AE$5))*Model2.0!AE39</f>
        <v>0</v>
      </c>
      <c r="AG39" s="218">
        <f>(1+INDEX('Inputs &amp; Drivers'!$I$61:$I$65,MATCH(Model2.0!AG$5,'Inputs &amp; Drivers'!$B$61:$B$65,0))*(Model2.0!AG$5&lt;&gt;Model2.0!AF$5))*Model2.0!AF39</f>
        <v>0</v>
      </c>
      <c r="AH39" s="218">
        <f>(1+INDEX('Inputs &amp; Drivers'!$I$61:$I$65,MATCH(Model2.0!AH$5,'Inputs &amp; Drivers'!$B$61:$B$65,0))*(Model2.0!AH$5&lt;&gt;Model2.0!AG$5))*Model2.0!AG39</f>
        <v>0</v>
      </c>
      <c r="AI39" s="218">
        <f>(1+INDEX('Inputs &amp; Drivers'!$I$61:$I$65,MATCH(Model2.0!AI$5,'Inputs &amp; Drivers'!$B$61:$B$65,0))*(Model2.0!AI$5&lt;&gt;Model2.0!AH$5))*Model2.0!AH39</f>
        <v>0</v>
      </c>
      <c r="AJ39" s="218">
        <f>(1+INDEX('Inputs &amp; Drivers'!$I$61:$I$65,MATCH(Model2.0!AJ$5,'Inputs &amp; Drivers'!$B$61:$B$65,0))*(Model2.0!AJ$5&lt;&gt;Model2.0!AI$5))*Model2.0!AI39</f>
        <v>0</v>
      </c>
      <c r="AK39" s="218">
        <f>(1+INDEX('Inputs &amp; Drivers'!$I$61:$I$65,MATCH(Model2.0!AK$5,'Inputs &amp; Drivers'!$B$61:$B$65,0))*(Model2.0!AK$5&lt;&gt;Model2.0!AJ$5))*Model2.0!AJ39</f>
        <v>0</v>
      </c>
      <c r="AL39" s="218">
        <f>(1+INDEX('Inputs &amp; Drivers'!$I$61:$I$65,MATCH(Model2.0!AL$5,'Inputs &amp; Drivers'!$B$61:$B$65,0))*(Model2.0!AL$5&lt;&gt;Model2.0!AK$5))*Model2.0!AK39</f>
        <v>0</v>
      </c>
      <c r="AM39" s="218">
        <f>(1+INDEX('Inputs &amp; Drivers'!$I$61:$I$65,MATCH(Model2.0!AM$5,'Inputs &amp; Drivers'!$B$61:$B$65,0))*(Model2.0!AM$5&lt;&gt;Model2.0!AL$5))*Model2.0!AL39</f>
        <v>0</v>
      </c>
      <c r="AN39" s="218">
        <f>(1+INDEX('Inputs &amp; Drivers'!$I$61:$I$65,MATCH(Model2.0!AN$5,'Inputs &amp; Drivers'!$B$61:$B$65,0))*(Model2.0!AN$5&lt;&gt;Model2.0!AM$5))*Model2.0!AM39</f>
        <v>0</v>
      </c>
      <c r="AO39" s="218">
        <f>(1+INDEX('Inputs &amp; Drivers'!$I$61:$I$65,MATCH(Model2.0!AO$5,'Inputs &amp; Drivers'!$B$61:$B$65,0))*(Model2.0!AO$5&lt;&gt;Model2.0!AN$5))*Model2.0!AN39</f>
        <v>0</v>
      </c>
      <c r="AP39" s="218">
        <f>(1+INDEX('Inputs &amp; Drivers'!$I$61:$I$65,MATCH(Model2.0!AP$5,'Inputs &amp; Drivers'!$B$61:$B$65,0))*(Model2.0!AP$5&lt;&gt;Model2.0!AO$5))*Model2.0!AO39</f>
        <v>0</v>
      </c>
      <c r="AQ39" s="218">
        <f>(1+INDEX('Inputs &amp; Drivers'!$I$61:$I$65,MATCH(Model2.0!AQ$5,'Inputs &amp; Drivers'!$B$61:$B$65,0))*(Model2.0!AQ$5&lt;&gt;Model2.0!AP$5))*Model2.0!AP39</f>
        <v>0</v>
      </c>
      <c r="AR39" s="218">
        <f>(1+INDEX('Inputs &amp; Drivers'!$I$61:$I$65,MATCH(Model2.0!AR$5,'Inputs &amp; Drivers'!$B$61:$B$65,0))*(Model2.0!AR$5&lt;&gt;Model2.0!AQ$5))*Model2.0!AQ39</f>
        <v>0</v>
      </c>
      <c r="AS39" s="218">
        <f>(1+INDEX('Inputs &amp; Drivers'!$I$61:$I$65,MATCH(Model2.0!AS$5,'Inputs &amp; Drivers'!$B$61:$B$65,0))*(Model2.0!AS$5&lt;&gt;Model2.0!AR$5))*Model2.0!AR39</f>
        <v>0</v>
      </c>
      <c r="AT39" s="218">
        <f>(1+INDEX('Inputs &amp; Drivers'!$I$61:$I$65,MATCH(Model2.0!AT$5,'Inputs &amp; Drivers'!$B$61:$B$65,0))*(Model2.0!AT$5&lt;&gt;Model2.0!AS$5))*Model2.0!AS39</f>
        <v>0</v>
      </c>
      <c r="AU39" s="218">
        <f>(1+INDEX('Inputs &amp; Drivers'!$I$61:$I$65,MATCH(Model2.0!AU$5,'Inputs &amp; Drivers'!$B$61:$B$65,0))*(Model2.0!AU$5&lt;&gt;Model2.0!AT$5))*Model2.0!AT39</f>
        <v>0</v>
      </c>
      <c r="AV39" s="218">
        <f>(1+INDEX('Inputs &amp; Drivers'!$I$61:$I$65,MATCH(Model2.0!AV$5,'Inputs &amp; Drivers'!$B$61:$B$65,0))*(Model2.0!AV$5&lt;&gt;Model2.0!AU$5))*Model2.0!AU39</f>
        <v>0</v>
      </c>
      <c r="AW39" s="218">
        <f>(1+INDEX('Inputs &amp; Drivers'!$I$61:$I$65,MATCH(Model2.0!AW$5,'Inputs &amp; Drivers'!$B$61:$B$65,0))*(Model2.0!AW$5&lt;&gt;Model2.0!AV$5))*Model2.0!AV39</f>
        <v>0</v>
      </c>
      <c r="AX39" s="218">
        <f>(1+INDEX('Inputs &amp; Drivers'!$I$61:$I$65,MATCH(Model2.0!AX$5,'Inputs &amp; Drivers'!$B$61:$B$65,0))*(Model2.0!AX$5&lt;&gt;Model2.0!AW$5))*Model2.0!AW39</f>
        <v>0</v>
      </c>
      <c r="AY39" s="218">
        <f>(1+INDEX('Inputs &amp; Drivers'!$I$61:$I$65,MATCH(Model2.0!AY$5,'Inputs &amp; Drivers'!$B$61:$B$65,0))*(Model2.0!AY$5&lt;&gt;Model2.0!AX$5))*Model2.0!AX39</f>
        <v>0</v>
      </c>
      <c r="AZ39" s="218">
        <f>(1+INDEX('Inputs &amp; Drivers'!$I$61:$I$65,MATCH(Model2.0!AZ$5,'Inputs &amp; Drivers'!$B$61:$B$65,0))*(Model2.0!AZ$5&lt;&gt;Model2.0!AY$5))*Model2.0!AY39</f>
        <v>0</v>
      </c>
      <c r="BA39" s="218">
        <f>(1+INDEX('Inputs &amp; Drivers'!$I$61:$I$65,MATCH(Model2.0!BA$5,'Inputs &amp; Drivers'!$B$61:$B$65,0))*(Model2.0!BA$5&lt;&gt;Model2.0!AZ$5))*Model2.0!AZ39</f>
        <v>0</v>
      </c>
      <c r="BB39" s="218">
        <f>(1+INDEX('Inputs &amp; Drivers'!$I$61:$I$65,MATCH(Model2.0!BB$5,'Inputs &amp; Drivers'!$B$61:$B$65,0))*(Model2.0!BB$5&lt;&gt;Model2.0!BA$5))*Model2.0!BA39</f>
        <v>0</v>
      </c>
      <c r="BC39" s="218">
        <f>(1+INDEX('Inputs &amp; Drivers'!$I$61:$I$65,MATCH(Model2.0!BC$5,'Inputs &amp; Drivers'!$B$61:$B$65,0))*(Model2.0!BC$5&lt;&gt;Model2.0!BB$5))*Model2.0!BB39</f>
        <v>0</v>
      </c>
      <c r="BD39" s="218">
        <f>(1+INDEX('Inputs &amp; Drivers'!$I$61:$I$65,MATCH(Model2.0!BD$5,'Inputs &amp; Drivers'!$B$61:$B$65,0))*(Model2.0!BD$5&lt;&gt;Model2.0!BC$5))*Model2.0!BC39</f>
        <v>0</v>
      </c>
      <c r="BE39" s="218">
        <f>(1+INDEX('Inputs &amp; Drivers'!$I$61:$I$65,MATCH(Model2.0!BE$5,'Inputs &amp; Drivers'!$B$61:$B$65,0))*(Model2.0!BE$5&lt;&gt;Model2.0!BD$5))*Model2.0!BD39</f>
        <v>0</v>
      </c>
      <c r="BF39" s="218">
        <f>(1+INDEX('Inputs &amp; Drivers'!$I$61:$I$65,MATCH(Model2.0!BF$5,'Inputs &amp; Drivers'!$B$61:$B$65,0))*(Model2.0!BF$5&lt;&gt;Model2.0!BE$5))*Model2.0!BE39</f>
        <v>0</v>
      </c>
      <c r="BG39" s="218">
        <f>(1+INDEX('Inputs &amp; Drivers'!$I$61:$I$65,MATCH(Model2.0!BG$5,'Inputs &amp; Drivers'!$B$61:$B$65,0))*(Model2.0!BG$5&lt;&gt;Model2.0!BF$5))*Model2.0!BF39</f>
        <v>0</v>
      </c>
      <c r="BH39" s="218">
        <f>(1+INDEX('Inputs &amp; Drivers'!$I$61:$I$65,MATCH(Model2.0!BH$5,'Inputs &amp; Drivers'!$B$61:$B$65,0))*(Model2.0!BH$5&lt;&gt;Model2.0!BG$5))*Model2.0!BG39</f>
        <v>0</v>
      </c>
      <c r="BI39" s="218">
        <f>(1+INDEX('Inputs &amp; Drivers'!$I$61:$I$65,MATCH(Model2.0!BI$5,'Inputs &amp; Drivers'!$B$61:$B$65,0))*(Model2.0!BI$5&lt;&gt;Model2.0!BH$5))*Model2.0!BH39</f>
        <v>0</v>
      </c>
      <c r="BJ39" s="218">
        <f>(1+INDEX('Inputs &amp; Drivers'!$I$61:$I$65,MATCH(Model2.0!BJ$5,'Inputs &amp; Drivers'!$B$61:$B$65,0))*(Model2.0!BJ$5&lt;&gt;Model2.0!BI$5))*Model2.0!BI39</f>
        <v>0</v>
      </c>
      <c r="BK39" s="218">
        <f>(1+INDEX('Inputs &amp; Drivers'!$I$61:$I$65,MATCH(Model2.0!BK$5,'Inputs &amp; Drivers'!$B$61:$B$65,0))*(Model2.0!BK$5&lt;&gt;Model2.0!BJ$5))*Model2.0!BJ39</f>
        <v>0</v>
      </c>
      <c r="BL39" s="218">
        <f>(1+INDEX('Inputs &amp; Drivers'!$I$61:$I$65,MATCH(Model2.0!BL$5,'Inputs &amp; Drivers'!$B$61:$B$65,0))*(Model2.0!BL$5&lt;&gt;Model2.0!BK$5))*Model2.0!BK39</f>
        <v>0</v>
      </c>
      <c r="BM39" s="218">
        <f>(1+INDEX('Inputs &amp; Drivers'!$I$61:$I$65,MATCH(Model2.0!BM$5,'Inputs &amp; Drivers'!$B$61:$B$65,0))*(Model2.0!BM$5&lt;&gt;Model2.0!BL$5))*Model2.0!BL39</f>
        <v>0</v>
      </c>
      <c r="BN39" s="218">
        <f>(1+INDEX('Inputs &amp; Drivers'!$I$61:$I$65,MATCH(Model2.0!BN$5,'Inputs &amp; Drivers'!$B$61:$B$65,0))*(Model2.0!BN$5&lt;&gt;Model2.0!BM$5))*Model2.0!BM39</f>
        <v>0</v>
      </c>
      <c r="BO39" s="218">
        <f>(1+INDEX('Inputs &amp; Drivers'!$I$61:$I$65,MATCH(Model2.0!BO$5,'Inputs &amp; Drivers'!$B$61:$B$65,0))*(Model2.0!BO$5&lt;&gt;Model2.0!BN$5))*Model2.0!BN39</f>
        <v>0</v>
      </c>
      <c r="BP39" s="218">
        <f>(1+INDEX('Inputs &amp; Drivers'!$I$61:$I$65,MATCH(Model2.0!BP$5,'Inputs &amp; Drivers'!$B$61:$B$65,0))*(Model2.0!BP$5&lt;&gt;Model2.0!BO$5))*Model2.0!BO39</f>
        <v>0</v>
      </c>
      <c r="BQ39" s="207"/>
      <c r="BR39" s="218">
        <f>SUM(I39:T39)</f>
        <v>0</v>
      </c>
      <c r="BS39" s="218">
        <v>0</v>
      </c>
      <c r="BT39" s="218">
        <f>BS38-BR39</f>
        <v>18747.487146064952</v>
      </c>
      <c r="BV39" t="s">
        <v>71</v>
      </c>
      <c r="BW39" s="217">
        <f t="shared" si="347"/>
        <v>0</v>
      </c>
      <c r="BX39" s="217">
        <f t="shared" si="347"/>
        <v>0</v>
      </c>
      <c r="BY39" s="217">
        <f t="shared" si="347"/>
        <v>0</v>
      </c>
      <c r="BZ39" s="217">
        <f t="shared" si="347"/>
        <v>0</v>
      </c>
      <c r="CA39" s="217">
        <f t="shared" si="347"/>
        <v>0</v>
      </c>
      <c r="CC39" s="217">
        <f t="shared" si="349"/>
        <v>0</v>
      </c>
      <c r="CD39" s="217">
        <f t="shared" si="350"/>
        <v>0</v>
      </c>
      <c r="CE39" s="217">
        <f t="shared" si="351"/>
        <v>0</v>
      </c>
      <c r="CF39" s="217">
        <f t="shared" si="352"/>
        <v>0</v>
      </c>
      <c r="CG39" s="217">
        <f t="shared" si="353"/>
        <v>0</v>
      </c>
      <c r="CI39" t="str">
        <f t="shared" si="354"/>
        <v>OK</v>
      </c>
      <c r="CJ39" t="str">
        <f t="shared" si="348"/>
        <v>OK</v>
      </c>
      <c r="CK39" t="str">
        <f t="shared" si="348"/>
        <v>OK</v>
      </c>
      <c r="CL39" t="str">
        <f t="shared" si="348"/>
        <v>OK</v>
      </c>
      <c r="CM39" t="str">
        <f t="shared" si="348"/>
        <v>OK</v>
      </c>
    </row>
    <row r="40" spans="2:91" x14ac:dyDescent="0.3">
      <c r="B40" t="s">
        <v>22</v>
      </c>
      <c r="E40" s="121">
        <f>SUM('P-Builder'!O23:Q23)*4</f>
        <v>0</v>
      </c>
      <c r="F40" s="121">
        <f>SUM('P-Builder'!F23:Q23)</f>
        <v>0</v>
      </c>
      <c r="H40" s="220">
        <f>'P-Builder'!Q23</f>
        <v>0</v>
      </c>
      <c r="I40" s="220">
        <f>'Inputs &amp; Drivers'!J39/12</f>
        <v>632.95194244339052</v>
      </c>
      <c r="J40" s="217">
        <f>(1+INDEX('Inputs &amp; Drivers'!$I$61:$I$65,MATCH(Model2.0!J$5,'Inputs &amp; Drivers'!$B$61:$B$65,0))*(Model2.0!J$5&lt;&gt;Model2.0!I$5))*Model2.0!I40</f>
        <v>632.95194244339052</v>
      </c>
      <c r="K40" s="217">
        <f>(1+INDEX('Inputs &amp; Drivers'!$I$61:$I$65,MATCH(Model2.0!K$5,'Inputs &amp; Drivers'!$B$61:$B$65,0))*(Model2.0!K$5&lt;&gt;Model2.0!J$5))*Model2.0!J40</f>
        <v>632.95194244339052</v>
      </c>
      <c r="L40" s="217">
        <f>(1+INDEX('Inputs &amp; Drivers'!$I$61:$I$65,MATCH(Model2.0!L$5,'Inputs &amp; Drivers'!$B$61:$B$65,0))*(Model2.0!L$5&lt;&gt;Model2.0!K$5))*Model2.0!K40</f>
        <v>632.95194244339052</v>
      </c>
      <c r="M40" s="217">
        <f>(1+INDEX('Inputs &amp; Drivers'!$I$61:$I$65,MATCH(Model2.0!M$5,'Inputs &amp; Drivers'!$B$61:$B$65,0))*(Model2.0!M$5&lt;&gt;Model2.0!L$5))*Model2.0!L40</f>
        <v>632.95194244339052</v>
      </c>
      <c r="N40" s="217">
        <f>(1+INDEX('Inputs &amp; Drivers'!$I$61:$I$65,MATCH(Model2.0!N$5,'Inputs &amp; Drivers'!$B$61:$B$65,0))*(Model2.0!N$5&lt;&gt;Model2.0!M$5))*Model2.0!M40</f>
        <v>632.95194244339052</v>
      </c>
      <c r="O40" s="217">
        <f>(1+INDEX('Inputs &amp; Drivers'!$I$61:$I$65,MATCH(Model2.0!O$5,'Inputs &amp; Drivers'!$B$61:$B$65,0))*(Model2.0!O$5&lt;&gt;Model2.0!N$5))*Model2.0!N40</f>
        <v>632.95194244339052</v>
      </c>
      <c r="P40" s="217">
        <f>(1+INDEX('Inputs &amp; Drivers'!$I$61:$I$65,MATCH(Model2.0!P$5,'Inputs &amp; Drivers'!$B$61:$B$65,0))*(Model2.0!P$5&lt;&gt;Model2.0!O$5))*Model2.0!O40</f>
        <v>632.95194244339052</v>
      </c>
      <c r="Q40" s="217">
        <f>(1+INDEX('Inputs &amp; Drivers'!$I$61:$I$65,MATCH(Model2.0!Q$5,'Inputs &amp; Drivers'!$B$61:$B$65,0))*(Model2.0!Q$5&lt;&gt;Model2.0!P$5))*Model2.0!P40</f>
        <v>632.95194244339052</v>
      </c>
      <c r="R40" s="217">
        <f>(1+INDEX('Inputs &amp; Drivers'!$I$61:$I$65,MATCH(Model2.0!R$5,'Inputs &amp; Drivers'!$B$61:$B$65,0))*(Model2.0!R$5&lt;&gt;Model2.0!Q$5))*Model2.0!Q40</f>
        <v>632.95194244339052</v>
      </c>
      <c r="S40" s="217">
        <f>(1+INDEX('Inputs &amp; Drivers'!$I$61:$I$65,MATCH(Model2.0!S$5,'Inputs &amp; Drivers'!$B$61:$B$65,0))*(Model2.0!S$5&lt;&gt;Model2.0!R$5))*Model2.0!R40</f>
        <v>632.95194244339052</v>
      </c>
      <c r="T40" s="217">
        <f>(1+INDEX('Inputs &amp; Drivers'!$I$61:$I$65,MATCH(Model2.0!T$5,'Inputs &amp; Drivers'!$B$61:$B$65,0))*(Model2.0!T$5&lt;&gt;Model2.0!S$5))*Model2.0!S40</f>
        <v>632.95194244339052</v>
      </c>
      <c r="U40" s="217">
        <f>(1+INDEX('Inputs &amp; Drivers'!$I$61:$I$65,MATCH(Model2.0!U$5,'Inputs &amp; Drivers'!$B$61:$B$65,0))*(Model2.0!U$5&lt;&gt;Model2.0!T$5))*Model2.0!T40</f>
        <v>645.61098129225832</v>
      </c>
      <c r="V40" s="217">
        <f>(1+INDEX('Inputs &amp; Drivers'!$I$61:$I$65,MATCH(Model2.0!V$5,'Inputs &amp; Drivers'!$B$61:$B$65,0))*(Model2.0!V$5&lt;&gt;Model2.0!U$5))*Model2.0!U40</f>
        <v>645.61098129225832</v>
      </c>
      <c r="W40" s="217">
        <f>(1+INDEX('Inputs &amp; Drivers'!$I$61:$I$65,MATCH(Model2.0!W$5,'Inputs &amp; Drivers'!$B$61:$B$65,0))*(Model2.0!W$5&lt;&gt;Model2.0!V$5))*Model2.0!V40</f>
        <v>645.61098129225832</v>
      </c>
      <c r="X40" s="217">
        <f>(1+INDEX('Inputs &amp; Drivers'!$I$61:$I$65,MATCH(Model2.0!X$5,'Inputs &amp; Drivers'!$B$61:$B$65,0))*(Model2.0!X$5&lt;&gt;Model2.0!W$5))*Model2.0!W40</f>
        <v>645.61098129225832</v>
      </c>
      <c r="Y40" s="217">
        <f>(1+INDEX('Inputs &amp; Drivers'!$I$61:$I$65,MATCH(Model2.0!Y$5,'Inputs &amp; Drivers'!$B$61:$B$65,0))*(Model2.0!Y$5&lt;&gt;Model2.0!X$5))*Model2.0!X40</f>
        <v>645.61098129225832</v>
      </c>
      <c r="Z40" s="217">
        <f>(1+INDEX('Inputs &amp; Drivers'!$I$61:$I$65,MATCH(Model2.0!Z$5,'Inputs &amp; Drivers'!$B$61:$B$65,0))*(Model2.0!Z$5&lt;&gt;Model2.0!Y$5))*Model2.0!Y40</f>
        <v>645.61098129225832</v>
      </c>
      <c r="AA40" s="217">
        <f>(1+INDEX('Inputs &amp; Drivers'!$I$61:$I$65,MATCH(Model2.0!AA$5,'Inputs &amp; Drivers'!$B$61:$B$65,0))*(Model2.0!AA$5&lt;&gt;Model2.0!Z$5))*Model2.0!Z40</f>
        <v>645.61098129225832</v>
      </c>
      <c r="AB40" s="217">
        <f>(1+INDEX('Inputs &amp; Drivers'!$I$61:$I$65,MATCH(Model2.0!AB$5,'Inputs &amp; Drivers'!$B$61:$B$65,0))*(Model2.0!AB$5&lt;&gt;Model2.0!AA$5))*Model2.0!AA40</f>
        <v>645.61098129225832</v>
      </c>
      <c r="AC40" s="217">
        <f>(1+INDEX('Inputs &amp; Drivers'!$I$61:$I$65,MATCH(Model2.0!AC$5,'Inputs &amp; Drivers'!$B$61:$B$65,0))*(Model2.0!AC$5&lt;&gt;Model2.0!AB$5))*Model2.0!AB40</f>
        <v>645.61098129225832</v>
      </c>
      <c r="AD40" s="217">
        <f>(1+INDEX('Inputs &amp; Drivers'!$I$61:$I$65,MATCH(Model2.0!AD$5,'Inputs &amp; Drivers'!$B$61:$B$65,0))*(Model2.0!AD$5&lt;&gt;Model2.0!AC$5))*Model2.0!AC40</f>
        <v>645.61098129225832</v>
      </c>
      <c r="AE40" s="217">
        <f>(1+INDEX('Inputs &amp; Drivers'!$I$61:$I$65,MATCH(Model2.0!AE$5,'Inputs &amp; Drivers'!$B$61:$B$65,0))*(Model2.0!AE$5&lt;&gt;Model2.0!AD$5))*Model2.0!AD40</f>
        <v>645.61098129225832</v>
      </c>
      <c r="AF40" s="217">
        <f>(1+INDEX('Inputs &amp; Drivers'!$I$61:$I$65,MATCH(Model2.0!AF$5,'Inputs &amp; Drivers'!$B$61:$B$65,0))*(Model2.0!AF$5&lt;&gt;Model2.0!AE$5))*Model2.0!AE40</f>
        <v>645.61098129225832</v>
      </c>
      <c r="AG40" s="217">
        <f>(1+INDEX('Inputs &amp; Drivers'!$I$61:$I$65,MATCH(Model2.0!AG$5,'Inputs &amp; Drivers'!$B$61:$B$65,0))*(Model2.0!AG$5&lt;&gt;Model2.0!AF$5))*Model2.0!AF40</f>
        <v>658.5232009181035</v>
      </c>
      <c r="AH40" s="217">
        <f>(1+INDEX('Inputs &amp; Drivers'!$I$61:$I$65,MATCH(Model2.0!AH$5,'Inputs &amp; Drivers'!$B$61:$B$65,0))*(Model2.0!AH$5&lt;&gt;Model2.0!AG$5))*Model2.0!AG40</f>
        <v>658.5232009181035</v>
      </c>
      <c r="AI40" s="217">
        <f>(1+INDEX('Inputs &amp; Drivers'!$I$61:$I$65,MATCH(Model2.0!AI$5,'Inputs &amp; Drivers'!$B$61:$B$65,0))*(Model2.0!AI$5&lt;&gt;Model2.0!AH$5))*Model2.0!AH40</f>
        <v>658.5232009181035</v>
      </c>
      <c r="AJ40" s="217">
        <f>(1+INDEX('Inputs &amp; Drivers'!$I$61:$I$65,MATCH(Model2.0!AJ$5,'Inputs &amp; Drivers'!$B$61:$B$65,0))*(Model2.0!AJ$5&lt;&gt;Model2.0!AI$5))*Model2.0!AI40</f>
        <v>658.5232009181035</v>
      </c>
      <c r="AK40" s="217">
        <f>(1+INDEX('Inputs &amp; Drivers'!$I$61:$I$65,MATCH(Model2.0!AK$5,'Inputs &amp; Drivers'!$B$61:$B$65,0))*(Model2.0!AK$5&lt;&gt;Model2.0!AJ$5))*Model2.0!AJ40</f>
        <v>658.5232009181035</v>
      </c>
      <c r="AL40" s="217">
        <f>(1+INDEX('Inputs &amp; Drivers'!$I$61:$I$65,MATCH(Model2.0!AL$5,'Inputs &amp; Drivers'!$B$61:$B$65,0))*(Model2.0!AL$5&lt;&gt;Model2.0!AK$5))*Model2.0!AK40</f>
        <v>658.5232009181035</v>
      </c>
      <c r="AM40" s="217">
        <f>(1+INDEX('Inputs &amp; Drivers'!$I$61:$I$65,MATCH(Model2.0!AM$5,'Inputs &amp; Drivers'!$B$61:$B$65,0))*(Model2.0!AM$5&lt;&gt;Model2.0!AL$5))*Model2.0!AL40</f>
        <v>658.5232009181035</v>
      </c>
      <c r="AN40" s="217">
        <f>(1+INDEX('Inputs &amp; Drivers'!$I$61:$I$65,MATCH(Model2.0!AN$5,'Inputs &amp; Drivers'!$B$61:$B$65,0))*(Model2.0!AN$5&lt;&gt;Model2.0!AM$5))*Model2.0!AM40</f>
        <v>658.5232009181035</v>
      </c>
      <c r="AO40" s="217">
        <f>(1+INDEX('Inputs &amp; Drivers'!$I$61:$I$65,MATCH(Model2.0!AO$5,'Inputs &amp; Drivers'!$B$61:$B$65,0))*(Model2.0!AO$5&lt;&gt;Model2.0!AN$5))*Model2.0!AN40</f>
        <v>658.5232009181035</v>
      </c>
      <c r="AP40" s="217">
        <f>(1+INDEX('Inputs &amp; Drivers'!$I$61:$I$65,MATCH(Model2.0!AP$5,'Inputs &amp; Drivers'!$B$61:$B$65,0))*(Model2.0!AP$5&lt;&gt;Model2.0!AO$5))*Model2.0!AO40</f>
        <v>658.5232009181035</v>
      </c>
      <c r="AQ40" s="217">
        <f>(1+INDEX('Inputs &amp; Drivers'!$I$61:$I$65,MATCH(Model2.0!AQ$5,'Inputs &amp; Drivers'!$B$61:$B$65,0))*(Model2.0!AQ$5&lt;&gt;Model2.0!AP$5))*Model2.0!AP40</f>
        <v>658.5232009181035</v>
      </c>
      <c r="AR40" s="217">
        <f>(1+INDEX('Inputs &amp; Drivers'!$I$61:$I$65,MATCH(Model2.0!AR$5,'Inputs &amp; Drivers'!$B$61:$B$65,0))*(Model2.0!AR$5&lt;&gt;Model2.0!AQ$5))*Model2.0!AQ40</f>
        <v>658.5232009181035</v>
      </c>
      <c r="AS40" s="217">
        <f>(1+INDEX('Inputs &amp; Drivers'!$I$61:$I$65,MATCH(Model2.0!AS$5,'Inputs &amp; Drivers'!$B$61:$B$65,0))*(Model2.0!AS$5&lt;&gt;Model2.0!AR$5))*Model2.0!AR40</f>
        <v>671.69366493646555</v>
      </c>
      <c r="AT40" s="217">
        <f>(1+INDEX('Inputs &amp; Drivers'!$I$61:$I$65,MATCH(Model2.0!AT$5,'Inputs &amp; Drivers'!$B$61:$B$65,0))*(Model2.0!AT$5&lt;&gt;Model2.0!AS$5))*Model2.0!AS40</f>
        <v>671.69366493646555</v>
      </c>
      <c r="AU40" s="217">
        <f>(1+INDEX('Inputs &amp; Drivers'!$I$61:$I$65,MATCH(Model2.0!AU$5,'Inputs &amp; Drivers'!$B$61:$B$65,0))*(Model2.0!AU$5&lt;&gt;Model2.0!AT$5))*Model2.0!AT40</f>
        <v>671.69366493646555</v>
      </c>
      <c r="AV40" s="217">
        <f>(1+INDEX('Inputs &amp; Drivers'!$I$61:$I$65,MATCH(Model2.0!AV$5,'Inputs &amp; Drivers'!$B$61:$B$65,0))*(Model2.0!AV$5&lt;&gt;Model2.0!AU$5))*Model2.0!AU40</f>
        <v>671.69366493646555</v>
      </c>
      <c r="AW40" s="217">
        <f>(1+INDEX('Inputs &amp; Drivers'!$I$61:$I$65,MATCH(Model2.0!AW$5,'Inputs &amp; Drivers'!$B$61:$B$65,0))*(Model2.0!AW$5&lt;&gt;Model2.0!AV$5))*Model2.0!AV40</f>
        <v>671.69366493646555</v>
      </c>
      <c r="AX40" s="217">
        <f>(1+INDEX('Inputs &amp; Drivers'!$I$61:$I$65,MATCH(Model2.0!AX$5,'Inputs &amp; Drivers'!$B$61:$B$65,0))*(Model2.0!AX$5&lt;&gt;Model2.0!AW$5))*Model2.0!AW40</f>
        <v>671.69366493646555</v>
      </c>
      <c r="AY40" s="217">
        <f>(1+INDEX('Inputs &amp; Drivers'!$I$61:$I$65,MATCH(Model2.0!AY$5,'Inputs &amp; Drivers'!$B$61:$B$65,0))*(Model2.0!AY$5&lt;&gt;Model2.0!AX$5))*Model2.0!AX40</f>
        <v>671.69366493646555</v>
      </c>
      <c r="AZ40" s="217">
        <f>(1+INDEX('Inputs &amp; Drivers'!$I$61:$I$65,MATCH(Model2.0!AZ$5,'Inputs &amp; Drivers'!$B$61:$B$65,0))*(Model2.0!AZ$5&lt;&gt;Model2.0!AY$5))*Model2.0!AY40</f>
        <v>671.69366493646555</v>
      </c>
      <c r="BA40" s="217">
        <f>(1+INDEX('Inputs &amp; Drivers'!$I$61:$I$65,MATCH(Model2.0!BA$5,'Inputs &amp; Drivers'!$B$61:$B$65,0))*(Model2.0!BA$5&lt;&gt;Model2.0!AZ$5))*Model2.0!AZ40</f>
        <v>671.69366493646555</v>
      </c>
      <c r="BB40" s="217">
        <f>(1+INDEX('Inputs &amp; Drivers'!$I$61:$I$65,MATCH(Model2.0!BB$5,'Inputs &amp; Drivers'!$B$61:$B$65,0))*(Model2.0!BB$5&lt;&gt;Model2.0!BA$5))*Model2.0!BA40</f>
        <v>671.69366493646555</v>
      </c>
      <c r="BC40" s="217">
        <f>(1+INDEX('Inputs &amp; Drivers'!$I$61:$I$65,MATCH(Model2.0!BC$5,'Inputs &amp; Drivers'!$B$61:$B$65,0))*(Model2.0!BC$5&lt;&gt;Model2.0!BB$5))*Model2.0!BB40</f>
        <v>671.69366493646555</v>
      </c>
      <c r="BD40" s="217">
        <f>(1+INDEX('Inputs &amp; Drivers'!$I$61:$I$65,MATCH(Model2.0!BD$5,'Inputs &amp; Drivers'!$B$61:$B$65,0))*(Model2.0!BD$5&lt;&gt;Model2.0!BC$5))*Model2.0!BC40</f>
        <v>671.69366493646555</v>
      </c>
      <c r="BE40" s="217">
        <f>(1+INDEX('Inputs &amp; Drivers'!$I$61:$I$65,MATCH(Model2.0!BE$5,'Inputs &amp; Drivers'!$B$61:$B$65,0))*(Model2.0!BE$5&lt;&gt;Model2.0!BD$5))*Model2.0!BD40</f>
        <v>685.12753823519483</v>
      </c>
      <c r="BF40" s="217">
        <f>(1+INDEX('Inputs &amp; Drivers'!$I$61:$I$65,MATCH(Model2.0!BF$5,'Inputs &amp; Drivers'!$B$61:$B$65,0))*(Model2.0!BF$5&lt;&gt;Model2.0!BE$5))*Model2.0!BE40</f>
        <v>685.12753823519483</v>
      </c>
      <c r="BG40" s="217">
        <f>(1+INDEX('Inputs &amp; Drivers'!$I$61:$I$65,MATCH(Model2.0!BG$5,'Inputs &amp; Drivers'!$B$61:$B$65,0))*(Model2.0!BG$5&lt;&gt;Model2.0!BF$5))*Model2.0!BF40</f>
        <v>685.12753823519483</v>
      </c>
      <c r="BH40" s="217">
        <f>(1+INDEX('Inputs &amp; Drivers'!$I$61:$I$65,MATCH(Model2.0!BH$5,'Inputs &amp; Drivers'!$B$61:$B$65,0))*(Model2.0!BH$5&lt;&gt;Model2.0!BG$5))*Model2.0!BG40</f>
        <v>685.12753823519483</v>
      </c>
      <c r="BI40" s="217">
        <f>(1+INDEX('Inputs &amp; Drivers'!$I$61:$I$65,MATCH(Model2.0!BI$5,'Inputs &amp; Drivers'!$B$61:$B$65,0))*(Model2.0!BI$5&lt;&gt;Model2.0!BH$5))*Model2.0!BH40</f>
        <v>685.12753823519483</v>
      </c>
      <c r="BJ40" s="217">
        <f>(1+INDEX('Inputs &amp; Drivers'!$I$61:$I$65,MATCH(Model2.0!BJ$5,'Inputs &amp; Drivers'!$B$61:$B$65,0))*(Model2.0!BJ$5&lt;&gt;Model2.0!BI$5))*Model2.0!BI40</f>
        <v>685.12753823519483</v>
      </c>
      <c r="BK40" s="217">
        <f>(1+INDEX('Inputs &amp; Drivers'!$I$61:$I$65,MATCH(Model2.0!BK$5,'Inputs &amp; Drivers'!$B$61:$B$65,0))*(Model2.0!BK$5&lt;&gt;Model2.0!BJ$5))*Model2.0!BJ40</f>
        <v>685.12753823519483</v>
      </c>
      <c r="BL40" s="217">
        <f>(1+INDEX('Inputs &amp; Drivers'!$I$61:$I$65,MATCH(Model2.0!BL$5,'Inputs &amp; Drivers'!$B$61:$B$65,0))*(Model2.0!BL$5&lt;&gt;Model2.0!BK$5))*Model2.0!BK40</f>
        <v>685.12753823519483</v>
      </c>
      <c r="BM40" s="217">
        <f>(1+INDEX('Inputs &amp; Drivers'!$I$61:$I$65,MATCH(Model2.0!BM$5,'Inputs &amp; Drivers'!$B$61:$B$65,0))*(Model2.0!BM$5&lt;&gt;Model2.0!BL$5))*Model2.0!BL40</f>
        <v>685.12753823519483</v>
      </c>
      <c r="BN40" s="217">
        <f>(1+INDEX('Inputs &amp; Drivers'!$I$61:$I$65,MATCH(Model2.0!BN$5,'Inputs &amp; Drivers'!$B$61:$B$65,0))*(Model2.0!BN$5&lt;&gt;Model2.0!BM$5))*Model2.0!BM40</f>
        <v>685.12753823519483</v>
      </c>
      <c r="BO40" s="217">
        <f>(1+INDEX('Inputs &amp; Drivers'!$I$61:$I$65,MATCH(Model2.0!BO$5,'Inputs &amp; Drivers'!$B$61:$B$65,0))*(Model2.0!BO$5&lt;&gt;Model2.0!BN$5))*Model2.0!BN40</f>
        <v>685.12753823519483</v>
      </c>
      <c r="BP40" s="217">
        <f>(1+INDEX('Inputs &amp; Drivers'!$I$61:$I$65,MATCH(Model2.0!BP$5,'Inputs &amp; Drivers'!$B$61:$B$65,0))*(Model2.0!BP$5&lt;&gt;Model2.0!BO$5))*Model2.0!BO40</f>
        <v>685.12753823519483</v>
      </c>
      <c r="BR40" s="217">
        <f>SUM(I40:T40)</f>
        <v>7595.4233093206849</v>
      </c>
      <c r="BS40" s="217">
        <f>SUM(I40:T40)</f>
        <v>7595.4233093206849</v>
      </c>
      <c r="BT40" s="217">
        <f t="shared" ref="BT40:BT41" si="355">BS40-BR40</f>
        <v>0</v>
      </c>
      <c r="BV40" t="s">
        <v>22</v>
      </c>
      <c r="BW40" s="217">
        <f t="shared" si="347"/>
        <v>7595.4233093206849</v>
      </c>
      <c r="BX40" s="217">
        <f t="shared" si="347"/>
        <v>7747.3317755071012</v>
      </c>
      <c r="BY40" s="217">
        <f t="shared" si="347"/>
        <v>7902.2784110172424</v>
      </c>
      <c r="BZ40" s="217">
        <f t="shared" si="347"/>
        <v>8060.3239792375853</v>
      </c>
      <c r="CA40" s="217">
        <f t="shared" si="347"/>
        <v>8221.5304588223389</v>
      </c>
      <c r="CC40" s="217">
        <f t="shared" si="349"/>
        <v>7595.4233093206849</v>
      </c>
      <c r="CD40" s="217">
        <f t="shared" si="350"/>
        <v>7747.3317755071012</v>
      </c>
      <c r="CE40" s="217">
        <f t="shared" si="351"/>
        <v>7902.2784110172424</v>
      </c>
      <c r="CF40" s="217">
        <f t="shared" si="352"/>
        <v>8060.3239792375853</v>
      </c>
      <c r="CG40" s="217">
        <f t="shared" si="353"/>
        <v>8221.5304588223389</v>
      </c>
      <c r="CI40" t="str">
        <f t="shared" si="354"/>
        <v>OK</v>
      </c>
      <c r="CJ40" t="str">
        <f t="shared" si="348"/>
        <v>OK</v>
      </c>
      <c r="CK40" t="str">
        <f t="shared" si="348"/>
        <v>OK</v>
      </c>
      <c r="CL40" t="str">
        <f t="shared" si="348"/>
        <v>OK</v>
      </c>
      <c r="CM40" t="str">
        <f t="shared" si="348"/>
        <v>OK</v>
      </c>
    </row>
    <row r="41" spans="2:91" x14ac:dyDescent="0.3">
      <c r="B41" t="s">
        <v>23</v>
      </c>
      <c r="E41" s="121">
        <f>SUM('P-Builder'!O24:Q24)*4</f>
        <v>0</v>
      </c>
      <c r="F41" s="121">
        <f>SUM('P-Builder'!F24:Q24)</f>
        <v>410.25</v>
      </c>
      <c r="H41" s="220">
        <f>'P-Builder'!Q24</f>
        <v>0</v>
      </c>
      <c r="I41" s="220">
        <f>'Inputs &amp; Drivers'!J40/12</f>
        <v>34.187499999999993</v>
      </c>
      <c r="J41" s="217">
        <f>(1+INDEX('Inputs &amp; Drivers'!$I$61:$I$65,MATCH(Model2.0!J$5,'Inputs &amp; Drivers'!$B$61:$B$65,0))*(Model2.0!J$5&lt;&gt;Model2.0!I$5))*Model2.0!I41</f>
        <v>34.187499999999993</v>
      </c>
      <c r="K41" s="217">
        <f>(1+INDEX('Inputs &amp; Drivers'!$I$61:$I$65,MATCH(Model2.0!K$5,'Inputs &amp; Drivers'!$B$61:$B$65,0))*(Model2.0!K$5&lt;&gt;Model2.0!J$5))*Model2.0!J41</f>
        <v>34.187499999999993</v>
      </c>
      <c r="L41" s="217">
        <f>(1+INDEX('Inputs &amp; Drivers'!$I$61:$I$65,MATCH(Model2.0!L$5,'Inputs &amp; Drivers'!$B$61:$B$65,0))*(Model2.0!L$5&lt;&gt;Model2.0!K$5))*Model2.0!K41</f>
        <v>34.187499999999993</v>
      </c>
      <c r="M41" s="217">
        <f>(1+INDEX('Inputs &amp; Drivers'!$I$61:$I$65,MATCH(Model2.0!M$5,'Inputs &amp; Drivers'!$B$61:$B$65,0))*(Model2.0!M$5&lt;&gt;Model2.0!L$5))*Model2.0!L41</f>
        <v>34.187499999999993</v>
      </c>
      <c r="N41" s="217">
        <f>(1+INDEX('Inputs &amp; Drivers'!$I$61:$I$65,MATCH(Model2.0!N$5,'Inputs &amp; Drivers'!$B$61:$B$65,0))*(Model2.0!N$5&lt;&gt;Model2.0!M$5))*Model2.0!M41</f>
        <v>34.187499999999993</v>
      </c>
      <c r="O41" s="217">
        <f>(1+INDEX('Inputs &amp; Drivers'!$I$61:$I$65,MATCH(Model2.0!O$5,'Inputs &amp; Drivers'!$B$61:$B$65,0))*(Model2.0!O$5&lt;&gt;Model2.0!N$5))*Model2.0!N41</f>
        <v>34.187499999999993</v>
      </c>
      <c r="P41" s="217">
        <f>(1+INDEX('Inputs &amp; Drivers'!$I$61:$I$65,MATCH(Model2.0!P$5,'Inputs &amp; Drivers'!$B$61:$B$65,0))*(Model2.0!P$5&lt;&gt;Model2.0!O$5))*Model2.0!O41</f>
        <v>34.187499999999993</v>
      </c>
      <c r="Q41" s="217">
        <f>(1+INDEX('Inputs &amp; Drivers'!$I$61:$I$65,MATCH(Model2.0!Q$5,'Inputs &amp; Drivers'!$B$61:$B$65,0))*(Model2.0!Q$5&lt;&gt;Model2.0!P$5))*Model2.0!P41</f>
        <v>34.187499999999993</v>
      </c>
      <c r="R41" s="217">
        <f>(1+INDEX('Inputs &amp; Drivers'!$I$61:$I$65,MATCH(Model2.0!R$5,'Inputs &amp; Drivers'!$B$61:$B$65,0))*(Model2.0!R$5&lt;&gt;Model2.0!Q$5))*Model2.0!Q41</f>
        <v>34.187499999999993</v>
      </c>
      <c r="S41" s="217">
        <f>(1+INDEX('Inputs &amp; Drivers'!$I$61:$I$65,MATCH(Model2.0!S$5,'Inputs &amp; Drivers'!$B$61:$B$65,0))*(Model2.0!S$5&lt;&gt;Model2.0!R$5))*Model2.0!R41</f>
        <v>34.187499999999993</v>
      </c>
      <c r="T41" s="217">
        <f>(1+INDEX('Inputs &amp; Drivers'!$I$61:$I$65,MATCH(Model2.0!T$5,'Inputs &amp; Drivers'!$B$61:$B$65,0))*(Model2.0!T$5&lt;&gt;Model2.0!S$5))*Model2.0!S41</f>
        <v>34.187499999999993</v>
      </c>
      <c r="U41" s="217">
        <f>(1+INDEX('Inputs &amp; Drivers'!$I$61:$I$65,MATCH(Model2.0!U$5,'Inputs &amp; Drivers'!$B$61:$B$65,0))*(Model2.0!U$5&lt;&gt;Model2.0!T$5))*Model2.0!T41</f>
        <v>34.871249999999996</v>
      </c>
      <c r="V41" s="217">
        <f>(1+INDEX('Inputs &amp; Drivers'!$I$61:$I$65,MATCH(Model2.0!V$5,'Inputs &amp; Drivers'!$B$61:$B$65,0))*(Model2.0!V$5&lt;&gt;Model2.0!U$5))*Model2.0!U41</f>
        <v>34.871249999999996</v>
      </c>
      <c r="W41" s="217">
        <f>(1+INDEX('Inputs &amp; Drivers'!$I$61:$I$65,MATCH(Model2.0!W$5,'Inputs &amp; Drivers'!$B$61:$B$65,0))*(Model2.0!W$5&lt;&gt;Model2.0!V$5))*Model2.0!V41</f>
        <v>34.871249999999996</v>
      </c>
      <c r="X41" s="217">
        <f>(1+INDEX('Inputs &amp; Drivers'!$I$61:$I$65,MATCH(Model2.0!X$5,'Inputs &amp; Drivers'!$B$61:$B$65,0))*(Model2.0!X$5&lt;&gt;Model2.0!W$5))*Model2.0!W41</f>
        <v>34.871249999999996</v>
      </c>
      <c r="Y41" s="217">
        <f>(1+INDEX('Inputs &amp; Drivers'!$I$61:$I$65,MATCH(Model2.0!Y$5,'Inputs &amp; Drivers'!$B$61:$B$65,0))*(Model2.0!Y$5&lt;&gt;Model2.0!X$5))*Model2.0!X41</f>
        <v>34.871249999999996</v>
      </c>
      <c r="Z41" s="217">
        <f>(1+INDEX('Inputs &amp; Drivers'!$I$61:$I$65,MATCH(Model2.0!Z$5,'Inputs &amp; Drivers'!$B$61:$B$65,0))*(Model2.0!Z$5&lt;&gt;Model2.0!Y$5))*Model2.0!Y41</f>
        <v>34.871249999999996</v>
      </c>
      <c r="AA41" s="217">
        <f>(1+INDEX('Inputs &amp; Drivers'!$I$61:$I$65,MATCH(Model2.0!AA$5,'Inputs &amp; Drivers'!$B$61:$B$65,0))*(Model2.0!AA$5&lt;&gt;Model2.0!Z$5))*Model2.0!Z41</f>
        <v>34.871249999999996</v>
      </c>
      <c r="AB41" s="217">
        <f>(1+INDEX('Inputs &amp; Drivers'!$I$61:$I$65,MATCH(Model2.0!AB$5,'Inputs &amp; Drivers'!$B$61:$B$65,0))*(Model2.0!AB$5&lt;&gt;Model2.0!AA$5))*Model2.0!AA41</f>
        <v>34.871249999999996</v>
      </c>
      <c r="AC41" s="217">
        <f>(1+INDEX('Inputs &amp; Drivers'!$I$61:$I$65,MATCH(Model2.0!AC$5,'Inputs &amp; Drivers'!$B$61:$B$65,0))*(Model2.0!AC$5&lt;&gt;Model2.0!AB$5))*Model2.0!AB41</f>
        <v>34.871249999999996</v>
      </c>
      <c r="AD41" s="217">
        <f>(1+INDEX('Inputs &amp; Drivers'!$I$61:$I$65,MATCH(Model2.0!AD$5,'Inputs &amp; Drivers'!$B$61:$B$65,0))*(Model2.0!AD$5&lt;&gt;Model2.0!AC$5))*Model2.0!AC41</f>
        <v>34.871249999999996</v>
      </c>
      <c r="AE41" s="217">
        <f>(1+INDEX('Inputs &amp; Drivers'!$I$61:$I$65,MATCH(Model2.0!AE$5,'Inputs &amp; Drivers'!$B$61:$B$65,0))*(Model2.0!AE$5&lt;&gt;Model2.0!AD$5))*Model2.0!AD41</f>
        <v>34.871249999999996</v>
      </c>
      <c r="AF41" s="217">
        <f>(1+INDEX('Inputs &amp; Drivers'!$I$61:$I$65,MATCH(Model2.0!AF$5,'Inputs &amp; Drivers'!$B$61:$B$65,0))*(Model2.0!AF$5&lt;&gt;Model2.0!AE$5))*Model2.0!AE41</f>
        <v>34.871249999999996</v>
      </c>
      <c r="AG41" s="217">
        <f>(1+INDEX('Inputs &amp; Drivers'!$I$61:$I$65,MATCH(Model2.0!AG$5,'Inputs &amp; Drivers'!$B$61:$B$65,0))*(Model2.0!AG$5&lt;&gt;Model2.0!AF$5))*Model2.0!AF41</f>
        <v>35.568674999999999</v>
      </c>
      <c r="AH41" s="217">
        <f>(1+INDEX('Inputs &amp; Drivers'!$I$61:$I$65,MATCH(Model2.0!AH$5,'Inputs &amp; Drivers'!$B$61:$B$65,0))*(Model2.0!AH$5&lt;&gt;Model2.0!AG$5))*Model2.0!AG41</f>
        <v>35.568674999999999</v>
      </c>
      <c r="AI41" s="217">
        <f>(1+INDEX('Inputs &amp; Drivers'!$I$61:$I$65,MATCH(Model2.0!AI$5,'Inputs &amp; Drivers'!$B$61:$B$65,0))*(Model2.0!AI$5&lt;&gt;Model2.0!AH$5))*Model2.0!AH41</f>
        <v>35.568674999999999</v>
      </c>
      <c r="AJ41" s="217">
        <f>(1+INDEX('Inputs &amp; Drivers'!$I$61:$I$65,MATCH(Model2.0!AJ$5,'Inputs &amp; Drivers'!$B$61:$B$65,0))*(Model2.0!AJ$5&lt;&gt;Model2.0!AI$5))*Model2.0!AI41</f>
        <v>35.568674999999999</v>
      </c>
      <c r="AK41" s="217">
        <f>(1+INDEX('Inputs &amp; Drivers'!$I$61:$I$65,MATCH(Model2.0!AK$5,'Inputs &amp; Drivers'!$B$61:$B$65,0))*(Model2.0!AK$5&lt;&gt;Model2.0!AJ$5))*Model2.0!AJ41</f>
        <v>35.568674999999999</v>
      </c>
      <c r="AL41" s="217">
        <f>(1+INDEX('Inputs &amp; Drivers'!$I$61:$I$65,MATCH(Model2.0!AL$5,'Inputs &amp; Drivers'!$B$61:$B$65,0))*(Model2.0!AL$5&lt;&gt;Model2.0!AK$5))*Model2.0!AK41</f>
        <v>35.568674999999999</v>
      </c>
      <c r="AM41" s="217">
        <f>(1+INDEX('Inputs &amp; Drivers'!$I$61:$I$65,MATCH(Model2.0!AM$5,'Inputs &amp; Drivers'!$B$61:$B$65,0))*(Model2.0!AM$5&lt;&gt;Model2.0!AL$5))*Model2.0!AL41</f>
        <v>35.568674999999999</v>
      </c>
      <c r="AN41" s="217">
        <f>(1+INDEX('Inputs &amp; Drivers'!$I$61:$I$65,MATCH(Model2.0!AN$5,'Inputs &amp; Drivers'!$B$61:$B$65,0))*(Model2.0!AN$5&lt;&gt;Model2.0!AM$5))*Model2.0!AM41</f>
        <v>35.568674999999999</v>
      </c>
      <c r="AO41" s="217">
        <f>(1+INDEX('Inputs &amp; Drivers'!$I$61:$I$65,MATCH(Model2.0!AO$5,'Inputs &amp; Drivers'!$B$61:$B$65,0))*(Model2.0!AO$5&lt;&gt;Model2.0!AN$5))*Model2.0!AN41</f>
        <v>35.568674999999999</v>
      </c>
      <c r="AP41" s="217">
        <f>(1+INDEX('Inputs &amp; Drivers'!$I$61:$I$65,MATCH(Model2.0!AP$5,'Inputs &amp; Drivers'!$B$61:$B$65,0))*(Model2.0!AP$5&lt;&gt;Model2.0!AO$5))*Model2.0!AO41</f>
        <v>35.568674999999999</v>
      </c>
      <c r="AQ41" s="217">
        <f>(1+INDEX('Inputs &amp; Drivers'!$I$61:$I$65,MATCH(Model2.0!AQ$5,'Inputs &amp; Drivers'!$B$61:$B$65,0))*(Model2.0!AQ$5&lt;&gt;Model2.0!AP$5))*Model2.0!AP41</f>
        <v>35.568674999999999</v>
      </c>
      <c r="AR41" s="217">
        <f>(1+INDEX('Inputs &amp; Drivers'!$I$61:$I$65,MATCH(Model2.0!AR$5,'Inputs &amp; Drivers'!$B$61:$B$65,0))*(Model2.0!AR$5&lt;&gt;Model2.0!AQ$5))*Model2.0!AQ41</f>
        <v>35.568674999999999</v>
      </c>
      <c r="AS41" s="217">
        <f>(1+INDEX('Inputs &amp; Drivers'!$I$61:$I$65,MATCH(Model2.0!AS$5,'Inputs &amp; Drivers'!$B$61:$B$65,0))*(Model2.0!AS$5&lt;&gt;Model2.0!AR$5))*Model2.0!AR41</f>
        <v>36.280048499999999</v>
      </c>
      <c r="AT41" s="217">
        <f>(1+INDEX('Inputs &amp; Drivers'!$I$61:$I$65,MATCH(Model2.0!AT$5,'Inputs &amp; Drivers'!$B$61:$B$65,0))*(Model2.0!AT$5&lt;&gt;Model2.0!AS$5))*Model2.0!AS41</f>
        <v>36.280048499999999</v>
      </c>
      <c r="AU41" s="217">
        <f>(1+INDEX('Inputs &amp; Drivers'!$I$61:$I$65,MATCH(Model2.0!AU$5,'Inputs &amp; Drivers'!$B$61:$B$65,0))*(Model2.0!AU$5&lt;&gt;Model2.0!AT$5))*Model2.0!AT41</f>
        <v>36.280048499999999</v>
      </c>
      <c r="AV41" s="217">
        <f>(1+INDEX('Inputs &amp; Drivers'!$I$61:$I$65,MATCH(Model2.0!AV$5,'Inputs &amp; Drivers'!$B$61:$B$65,0))*(Model2.0!AV$5&lt;&gt;Model2.0!AU$5))*Model2.0!AU41</f>
        <v>36.280048499999999</v>
      </c>
      <c r="AW41" s="217">
        <f>(1+INDEX('Inputs &amp; Drivers'!$I$61:$I$65,MATCH(Model2.0!AW$5,'Inputs &amp; Drivers'!$B$61:$B$65,0))*(Model2.0!AW$5&lt;&gt;Model2.0!AV$5))*Model2.0!AV41</f>
        <v>36.280048499999999</v>
      </c>
      <c r="AX41" s="217">
        <f>(1+INDEX('Inputs &amp; Drivers'!$I$61:$I$65,MATCH(Model2.0!AX$5,'Inputs &amp; Drivers'!$B$61:$B$65,0))*(Model2.0!AX$5&lt;&gt;Model2.0!AW$5))*Model2.0!AW41</f>
        <v>36.280048499999999</v>
      </c>
      <c r="AY41" s="217">
        <f>(1+INDEX('Inputs &amp; Drivers'!$I$61:$I$65,MATCH(Model2.0!AY$5,'Inputs &amp; Drivers'!$B$61:$B$65,0))*(Model2.0!AY$5&lt;&gt;Model2.0!AX$5))*Model2.0!AX41</f>
        <v>36.280048499999999</v>
      </c>
      <c r="AZ41" s="217">
        <f>(1+INDEX('Inputs &amp; Drivers'!$I$61:$I$65,MATCH(Model2.0!AZ$5,'Inputs &amp; Drivers'!$B$61:$B$65,0))*(Model2.0!AZ$5&lt;&gt;Model2.0!AY$5))*Model2.0!AY41</f>
        <v>36.280048499999999</v>
      </c>
      <c r="BA41" s="217">
        <f>(1+INDEX('Inputs &amp; Drivers'!$I$61:$I$65,MATCH(Model2.0!BA$5,'Inputs &amp; Drivers'!$B$61:$B$65,0))*(Model2.0!BA$5&lt;&gt;Model2.0!AZ$5))*Model2.0!AZ41</f>
        <v>36.280048499999999</v>
      </c>
      <c r="BB41" s="217">
        <f>(1+INDEX('Inputs &amp; Drivers'!$I$61:$I$65,MATCH(Model2.0!BB$5,'Inputs &amp; Drivers'!$B$61:$B$65,0))*(Model2.0!BB$5&lt;&gt;Model2.0!BA$5))*Model2.0!BA41</f>
        <v>36.280048499999999</v>
      </c>
      <c r="BC41" s="217">
        <f>(1+INDEX('Inputs &amp; Drivers'!$I$61:$I$65,MATCH(Model2.0!BC$5,'Inputs &amp; Drivers'!$B$61:$B$65,0))*(Model2.0!BC$5&lt;&gt;Model2.0!BB$5))*Model2.0!BB41</f>
        <v>36.280048499999999</v>
      </c>
      <c r="BD41" s="217">
        <f>(1+INDEX('Inputs &amp; Drivers'!$I$61:$I$65,MATCH(Model2.0!BD$5,'Inputs &amp; Drivers'!$B$61:$B$65,0))*(Model2.0!BD$5&lt;&gt;Model2.0!BC$5))*Model2.0!BC41</f>
        <v>36.280048499999999</v>
      </c>
      <c r="BE41" s="217">
        <f>(1+INDEX('Inputs &amp; Drivers'!$I$61:$I$65,MATCH(Model2.0!BE$5,'Inputs &amp; Drivers'!$B$61:$B$65,0))*(Model2.0!BE$5&lt;&gt;Model2.0!BD$5))*Model2.0!BD41</f>
        <v>37.005649470000002</v>
      </c>
      <c r="BF41" s="217">
        <f>(1+INDEX('Inputs &amp; Drivers'!$I$61:$I$65,MATCH(Model2.0!BF$5,'Inputs &amp; Drivers'!$B$61:$B$65,0))*(Model2.0!BF$5&lt;&gt;Model2.0!BE$5))*Model2.0!BE41</f>
        <v>37.005649470000002</v>
      </c>
      <c r="BG41" s="217">
        <f>(1+INDEX('Inputs &amp; Drivers'!$I$61:$I$65,MATCH(Model2.0!BG$5,'Inputs &amp; Drivers'!$B$61:$B$65,0))*(Model2.0!BG$5&lt;&gt;Model2.0!BF$5))*Model2.0!BF41</f>
        <v>37.005649470000002</v>
      </c>
      <c r="BH41" s="217">
        <f>(1+INDEX('Inputs &amp; Drivers'!$I$61:$I$65,MATCH(Model2.0!BH$5,'Inputs &amp; Drivers'!$B$61:$B$65,0))*(Model2.0!BH$5&lt;&gt;Model2.0!BG$5))*Model2.0!BG41</f>
        <v>37.005649470000002</v>
      </c>
      <c r="BI41" s="217">
        <f>(1+INDEX('Inputs &amp; Drivers'!$I$61:$I$65,MATCH(Model2.0!BI$5,'Inputs &amp; Drivers'!$B$61:$B$65,0))*(Model2.0!BI$5&lt;&gt;Model2.0!BH$5))*Model2.0!BH41</f>
        <v>37.005649470000002</v>
      </c>
      <c r="BJ41" s="217">
        <f>(1+INDEX('Inputs &amp; Drivers'!$I$61:$I$65,MATCH(Model2.0!BJ$5,'Inputs &amp; Drivers'!$B$61:$B$65,0))*(Model2.0!BJ$5&lt;&gt;Model2.0!BI$5))*Model2.0!BI41</f>
        <v>37.005649470000002</v>
      </c>
      <c r="BK41" s="217">
        <f>(1+INDEX('Inputs &amp; Drivers'!$I$61:$I$65,MATCH(Model2.0!BK$5,'Inputs &amp; Drivers'!$B$61:$B$65,0))*(Model2.0!BK$5&lt;&gt;Model2.0!BJ$5))*Model2.0!BJ41</f>
        <v>37.005649470000002</v>
      </c>
      <c r="BL41" s="217">
        <f>(1+INDEX('Inputs &amp; Drivers'!$I$61:$I$65,MATCH(Model2.0!BL$5,'Inputs &amp; Drivers'!$B$61:$B$65,0))*(Model2.0!BL$5&lt;&gt;Model2.0!BK$5))*Model2.0!BK41</f>
        <v>37.005649470000002</v>
      </c>
      <c r="BM41" s="217">
        <f>(1+INDEX('Inputs &amp; Drivers'!$I$61:$I$65,MATCH(Model2.0!BM$5,'Inputs &amp; Drivers'!$B$61:$B$65,0))*(Model2.0!BM$5&lt;&gt;Model2.0!BL$5))*Model2.0!BL41</f>
        <v>37.005649470000002</v>
      </c>
      <c r="BN41" s="217">
        <f>(1+INDEX('Inputs &amp; Drivers'!$I$61:$I$65,MATCH(Model2.0!BN$5,'Inputs &amp; Drivers'!$B$61:$B$65,0))*(Model2.0!BN$5&lt;&gt;Model2.0!BM$5))*Model2.0!BM41</f>
        <v>37.005649470000002</v>
      </c>
      <c r="BO41" s="217">
        <f>(1+INDEX('Inputs &amp; Drivers'!$I$61:$I$65,MATCH(Model2.0!BO$5,'Inputs &amp; Drivers'!$B$61:$B$65,0))*(Model2.0!BO$5&lt;&gt;Model2.0!BN$5))*Model2.0!BN41</f>
        <v>37.005649470000002</v>
      </c>
      <c r="BP41" s="217">
        <f>(1+INDEX('Inputs &amp; Drivers'!$I$61:$I$65,MATCH(Model2.0!BP$5,'Inputs &amp; Drivers'!$B$61:$B$65,0))*(Model2.0!BP$5&lt;&gt;Model2.0!BO$5))*Model2.0!BO41</f>
        <v>37.005649470000002</v>
      </c>
      <c r="BR41" s="217">
        <f>SUM(I41:T41)</f>
        <v>410.24999999999994</v>
      </c>
      <c r="BS41" s="217">
        <f>SUM(I41:T41)</f>
        <v>410.24999999999994</v>
      </c>
      <c r="BT41" s="217">
        <f t="shared" si="355"/>
        <v>0</v>
      </c>
      <c r="BV41" t="s">
        <v>23</v>
      </c>
      <c r="BW41" s="217">
        <f t="shared" si="347"/>
        <v>410.24999999999994</v>
      </c>
      <c r="BX41" s="217">
        <f t="shared" si="347"/>
        <v>418.45499999999987</v>
      </c>
      <c r="BY41" s="217">
        <f t="shared" si="347"/>
        <v>426.82409999999987</v>
      </c>
      <c r="BZ41" s="217">
        <f t="shared" si="347"/>
        <v>435.36058200000008</v>
      </c>
      <c r="CA41" s="217">
        <f t="shared" si="347"/>
        <v>444.06779363999993</v>
      </c>
      <c r="CC41" s="217">
        <f t="shared" si="349"/>
        <v>410.24999999999994</v>
      </c>
      <c r="CD41" s="217">
        <f t="shared" si="350"/>
        <v>418.45499999999987</v>
      </c>
      <c r="CE41" s="217">
        <f t="shared" si="351"/>
        <v>426.82409999999987</v>
      </c>
      <c r="CF41" s="217">
        <f t="shared" si="352"/>
        <v>435.36058200000008</v>
      </c>
      <c r="CG41" s="217">
        <f t="shared" si="353"/>
        <v>444.06779363999993</v>
      </c>
      <c r="CI41" t="str">
        <f t="shared" si="354"/>
        <v>OK</v>
      </c>
      <c r="CJ41" t="str">
        <f t="shared" si="348"/>
        <v>OK</v>
      </c>
      <c r="CK41" t="str">
        <f t="shared" si="348"/>
        <v>OK</v>
      </c>
      <c r="CL41" t="str">
        <f t="shared" si="348"/>
        <v>OK</v>
      </c>
      <c r="CM41" t="str">
        <f t="shared" si="348"/>
        <v>OK</v>
      </c>
    </row>
    <row r="42" spans="2:91" x14ac:dyDescent="0.3">
      <c r="B42" s="204" t="s">
        <v>24</v>
      </c>
      <c r="C42" s="204"/>
      <c r="D42" s="204"/>
      <c r="E42" s="205">
        <f>SUM('P-Builder'!O25:Q25)*4</f>
        <v>53627</v>
      </c>
      <c r="F42" s="205">
        <f>SUM('P-Builder'!F25:Q25)</f>
        <v>46924.36</v>
      </c>
      <c r="G42" s="204"/>
      <c r="H42" s="219">
        <f>'P-Builder'!Q25</f>
        <v>4599.4799999999996</v>
      </c>
      <c r="I42" s="235">
        <f>I22*'Inputs &amp; Drivers'!$H$41</f>
        <v>5150.0277919711179</v>
      </c>
      <c r="J42" s="235">
        <f>J22*'Inputs &amp; Drivers'!$H$41</f>
        <v>5184.3613105842587</v>
      </c>
      <c r="K42" s="235">
        <f>K22*'Inputs &amp; Drivers'!$H$41</f>
        <v>5218.9237193214876</v>
      </c>
      <c r="L42" s="235">
        <f>L22*'Inputs &amp; Drivers'!$H$41</f>
        <v>5526.2407918174122</v>
      </c>
      <c r="M42" s="235">
        <f>M22*'Inputs &amp; Drivers'!$H$41</f>
        <v>5835.6066447966441</v>
      </c>
      <c r="N42" s="235">
        <f>N22*'Inputs &amp; Drivers'!$H$41</f>
        <v>6147.0349367957369</v>
      </c>
      <c r="O42" s="235">
        <f>O22*'Inputs &amp; Drivers'!$H$41</f>
        <v>6293.732727426911</v>
      </c>
      <c r="P42" s="235">
        <f>P22*'Inputs &amp; Drivers'!$H$41</f>
        <v>6441.4085033289603</v>
      </c>
      <c r="Q42" s="235">
        <f>Q22*'Inputs &amp; Drivers'!$H$41</f>
        <v>6590.0687844036884</v>
      </c>
      <c r="R42" s="235">
        <f>R22*'Inputs &amp; Drivers'!$H$41</f>
        <v>6739.7201340189158</v>
      </c>
      <c r="S42" s="235">
        <f>S22*'Inputs &amp; Drivers'!$H$41</f>
        <v>6890.369159298245</v>
      </c>
      <c r="T42" s="235">
        <f>T22*'Inputs &amp; Drivers'!$H$41</f>
        <v>7042.0225114127688</v>
      </c>
      <c r="U42" s="235">
        <f>U22*'Inputs &amp; Drivers'!$H$41</f>
        <v>5847.3696738947601</v>
      </c>
      <c r="V42" s="235">
        <f>V22*'Inputs &amp; Drivers'!$H$41</f>
        <v>5923.7640613605863</v>
      </c>
      <c r="W42" s="235">
        <f>W22*'Inputs &amp; Drivers'!$H$41</f>
        <v>6000.4130967846313</v>
      </c>
      <c r="X42" s="235">
        <f>X22*'Inputs &amp; Drivers'!$H$41</f>
        <v>6077.3176289934245</v>
      </c>
      <c r="Y42" s="235">
        <f>Y22*'Inputs &amp; Drivers'!$H$41</f>
        <v>6154.4785096429132</v>
      </c>
      <c r="Z42" s="235">
        <f>Z22*'Inputs &amp; Drivers'!$H$41</f>
        <v>6231.8965932278998</v>
      </c>
      <c r="AA42" s="235">
        <f>AA22*'Inputs &amp; Drivers'!$H$41</f>
        <v>6309.5727370915029</v>
      </c>
      <c r="AB42" s="235">
        <f>AB22*'Inputs &amp; Drivers'!$H$41</f>
        <v>6387.5078014346518</v>
      </c>
      <c r="AC42" s="235">
        <f>AC22*'Inputs &amp; Drivers'!$H$41</f>
        <v>6465.7026493256089</v>
      </c>
      <c r="AD42" s="235">
        <f>AD22*'Inputs &amp; Drivers'!$H$41</f>
        <v>6544.1581467095393</v>
      </c>
      <c r="AE42" s="235">
        <f>AE22*'Inputs &amp; Drivers'!$H$41</f>
        <v>6622.8751624180804</v>
      </c>
      <c r="AF42" s="235">
        <f>AF22*'Inputs &amp; Drivers'!$H$41</f>
        <v>6701.8545681789838</v>
      </c>
      <c r="AG42" s="235">
        <f>AG22*'Inputs &amp; Drivers'!$H$41</f>
        <v>6085.6005364316261</v>
      </c>
      <c r="AH42" s="235">
        <f>AH22*'Inputs &amp; Drivers'!$H$41</f>
        <v>6165.107349113222</v>
      </c>
      <c r="AI42" s="235">
        <f>AI22*'Inputs &amp; Drivers'!$H$41</f>
        <v>6244.8791845037549</v>
      </c>
      <c r="AJ42" s="235">
        <f>AJ22*'Inputs &amp; Drivers'!$H$41</f>
        <v>6324.916926012259</v>
      </c>
      <c r="AK42" s="235">
        <f>AK22*'Inputs &amp; Drivers'!$H$41</f>
        <v>6405.2214599924573</v>
      </c>
      <c r="AL42" s="235">
        <f>AL22*'Inputs &amp; Drivers'!$H$41</f>
        <v>6485.7936757525886</v>
      </c>
      <c r="AM42" s="235">
        <f>AM22*'Inputs &amp; Drivers'!$H$41</f>
        <v>6566.6344655652547</v>
      </c>
      <c r="AN42" s="235">
        <f>AN22*'Inputs &amp; Drivers'!$H$41</f>
        <v>6647.7447246772963</v>
      </c>
      <c r="AO42" s="235">
        <f>AO22*'Inputs &amp; Drivers'!$H$41</f>
        <v>6729.1253513197116</v>
      </c>
      <c r="AP42" s="235">
        <f>AP22*'Inputs &amp; Drivers'!$H$41</f>
        <v>6810.777246717601</v>
      </c>
      <c r="AQ42" s="235">
        <f>AQ22*'Inputs &amp; Drivers'!$H$41</f>
        <v>6892.7013151001502</v>
      </c>
      <c r="AR42" s="235">
        <f>AR22*'Inputs &amp; Drivers'!$H$41</f>
        <v>6974.8984637106414</v>
      </c>
      <c r="AS42" s="235">
        <f>AS22*'Inputs &amp; Drivers'!$H$41</f>
        <v>6333.5372918793537</v>
      </c>
      <c r="AT42" s="235">
        <f>AT22*'Inputs &amp; Drivers'!$H$41</f>
        <v>6416.2833347822325</v>
      </c>
      <c r="AU42" s="235">
        <f>AU22*'Inputs &amp; Drivers'!$H$41</f>
        <v>6499.3051978281219</v>
      </c>
      <c r="AV42" s="235">
        <f>AV22*'Inputs &amp; Drivers'!$H$41</f>
        <v>6582.6038004174961</v>
      </c>
      <c r="AW42" s="235">
        <f>AW22*'Inputs &amp; Drivers'!$H$41</f>
        <v>6666.1800650155028</v>
      </c>
      <c r="AX42" s="235">
        <f>AX22*'Inputs &amp; Drivers'!$H$41</f>
        <v>6750.0349171621692</v>
      </c>
      <c r="AY42" s="235">
        <f>AY22*'Inputs &amp; Drivers'!$H$41</f>
        <v>6834.1692854826579</v>
      </c>
      <c r="AZ42" s="235">
        <f>AZ22*'Inputs &amp; Drivers'!$H$41</f>
        <v>6918.5841016975482</v>
      </c>
      <c r="BA42" s="235">
        <f>BA22*'Inputs &amp; Drivers'!$H$41</f>
        <v>7003.2803006331551</v>
      </c>
      <c r="BB42" s="235">
        <f>BB22*'Inputs &amp; Drivers'!$H$41</f>
        <v>7088.2588202318793</v>
      </c>
      <c r="BC42" s="235">
        <f>BC22*'Inputs &amp; Drivers'!$H$41</f>
        <v>7173.5206015625999</v>
      </c>
      <c r="BD42" s="235">
        <f>BD22*'Inputs &amp; Drivers'!$H$41</f>
        <v>7259.0665888310905</v>
      </c>
      <c r="BE42" s="235">
        <f>BE22*'Inputs &amp; Drivers'!$H$41</f>
        <v>6591.5753732905514</v>
      </c>
      <c r="BF42" s="235">
        <f>BF22*'Inputs &amp; Drivers'!$H$41</f>
        <v>6677.6926176518</v>
      </c>
      <c r="BG42" s="235">
        <f>BG22*'Inputs &amp; Drivers'!$H$41</f>
        <v>6764.0969194942545</v>
      </c>
      <c r="BH42" s="235">
        <f>BH22*'Inputs &amp; Drivers'!$H$41</f>
        <v>6850.789235676184</v>
      </c>
      <c r="BI42" s="235">
        <f>BI22*'Inputs &amp; Drivers'!$H$41</f>
        <v>6937.7705262453846</v>
      </c>
      <c r="BJ42" s="235">
        <f>BJ22*'Inputs &amp; Drivers'!$H$41</f>
        <v>7025.0417544498168</v>
      </c>
      <c r="BK42" s="235">
        <f>BK22*'Inputs &amp; Drivers'!$H$41</f>
        <v>7112.6038867482639</v>
      </c>
      <c r="BL42" s="235">
        <f>BL22*'Inputs &amp; Drivers'!$H$41</f>
        <v>7200.4578928210394</v>
      </c>
      <c r="BM42" s="235">
        <f>BM22*'Inputs &amp; Drivers'!$H$41</f>
        <v>7288.6047455807238</v>
      </c>
      <c r="BN42" s="235">
        <f>BN22*'Inputs &amp; Drivers'!$H$41</f>
        <v>7377.045421182941</v>
      </c>
      <c r="BO42" s="235">
        <f>BO22*'Inputs &amp; Drivers'!$H$41</f>
        <v>7465.7808990371659</v>
      </c>
      <c r="BP42" s="235">
        <f>BP22*'Inputs &amp; Drivers'!$H$41</f>
        <v>7554.8121618175692</v>
      </c>
      <c r="BQ42" s="204"/>
      <c r="BR42" s="227">
        <v>0</v>
      </c>
      <c r="BS42" s="227">
        <f>SUM(I42:T42)</f>
        <v>73059.517015176141</v>
      </c>
      <c r="BT42" s="227"/>
      <c r="BV42" t="s">
        <v>24</v>
      </c>
      <c r="BW42" s="217">
        <f t="shared" si="347"/>
        <v>73059.517015176141</v>
      </c>
      <c r="BX42" s="217">
        <f t="shared" si="347"/>
        <v>75266.910629062579</v>
      </c>
      <c r="BY42" s="217">
        <f t="shared" si="347"/>
        <v>78333.40069889657</v>
      </c>
      <c r="BZ42" s="217">
        <f t="shared" si="347"/>
        <v>81524.824305523798</v>
      </c>
      <c r="CA42" s="217">
        <f t="shared" si="347"/>
        <v>84846.271433995687</v>
      </c>
      <c r="CC42" s="217">
        <f t="shared" si="349"/>
        <v>73059.517015176141</v>
      </c>
      <c r="CD42" s="217">
        <f t="shared" si="350"/>
        <v>75266.910629062579</v>
      </c>
      <c r="CE42" s="217">
        <f t="shared" si="351"/>
        <v>78333.40069889657</v>
      </c>
      <c r="CF42" s="217">
        <f t="shared" si="352"/>
        <v>81524.824305523798</v>
      </c>
      <c r="CG42" s="217">
        <f t="shared" si="353"/>
        <v>84846.271433995687</v>
      </c>
      <c r="CI42" t="str">
        <f t="shared" si="354"/>
        <v>OK</v>
      </c>
      <c r="CJ42" t="str">
        <f t="shared" si="348"/>
        <v>OK</v>
      </c>
      <c r="CK42" t="str">
        <f t="shared" si="348"/>
        <v>OK</v>
      </c>
      <c r="CL42" t="str">
        <f t="shared" si="348"/>
        <v>OK</v>
      </c>
      <c r="CM42" t="str">
        <f t="shared" si="348"/>
        <v>OK</v>
      </c>
    </row>
    <row r="43" spans="2:91" x14ac:dyDescent="0.3">
      <c r="B43" s="207" t="s">
        <v>25</v>
      </c>
      <c r="C43" s="207"/>
      <c r="D43" s="207"/>
      <c r="E43" s="208">
        <f>SUM('P-Builder'!O26:Q26)*4</f>
        <v>0</v>
      </c>
      <c r="F43" s="208">
        <f>SUM('P-Builder'!F26:Q26)</f>
        <v>0</v>
      </c>
      <c r="G43" s="207"/>
      <c r="H43" s="236">
        <f>'P-Builder'!Q26</f>
        <v>0</v>
      </c>
      <c r="I43" s="236">
        <f>MAX(2000, I22*(INDEX('Inputs &amp; Drivers'!$G$61:$G$65, MATCH(Model2.0!I5, 'Inputs &amp; Drivers'!$B$61:$B$65, 0))))</f>
        <v>3433.3518613140786</v>
      </c>
      <c r="J43" s="236">
        <f>MAX(2000, J22*(INDEX('Inputs &amp; Drivers'!$G$61:$G$65, MATCH(Model2.0!J5, 'Inputs &amp; Drivers'!$B$61:$B$65, 0))))</f>
        <v>3456.2408737228393</v>
      </c>
      <c r="K43" s="236">
        <f>MAX(2000, K22*(INDEX('Inputs &amp; Drivers'!$G$61:$G$65, MATCH(Model2.0!K5, 'Inputs &amp; Drivers'!$B$61:$B$65, 0))))</f>
        <v>3479.2824795476586</v>
      </c>
      <c r="L43" s="236">
        <f>MAX(2000, L22*(INDEX('Inputs &amp; Drivers'!$G$61:$G$65, MATCH(Model2.0!L5, 'Inputs &amp; Drivers'!$B$61:$B$65, 0))))</f>
        <v>3684.1605278782749</v>
      </c>
      <c r="M43" s="236">
        <f>MAX(2000, M22*(INDEX('Inputs &amp; Drivers'!$G$61:$G$65, MATCH(Model2.0!M5, 'Inputs &amp; Drivers'!$B$61:$B$65, 0))))</f>
        <v>3890.4044298644294</v>
      </c>
      <c r="N43" s="236">
        <f>MAX(2000, N22*(INDEX('Inputs &amp; Drivers'!$G$61:$G$65, MATCH(Model2.0!N5, 'Inputs &amp; Drivers'!$B$61:$B$65, 0))))</f>
        <v>4098.023291197158</v>
      </c>
      <c r="O43" s="236">
        <f>MAX(2000, O22*(INDEX('Inputs &amp; Drivers'!$G$61:$G$65, MATCH(Model2.0!O5, 'Inputs &amp; Drivers'!$B$61:$B$65, 0))))</f>
        <v>4195.8218182846076</v>
      </c>
      <c r="P43" s="236">
        <f>MAX(2000, P22*(INDEX('Inputs &amp; Drivers'!$G$61:$G$65, MATCH(Model2.0!P5, 'Inputs &amp; Drivers'!$B$61:$B$65, 0))))</f>
        <v>4294.2723355526405</v>
      </c>
      <c r="Q43" s="236">
        <f>MAX(2000, Q22*(INDEX('Inputs &amp; Drivers'!$G$61:$G$65, MATCH(Model2.0!Q5, 'Inputs &amp; Drivers'!$B$61:$B$65, 0))))</f>
        <v>4393.3791896024595</v>
      </c>
      <c r="R43" s="236">
        <f>MAX(2000, R22*(INDEX('Inputs &amp; Drivers'!$G$61:$G$65, MATCH(Model2.0!R5, 'Inputs &amp; Drivers'!$B$61:$B$65, 0))))</f>
        <v>4493.1467560126111</v>
      </c>
      <c r="S43" s="236">
        <f>MAX(2000, S22*(INDEX('Inputs &amp; Drivers'!$G$61:$G$65, MATCH(Model2.0!S5, 'Inputs &amp; Drivers'!$B$61:$B$65, 0))))</f>
        <v>4593.5794395321636</v>
      </c>
      <c r="T43" s="236">
        <f>MAX(2000, T22*(INDEX('Inputs &amp; Drivers'!$G$61:$G$65, MATCH(Model2.0!T5, 'Inputs &amp; Drivers'!$B$61:$B$65, 0))))</f>
        <v>4694.6816742751798</v>
      </c>
      <c r="U43" s="236">
        <f>MAX(2000, U22*(INDEX('Inputs &amp; Drivers'!$G$61:$G$65, MATCH(Model2.0!U5, 'Inputs &amp; Drivers'!$B$61:$B$65, 0))))</f>
        <v>4385.5272554210696</v>
      </c>
      <c r="V43" s="236">
        <f>MAX(2000, V22*(INDEX('Inputs &amp; Drivers'!$G$61:$G$65, MATCH(Model2.0!V5, 'Inputs &amp; Drivers'!$B$61:$B$65, 0))))</f>
        <v>4442.8230460204395</v>
      </c>
      <c r="W43" s="236">
        <f>MAX(2000, W22*(INDEX('Inputs &amp; Drivers'!$G$61:$G$65, MATCH(Model2.0!W5, 'Inputs &amp; Drivers'!$B$61:$B$65, 0))))</f>
        <v>4500.3098225884733</v>
      </c>
      <c r="X43" s="236">
        <f>MAX(2000, X22*(INDEX('Inputs &amp; Drivers'!$G$61:$G$65, MATCH(Model2.0!X5, 'Inputs &amp; Drivers'!$B$61:$B$65, 0))))</f>
        <v>4557.9882217450686</v>
      </c>
      <c r="Y43" s="236">
        <f>MAX(2000, Y22*(INDEX('Inputs &amp; Drivers'!$G$61:$G$65, MATCH(Model2.0!Y5, 'Inputs &amp; Drivers'!$B$61:$B$65, 0))))</f>
        <v>4615.8588822321844</v>
      </c>
      <c r="Z43" s="236">
        <f>MAX(2000, Z22*(INDEX('Inputs &amp; Drivers'!$G$61:$G$65, MATCH(Model2.0!Z5, 'Inputs &amp; Drivers'!$B$61:$B$65, 0))))</f>
        <v>4673.9224449209241</v>
      </c>
      <c r="AA43" s="236">
        <f>MAX(2000, AA22*(INDEX('Inputs &amp; Drivers'!$G$61:$G$65, MATCH(Model2.0!AA5, 'Inputs &amp; Drivers'!$B$61:$B$65, 0))))</f>
        <v>4732.1795528186267</v>
      </c>
      <c r="AB43" s="236">
        <f>MAX(2000, AB22*(INDEX('Inputs &amp; Drivers'!$G$61:$G$65, MATCH(Model2.0!AB5, 'Inputs &amp; Drivers'!$B$61:$B$65, 0))))</f>
        <v>4790.6308510759891</v>
      </c>
      <c r="AC43" s="236">
        <f>MAX(2000, AC22*(INDEX('Inputs &amp; Drivers'!$G$61:$G$65, MATCH(Model2.0!AC5, 'Inputs &amp; Drivers'!$B$61:$B$65, 0))))</f>
        <v>4849.2769869942067</v>
      </c>
      <c r="AD43" s="236">
        <f>MAX(2000, AD22*(INDEX('Inputs &amp; Drivers'!$G$61:$G$65, MATCH(Model2.0!AD5, 'Inputs &amp; Drivers'!$B$61:$B$65, 0))))</f>
        <v>4908.1186100321547</v>
      </c>
      <c r="AE43" s="236">
        <f>MAX(2000, AE22*(INDEX('Inputs &amp; Drivers'!$G$61:$G$65, MATCH(Model2.0!AE5, 'Inputs &amp; Drivers'!$B$61:$B$65, 0))))</f>
        <v>4967.1563718135603</v>
      </c>
      <c r="AF43" s="236">
        <f>MAX(2000, AF22*(INDEX('Inputs &amp; Drivers'!$G$61:$G$65, MATCH(Model2.0!AF5, 'Inputs &amp; Drivers'!$B$61:$B$65, 0))))</f>
        <v>5026.3909261342378</v>
      </c>
      <c r="AG43" s="236">
        <f>MAX(2000, AG22*(INDEX('Inputs &amp; Drivers'!$G$61:$G$65, MATCH(Model2.0!AG5, 'Inputs &amp; Drivers'!$B$61:$B$65, 0))))</f>
        <v>5071.3337803596887</v>
      </c>
      <c r="AH43" s="236">
        <f>MAX(2000, AH22*(INDEX('Inputs &amp; Drivers'!$G$61:$G$65, MATCH(Model2.0!AH5, 'Inputs &amp; Drivers'!$B$61:$B$65, 0))))</f>
        <v>5137.5894575943521</v>
      </c>
      <c r="AI43" s="236">
        <f>MAX(2000, AI22*(INDEX('Inputs &amp; Drivers'!$G$61:$G$65, MATCH(Model2.0!AI5, 'Inputs &amp; Drivers'!$B$61:$B$65, 0))))</f>
        <v>5204.0659870864629</v>
      </c>
      <c r="AJ43" s="236">
        <f>MAX(2000, AJ22*(INDEX('Inputs &amp; Drivers'!$G$61:$G$65, MATCH(Model2.0!AJ5, 'Inputs &amp; Drivers'!$B$61:$B$65, 0))))</f>
        <v>5270.7641050102166</v>
      </c>
      <c r="AK43" s="236">
        <f>MAX(2000, AK22*(INDEX('Inputs &amp; Drivers'!$G$61:$G$65, MATCH(Model2.0!AK5, 'Inputs &amp; Drivers'!$B$61:$B$65, 0))))</f>
        <v>5337.6845499937153</v>
      </c>
      <c r="AL43" s="236">
        <f>MAX(2000, AL22*(INDEX('Inputs &amp; Drivers'!$G$61:$G$65, MATCH(Model2.0!AL5, 'Inputs &amp; Drivers'!$B$61:$B$65, 0))))</f>
        <v>5404.8280631271582</v>
      </c>
      <c r="AM43" s="236">
        <f>MAX(2000, AM22*(INDEX('Inputs &amp; Drivers'!$G$61:$G$65, MATCH(Model2.0!AM5, 'Inputs &amp; Drivers'!$B$61:$B$65, 0))))</f>
        <v>5472.1953879710463</v>
      </c>
      <c r="AN43" s="236">
        <f>MAX(2000, AN22*(INDEX('Inputs &amp; Drivers'!$G$61:$G$65, MATCH(Model2.0!AN5, 'Inputs &amp; Drivers'!$B$61:$B$65, 0))))</f>
        <v>5539.787270564414</v>
      </c>
      <c r="AO43" s="236">
        <f>MAX(2000, AO22*(INDEX('Inputs &amp; Drivers'!$G$61:$G$65, MATCH(Model2.0!AO5, 'Inputs &amp; Drivers'!$B$61:$B$65, 0))))</f>
        <v>5607.6044594330933</v>
      </c>
      <c r="AP43" s="236">
        <f>MAX(2000, AP22*(INDEX('Inputs &amp; Drivers'!$G$61:$G$65, MATCH(Model2.0!AP5, 'Inputs &amp; Drivers'!$B$61:$B$65, 0))))</f>
        <v>5675.6477055980013</v>
      </c>
      <c r="AQ43" s="236">
        <f>MAX(2000, AQ22*(INDEX('Inputs &amp; Drivers'!$G$61:$G$65, MATCH(Model2.0!AQ5, 'Inputs &amp; Drivers'!$B$61:$B$65, 0))))</f>
        <v>5743.9177625834591</v>
      </c>
      <c r="AR43" s="236">
        <f>MAX(2000, AR22*(INDEX('Inputs &amp; Drivers'!$G$61:$G$65, MATCH(Model2.0!AR5, 'Inputs &amp; Drivers'!$B$61:$B$65, 0))))</f>
        <v>5812.415386425535</v>
      </c>
      <c r="AS43" s="236">
        <f>MAX(2000, AS22*(INDEX('Inputs &amp; Drivers'!$G$61:$G$65, MATCH(Model2.0!AS5, 'Inputs &amp; Drivers'!$B$61:$B$65, 0))))</f>
        <v>5277.9477432327949</v>
      </c>
      <c r="AT43" s="236">
        <f>MAX(2000, AT22*(INDEX('Inputs &amp; Drivers'!$G$61:$G$65, MATCH(Model2.0!AT5, 'Inputs &amp; Drivers'!$B$61:$B$65, 0))))</f>
        <v>5346.9027789851943</v>
      </c>
      <c r="AU43" s="236">
        <f>MAX(2000, AU22*(INDEX('Inputs &amp; Drivers'!$G$61:$G$65, MATCH(Model2.0!AU5, 'Inputs &amp; Drivers'!$B$61:$B$65, 0))))</f>
        <v>5416.0876648567682</v>
      </c>
      <c r="AV43" s="236">
        <f>MAX(2000, AV22*(INDEX('Inputs &amp; Drivers'!$G$61:$G$65, MATCH(Model2.0!AV5, 'Inputs &amp; Drivers'!$B$61:$B$65, 0))))</f>
        <v>5485.50316701458</v>
      </c>
      <c r="AW43" s="236">
        <f>MAX(2000, AW22*(INDEX('Inputs &amp; Drivers'!$G$61:$G$65, MATCH(Model2.0!AW5, 'Inputs &amp; Drivers'!$B$61:$B$65, 0))))</f>
        <v>5555.1500541795867</v>
      </c>
      <c r="AX43" s="236">
        <f>MAX(2000, AX22*(INDEX('Inputs &amp; Drivers'!$G$61:$G$65, MATCH(Model2.0!AX5, 'Inputs &amp; Drivers'!$B$61:$B$65, 0))))</f>
        <v>5625.0290976351416</v>
      </c>
      <c r="AY43" s="236">
        <f>MAX(2000, AY22*(INDEX('Inputs &amp; Drivers'!$G$61:$G$65, MATCH(Model2.0!AY5, 'Inputs &amp; Drivers'!$B$61:$B$65, 0))))</f>
        <v>5695.1410712355491</v>
      </c>
      <c r="AZ43" s="236">
        <f>MAX(2000, AZ22*(INDEX('Inputs &amp; Drivers'!$G$61:$G$65, MATCH(Model2.0!AZ5, 'Inputs &amp; Drivers'!$B$61:$B$65, 0))))</f>
        <v>5765.4867514146245</v>
      </c>
      <c r="BA43" s="236">
        <f>MAX(2000, BA22*(INDEX('Inputs &amp; Drivers'!$G$61:$G$65, MATCH(Model2.0!BA5, 'Inputs &amp; Drivers'!$B$61:$B$65, 0))))</f>
        <v>5836.0669171942964</v>
      </c>
      <c r="BB43" s="236">
        <f>MAX(2000, BB22*(INDEX('Inputs &amp; Drivers'!$G$61:$G$65, MATCH(Model2.0!BB5, 'Inputs &amp; Drivers'!$B$61:$B$65, 0))))</f>
        <v>5906.8823501932338</v>
      </c>
      <c r="BC43" s="236">
        <f>MAX(2000, BC22*(INDEX('Inputs &amp; Drivers'!$G$61:$G$65, MATCH(Model2.0!BC5, 'Inputs &amp; Drivers'!$B$61:$B$65, 0))))</f>
        <v>5977.9338346355007</v>
      </c>
      <c r="BD43" s="236">
        <f>MAX(2000, BD22*(INDEX('Inputs &amp; Drivers'!$G$61:$G$65, MATCH(Model2.0!BD5, 'Inputs &amp; Drivers'!$B$61:$B$65, 0))))</f>
        <v>6049.2221573592433</v>
      </c>
      <c r="BE43" s="236">
        <f>MAX(2000, BE22*(INDEX('Inputs &amp; Drivers'!$G$61:$G$65, MATCH(Model2.0!BE5, 'Inputs &amp; Drivers'!$B$61:$B$65, 0))))</f>
        <v>5492.9794777421266</v>
      </c>
      <c r="BF43" s="236">
        <f>MAX(2000, BF22*(INDEX('Inputs &amp; Drivers'!$G$61:$G$65, MATCH(Model2.0!BF5, 'Inputs &amp; Drivers'!$B$61:$B$65, 0))))</f>
        <v>5564.7438480431674</v>
      </c>
      <c r="BG43" s="236">
        <f>MAX(2000, BG22*(INDEX('Inputs &amp; Drivers'!$G$61:$G$65, MATCH(Model2.0!BG5, 'Inputs &amp; Drivers'!$B$61:$B$65, 0))))</f>
        <v>5636.7474329118795</v>
      </c>
      <c r="BH43" s="236">
        <f>MAX(2000, BH22*(INDEX('Inputs &amp; Drivers'!$G$61:$G$65, MATCH(Model2.0!BH5, 'Inputs &amp; Drivers'!$B$61:$B$65, 0))))</f>
        <v>5708.991029730154</v>
      </c>
      <c r="BI43" s="236">
        <f>MAX(2000, BI22*(INDEX('Inputs &amp; Drivers'!$G$61:$G$65, MATCH(Model2.0!BI5, 'Inputs &amp; Drivers'!$B$61:$B$65, 0))))</f>
        <v>5781.475438537821</v>
      </c>
      <c r="BJ43" s="236">
        <f>MAX(2000, BJ22*(INDEX('Inputs &amp; Drivers'!$G$61:$G$65, MATCH(Model2.0!BJ5, 'Inputs &amp; Drivers'!$B$61:$B$65, 0))))</f>
        <v>5854.2014620415148</v>
      </c>
      <c r="BK43" s="236">
        <f>MAX(2000, BK22*(INDEX('Inputs &amp; Drivers'!$G$61:$G$65, MATCH(Model2.0!BK5, 'Inputs &amp; Drivers'!$B$61:$B$65, 0))))</f>
        <v>5927.1699056235539</v>
      </c>
      <c r="BL43" s="236">
        <f>MAX(2000, BL22*(INDEX('Inputs &amp; Drivers'!$G$61:$G$65, MATCH(Model2.0!BL5, 'Inputs &amp; Drivers'!$B$61:$B$65, 0))))</f>
        <v>6000.3815773508668</v>
      </c>
      <c r="BM43" s="236">
        <f>MAX(2000, BM22*(INDEX('Inputs &amp; Drivers'!$G$61:$G$65, MATCH(Model2.0!BM5, 'Inputs &amp; Drivers'!$B$61:$B$65, 0))))</f>
        <v>6073.8372879839371</v>
      </c>
      <c r="BN43" s="236">
        <f>MAX(2000, BN22*(INDEX('Inputs &amp; Drivers'!$G$61:$G$65, MATCH(Model2.0!BN5, 'Inputs &amp; Drivers'!$B$61:$B$65, 0))))</f>
        <v>6147.5378509857846</v>
      </c>
      <c r="BO43" s="236">
        <f>MAX(2000, BO22*(INDEX('Inputs &amp; Drivers'!$G$61:$G$65, MATCH(Model2.0!BO5, 'Inputs &amp; Drivers'!$B$61:$B$65, 0))))</f>
        <v>6221.484082530972</v>
      </c>
      <c r="BP43" s="236">
        <f>MAX(2000, BP22*(INDEX('Inputs &amp; Drivers'!$G$61:$G$65, MATCH(Model2.0!BP5, 'Inputs &amp; Drivers'!$B$61:$B$65, 0))))</f>
        <v>6295.6768015146417</v>
      </c>
      <c r="BQ43" s="207"/>
      <c r="BR43" s="226">
        <f t="shared" ref="BR43:BR56" si="356">SUM(I43:T43)</f>
        <v>48706.344676784109</v>
      </c>
      <c r="BS43" s="226">
        <v>0</v>
      </c>
      <c r="BT43" s="226">
        <f>BS42-BR43</f>
        <v>24353.172338392033</v>
      </c>
      <c r="BV43" t="s">
        <v>25</v>
      </c>
      <c r="BW43" s="217">
        <f t="shared" si="347"/>
        <v>48706.344676784109</v>
      </c>
      <c r="BX43" s="217">
        <f t="shared" si="347"/>
        <v>56450.182971796938</v>
      </c>
      <c r="BY43" s="217">
        <f t="shared" si="347"/>
        <v>65277.833915747142</v>
      </c>
      <c r="BZ43" s="217">
        <f t="shared" si="347"/>
        <v>67937.353587936508</v>
      </c>
      <c r="CA43" s="217">
        <f t="shared" si="347"/>
        <v>70705.226194996416</v>
      </c>
      <c r="CC43" s="217">
        <f t="shared" si="349"/>
        <v>48706.344676784109</v>
      </c>
      <c r="CD43" s="217">
        <f t="shared" si="350"/>
        <v>56450.182971796938</v>
      </c>
      <c r="CE43" s="217">
        <f t="shared" si="351"/>
        <v>65277.833915747142</v>
      </c>
      <c r="CF43" s="217">
        <f t="shared" si="352"/>
        <v>67937.353587936508</v>
      </c>
      <c r="CG43" s="217">
        <f t="shared" si="353"/>
        <v>70705.226194996416</v>
      </c>
      <c r="CI43" t="str">
        <f t="shared" si="354"/>
        <v>OK</v>
      </c>
      <c r="CJ43" t="str">
        <f t="shared" si="348"/>
        <v>OK</v>
      </c>
      <c r="CK43" t="str">
        <f t="shared" si="348"/>
        <v>OK</v>
      </c>
      <c r="CL43" t="str">
        <f t="shared" si="348"/>
        <v>OK</v>
      </c>
      <c r="CM43" t="str">
        <f t="shared" si="348"/>
        <v>OK</v>
      </c>
    </row>
    <row r="44" spans="2:91" x14ac:dyDescent="0.3">
      <c r="B44" t="s">
        <v>26</v>
      </c>
      <c r="E44" s="121">
        <f>SUM('P-Builder'!O27:Q27,'P-Builder'!O22:Q22)*4</f>
        <v>84141.52</v>
      </c>
      <c r="F44" s="121">
        <f>SUM('P-Builder'!F27:Q27,'P-Builder'!F22:Q22)</f>
        <v>89884.310000000012</v>
      </c>
      <c r="H44" s="220">
        <f>'P-Builder'!Q27</f>
        <v>6888.2200000000012</v>
      </c>
      <c r="I44" s="220">
        <f>'Inputs &amp; Drivers'!J43/12</f>
        <v>7918.5719653349443</v>
      </c>
      <c r="J44" s="217">
        <f>(1+INDEX('Inputs &amp; Drivers'!$I$61:$I$65,MATCH(Model2.0!J$5,'Inputs &amp; Drivers'!$B$61:$B$65,0))*(Model2.0!J$5&lt;&gt;Model2.0!I$5))*Model2.0!I44</f>
        <v>7918.5719653349443</v>
      </c>
      <c r="K44" s="217">
        <f>(1+INDEX('Inputs &amp; Drivers'!$I$61:$I$65,MATCH(Model2.0!K$5,'Inputs &amp; Drivers'!$B$61:$B$65,0))*(Model2.0!K$5&lt;&gt;Model2.0!J$5))*Model2.0!J44</f>
        <v>7918.5719653349443</v>
      </c>
      <c r="L44" s="217">
        <f>(1+INDEX('Inputs &amp; Drivers'!$I$61:$I$65,MATCH(Model2.0!L$5,'Inputs &amp; Drivers'!$B$61:$B$65,0))*(Model2.0!L$5&lt;&gt;Model2.0!K$5))*Model2.0!K44</f>
        <v>7918.5719653349443</v>
      </c>
      <c r="M44" s="217">
        <f>(1+INDEX('Inputs &amp; Drivers'!$I$61:$I$65,MATCH(Model2.0!M$5,'Inputs &amp; Drivers'!$B$61:$B$65,0))*(Model2.0!M$5&lt;&gt;Model2.0!L$5))*Model2.0!L44</f>
        <v>7918.5719653349443</v>
      </c>
      <c r="N44" s="217">
        <f>(1+INDEX('Inputs &amp; Drivers'!$I$61:$I$65,MATCH(Model2.0!N$5,'Inputs &amp; Drivers'!$B$61:$B$65,0))*(Model2.0!N$5&lt;&gt;Model2.0!M$5))*Model2.0!M44</f>
        <v>7918.5719653349443</v>
      </c>
      <c r="O44" s="217">
        <f>(1+INDEX('Inputs &amp; Drivers'!$I$61:$I$65,MATCH(Model2.0!O$5,'Inputs &amp; Drivers'!$B$61:$B$65,0))*(Model2.0!O$5&lt;&gt;Model2.0!N$5))*Model2.0!N44</f>
        <v>7918.5719653349443</v>
      </c>
      <c r="P44" s="217">
        <f>(1+INDEX('Inputs &amp; Drivers'!$I$61:$I$65,MATCH(Model2.0!P$5,'Inputs &amp; Drivers'!$B$61:$B$65,0))*(Model2.0!P$5&lt;&gt;Model2.0!O$5))*Model2.0!O44</f>
        <v>7918.5719653349443</v>
      </c>
      <c r="Q44" s="217">
        <f>(1+INDEX('Inputs &amp; Drivers'!$I$61:$I$65,MATCH(Model2.0!Q$5,'Inputs &amp; Drivers'!$B$61:$B$65,0))*(Model2.0!Q$5&lt;&gt;Model2.0!P$5))*Model2.0!P44</f>
        <v>7918.5719653349443</v>
      </c>
      <c r="R44" s="217">
        <f>(1+INDEX('Inputs &amp; Drivers'!$I$61:$I$65,MATCH(Model2.0!R$5,'Inputs &amp; Drivers'!$B$61:$B$65,0))*(Model2.0!R$5&lt;&gt;Model2.0!Q$5))*Model2.0!Q44</f>
        <v>7918.5719653349443</v>
      </c>
      <c r="S44" s="217">
        <f>(1+INDEX('Inputs &amp; Drivers'!$I$61:$I$65,MATCH(Model2.0!S$5,'Inputs &amp; Drivers'!$B$61:$B$65,0))*(Model2.0!S$5&lt;&gt;Model2.0!R$5))*Model2.0!R44</f>
        <v>7918.5719653349443</v>
      </c>
      <c r="T44" s="217">
        <f>(1+INDEX('Inputs &amp; Drivers'!$I$61:$I$65,MATCH(Model2.0!T$5,'Inputs &amp; Drivers'!$B$61:$B$65,0))*(Model2.0!T$5&lt;&gt;Model2.0!S$5))*Model2.0!S44</f>
        <v>7918.5719653349443</v>
      </c>
      <c r="U44" s="217">
        <f>(1+INDEX('Inputs &amp; Drivers'!$I$61:$I$65,MATCH(Model2.0!U$5,'Inputs &amp; Drivers'!$B$61:$B$65,0))*(Model2.0!U$5&lt;&gt;Model2.0!T$5))*Model2.0!T44</f>
        <v>8076.9434046416436</v>
      </c>
      <c r="V44" s="217">
        <f>(1+INDEX('Inputs &amp; Drivers'!$I$61:$I$65,MATCH(Model2.0!V$5,'Inputs &amp; Drivers'!$B$61:$B$65,0))*(Model2.0!V$5&lt;&gt;Model2.0!U$5))*Model2.0!U44</f>
        <v>8076.9434046416436</v>
      </c>
      <c r="W44" s="217">
        <f>(1+INDEX('Inputs &amp; Drivers'!$I$61:$I$65,MATCH(Model2.0!W$5,'Inputs &amp; Drivers'!$B$61:$B$65,0))*(Model2.0!W$5&lt;&gt;Model2.0!V$5))*Model2.0!V44</f>
        <v>8076.9434046416436</v>
      </c>
      <c r="X44" s="217">
        <f>(1+INDEX('Inputs &amp; Drivers'!$I$61:$I$65,MATCH(Model2.0!X$5,'Inputs &amp; Drivers'!$B$61:$B$65,0))*(Model2.0!X$5&lt;&gt;Model2.0!W$5))*Model2.0!W44</f>
        <v>8076.9434046416436</v>
      </c>
      <c r="Y44" s="217">
        <f>(1+INDEX('Inputs &amp; Drivers'!$I$61:$I$65,MATCH(Model2.0!Y$5,'Inputs &amp; Drivers'!$B$61:$B$65,0))*(Model2.0!Y$5&lt;&gt;Model2.0!X$5))*Model2.0!X44</f>
        <v>8076.9434046416436</v>
      </c>
      <c r="Z44" s="217">
        <f>(1+INDEX('Inputs &amp; Drivers'!$I$61:$I$65,MATCH(Model2.0!Z$5,'Inputs &amp; Drivers'!$B$61:$B$65,0))*(Model2.0!Z$5&lt;&gt;Model2.0!Y$5))*Model2.0!Y44</f>
        <v>8076.9434046416436</v>
      </c>
      <c r="AA44" s="217">
        <f>(1+INDEX('Inputs &amp; Drivers'!$I$61:$I$65,MATCH(Model2.0!AA$5,'Inputs &amp; Drivers'!$B$61:$B$65,0))*(Model2.0!AA$5&lt;&gt;Model2.0!Z$5))*Model2.0!Z44</f>
        <v>8076.9434046416436</v>
      </c>
      <c r="AB44" s="217">
        <f>(1+INDEX('Inputs &amp; Drivers'!$I$61:$I$65,MATCH(Model2.0!AB$5,'Inputs &amp; Drivers'!$B$61:$B$65,0))*(Model2.0!AB$5&lt;&gt;Model2.0!AA$5))*Model2.0!AA44</f>
        <v>8076.9434046416436</v>
      </c>
      <c r="AC44" s="217">
        <f>(1+INDEX('Inputs &amp; Drivers'!$I$61:$I$65,MATCH(Model2.0!AC$5,'Inputs &amp; Drivers'!$B$61:$B$65,0))*(Model2.0!AC$5&lt;&gt;Model2.0!AB$5))*Model2.0!AB44</f>
        <v>8076.9434046416436</v>
      </c>
      <c r="AD44" s="217">
        <f>(1+INDEX('Inputs &amp; Drivers'!$I$61:$I$65,MATCH(Model2.0!AD$5,'Inputs &amp; Drivers'!$B$61:$B$65,0))*(Model2.0!AD$5&lt;&gt;Model2.0!AC$5))*Model2.0!AC44</f>
        <v>8076.9434046416436</v>
      </c>
      <c r="AE44" s="217">
        <f>(1+INDEX('Inputs &amp; Drivers'!$I$61:$I$65,MATCH(Model2.0!AE$5,'Inputs &amp; Drivers'!$B$61:$B$65,0))*(Model2.0!AE$5&lt;&gt;Model2.0!AD$5))*Model2.0!AD44</f>
        <v>8076.9434046416436</v>
      </c>
      <c r="AF44" s="217">
        <f>(1+INDEX('Inputs &amp; Drivers'!$I$61:$I$65,MATCH(Model2.0!AF$5,'Inputs &amp; Drivers'!$B$61:$B$65,0))*(Model2.0!AF$5&lt;&gt;Model2.0!AE$5))*Model2.0!AE44</f>
        <v>8076.9434046416436</v>
      </c>
      <c r="AG44" s="217">
        <f>(1+INDEX('Inputs &amp; Drivers'!$I$61:$I$65,MATCH(Model2.0!AG$5,'Inputs &amp; Drivers'!$B$61:$B$65,0))*(Model2.0!AG$5&lt;&gt;Model2.0!AF$5))*Model2.0!AF44</f>
        <v>8238.4822727344763</v>
      </c>
      <c r="AH44" s="217">
        <f>(1+INDEX('Inputs &amp; Drivers'!$I$61:$I$65,MATCH(Model2.0!AH$5,'Inputs &amp; Drivers'!$B$61:$B$65,0))*(Model2.0!AH$5&lt;&gt;Model2.0!AG$5))*Model2.0!AG44</f>
        <v>8238.4822727344763</v>
      </c>
      <c r="AI44" s="217">
        <f>(1+INDEX('Inputs &amp; Drivers'!$I$61:$I$65,MATCH(Model2.0!AI$5,'Inputs &amp; Drivers'!$B$61:$B$65,0))*(Model2.0!AI$5&lt;&gt;Model2.0!AH$5))*Model2.0!AH44</f>
        <v>8238.4822727344763</v>
      </c>
      <c r="AJ44" s="217">
        <f>(1+INDEX('Inputs &amp; Drivers'!$I$61:$I$65,MATCH(Model2.0!AJ$5,'Inputs &amp; Drivers'!$B$61:$B$65,0))*(Model2.0!AJ$5&lt;&gt;Model2.0!AI$5))*Model2.0!AI44</f>
        <v>8238.4822727344763</v>
      </c>
      <c r="AK44" s="217">
        <f>(1+INDEX('Inputs &amp; Drivers'!$I$61:$I$65,MATCH(Model2.0!AK$5,'Inputs &amp; Drivers'!$B$61:$B$65,0))*(Model2.0!AK$5&lt;&gt;Model2.0!AJ$5))*Model2.0!AJ44</f>
        <v>8238.4822727344763</v>
      </c>
      <c r="AL44" s="217">
        <f>(1+INDEX('Inputs &amp; Drivers'!$I$61:$I$65,MATCH(Model2.0!AL$5,'Inputs &amp; Drivers'!$B$61:$B$65,0))*(Model2.0!AL$5&lt;&gt;Model2.0!AK$5))*Model2.0!AK44</f>
        <v>8238.4822727344763</v>
      </c>
      <c r="AM44" s="217">
        <f>(1+INDEX('Inputs &amp; Drivers'!$I$61:$I$65,MATCH(Model2.0!AM$5,'Inputs &amp; Drivers'!$B$61:$B$65,0))*(Model2.0!AM$5&lt;&gt;Model2.0!AL$5))*Model2.0!AL44</f>
        <v>8238.4822727344763</v>
      </c>
      <c r="AN44" s="217">
        <f>(1+INDEX('Inputs &amp; Drivers'!$I$61:$I$65,MATCH(Model2.0!AN$5,'Inputs &amp; Drivers'!$B$61:$B$65,0))*(Model2.0!AN$5&lt;&gt;Model2.0!AM$5))*Model2.0!AM44</f>
        <v>8238.4822727344763</v>
      </c>
      <c r="AO44" s="217">
        <f>(1+INDEX('Inputs &amp; Drivers'!$I$61:$I$65,MATCH(Model2.0!AO$5,'Inputs &amp; Drivers'!$B$61:$B$65,0))*(Model2.0!AO$5&lt;&gt;Model2.0!AN$5))*Model2.0!AN44</f>
        <v>8238.4822727344763</v>
      </c>
      <c r="AP44" s="217">
        <f>(1+INDEX('Inputs &amp; Drivers'!$I$61:$I$65,MATCH(Model2.0!AP$5,'Inputs &amp; Drivers'!$B$61:$B$65,0))*(Model2.0!AP$5&lt;&gt;Model2.0!AO$5))*Model2.0!AO44</f>
        <v>8238.4822727344763</v>
      </c>
      <c r="AQ44" s="217">
        <f>(1+INDEX('Inputs &amp; Drivers'!$I$61:$I$65,MATCH(Model2.0!AQ$5,'Inputs &amp; Drivers'!$B$61:$B$65,0))*(Model2.0!AQ$5&lt;&gt;Model2.0!AP$5))*Model2.0!AP44</f>
        <v>8238.4822727344763</v>
      </c>
      <c r="AR44" s="217">
        <f>(1+INDEX('Inputs &amp; Drivers'!$I$61:$I$65,MATCH(Model2.0!AR$5,'Inputs &amp; Drivers'!$B$61:$B$65,0))*(Model2.0!AR$5&lt;&gt;Model2.0!AQ$5))*Model2.0!AQ44</f>
        <v>8238.4822727344763</v>
      </c>
      <c r="AS44" s="217">
        <f>(1+INDEX('Inputs &amp; Drivers'!$I$61:$I$65,MATCH(Model2.0!AS$5,'Inputs &amp; Drivers'!$B$61:$B$65,0))*(Model2.0!AS$5&lt;&gt;Model2.0!AR$5))*Model2.0!AR44</f>
        <v>8403.2519181891657</v>
      </c>
      <c r="AT44" s="217">
        <f>(1+INDEX('Inputs &amp; Drivers'!$I$61:$I$65,MATCH(Model2.0!AT$5,'Inputs &amp; Drivers'!$B$61:$B$65,0))*(Model2.0!AT$5&lt;&gt;Model2.0!AS$5))*Model2.0!AS44</f>
        <v>8403.2519181891657</v>
      </c>
      <c r="AU44" s="217">
        <f>(1+INDEX('Inputs &amp; Drivers'!$I$61:$I$65,MATCH(Model2.0!AU$5,'Inputs &amp; Drivers'!$B$61:$B$65,0))*(Model2.0!AU$5&lt;&gt;Model2.0!AT$5))*Model2.0!AT44</f>
        <v>8403.2519181891657</v>
      </c>
      <c r="AV44" s="217">
        <f>(1+INDEX('Inputs &amp; Drivers'!$I$61:$I$65,MATCH(Model2.0!AV$5,'Inputs &amp; Drivers'!$B$61:$B$65,0))*(Model2.0!AV$5&lt;&gt;Model2.0!AU$5))*Model2.0!AU44</f>
        <v>8403.2519181891657</v>
      </c>
      <c r="AW44" s="217">
        <f>(1+INDEX('Inputs &amp; Drivers'!$I$61:$I$65,MATCH(Model2.0!AW$5,'Inputs &amp; Drivers'!$B$61:$B$65,0))*(Model2.0!AW$5&lt;&gt;Model2.0!AV$5))*Model2.0!AV44</f>
        <v>8403.2519181891657</v>
      </c>
      <c r="AX44" s="217">
        <f>(1+INDEX('Inputs &amp; Drivers'!$I$61:$I$65,MATCH(Model2.0!AX$5,'Inputs &amp; Drivers'!$B$61:$B$65,0))*(Model2.0!AX$5&lt;&gt;Model2.0!AW$5))*Model2.0!AW44</f>
        <v>8403.2519181891657</v>
      </c>
      <c r="AY44" s="217">
        <f>(1+INDEX('Inputs &amp; Drivers'!$I$61:$I$65,MATCH(Model2.0!AY$5,'Inputs &amp; Drivers'!$B$61:$B$65,0))*(Model2.0!AY$5&lt;&gt;Model2.0!AX$5))*Model2.0!AX44</f>
        <v>8403.2519181891657</v>
      </c>
      <c r="AZ44" s="217">
        <f>(1+INDEX('Inputs &amp; Drivers'!$I$61:$I$65,MATCH(Model2.0!AZ$5,'Inputs &amp; Drivers'!$B$61:$B$65,0))*(Model2.0!AZ$5&lt;&gt;Model2.0!AY$5))*Model2.0!AY44</f>
        <v>8403.2519181891657</v>
      </c>
      <c r="BA44" s="217">
        <f>(1+INDEX('Inputs &amp; Drivers'!$I$61:$I$65,MATCH(Model2.0!BA$5,'Inputs &amp; Drivers'!$B$61:$B$65,0))*(Model2.0!BA$5&lt;&gt;Model2.0!AZ$5))*Model2.0!AZ44</f>
        <v>8403.2519181891657</v>
      </c>
      <c r="BB44" s="217">
        <f>(1+INDEX('Inputs &amp; Drivers'!$I$61:$I$65,MATCH(Model2.0!BB$5,'Inputs &amp; Drivers'!$B$61:$B$65,0))*(Model2.0!BB$5&lt;&gt;Model2.0!BA$5))*Model2.0!BA44</f>
        <v>8403.2519181891657</v>
      </c>
      <c r="BC44" s="217">
        <f>(1+INDEX('Inputs &amp; Drivers'!$I$61:$I$65,MATCH(Model2.0!BC$5,'Inputs &amp; Drivers'!$B$61:$B$65,0))*(Model2.0!BC$5&lt;&gt;Model2.0!BB$5))*Model2.0!BB44</f>
        <v>8403.2519181891657</v>
      </c>
      <c r="BD44" s="217">
        <f>(1+INDEX('Inputs &amp; Drivers'!$I$61:$I$65,MATCH(Model2.0!BD$5,'Inputs &amp; Drivers'!$B$61:$B$65,0))*(Model2.0!BD$5&lt;&gt;Model2.0!BC$5))*Model2.0!BC44</f>
        <v>8403.2519181891657</v>
      </c>
      <c r="BE44" s="217">
        <f>(1+INDEX('Inputs &amp; Drivers'!$I$61:$I$65,MATCH(Model2.0!BE$5,'Inputs &amp; Drivers'!$B$61:$B$65,0))*(Model2.0!BE$5&lt;&gt;Model2.0!BD$5))*Model2.0!BD44</f>
        <v>8571.3169565529497</v>
      </c>
      <c r="BF44" s="217">
        <f>(1+INDEX('Inputs &amp; Drivers'!$I$61:$I$65,MATCH(Model2.0!BF$5,'Inputs &amp; Drivers'!$B$61:$B$65,0))*(Model2.0!BF$5&lt;&gt;Model2.0!BE$5))*Model2.0!BE44</f>
        <v>8571.3169565529497</v>
      </c>
      <c r="BG44" s="217">
        <f>(1+INDEX('Inputs &amp; Drivers'!$I$61:$I$65,MATCH(Model2.0!BG$5,'Inputs &amp; Drivers'!$B$61:$B$65,0))*(Model2.0!BG$5&lt;&gt;Model2.0!BF$5))*Model2.0!BF44</f>
        <v>8571.3169565529497</v>
      </c>
      <c r="BH44" s="217">
        <f>(1+INDEX('Inputs &amp; Drivers'!$I$61:$I$65,MATCH(Model2.0!BH$5,'Inputs &amp; Drivers'!$B$61:$B$65,0))*(Model2.0!BH$5&lt;&gt;Model2.0!BG$5))*Model2.0!BG44</f>
        <v>8571.3169565529497</v>
      </c>
      <c r="BI44" s="217">
        <f>(1+INDEX('Inputs &amp; Drivers'!$I$61:$I$65,MATCH(Model2.0!BI$5,'Inputs &amp; Drivers'!$B$61:$B$65,0))*(Model2.0!BI$5&lt;&gt;Model2.0!BH$5))*Model2.0!BH44</f>
        <v>8571.3169565529497</v>
      </c>
      <c r="BJ44" s="217">
        <f>(1+INDEX('Inputs &amp; Drivers'!$I$61:$I$65,MATCH(Model2.0!BJ$5,'Inputs &amp; Drivers'!$B$61:$B$65,0))*(Model2.0!BJ$5&lt;&gt;Model2.0!BI$5))*Model2.0!BI44</f>
        <v>8571.3169565529497</v>
      </c>
      <c r="BK44" s="217">
        <f>(1+INDEX('Inputs &amp; Drivers'!$I$61:$I$65,MATCH(Model2.0!BK$5,'Inputs &amp; Drivers'!$B$61:$B$65,0))*(Model2.0!BK$5&lt;&gt;Model2.0!BJ$5))*Model2.0!BJ44</f>
        <v>8571.3169565529497</v>
      </c>
      <c r="BL44" s="217">
        <f>(1+INDEX('Inputs &amp; Drivers'!$I$61:$I$65,MATCH(Model2.0!BL$5,'Inputs &amp; Drivers'!$B$61:$B$65,0))*(Model2.0!BL$5&lt;&gt;Model2.0!BK$5))*Model2.0!BK44</f>
        <v>8571.3169565529497</v>
      </c>
      <c r="BM44" s="217">
        <f>(1+INDEX('Inputs &amp; Drivers'!$I$61:$I$65,MATCH(Model2.0!BM$5,'Inputs &amp; Drivers'!$B$61:$B$65,0))*(Model2.0!BM$5&lt;&gt;Model2.0!BL$5))*Model2.0!BL44</f>
        <v>8571.3169565529497</v>
      </c>
      <c r="BN44" s="217">
        <f>(1+INDEX('Inputs &amp; Drivers'!$I$61:$I$65,MATCH(Model2.0!BN$5,'Inputs &amp; Drivers'!$B$61:$B$65,0))*(Model2.0!BN$5&lt;&gt;Model2.0!BM$5))*Model2.0!BM44</f>
        <v>8571.3169565529497</v>
      </c>
      <c r="BO44" s="217">
        <f>(1+INDEX('Inputs &amp; Drivers'!$I$61:$I$65,MATCH(Model2.0!BO$5,'Inputs &amp; Drivers'!$B$61:$B$65,0))*(Model2.0!BO$5&lt;&gt;Model2.0!BN$5))*Model2.0!BN44</f>
        <v>8571.3169565529497</v>
      </c>
      <c r="BP44" s="217">
        <f>(1+INDEX('Inputs &amp; Drivers'!$I$61:$I$65,MATCH(Model2.0!BP$5,'Inputs &amp; Drivers'!$B$61:$B$65,0))*(Model2.0!BP$5&lt;&gt;Model2.0!BO$5))*Model2.0!BO44</f>
        <v>8571.3169565529497</v>
      </c>
      <c r="BR44" s="217">
        <f t="shared" si="356"/>
        <v>95022.863584019302</v>
      </c>
      <c r="BS44" s="224">
        <f>F44*1.02</f>
        <v>91681.996200000009</v>
      </c>
      <c r="BT44" s="217">
        <f>BS44-BR44</f>
        <v>-3340.8673840192932</v>
      </c>
      <c r="BV44" t="s">
        <v>26</v>
      </c>
      <c r="BW44" s="217">
        <f t="shared" si="347"/>
        <v>95022.863584019302</v>
      </c>
      <c r="BX44" s="217">
        <f t="shared" si="347"/>
        <v>96923.320855699727</v>
      </c>
      <c r="BY44" s="217">
        <f t="shared" si="347"/>
        <v>98861.787272813686</v>
      </c>
      <c r="BZ44" s="217">
        <f t="shared" si="347"/>
        <v>100839.02301827002</v>
      </c>
      <c r="CA44" s="217">
        <f t="shared" si="347"/>
        <v>102855.80347863543</v>
      </c>
      <c r="CC44" s="217">
        <f t="shared" si="349"/>
        <v>95022.863584019302</v>
      </c>
      <c r="CD44" s="217">
        <f t="shared" si="350"/>
        <v>96923.320855699727</v>
      </c>
      <c r="CE44" s="217">
        <f t="shared" si="351"/>
        <v>98861.787272813686</v>
      </c>
      <c r="CF44" s="217">
        <f t="shared" si="352"/>
        <v>100839.02301827002</v>
      </c>
      <c r="CG44" s="217">
        <f t="shared" si="353"/>
        <v>102855.80347863543</v>
      </c>
      <c r="CI44" t="str">
        <f t="shared" si="354"/>
        <v>OK</v>
      </c>
      <c r="CJ44" t="str">
        <f t="shared" si="348"/>
        <v>OK</v>
      </c>
      <c r="CK44" t="str">
        <f t="shared" si="348"/>
        <v>OK</v>
      </c>
      <c r="CL44" t="str">
        <f t="shared" si="348"/>
        <v>OK</v>
      </c>
      <c r="CM44" t="str">
        <f t="shared" si="348"/>
        <v>OK</v>
      </c>
    </row>
    <row r="45" spans="2:91" x14ac:dyDescent="0.3">
      <c r="B45" t="s">
        <v>27</v>
      </c>
      <c r="E45" s="121">
        <f>SUM('P-Builder'!O28:Q28)*4</f>
        <v>558.04</v>
      </c>
      <c r="F45" s="121">
        <f>SUM('P-Builder'!F28:Q28)</f>
        <v>1659.92</v>
      </c>
      <c r="H45" s="220">
        <f>'P-Builder'!Q28</f>
        <v>94.23</v>
      </c>
      <c r="I45" s="220">
        <f>'Inputs &amp; Drivers'!J44/12</f>
        <v>138.32666666666668</v>
      </c>
      <c r="J45" s="217">
        <f>(1+INDEX('Inputs &amp; Drivers'!$I$61:$I$65,MATCH(Model2.0!J$5,'Inputs &amp; Drivers'!$B$61:$B$65,0))*(Model2.0!J$5&lt;&gt;Model2.0!I$5))*Model2.0!I45</f>
        <v>138.32666666666668</v>
      </c>
      <c r="K45" s="217">
        <f>(1+INDEX('Inputs &amp; Drivers'!$I$61:$I$65,MATCH(Model2.0!K$5,'Inputs &amp; Drivers'!$B$61:$B$65,0))*(Model2.0!K$5&lt;&gt;Model2.0!J$5))*Model2.0!J45</f>
        <v>138.32666666666668</v>
      </c>
      <c r="L45" s="217">
        <f>(1+INDEX('Inputs &amp; Drivers'!$I$61:$I$65,MATCH(Model2.0!L$5,'Inputs &amp; Drivers'!$B$61:$B$65,0))*(Model2.0!L$5&lt;&gt;Model2.0!K$5))*Model2.0!K45</f>
        <v>138.32666666666668</v>
      </c>
      <c r="M45" s="217">
        <f>(1+INDEX('Inputs &amp; Drivers'!$I$61:$I$65,MATCH(Model2.0!M$5,'Inputs &amp; Drivers'!$B$61:$B$65,0))*(Model2.0!M$5&lt;&gt;Model2.0!L$5))*Model2.0!L45</f>
        <v>138.32666666666668</v>
      </c>
      <c r="N45" s="217">
        <f>(1+INDEX('Inputs &amp; Drivers'!$I$61:$I$65,MATCH(Model2.0!N$5,'Inputs &amp; Drivers'!$B$61:$B$65,0))*(Model2.0!N$5&lt;&gt;Model2.0!M$5))*Model2.0!M45</f>
        <v>138.32666666666668</v>
      </c>
      <c r="O45" s="217">
        <f>(1+INDEX('Inputs &amp; Drivers'!$I$61:$I$65,MATCH(Model2.0!O$5,'Inputs &amp; Drivers'!$B$61:$B$65,0))*(Model2.0!O$5&lt;&gt;Model2.0!N$5))*Model2.0!N45</f>
        <v>138.32666666666668</v>
      </c>
      <c r="P45" s="217">
        <f>(1+INDEX('Inputs &amp; Drivers'!$I$61:$I$65,MATCH(Model2.0!P$5,'Inputs &amp; Drivers'!$B$61:$B$65,0))*(Model2.0!P$5&lt;&gt;Model2.0!O$5))*Model2.0!O45</f>
        <v>138.32666666666668</v>
      </c>
      <c r="Q45" s="217">
        <f>(1+INDEX('Inputs &amp; Drivers'!$I$61:$I$65,MATCH(Model2.0!Q$5,'Inputs &amp; Drivers'!$B$61:$B$65,0))*(Model2.0!Q$5&lt;&gt;Model2.0!P$5))*Model2.0!P45</f>
        <v>138.32666666666668</v>
      </c>
      <c r="R45" s="217">
        <f>(1+INDEX('Inputs &amp; Drivers'!$I$61:$I$65,MATCH(Model2.0!R$5,'Inputs &amp; Drivers'!$B$61:$B$65,0))*(Model2.0!R$5&lt;&gt;Model2.0!Q$5))*Model2.0!Q45</f>
        <v>138.32666666666668</v>
      </c>
      <c r="S45" s="217">
        <f>(1+INDEX('Inputs &amp; Drivers'!$I$61:$I$65,MATCH(Model2.0!S$5,'Inputs &amp; Drivers'!$B$61:$B$65,0))*(Model2.0!S$5&lt;&gt;Model2.0!R$5))*Model2.0!R45</f>
        <v>138.32666666666668</v>
      </c>
      <c r="T45" s="217">
        <f>(1+INDEX('Inputs &amp; Drivers'!$I$61:$I$65,MATCH(Model2.0!T$5,'Inputs &amp; Drivers'!$B$61:$B$65,0))*(Model2.0!T$5&lt;&gt;Model2.0!S$5))*Model2.0!S45</f>
        <v>138.32666666666668</v>
      </c>
      <c r="U45" s="217">
        <f>(1+INDEX('Inputs &amp; Drivers'!$I$61:$I$65,MATCH(Model2.0!U$5,'Inputs &amp; Drivers'!$B$61:$B$65,0))*(Model2.0!U$5&lt;&gt;Model2.0!T$5))*Model2.0!T45</f>
        <v>141.09320000000002</v>
      </c>
      <c r="V45" s="217">
        <f>(1+INDEX('Inputs &amp; Drivers'!$I$61:$I$65,MATCH(Model2.0!V$5,'Inputs &amp; Drivers'!$B$61:$B$65,0))*(Model2.0!V$5&lt;&gt;Model2.0!U$5))*Model2.0!U45</f>
        <v>141.09320000000002</v>
      </c>
      <c r="W45" s="217">
        <f>(1+INDEX('Inputs &amp; Drivers'!$I$61:$I$65,MATCH(Model2.0!W$5,'Inputs &amp; Drivers'!$B$61:$B$65,0))*(Model2.0!W$5&lt;&gt;Model2.0!V$5))*Model2.0!V45</f>
        <v>141.09320000000002</v>
      </c>
      <c r="X45" s="217">
        <f>(1+INDEX('Inputs &amp; Drivers'!$I$61:$I$65,MATCH(Model2.0!X$5,'Inputs &amp; Drivers'!$B$61:$B$65,0))*(Model2.0!X$5&lt;&gt;Model2.0!W$5))*Model2.0!W45</f>
        <v>141.09320000000002</v>
      </c>
      <c r="Y45" s="217">
        <f>(1+INDEX('Inputs &amp; Drivers'!$I$61:$I$65,MATCH(Model2.0!Y$5,'Inputs &amp; Drivers'!$B$61:$B$65,0))*(Model2.0!Y$5&lt;&gt;Model2.0!X$5))*Model2.0!X45</f>
        <v>141.09320000000002</v>
      </c>
      <c r="Z45" s="217">
        <f>(1+INDEX('Inputs &amp; Drivers'!$I$61:$I$65,MATCH(Model2.0!Z$5,'Inputs &amp; Drivers'!$B$61:$B$65,0))*(Model2.0!Z$5&lt;&gt;Model2.0!Y$5))*Model2.0!Y45</f>
        <v>141.09320000000002</v>
      </c>
      <c r="AA45" s="217">
        <f>(1+INDEX('Inputs &amp; Drivers'!$I$61:$I$65,MATCH(Model2.0!AA$5,'Inputs &amp; Drivers'!$B$61:$B$65,0))*(Model2.0!AA$5&lt;&gt;Model2.0!Z$5))*Model2.0!Z45</f>
        <v>141.09320000000002</v>
      </c>
      <c r="AB45" s="217">
        <f>(1+INDEX('Inputs &amp; Drivers'!$I$61:$I$65,MATCH(Model2.0!AB$5,'Inputs &amp; Drivers'!$B$61:$B$65,0))*(Model2.0!AB$5&lt;&gt;Model2.0!AA$5))*Model2.0!AA45</f>
        <v>141.09320000000002</v>
      </c>
      <c r="AC45" s="217">
        <f>(1+INDEX('Inputs &amp; Drivers'!$I$61:$I$65,MATCH(Model2.0!AC$5,'Inputs &amp; Drivers'!$B$61:$B$65,0))*(Model2.0!AC$5&lt;&gt;Model2.0!AB$5))*Model2.0!AB45</f>
        <v>141.09320000000002</v>
      </c>
      <c r="AD45" s="217">
        <f>(1+INDEX('Inputs &amp; Drivers'!$I$61:$I$65,MATCH(Model2.0!AD$5,'Inputs &amp; Drivers'!$B$61:$B$65,0))*(Model2.0!AD$5&lt;&gt;Model2.0!AC$5))*Model2.0!AC45</f>
        <v>141.09320000000002</v>
      </c>
      <c r="AE45" s="217">
        <f>(1+INDEX('Inputs &amp; Drivers'!$I$61:$I$65,MATCH(Model2.0!AE$5,'Inputs &amp; Drivers'!$B$61:$B$65,0))*(Model2.0!AE$5&lt;&gt;Model2.0!AD$5))*Model2.0!AD45</f>
        <v>141.09320000000002</v>
      </c>
      <c r="AF45" s="217">
        <f>(1+INDEX('Inputs &amp; Drivers'!$I$61:$I$65,MATCH(Model2.0!AF$5,'Inputs &amp; Drivers'!$B$61:$B$65,0))*(Model2.0!AF$5&lt;&gt;Model2.0!AE$5))*Model2.0!AE45</f>
        <v>141.09320000000002</v>
      </c>
      <c r="AG45" s="217">
        <f>(1+INDEX('Inputs &amp; Drivers'!$I$61:$I$65,MATCH(Model2.0!AG$5,'Inputs &amp; Drivers'!$B$61:$B$65,0))*(Model2.0!AG$5&lt;&gt;Model2.0!AF$5))*Model2.0!AF45</f>
        <v>143.91506400000003</v>
      </c>
      <c r="AH45" s="217">
        <f>(1+INDEX('Inputs &amp; Drivers'!$I$61:$I$65,MATCH(Model2.0!AH$5,'Inputs &amp; Drivers'!$B$61:$B$65,0))*(Model2.0!AH$5&lt;&gt;Model2.0!AG$5))*Model2.0!AG45</f>
        <v>143.91506400000003</v>
      </c>
      <c r="AI45" s="217">
        <f>(1+INDEX('Inputs &amp; Drivers'!$I$61:$I$65,MATCH(Model2.0!AI$5,'Inputs &amp; Drivers'!$B$61:$B$65,0))*(Model2.0!AI$5&lt;&gt;Model2.0!AH$5))*Model2.0!AH45</f>
        <v>143.91506400000003</v>
      </c>
      <c r="AJ45" s="217">
        <f>(1+INDEX('Inputs &amp; Drivers'!$I$61:$I$65,MATCH(Model2.0!AJ$5,'Inputs &amp; Drivers'!$B$61:$B$65,0))*(Model2.0!AJ$5&lt;&gt;Model2.0!AI$5))*Model2.0!AI45</f>
        <v>143.91506400000003</v>
      </c>
      <c r="AK45" s="217">
        <f>(1+INDEX('Inputs &amp; Drivers'!$I$61:$I$65,MATCH(Model2.0!AK$5,'Inputs &amp; Drivers'!$B$61:$B$65,0))*(Model2.0!AK$5&lt;&gt;Model2.0!AJ$5))*Model2.0!AJ45</f>
        <v>143.91506400000003</v>
      </c>
      <c r="AL45" s="217">
        <f>(1+INDEX('Inputs &amp; Drivers'!$I$61:$I$65,MATCH(Model2.0!AL$5,'Inputs &amp; Drivers'!$B$61:$B$65,0))*(Model2.0!AL$5&lt;&gt;Model2.0!AK$5))*Model2.0!AK45</f>
        <v>143.91506400000003</v>
      </c>
      <c r="AM45" s="217">
        <f>(1+INDEX('Inputs &amp; Drivers'!$I$61:$I$65,MATCH(Model2.0!AM$5,'Inputs &amp; Drivers'!$B$61:$B$65,0))*(Model2.0!AM$5&lt;&gt;Model2.0!AL$5))*Model2.0!AL45</f>
        <v>143.91506400000003</v>
      </c>
      <c r="AN45" s="217">
        <f>(1+INDEX('Inputs &amp; Drivers'!$I$61:$I$65,MATCH(Model2.0!AN$5,'Inputs &amp; Drivers'!$B$61:$B$65,0))*(Model2.0!AN$5&lt;&gt;Model2.0!AM$5))*Model2.0!AM45</f>
        <v>143.91506400000003</v>
      </c>
      <c r="AO45" s="217">
        <f>(1+INDEX('Inputs &amp; Drivers'!$I$61:$I$65,MATCH(Model2.0!AO$5,'Inputs &amp; Drivers'!$B$61:$B$65,0))*(Model2.0!AO$5&lt;&gt;Model2.0!AN$5))*Model2.0!AN45</f>
        <v>143.91506400000003</v>
      </c>
      <c r="AP45" s="217">
        <f>(1+INDEX('Inputs &amp; Drivers'!$I$61:$I$65,MATCH(Model2.0!AP$5,'Inputs &amp; Drivers'!$B$61:$B$65,0))*(Model2.0!AP$5&lt;&gt;Model2.0!AO$5))*Model2.0!AO45</f>
        <v>143.91506400000003</v>
      </c>
      <c r="AQ45" s="217">
        <f>(1+INDEX('Inputs &amp; Drivers'!$I$61:$I$65,MATCH(Model2.0!AQ$5,'Inputs &amp; Drivers'!$B$61:$B$65,0))*(Model2.0!AQ$5&lt;&gt;Model2.0!AP$5))*Model2.0!AP45</f>
        <v>143.91506400000003</v>
      </c>
      <c r="AR45" s="217">
        <f>(1+INDEX('Inputs &amp; Drivers'!$I$61:$I$65,MATCH(Model2.0!AR$5,'Inputs &amp; Drivers'!$B$61:$B$65,0))*(Model2.0!AR$5&lt;&gt;Model2.0!AQ$5))*Model2.0!AQ45</f>
        <v>143.91506400000003</v>
      </c>
      <c r="AS45" s="217">
        <f>(1+INDEX('Inputs &amp; Drivers'!$I$61:$I$65,MATCH(Model2.0!AS$5,'Inputs &amp; Drivers'!$B$61:$B$65,0))*(Model2.0!AS$5&lt;&gt;Model2.0!AR$5))*Model2.0!AR45</f>
        <v>146.79336528000005</v>
      </c>
      <c r="AT45" s="217">
        <f>(1+INDEX('Inputs &amp; Drivers'!$I$61:$I$65,MATCH(Model2.0!AT$5,'Inputs &amp; Drivers'!$B$61:$B$65,0))*(Model2.0!AT$5&lt;&gt;Model2.0!AS$5))*Model2.0!AS45</f>
        <v>146.79336528000005</v>
      </c>
      <c r="AU45" s="217">
        <f>(1+INDEX('Inputs &amp; Drivers'!$I$61:$I$65,MATCH(Model2.0!AU$5,'Inputs &amp; Drivers'!$B$61:$B$65,0))*(Model2.0!AU$5&lt;&gt;Model2.0!AT$5))*Model2.0!AT45</f>
        <v>146.79336528000005</v>
      </c>
      <c r="AV45" s="217">
        <f>(1+INDEX('Inputs &amp; Drivers'!$I$61:$I$65,MATCH(Model2.0!AV$5,'Inputs &amp; Drivers'!$B$61:$B$65,0))*(Model2.0!AV$5&lt;&gt;Model2.0!AU$5))*Model2.0!AU45</f>
        <v>146.79336528000005</v>
      </c>
      <c r="AW45" s="217">
        <f>(1+INDEX('Inputs &amp; Drivers'!$I$61:$I$65,MATCH(Model2.0!AW$5,'Inputs &amp; Drivers'!$B$61:$B$65,0))*(Model2.0!AW$5&lt;&gt;Model2.0!AV$5))*Model2.0!AV45</f>
        <v>146.79336528000005</v>
      </c>
      <c r="AX45" s="217">
        <f>(1+INDEX('Inputs &amp; Drivers'!$I$61:$I$65,MATCH(Model2.0!AX$5,'Inputs &amp; Drivers'!$B$61:$B$65,0))*(Model2.0!AX$5&lt;&gt;Model2.0!AW$5))*Model2.0!AW45</f>
        <v>146.79336528000005</v>
      </c>
      <c r="AY45" s="217">
        <f>(1+INDEX('Inputs &amp; Drivers'!$I$61:$I$65,MATCH(Model2.0!AY$5,'Inputs &amp; Drivers'!$B$61:$B$65,0))*(Model2.0!AY$5&lt;&gt;Model2.0!AX$5))*Model2.0!AX45</f>
        <v>146.79336528000005</v>
      </c>
      <c r="AZ45" s="217">
        <f>(1+INDEX('Inputs &amp; Drivers'!$I$61:$I$65,MATCH(Model2.0!AZ$5,'Inputs &amp; Drivers'!$B$61:$B$65,0))*(Model2.0!AZ$5&lt;&gt;Model2.0!AY$5))*Model2.0!AY45</f>
        <v>146.79336528000005</v>
      </c>
      <c r="BA45" s="217">
        <f>(1+INDEX('Inputs &amp; Drivers'!$I$61:$I$65,MATCH(Model2.0!BA$5,'Inputs &amp; Drivers'!$B$61:$B$65,0))*(Model2.0!BA$5&lt;&gt;Model2.0!AZ$5))*Model2.0!AZ45</f>
        <v>146.79336528000005</v>
      </c>
      <c r="BB45" s="217">
        <f>(1+INDEX('Inputs &amp; Drivers'!$I$61:$I$65,MATCH(Model2.0!BB$5,'Inputs &amp; Drivers'!$B$61:$B$65,0))*(Model2.0!BB$5&lt;&gt;Model2.0!BA$5))*Model2.0!BA45</f>
        <v>146.79336528000005</v>
      </c>
      <c r="BC45" s="217">
        <f>(1+INDEX('Inputs &amp; Drivers'!$I$61:$I$65,MATCH(Model2.0!BC$5,'Inputs &amp; Drivers'!$B$61:$B$65,0))*(Model2.0!BC$5&lt;&gt;Model2.0!BB$5))*Model2.0!BB45</f>
        <v>146.79336528000005</v>
      </c>
      <c r="BD45" s="217">
        <f>(1+INDEX('Inputs &amp; Drivers'!$I$61:$I$65,MATCH(Model2.0!BD$5,'Inputs &amp; Drivers'!$B$61:$B$65,0))*(Model2.0!BD$5&lt;&gt;Model2.0!BC$5))*Model2.0!BC45</f>
        <v>146.79336528000005</v>
      </c>
      <c r="BE45" s="217">
        <f>(1+INDEX('Inputs &amp; Drivers'!$I$61:$I$65,MATCH(Model2.0!BE$5,'Inputs &amp; Drivers'!$B$61:$B$65,0))*(Model2.0!BE$5&lt;&gt;Model2.0!BD$5))*Model2.0!BD45</f>
        <v>149.72923258560004</v>
      </c>
      <c r="BF45" s="217">
        <f>(1+INDEX('Inputs &amp; Drivers'!$I$61:$I$65,MATCH(Model2.0!BF$5,'Inputs &amp; Drivers'!$B$61:$B$65,0))*(Model2.0!BF$5&lt;&gt;Model2.0!BE$5))*Model2.0!BE45</f>
        <v>149.72923258560004</v>
      </c>
      <c r="BG45" s="217">
        <f>(1+INDEX('Inputs &amp; Drivers'!$I$61:$I$65,MATCH(Model2.0!BG$5,'Inputs &amp; Drivers'!$B$61:$B$65,0))*(Model2.0!BG$5&lt;&gt;Model2.0!BF$5))*Model2.0!BF45</f>
        <v>149.72923258560004</v>
      </c>
      <c r="BH45" s="217">
        <f>(1+INDEX('Inputs &amp; Drivers'!$I$61:$I$65,MATCH(Model2.0!BH$5,'Inputs &amp; Drivers'!$B$61:$B$65,0))*(Model2.0!BH$5&lt;&gt;Model2.0!BG$5))*Model2.0!BG45</f>
        <v>149.72923258560004</v>
      </c>
      <c r="BI45" s="217">
        <f>(1+INDEX('Inputs &amp; Drivers'!$I$61:$I$65,MATCH(Model2.0!BI$5,'Inputs &amp; Drivers'!$B$61:$B$65,0))*(Model2.0!BI$5&lt;&gt;Model2.0!BH$5))*Model2.0!BH45</f>
        <v>149.72923258560004</v>
      </c>
      <c r="BJ45" s="217">
        <f>(1+INDEX('Inputs &amp; Drivers'!$I$61:$I$65,MATCH(Model2.0!BJ$5,'Inputs &amp; Drivers'!$B$61:$B$65,0))*(Model2.0!BJ$5&lt;&gt;Model2.0!BI$5))*Model2.0!BI45</f>
        <v>149.72923258560004</v>
      </c>
      <c r="BK45" s="217">
        <f>(1+INDEX('Inputs &amp; Drivers'!$I$61:$I$65,MATCH(Model2.0!BK$5,'Inputs &amp; Drivers'!$B$61:$B$65,0))*(Model2.0!BK$5&lt;&gt;Model2.0!BJ$5))*Model2.0!BJ45</f>
        <v>149.72923258560004</v>
      </c>
      <c r="BL45" s="217">
        <f>(1+INDEX('Inputs &amp; Drivers'!$I$61:$I$65,MATCH(Model2.0!BL$5,'Inputs &amp; Drivers'!$B$61:$B$65,0))*(Model2.0!BL$5&lt;&gt;Model2.0!BK$5))*Model2.0!BK45</f>
        <v>149.72923258560004</v>
      </c>
      <c r="BM45" s="217">
        <f>(1+INDEX('Inputs &amp; Drivers'!$I$61:$I$65,MATCH(Model2.0!BM$5,'Inputs &amp; Drivers'!$B$61:$B$65,0))*(Model2.0!BM$5&lt;&gt;Model2.0!BL$5))*Model2.0!BL45</f>
        <v>149.72923258560004</v>
      </c>
      <c r="BN45" s="217">
        <f>(1+INDEX('Inputs &amp; Drivers'!$I$61:$I$65,MATCH(Model2.0!BN$5,'Inputs &amp; Drivers'!$B$61:$B$65,0))*(Model2.0!BN$5&lt;&gt;Model2.0!BM$5))*Model2.0!BM45</f>
        <v>149.72923258560004</v>
      </c>
      <c r="BO45" s="217">
        <f>(1+INDEX('Inputs &amp; Drivers'!$I$61:$I$65,MATCH(Model2.0!BO$5,'Inputs &amp; Drivers'!$B$61:$B$65,0))*(Model2.0!BO$5&lt;&gt;Model2.0!BN$5))*Model2.0!BN45</f>
        <v>149.72923258560004</v>
      </c>
      <c r="BP45" s="217">
        <f>(1+INDEX('Inputs &amp; Drivers'!$I$61:$I$65,MATCH(Model2.0!BP$5,'Inputs &amp; Drivers'!$B$61:$B$65,0))*(Model2.0!BP$5&lt;&gt;Model2.0!BO$5))*Model2.0!BO45</f>
        <v>149.72923258560004</v>
      </c>
      <c r="BR45" s="217">
        <f t="shared" si="356"/>
        <v>1659.9199999999998</v>
      </c>
      <c r="BS45" s="217">
        <f>SUM(I45:T45)</f>
        <v>1659.9199999999998</v>
      </c>
      <c r="BT45" s="217">
        <f t="shared" ref="BT45:BT49" si="357">BS45-BR45</f>
        <v>0</v>
      </c>
      <c r="BV45" t="s">
        <v>27</v>
      </c>
      <c r="BW45" s="217">
        <f t="shared" si="347"/>
        <v>1659.9199999999998</v>
      </c>
      <c r="BX45" s="217">
        <f t="shared" si="347"/>
        <v>1693.1184000000003</v>
      </c>
      <c r="BY45" s="217">
        <f t="shared" si="347"/>
        <v>1726.9807680000004</v>
      </c>
      <c r="BZ45" s="217">
        <f t="shared" si="347"/>
        <v>1761.5203833600001</v>
      </c>
      <c r="CA45" s="217">
        <f t="shared" si="347"/>
        <v>1796.7507910272009</v>
      </c>
      <c r="CC45" s="217">
        <f t="shared" si="349"/>
        <v>1659.9199999999998</v>
      </c>
      <c r="CD45" s="217">
        <f t="shared" si="350"/>
        <v>1693.1184000000003</v>
      </c>
      <c r="CE45" s="217">
        <f t="shared" si="351"/>
        <v>1726.9807680000004</v>
      </c>
      <c r="CF45" s="217">
        <f t="shared" si="352"/>
        <v>1761.5203833600001</v>
      </c>
      <c r="CG45" s="217">
        <f t="shared" si="353"/>
        <v>1796.7507910272009</v>
      </c>
      <c r="CI45" t="str">
        <f t="shared" si="354"/>
        <v>OK</v>
      </c>
      <c r="CJ45" t="str">
        <f t="shared" si="348"/>
        <v>OK</v>
      </c>
      <c r="CK45" t="str">
        <f t="shared" si="348"/>
        <v>OK</v>
      </c>
      <c r="CL45" t="str">
        <f t="shared" si="348"/>
        <v>OK</v>
      </c>
      <c r="CM45" t="str">
        <f t="shared" si="348"/>
        <v>OK</v>
      </c>
    </row>
    <row r="46" spans="2:91" x14ac:dyDescent="0.3">
      <c r="B46" t="s">
        <v>28</v>
      </c>
      <c r="E46" s="121">
        <f>SUM('P-Builder'!O29:Q29)*4</f>
        <v>39809.599999999999</v>
      </c>
      <c r="F46" s="121">
        <f>SUM('P-Builder'!F29:Q29)</f>
        <v>39787.62999999999</v>
      </c>
      <c r="H46" s="220">
        <f>'P-Builder'!Q29</f>
        <v>2511.8200000000002</v>
      </c>
      <c r="I46" s="220">
        <f>'Inputs &amp; Drivers'!J45/12</f>
        <v>3315.6358333333324</v>
      </c>
      <c r="J46" s="217">
        <f>(1+INDEX('Inputs &amp; Drivers'!$I$61:$I$65,MATCH(Model2.0!J$5,'Inputs &amp; Drivers'!$B$61:$B$65,0))*(Model2.0!J$5&lt;&gt;Model2.0!I$5))*Model2.0!I46</f>
        <v>3315.6358333333324</v>
      </c>
      <c r="K46" s="217">
        <f>(1+INDEX('Inputs &amp; Drivers'!$I$61:$I$65,MATCH(Model2.0!K$5,'Inputs &amp; Drivers'!$B$61:$B$65,0))*(Model2.0!K$5&lt;&gt;Model2.0!J$5))*Model2.0!J46</f>
        <v>3315.6358333333324</v>
      </c>
      <c r="L46" s="217">
        <f>(1+INDEX('Inputs &amp; Drivers'!$I$61:$I$65,MATCH(Model2.0!L$5,'Inputs &amp; Drivers'!$B$61:$B$65,0))*(Model2.0!L$5&lt;&gt;Model2.0!K$5))*Model2.0!K46</f>
        <v>3315.6358333333324</v>
      </c>
      <c r="M46" s="217">
        <f>(1+INDEX('Inputs &amp; Drivers'!$I$61:$I$65,MATCH(Model2.0!M$5,'Inputs &amp; Drivers'!$B$61:$B$65,0))*(Model2.0!M$5&lt;&gt;Model2.0!L$5))*Model2.0!L46</f>
        <v>3315.6358333333324</v>
      </c>
      <c r="N46" s="217">
        <f>(1+INDEX('Inputs &amp; Drivers'!$I$61:$I$65,MATCH(Model2.0!N$5,'Inputs &amp; Drivers'!$B$61:$B$65,0))*(Model2.0!N$5&lt;&gt;Model2.0!M$5))*Model2.0!M46</f>
        <v>3315.6358333333324</v>
      </c>
      <c r="O46" s="217">
        <f>(1+INDEX('Inputs &amp; Drivers'!$I$61:$I$65,MATCH(Model2.0!O$5,'Inputs &amp; Drivers'!$B$61:$B$65,0))*(Model2.0!O$5&lt;&gt;Model2.0!N$5))*Model2.0!N46</f>
        <v>3315.6358333333324</v>
      </c>
      <c r="P46" s="217">
        <f>(1+INDEX('Inputs &amp; Drivers'!$I$61:$I$65,MATCH(Model2.0!P$5,'Inputs &amp; Drivers'!$B$61:$B$65,0))*(Model2.0!P$5&lt;&gt;Model2.0!O$5))*Model2.0!O46</f>
        <v>3315.6358333333324</v>
      </c>
      <c r="Q46" s="217">
        <f>(1+INDEX('Inputs &amp; Drivers'!$I$61:$I$65,MATCH(Model2.0!Q$5,'Inputs &amp; Drivers'!$B$61:$B$65,0))*(Model2.0!Q$5&lt;&gt;Model2.0!P$5))*Model2.0!P46</f>
        <v>3315.6358333333324</v>
      </c>
      <c r="R46" s="217">
        <f>(1+INDEX('Inputs &amp; Drivers'!$I$61:$I$65,MATCH(Model2.0!R$5,'Inputs &amp; Drivers'!$B$61:$B$65,0))*(Model2.0!R$5&lt;&gt;Model2.0!Q$5))*Model2.0!Q46</f>
        <v>3315.6358333333324</v>
      </c>
      <c r="S46" s="217">
        <f>(1+INDEX('Inputs &amp; Drivers'!$I$61:$I$65,MATCH(Model2.0!S$5,'Inputs &amp; Drivers'!$B$61:$B$65,0))*(Model2.0!S$5&lt;&gt;Model2.0!R$5))*Model2.0!R46</f>
        <v>3315.6358333333324</v>
      </c>
      <c r="T46" s="217">
        <f>(1+INDEX('Inputs &amp; Drivers'!$I$61:$I$65,MATCH(Model2.0!T$5,'Inputs &amp; Drivers'!$B$61:$B$65,0))*(Model2.0!T$5&lt;&gt;Model2.0!S$5))*Model2.0!S46</f>
        <v>3315.6358333333324</v>
      </c>
      <c r="U46" s="217">
        <f>(1+INDEX('Inputs &amp; Drivers'!$I$61:$I$65,MATCH(Model2.0!U$5,'Inputs &amp; Drivers'!$B$61:$B$65,0))*(Model2.0!U$5&lt;&gt;Model2.0!T$5))*Model2.0!T46</f>
        <v>3381.9485499999992</v>
      </c>
      <c r="V46" s="217">
        <f>(1+INDEX('Inputs &amp; Drivers'!$I$61:$I$65,MATCH(Model2.0!V$5,'Inputs &amp; Drivers'!$B$61:$B$65,0))*(Model2.0!V$5&lt;&gt;Model2.0!U$5))*Model2.0!U46</f>
        <v>3381.9485499999992</v>
      </c>
      <c r="W46" s="217">
        <f>(1+INDEX('Inputs &amp; Drivers'!$I$61:$I$65,MATCH(Model2.0!W$5,'Inputs &amp; Drivers'!$B$61:$B$65,0))*(Model2.0!W$5&lt;&gt;Model2.0!V$5))*Model2.0!V46</f>
        <v>3381.9485499999992</v>
      </c>
      <c r="X46" s="217">
        <f>(1+INDEX('Inputs &amp; Drivers'!$I$61:$I$65,MATCH(Model2.0!X$5,'Inputs &amp; Drivers'!$B$61:$B$65,0))*(Model2.0!X$5&lt;&gt;Model2.0!W$5))*Model2.0!W46</f>
        <v>3381.9485499999992</v>
      </c>
      <c r="Y46" s="217">
        <f>(1+INDEX('Inputs &amp; Drivers'!$I$61:$I$65,MATCH(Model2.0!Y$5,'Inputs &amp; Drivers'!$B$61:$B$65,0))*(Model2.0!Y$5&lt;&gt;Model2.0!X$5))*Model2.0!X46</f>
        <v>3381.9485499999992</v>
      </c>
      <c r="Z46" s="217">
        <f>(1+INDEX('Inputs &amp; Drivers'!$I$61:$I$65,MATCH(Model2.0!Z$5,'Inputs &amp; Drivers'!$B$61:$B$65,0))*(Model2.0!Z$5&lt;&gt;Model2.0!Y$5))*Model2.0!Y46</f>
        <v>3381.9485499999992</v>
      </c>
      <c r="AA46" s="217">
        <f>(1+INDEX('Inputs &amp; Drivers'!$I$61:$I$65,MATCH(Model2.0!AA$5,'Inputs &amp; Drivers'!$B$61:$B$65,0))*(Model2.0!AA$5&lt;&gt;Model2.0!Z$5))*Model2.0!Z46</f>
        <v>3381.9485499999992</v>
      </c>
      <c r="AB46" s="217">
        <f>(1+INDEX('Inputs &amp; Drivers'!$I$61:$I$65,MATCH(Model2.0!AB$5,'Inputs &amp; Drivers'!$B$61:$B$65,0))*(Model2.0!AB$5&lt;&gt;Model2.0!AA$5))*Model2.0!AA46</f>
        <v>3381.9485499999992</v>
      </c>
      <c r="AC46" s="217">
        <f>(1+INDEX('Inputs &amp; Drivers'!$I$61:$I$65,MATCH(Model2.0!AC$5,'Inputs &amp; Drivers'!$B$61:$B$65,0))*(Model2.0!AC$5&lt;&gt;Model2.0!AB$5))*Model2.0!AB46</f>
        <v>3381.9485499999992</v>
      </c>
      <c r="AD46" s="217">
        <f>(1+INDEX('Inputs &amp; Drivers'!$I$61:$I$65,MATCH(Model2.0!AD$5,'Inputs &amp; Drivers'!$B$61:$B$65,0))*(Model2.0!AD$5&lt;&gt;Model2.0!AC$5))*Model2.0!AC46</f>
        <v>3381.9485499999992</v>
      </c>
      <c r="AE46" s="217">
        <f>(1+INDEX('Inputs &amp; Drivers'!$I$61:$I$65,MATCH(Model2.0!AE$5,'Inputs &amp; Drivers'!$B$61:$B$65,0))*(Model2.0!AE$5&lt;&gt;Model2.0!AD$5))*Model2.0!AD46</f>
        <v>3381.9485499999992</v>
      </c>
      <c r="AF46" s="217">
        <f>(1+INDEX('Inputs &amp; Drivers'!$I$61:$I$65,MATCH(Model2.0!AF$5,'Inputs &amp; Drivers'!$B$61:$B$65,0))*(Model2.0!AF$5&lt;&gt;Model2.0!AE$5))*Model2.0!AE46</f>
        <v>3381.9485499999992</v>
      </c>
      <c r="AG46" s="217">
        <f>(1+INDEX('Inputs &amp; Drivers'!$I$61:$I$65,MATCH(Model2.0!AG$5,'Inputs &amp; Drivers'!$B$61:$B$65,0))*(Model2.0!AG$5&lt;&gt;Model2.0!AF$5))*Model2.0!AF46</f>
        <v>3449.587520999999</v>
      </c>
      <c r="AH46" s="217">
        <f>(1+INDEX('Inputs &amp; Drivers'!$I$61:$I$65,MATCH(Model2.0!AH$5,'Inputs &amp; Drivers'!$B$61:$B$65,0))*(Model2.0!AH$5&lt;&gt;Model2.0!AG$5))*Model2.0!AG46</f>
        <v>3449.587520999999</v>
      </c>
      <c r="AI46" s="217">
        <f>(1+INDEX('Inputs &amp; Drivers'!$I$61:$I$65,MATCH(Model2.0!AI$5,'Inputs &amp; Drivers'!$B$61:$B$65,0))*(Model2.0!AI$5&lt;&gt;Model2.0!AH$5))*Model2.0!AH46</f>
        <v>3449.587520999999</v>
      </c>
      <c r="AJ46" s="217">
        <f>(1+INDEX('Inputs &amp; Drivers'!$I$61:$I$65,MATCH(Model2.0!AJ$5,'Inputs &amp; Drivers'!$B$61:$B$65,0))*(Model2.0!AJ$5&lt;&gt;Model2.0!AI$5))*Model2.0!AI46</f>
        <v>3449.587520999999</v>
      </c>
      <c r="AK46" s="217">
        <f>(1+INDEX('Inputs &amp; Drivers'!$I$61:$I$65,MATCH(Model2.0!AK$5,'Inputs &amp; Drivers'!$B$61:$B$65,0))*(Model2.0!AK$5&lt;&gt;Model2.0!AJ$5))*Model2.0!AJ46</f>
        <v>3449.587520999999</v>
      </c>
      <c r="AL46" s="217">
        <f>(1+INDEX('Inputs &amp; Drivers'!$I$61:$I$65,MATCH(Model2.0!AL$5,'Inputs &amp; Drivers'!$B$61:$B$65,0))*(Model2.0!AL$5&lt;&gt;Model2.0!AK$5))*Model2.0!AK46</f>
        <v>3449.587520999999</v>
      </c>
      <c r="AM46" s="217">
        <f>(1+INDEX('Inputs &amp; Drivers'!$I$61:$I$65,MATCH(Model2.0!AM$5,'Inputs &amp; Drivers'!$B$61:$B$65,0))*(Model2.0!AM$5&lt;&gt;Model2.0!AL$5))*Model2.0!AL46</f>
        <v>3449.587520999999</v>
      </c>
      <c r="AN46" s="217">
        <f>(1+INDEX('Inputs &amp; Drivers'!$I$61:$I$65,MATCH(Model2.0!AN$5,'Inputs &amp; Drivers'!$B$61:$B$65,0))*(Model2.0!AN$5&lt;&gt;Model2.0!AM$5))*Model2.0!AM46</f>
        <v>3449.587520999999</v>
      </c>
      <c r="AO46" s="217">
        <f>(1+INDEX('Inputs &amp; Drivers'!$I$61:$I$65,MATCH(Model2.0!AO$5,'Inputs &amp; Drivers'!$B$61:$B$65,0))*(Model2.0!AO$5&lt;&gt;Model2.0!AN$5))*Model2.0!AN46</f>
        <v>3449.587520999999</v>
      </c>
      <c r="AP46" s="217">
        <f>(1+INDEX('Inputs &amp; Drivers'!$I$61:$I$65,MATCH(Model2.0!AP$5,'Inputs &amp; Drivers'!$B$61:$B$65,0))*(Model2.0!AP$5&lt;&gt;Model2.0!AO$5))*Model2.0!AO46</f>
        <v>3449.587520999999</v>
      </c>
      <c r="AQ46" s="217">
        <f>(1+INDEX('Inputs &amp; Drivers'!$I$61:$I$65,MATCH(Model2.0!AQ$5,'Inputs &amp; Drivers'!$B$61:$B$65,0))*(Model2.0!AQ$5&lt;&gt;Model2.0!AP$5))*Model2.0!AP46</f>
        <v>3449.587520999999</v>
      </c>
      <c r="AR46" s="217">
        <f>(1+INDEX('Inputs &amp; Drivers'!$I$61:$I$65,MATCH(Model2.0!AR$5,'Inputs &amp; Drivers'!$B$61:$B$65,0))*(Model2.0!AR$5&lt;&gt;Model2.0!AQ$5))*Model2.0!AQ46</f>
        <v>3449.587520999999</v>
      </c>
      <c r="AS46" s="217">
        <f>(1+INDEX('Inputs &amp; Drivers'!$I$61:$I$65,MATCH(Model2.0!AS$5,'Inputs &amp; Drivers'!$B$61:$B$65,0))*(Model2.0!AS$5&lt;&gt;Model2.0!AR$5))*Model2.0!AR46</f>
        <v>3518.5792714199993</v>
      </c>
      <c r="AT46" s="217">
        <f>(1+INDEX('Inputs &amp; Drivers'!$I$61:$I$65,MATCH(Model2.0!AT$5,'Inputs &amp; Drivers'!$B$61:$B$65,0))*(Model2.0!AT$5&lt;&gt;Model2.0!AS$5))*Model2.0!AS46</f>
        <v>3518.5792714199993</v>
      </c>
      <c r="AU46" s="217">
        <f>(1+INDEX('Inputs &amp; Drivers'!$I$61:$I$65,MATCH(Model2.0!AU$5,'Inputs &amp; Drivers'!$B$61:$B$65,0))*(Model2.0!AU$5&lt;&gt;Model2.0!AT$5))*Model2.0!AT46</f>
        <v>3518.5792714199993</v>
      </c>
      <c r="AV46" s="217">
        <f>(1+INDEX('Inputs &amp; Drivers'!$I$61:$I$65,MATCH(Model2.0!AV$5,'Inputs &amp; Drivers'!$B$61:$B$65,0))*(Model2.0!AV$5&lt;&gt;Model2.0!AU$5))*Model2.0!AU46</f>
        <v>3518.5792714199993</v>
      </c>
      <c r="AW46" s="217">
        <f>(1+INDEX('Inputs &amp; Drivers'!$I$61:$I$65,MATCH(Model2.0!AW$5,'Inputs &amp; Drivers'!$B$61:$B$65,0))*(Model2.0!AW$5&lt;&gt;Model2.0!AV$5))*Model2.0!AV46</f>
        <v>3518.5792714199993</v>
      </c>
      <c r="AX46" s="217">
        <f>(1+INDEX('Inputs &amp; Drivers'!$I$61:$I$65,MATCH(Model2.0!AX$5,'Inputs &amp; Drivers'!$B$61:$B$65,0))*(Model2.0!AX$5&lt;&gt;Model2.0!AW$5))*Model2.0!AW46</f>
        <v>3518.5792714199993</v>
      </c>
      <c r="AY46" s="217">
        <f>(1+INDEX('Inputs &amp; Drivers'!$I$61:$I$65,MATCH(Model2.0!AY$5,'Inputs &amp; Drivers'!$B$61:$B$65,0))*(Model2.0!AY$5&lt;&gt;Model2.0!AX$5))*Model2.0!AX46</f>
        <v>3518.5792714199993</v>
      </c>
      <c r="AZ46" s="217">
        <f>(1+INDEX('Inputs &amp; Drivers'!$I$61:$I$65,MATCH(Model2.0!AZ$5,'Inputs &amp; Drivers'!$B$61:$B$65,0))*(Model2.0!AZ$5&lt;&gt;Model2.0!AY$5))*Model2.0!AY46</f>
        <v>3518.5792714199993</v>
      </c>
      <c r="BA46" s="217">
        <f>(1+INDEX('Inputs &amp; Drivers'!$I$61:$I$65,MATCH(Model2.0!BA$5,'Inputs &amp; Drivers'!$B$61:$B$65,0))*(Model2.0!BA$5&lt;&gt;Model2.0!AZ$5))*Model2.0!AZ46</f>
        <v>3518.5792714199993</v>
      </c>
      <c r="BB46" s="217">
        <f>(1+INDEX('Inputs &amp; Drivers'!$I$61:$I$65,MATCH(Model2.0!BB$5,'Inputs &amp; Drivers'!$B$61:$B$65,0))*(Model2.0!BB$5&lt;&gt;Model2.0!BA$5))*Model2.0!BA46</f>
        <v>3518.5792714199993</v>
      </c>
      <c r="BC46" s="217">
        <f>(1+INDEX('Inputs &amp; Drivers'!$I$61:$I$65,MATCH(Model2.0!BC$5,'Inputs &amp; Drivers'!$B$61:$B$65,0))*(Model2.0!BC$5&lt;&gt;Model2.0!BB$5))*Model2.0!BB46</f>
        <v>3518.5792714199993</v>
      </c>
      <c r="BD46" s="217">
        <f>(1+INDEX('Inputs &amp; Drivers'!$I$61:$I$65,MATCH(Model2.0!BD$5,'Inputs &amp; Drivers'!$B$61:$B$65,0))*(Model2.0!BD$5&lt;&gt;Model2.0!BC$5))*Model2.0!BC46</f>
        <v>3518.5792714199993</v>
      </c>
      <c r="BE46" s="217">
        <f>(1+INDEX('Inputs &amp; Drivers'!$I$61:$I$65,MATCH(Model2.0!BE$5,'Inputs &amp; Drivers'!$B$61:$B$65,0))*(Model2.0!BE$5&lt;&gt;Model2.0!BD$5))*Model2.0!BD46</f>
        <v>3588.9508568483993</v>
      </c>
      <c r="BF46" s="217">
        <f>(1+INDEX('Inputs &amp; Drivers'!$I$61:$I$65,MATCH(Model2.0!BF$5,'Inputs &amp; Drivers'!$B$61:$B$65,0))*(Model2.0!BF$5&lt;&gt;Model2.0!BE$5))*Model2.0!BE46</f>
        <v>3588.9508568483993</v>
      </c>
      <c r="BG46" s="217">
        <f>(1+INDEX('Inputs &amp; Drivers'!$I$61:$I$65,MATCH(Model2.0!BG$5,'Inputs &amp; Drivers'!$B$61:$B$65,0))*(Model2.0!BG$5&lt;&gt;Model2.0!BF$5))*Model2.0!BF46</f>
        <v>3588.9508568483993</v>
      </c>
      <c r="BH46" s="217">
        <f>(1+INDEX('Inputs &amp; Drivers'!$I$61:$I$65,MATCH(Model2.0!BH$5,'Inputs &amp; Drivers'!$B$61:$B$65,0))*(Model2.0!BH$5&lt;&gt;Model2.0!BG$5))*Model2.0!BG46</f>
        <v>3588.9508568483993</v>
      </c>
      <c r="BI46" s="217">
        <f>(1+INDEX('Inputs &amp; Drivers'!$I$61:$I$65,MATCH(Model2.0!BI$5,'Inputs &amp; Drivers'!$B$61:$B$65,0))*(Model2.0!BI$5&lt;&gt;Model2.0!BH$5))*Model2.0!BH46</f>
        <v>3588.9508568483993</v>
      </c>
      <c r="BJ46" s="217">
        <f>(1+INDEX('Inputs &amp; Drivers'!$I$61:$I$65,MATCH(Model2.0!BJ$5,'Inputs &amp; Drivers'!$B$61:$B$65,0))*(Model2.0!BJ$5&lt;&gt;Model2.0!BI$5))*Model2.0!BI46</f>
        <v>3588.9508568483993</v>
      </c>
      <c r="BK46" s="217">
        <f>(1+INDEX('Inputs &amp; Drivers'!$I$61:$I$65,MATCH(Model2.0!BK$5,'Inputs &amp; Drivers'!$B$61:$B$65,0))*(Model2.0!BK$5&lt;&gt;Model2.0!BJ$5))*Model2.0!BJ46</f>
        <v>3588.9508568483993</v>
      </c>
      <c r="BL46" s="217">
        <f>(1+INDEX('Inputs &amp; Drivers'!$I$61:$I$65,MATCH(Model2.0!BL$5,'Inputs &amp; Drivers'!$B$61:$B$65,0))*(Model2.0!BL$5&lt;&gt;Model2.0!BK$5))*Model2.0!BK46</f>
        <v>3588.9508568483993</v>
      </c>
      <c r="BM46" s="217">
        <f>(1+INDEX('Inputs &amp; Drivers'!$I$61:$I$65,MATCH(Model2.0!BM$5,'Inputs &amp; Drivers'!$B$61:$B$65,0))*(Model2.0!BM$5&lt;&gt;Model2.0!BL$5))*Model2.0!BL46</f>
        <v>3588.9508568483993</v>
      </c>
      <c r="BN46" s="217">
        <f>(1+INDEX('Inputs &amp; Drivers'!$I$61:$I$65,MATCH(Model2.0!BN$5,'Inputs &amp; Drivers'!$B$61:$B$65,0))*(Model2.0!BN$5&lt;&gt;Model2.0!BM$5))*Model2.0!BM46</f>
        <v>3588.9508568483993</v>
      </c>
      <c r="BO46" s="217">
        <f>(1+INDEX('Inputs &amp; Drivers'!$I$61:$I$65,MATCH(Model2.0!BO$5,'Inputs &amp; Drivers'!$B$61:$B$65,0))*(Model2.0!BO$5&lt;&gt;Model2.0!BN$5))*Model2.0!BN46</f>
        <v>3588.9508568483993</v>
      </c>
      <c r="BP46" s="217">
        <f>(1+INDEX('Inputs &amp; Drivers'!$I$61:$I$65,MATCH(Model2.0!BP$5,'Inputs &amp; Drivers'!$B$61:$B$65,0))*(Model2.0!BP$5&lt;&gt;Model2.0!BO$5))*Model2.0!BO46</f>
        <v>3588.9508568483993</v>
      </c>
      <c r="BR46" s="217">
        <f t="shared" si="356"/>
        <v>39787.629999999997</v>
      </c>
      <c r="BS46" s="217">
        <f>SUM(I46:T46)</f>
        <v>39787.629999999997</v>
      </c>
      <c r="BT46" s="217">
        <f t="shared" si="357"/>
        <v>0</v>
      </c>
      <c r="BV46" t="s">
        <v>28</v>
      </c>
      <c r="BW46" s="217">
        <f t="shared" si="347"/>
        <v>39787.629999999997</v>
      </c>
      <c r="BX46" s="217">
        <f t="shared" si="347"/>
        <v>40583.382600000004</v>
      </c>
      <c r="BY46" s="217">
        <f t="shared" si="347"/>
        <v>41395.050251999986</v>
      </c>
      <c r="BZ46" s="217">
        <f t="shared" si="347"/>
        <v>42222.951257039989</v>
      </c>
      <c r="CA46" s="217">
        <f t="shared" si="347"/>
        <v>43067.41028218079</v>
      </c>
      <c r="CC46" s="217">
        <f t="shared" si="349"/>
        <v>39787.629999999997</v>
      </c>
      <c r="CD46" s="217">
        <f t="shared" si="350"/>
        <v>40583.382600000004</v>
      </c>
      <c r="CE46" s="217">
        <f t="shared" si="351"/>
        <v>41395.050251999986</v>
      </c>
      <c r="CF46" s="217">
        <f t="shared" si="352"/>
        <v>42222.951257039989</v>
      </c>
      <c r="CG46" s="217">
        <f t="shared" si="353"/>
        <v>43067.41028218079</v>
      </c>
      <c r="CI46" t="str">
        <f t="shared" si="354"/>
        <v>OK</v>
      </c>
      <c r="CJ46" t="str">
        <f t="shared" si="348"/>
        <v>OK</v>
      </c>
      <c r="CK46" t="str">
        <f t="shared" si="348"/>
        <v>OK</v>
      </c>
      <c r="CL46" t="str">
        <f t="shared" si="348"/>
        <v>OK</v>
      </c>
      <c r="CM46" t="str">
        <f t="shared" si="348"/>
        <v>OK</v>
      </c>
    </row>
    <row r="47" spans="2:91" x14ac:dyDescent="0.3">
      <c r="B47" t="s">
        <v>29</v>
      </c>
      <c r="E47" s="121">
        <f>SUM('P-Builder'!O30:Q30)*4</f>
        <v>0</v>
      </c>
      <c r="F47" s="121">
        <f>SUM('P-Builder'!F30:Q30)</f>
        <v>0</v>
      </c>
      <c r="H47" s="220">
        <f>'P-Builder'!Q30</f>
        <v>0</v>
      </c>
      <c r="I47" s="220">
        <v>120</v>
      </c>
      <c r="J47" s="217">
        <f>(1+INDEX('Inputs &amp; Drivers'!$I$61:$I$65,MATCH(Model2.0!J$5,'Inputs &amp; Drivers'!$B$61:$B$65,0))*(Model2.0!J$5&lt;&gt;Model2.0!I$5))*Model2.0!I47</f>
        <v>120</v>
      </c>
      <c r="K47" s="217">
        <f>(1+INDEX('Inputs &amp; Drivers'!$I$61:$I$65,MATCH(Model2.0!K$5,'Inputs &amp; Drivers'!$B$61:$B$65,0))*(Model2.0!K$5&lt;&gt;Model2.0!J$5))*Model2.0!J47</f>
        <v>120</v>
      </c>
      <c r="L47" s="217">
        <f>(1+INDEX('Inputs &amp; Drivers'!$I$61:$I$65,MATCH(Model2.0!L$5,'Inputs &amp; Drivers'!$B$61:$B$65,0))*(Model2.0!L$5&lt;&gt;Model2.0!K$5))*Model2.0!K47</f>
        <v>120</v>
      </c>
      <c r="M47" s="217">
        <f>(1+INDEX('Inputs &amp; Drivers'!$I$61:$I$65,MATCH(Model2.0!M$5,'Inputs &amp; Drivers'!$B$61:$B$65,0))*(Model2.0!M$5&lt;&gt;Model2.0!L$5))*Model2.0!L47</f>
        <v>120</v>
      </c>
      <c r="N47" s="217">
        <f>(1+INDEX('Inputs &amp; Drivers'!$I$61:$I$65,MATCH(Model2.0!N$5,'Inputs &amp; Drivers'!$B$61:$B$65,0))*(Model2.0!N$5&lt;&gt;Model2.0!M$5))*Model2.0!M47</f>
        <v>120</v>
      </c>
      <c r="O47" s="217">
        <f>(1+INDEX('Inputs &amp; Drivers'!$I$61:$I$65,MATCH(Model2.0!O$5,'Inputs &amp; Drivers'!$B$61:$B$65,0))*(Model2.0!O$5&lt;&gt;Model2.0!N$5))*Model2.0!N47</f>
        <v>120</v>
      </c>
      <c r="P47" s="217">
        <f>(1+INDEX('Inputs &amp; Drivers'!$I$61:$I$65,MATCH(Model2.0!P$5,'Inputs &amp; Drivers'!$B$61:$B$65,0))*(Model2.0!P$5&lt;&gt;Model2.0!O$5))*Model2.0!O47</f>
        <v>120</v>
      </c>
      <c r="Q47" s="217">
        <f>(1+INDEX('Inputs &amp; Drivers'!$I$61:$I$65,MATCH(Model2.0!Q$5,'Inputs &amp; Drivers'!$B$61:$B$65,0))*(Model2.0!Q$5&lt;&gt;Model2.0!P$5))*Model2.0!P47</f>
        <v>120</v>
      </c>
      <c r="R47" s="217">
        <f>(1+INDEX('Inputs &amp; Drivers'!$I$61:$I$65,MATCH(Model2.0!R$5,'Inputs &amp; Drivers'!$B$61:$B$65,0))*(Model2.0!R$5&lt;&gt;Model2.0!Q$5))*Model2.0!Q47</f>
        <v>120</v>
      </c>
      <c r="S47" s="217">
        <f>(1+INDEX('Inputs &amp; Drivers'!$I$61:$I$65,MATCH(Model2.0!S$5,'Inputs &amp; Drivers'!$B$61:$B$65,0))*(Model2.0!S$5&lt;&gt;Model2.0!R$5))*Model2.0!R47</f>
        <v>120</v>
      </c>
      <c r="T47" s="217">
        <f>(1+INDEX('Inputs &amp; Drivers'!$I$61:$I$65,MATCH(Model2.0!T$5,'Inputs &amp; Drivers'!$B$61:$B$65,0))*(Model2.0!T$5&lt;&gt;Model2.0!S$5))*Model2.0!S47</f>
        <v>120</v>
      </c>
      <c r="U47" s="217">
        <f>(1+INDEX('Inputs &amp; Drivers'!$I$61:$I$65,MATCH(Model2.0!U$5,'Inputs &amp; Drivers'!$B$61:$B$65,0))*(Model2.0!U$5&lt;&gt;Model2.0!T$5))*Model2.0!T47</f>
        <v>122.4</v>
      </c>
      <c r="V47" s="217">
        <f>(1+INDEX('Inputs &amp; Drivers'!$I$61:$I$65,MATCH(Model2.0!V$5,'Inputs &amp; Drivers'!$B$61:$B$65,0))*(Model2.0!V$5&lt;&gt;Model2.0!U$5))*Model2.0!U47</f>
        <v>122.4</v>
      </c>
      <c r="W47" s="217">
        <f>(1+INDEX('Inputs &amp; Drivers'!$I$61:$I$65,MATCH(Model2.0!W$5,'Inputs &amp; Drivers'!$B$61:$B$65,0))*(Model2.0!W$5&lt;&gt;Model2.0!V$5))*Model2.0!V47</f>
        <v>122.4</v>
      </c>
      <c r="X47" s="217">
        <f>(1+INDEX('Inputs &amp; Drivers'!$I$61:$I$65,MATCH(Model2.0!X$5,'Inputs &amp; Drivers'!$B$61:$B$65,0))*(Model2.0!X$5&lt;&gt;Model2.0!W$5))*Model2.0!W47</f>
        <v>122.4</v>
      </c>
      <c r="Y47" s="217">
        <f>(1+INDEX('Inputs &amp; Drivers'!$I$61:$I$65,MATCH(Model2.0!Y$5,'Inputs &amp; Drivers'!$B$61:$B$65,0))*(Model2.0!Y$5&lt;&gt;Model2.0!X$5))*Model2.0!X47</f>
        <v>122.4</v>
      </c>
      <c r="Z47" s="217">
        <f>(1+INDEX('Inputs &amp; Drivers'!$I$61:$I$65,MATCH(Model2.0!Z$5,'Inputs &amp; Drivers'!$B$61:$B$65,0))*(Model2.0!Z$5&lt;&gt;Model2.0!Y$5))*Model2.0!Y47</f>
        <v>122.4</v>
      </c>
      <c r="AA47" s="217">
        <f>(1+INDEX('Inputs &amp; Drivers'!$I$61:$I$65,MATCH(Model2.0!AA$5,'Inputs &amp; Drivers'!$B$61:$B$65,0))*(Model2.0!AA$5&lt;&gt;Model2.0!Z$5))*Model2.0!Z47</f>
        <v>122.4</v>
      </c>
      <c r="AB47" s="217">
        <f>(1+INDEX('Inputs &amp; Drivers'!$I$61:$I$65,MATCH(Model2.0!AB$5,'Inputs &amp; Drivers'!$B$61:$B$65,0))*(Model2.0!AB$5&lt;&gt;Model2.0!AA$5))*Model2.0!AA47</f>
        <v>122.4</v>
      </c>
      <c r="AC47" s="217">
        <f>(1+INDEX('Inputs &amp; Drivers'!$I$61:$I$65,MATCH(Model2.0!AC$5,'Inputs &amp; Drivers'!$B$61:$B$65,0))*(Model2.0!AC$5&lt;&gt;Model2.0!AB$5))*Model2.0!AB47</f>
        <v>122.4</v>
      </c>
      <c r="AD47" s="217">
        <f>(1+INDEX('Inputs &amp; Drivers'!$I$61:$I$65,MATCH(Model2.0!AD$5,'Inputs &amp; Drivers'!$B$61:$B$65,0))*(Model2.0!AD$5&lt;&gt;Model2.0!AC$5))*Model2.0!AC47</f>
        <v>122.4</v>
      </c>
      <c r="AE47" s="217">
        <f>(1+INDEX('Inputs &amp; Drivers'!$I$61:$I$65,MATCH(Model2.0!AE$5,'Inputs &amp; Drivers'!$B$61:$B$65,0))*(Model2.0!AE$5&lt;&gt;Model2.0!AD$5))*Model2.0!AD47</f>
        <v>122.4</v>
      </c>
      <c r="AF47" s="217">
        <f>(1+INDEX('Inputs &amp; Drivers'!$I$61:$I$65,MATCH(Model2.0!AF$5,'Inputs &amp; Drivers'!$B$61:$B$65,0))*(Model2.0!AF$5&lt;&gt;Model2.0!AE$5))*Model2.0!AE47</f>
        <v>122.4</v>
      </c>
      <c r="AG47" s="217">
        <f>(1+INDEX('Inputs &amp; Drivers'!$I$61:$I$65,MATCH(Model2.0!AG$5,'Inputs &amp; Drivers'!$B$61:$B$65,0))*(Model2.0!AG$5&lt;&gt;Model2.0!AF$5))*Model2.0!AF47</f>
        <v>124.84800000000001</v>
      </c>
      <c r="AH47" s="217">
        <f>(1+INDEX('Inputs &amp; Drivers'!$I$61:$I$65,MATCH(Model2.0!AH$5,'Inputs &amp; Drivers'!$B$61:$B$65,0))*(Model2.0!AH$5&lt;&gt;Model2.0!AG$5))*Model2.0!AG47</f>
        <v>124.84800000000001</v>
      </c>
      <c r="AI47" s="217">
        <f>(1+INDEX('Inputs &amp; Drivers'!$I$61:$I$65,MATCH(Model2.0!AI$5,'Inputs &amp; Drivers'!$B$61:$B$65,0))*(Model2.0!AI$5&lt;&gt;Model2.0!AH$5))*Model2.0!AH47</f>
        <v>124.84800000000001</v>
      </c>
      <c r="AJ47" s="217">
        <f>(1+INDEX('Inputs &amp; Drivers'!$I$61:$I$65,MATCH(Model2.0!AJ$5,'Inputs &amp; Drivers'!$B$61:$B$65,0))*(Model2.0!AJ$5&lt;&gt;Model2.0!AI$5))*Model2.0!AI47</f>
        <v>124.84800000000001</v>
      </c>
      <c r="AK47" s="217">
        <f>(1+INDEX('Inputs &amp; Drivers'!$I$61:$I$65,MATCH(Model2.0!AK$5,'Inputs &amp; Drivers'!$B$61:$B$65,0))*(Model2.0!AK$5&lt;&gt;Model2.0!AJ$5))*Model2.0!AJ47</f>
        <v>124.84800000000001</v>
      </c>
      <c r="AL47" s="217">
        <f>(1+INDEX('Inputs &amp; Drivers'!$I$61:$I$65,MATCH(Model2.0!AL$5,'Inputs &amp; Drivers'!$B$61:$B$65,0))*(Model2.0!AL$5&lt;&gt;Model2.0!AK$5))*Model2.0!AK47</f>
        <v>124.84800000000001</v>
      </c>
      <c r="AM47" s="217">
        <f>(1+INDEX('Inputs &amp; Drivers'!$I$61:$I$65,MATCH(Model2.0!AM$5,'Inputs &amp; Drivers'!$B$61:$B$65,0))*(Model2.0!AM$5&lt;&gt;Model2.0!AL$5))*Model2.0!AL47</f>
        <v>124.84800000000001</v>
      </c>
      <c r="AN47" s="217">
        <f>(1+INDEX('Inputs &amp; Drivers'!$I$61:$I$65,MATCH(Model2.0!AN$5,'Inputs &amp; Drivers'!$B$61:$B$65,0))*(Model2.0!AN$5&lt;&gt;Model2.0!AM$5))*Model2.0!AM47</f>
        <v>124.84800000000001</v>
      </c>
      <c r="AO47" s="217">
        <f>(1+INDEX('Inputs &amp; Drivers'!$I$61:$I$65,MATCH(Model2.0!AO$5,'Inputs &amp; Drivers'!$B$61:$B$65,0))*(Model2.0!AO$5&lt;&gt;Model2.0!AN$5))*Model2.0!AN47</f>
        <v>124.84800000000001</v>
      </c>
      <c r="AP47" s="217">
        <f>(1+INDEX('Inputs &amp; Drivers'!$I$61:$I$65,MATCH(Model2.0!AP$5,'Inputs &amp; Drivers'!$B$61:$B$65,0))*(Model2.0!AP$5&lt;&gt;Model2.0!AO$5))*Model2.0!AO47</f>
        <v>124.84800000000001</v>
      </c>
      <c r="AQ47" s="217">
        <f>(1+INDEX('Inputs &amp; Drivers'!$I$61:$I$65,MATCH(Model2.0!AQ$5,'Inputs &amp; Drivers'!$B$61:$B$65,0))*(Model2.0!AQ$5&lt;&gt;Model2.0!AP$5))*Model2.0!AP47</f>
        <v>124.84800000000001</v>
      </c>
      <c r="AR47" s="217">
        <f>(1+INDEX('Inputs &amp; Drivers'!$I$61:$I$65,MATCH(Model2.0!AR$5,'Inputs &amp; Drivers'!$B$61:$B$65,0))*(Model2.0!AR$5&lt;&gt;Model2.0!AQ$5))*Model2.0!AQ47</f>
        <v>124.84800000000001</v>
      </c>
      <c r="AS47" s="217">
        <f>(1+INDEX('Inputs &amp; Drivers'!$I$61:$I$65,MATCH(Model2.0!AS$5,'Inputs &amp; Drivers'!$B$61:$B$65,0))*(Model2.0!AS$5&lt;&gt;Model2.0!AR$5))*Model2.0!AR47</f>
        <v>127.34496000000001</v>
      </c>
      <c r="AT47" s="217">
        <f>(1+INDEX('Inputs &amp; Drivers'!$I$61:$I$65,MATCH(Model2.0!AT$5,'Inputs &amp; Drivers'!$B$61:$B$65,0))*(Model2.0!AT$5&lt;&gt;Model2.0!AS$5))*Model2.0!AS47</f>
        <v>127.34496000000001</v>
      </c>
      <c r="AU47" s="217">
        <f>(1+INDEX('Inputs &amp; Drivers'!$I$61:$I$65,MATCH(Model2.0!AU$5,'Inputs &amp; Drivers'!$B$61:$B$65,0))*(Model2.0!AU$5&lt;&gt;Model2.0!AT$5))*Model2.0!AT47</f>
        <v>127.34496000000001</v>
      </c>
      <c r="AV47" s="217">
        <f>(1+INDEX('Inputs &amp; Drivers'!$I$61:$I$65,MATCH(Model2.0!AV$5,'Inputs &amp; Drivers'!$B$61:$B$65,0))*(Model2.0!AV$5&lt;&gt;Model2.0!AU$5))*Model2.0!AU47</f>
        <v>127.34496000000001</v>
      </c>
      <c r="AW47" s="217">
        <f>(1+INDEX('Inputs &amp; Drivers'!$I$61:$I$65,MATCH(Model2.0!AW$5,'Inputs &amp; Drivers'!$B$61:$B$65,0))*(Model2.0!AW$5&lt;&gt;Model2.0!AV$5))*Model2.0!AV47</f>
        <v>127.34496000000001</v>
      </c>
      <c r="AX47" s="217">
        <f>(1+INDEX('Inputs &amp; Drivers'!$I$61:$I$65,MATCH(Model2.0!AX$5,'Inputs &amp; Drivers'!$B$61:$B$65,0))*(Model2.0!AX$5&lt;&gt;Model2.0!AW$5))*Model2.0!AW47</f>
        <v>127.34496000000001</v>
      </c>
      <c r="AY47" s="217">
        <f>(1+INDEX('Inputs &amp; Drivers'!$I$61:$I$65,MATCH(Model2.0!AY$5,'Inputs &amp; Drivers'!$B$61:$B$65,0))*(Model2.0!AY$5&lt;&gt;Model2.0!AX$5))*Model2.0!AX47</f>
        <v>127.34496000000001</v>
      </c>
      <c r="AZ47" s="217">
        <f>(1+INDEX('Inputs &amp; Drivers'!$I$61:$I$65,MATCH(Model2.0!AZ$5,'Inputs &amp; Drivers'!$B$61:$B$65,0))*(Model2.0!AZ$5&lt;&gt;Model2.0!AY$5))*Model2.0!AY47</f>
        <v>127.34496000000001</v>
      </c>
      <c r="BA47" s="217">
        <f>(1+INDEX('Inputs &amp; Drivers'!$I$61:$I$65,MATCH(Model2.0!BA$5,'Inputs &amp; Drivers'!$B$61:$B$65,0))*(Model2.0!BA$5&lt;&gt;Model2.0!AZ$5))*Model2.0!AZ47</f>
        <v>127.34496000000001</v>
      </c>
      <c r="BB47" s="217">
        <f>(1+INDEX('Inputs &amp; Drivers'!$I$61:$I$65,MATCH(Model2.0!BB$5,'Inputs &amp; Drivers'!$B$61:$B$65,0))*(Model2.0!BB$5&lt;&gt;Model2.0!BA$5))*Model2.0!BA47</f>
        <v>127.34496000000001</v>
      </c>
      <c r="BC47" s="217">
        <f>(1+INDEX('Inputs &amp; Drivers'!$I$61:$I$65,MATCH(Model2.0!BC$5,'Inputs &amp; Drivers'!$B$61:$B$65,0))*(Model2.0!BC$5&lt;&gt;Model2.0!BB$5))*Model2.0!BB47</f>
        <v>127.34496000000001</v>
      </c>
      <c r="BD47" s="217">
        <f>(1+INDEX('Inputs &amp; Drivers'!$I$61:$I$65,MATCH(Model2.0!BD$5,'Inputs &amp; Drivers'!$B$61:$B$65,0))*(Model2.0!BD$5&lt;&gt;Model2.0!BC$5))*Model2.0!BC47</f>
        <v>127.34496000000001</v>
      </c>
      <c r="BE47" s="217">
        <f>(1+INDEX('Inputs &amp; Drivers'!$I$61:$I$65,MATCH(Model2.0!BE$5,'Inputs &amp; Drivers'!$B$61:$B$65,0))*(Model2.0!BE$5&lt;&gt;Model2.0!BD$5))*Model2.0!BD47</f>
        <v>129.89185920000003</v>
      </c>
      <c r="BF47" s="217">
        <f>(1+INDEX('Inputs &amp; Drivers'!$I$61:$I$65,MATCH(Model2.0!BF$5,'Inputs &amp; Drivers'!$B$61:$B$65,0))*(Model2.0!BF$5&lt;&gt;Model2.0!BE$5))*Model2.0!BE47</f>
        <v>129.89185920000003</v>
      </c>
      <c r="BG47" s="217">
        <f>(1+INDEX('Inputs &amp; Drivers'!$I$61:$I$65,MATCH(Model2.0!BG$5,'Inputs &amp; Drivers'!$B$61:$B$65,0))*(Model2.0!BG$5&lt;&gt;Model2.0!BF$5))*Model2.0!BF47</f>
        <v>129.89185920000003</v>
      </c>
      <c r="BH47" s="217">
        <f>(1+INDEX('Inputs &amp; Drivers'!$I$61:$I$65,MATCH(Model2.0!BH$5,'Inputs &amp; Drivers'!$B$61:$B$65,0))*(Model2.0!BH$5&lt;&gt;Model2.0!BG$5))*Model2.0!BG47</f>
        <v>129.89185920000003</v>
      </c>
      <c r="BI47" s="217">
        <f>(1+INDEX('Inputs &amp; Drivers'!$I$61:$I$65,MATCH(Model2.0!BI$5,'Inputs &amp; Drivers'!$B$61:$B$65,0))*(Model2.0!BI$5&lt;&gt;Model2.0!BH$5))*Model2.0!BH47</f>
        <v>129.89185920000003</v>
      </c>
      <c r="BJ47" s="217">
        <f>(1+INDEX('Inputs &amp; Drivers'!$I$61:$I$65,MATCH(Model2.0!BJ$5,'Inputs &amp; Drivers'!$B$61:$B$65,0))*(Model2.0!BJ$5&lt;&gt;Model2.0!BI$5))*Model2.0!BI47</f>
        <v>129.89185920000003</v>
      </c>
      <c r="BK47" s="217">
        <f>(1+INDEX('Inputs &amp; Drivers'!$I$61:$I$65,MATCH(Model2.0!BK$5,'Inputs &amp; Drivers'!$B$61:$B$65,0))*(Model2.0!BK$5&lt;&gt;Model2.0!BJ$5))*Model2.0!BJ47</f>
        <v>129.89185920000003</v>
      </c>
      <c r="BL47" s="217">
        <f>(1+INDEX('Inputs &amp; Drivers'!$I$61:$I$65,MATCH(Model2.0!BL$5,'Inputs &amp; Drivers'!$B$61:$B$65,0))*(Model2.0!BL$5&lt;&gt;Model2.0!BK$5))*Model2.0!BK47</f>
        <v>129.89185920000003</v>
      </c>
      <c r="BM47" s="217">
        <f>(1+INDEX('Inputs &amp; Drivers'!$I$61:$I$65,MATCH(Model2.0!BM$5,'Inputs &amp; Drivers'!$B$61:$B$65,0))*(Model2.0!BM$5&lt;&gt;Model2.0!BL$5))*Model2.0!BL47</f>
        <v>129.89185920000003</v>
      </c>
      <c r="BN47" s="217">
        <f>(1+INDEX('Inputs &amp; Drivers'!$I$61:$I$65,MATCH(Model2.0!BN$5,'Inputs &amp; Drivers'!$B$61:$B$65,0))*(Model2.0!BN$5&lt;&gt;Model2.0!BM$5))*Model2.0!BM47</f>
        <v>129.89185920000003</v>
      </c>
      <c r="BO47" s="217">
        <f>(1+INDEX('Inputs &amp; Drivers'!$I$61:$I$65,MATCH(Model2.0!BO$5,'Inputs &amp; Drivers'!$B$61:$B$65,0))*(Model2.0!BO$5&lt;&gt;Model2.0!BN$5))*Model2.0!BN47</f>
        <v>129.89185920000003</v>
      </c>
      <c r="BP47" s="217">
        <f>(1+INDEX('Inputs &amp; Drivers'!$I$61:$I$65,MATCH(Model2.0!BP$5,'Inputs &amp; Drivers'!$B$61:$B$65,0))*(Model2.0!BP$5&lt;&gt;Model2.0!BO$5))*Model2.0!BO47</f>
        <v>129.89185920000003</v>
      </c>
      <c r="BR47" s="217">
        <f t="shared" si="356"/>
        <v>1440</v>
      </c>
      <c r="BS47" s="224">
        <v>0</v>
      </c>
      <c r="BT47" s="217">
        <f t="shared" si="357"/>
        <v>-1440</v>
      </c>
      <c r="BV47" t="s">
        <v>29</v>
      </c>
      <c r="BW47" s="217">
        <f t="shared" ref="BW47:CA56" si="358">SUMIF($I$5:$BP$5,BW$18,$I47:$BP47)</f>
        <v>1440</v>
      </c>
      <c r="BX47" s="217">
        <f t="shared" si="358"/>
        <v>1468.8000000000002</v>
      </c>
      <c r="BY47" s="217">
        <f t="shared" si="358"/>
        <v>1498.1759999999997</v>
      </c>
      <c r="BZ47" s="217">
        <f t="shared" si="358"/>
        <v>1528.1395199999997</v>
      </c>
      <c r="CA47" s="217">
        <f t="shared" si="358"/>
        <v>1558.7023104000002</v>
      </c>
      <c r="CC47" s="217">
        <f t="shared" si="349"/>
        <v>1440</v>
      </c>
      <c r="CD47" s="217">
        <f t="shared" si="350"/>
        <v>1468.8000000000002</v>
      </c>
      <c r="CE47" s="217">
        <f t="shared" si="351"/>
        <v>1498.1759999999997</v>
      </c>
      <c r="CF47" s="217">
        <f t="shared" si="352"/>
        <v>1528.1395199999997</v>
      </c>
      <c r="CG47" s="217">
        <f t="shared" si="353"/>
        <v>1558.7023104000002</v>
      </c>
      <c r="CI47" t="str">
        <f t="shared" si="354"/>
        <v>OK</v>
      </c>
      <c r="CJ47" t="str">
        <f t="shared" si="348"/>
        <v>OK</v>
      </c>
      <c r="CK47" t="str">
        <f t="shared" si="348"/>
        <v>OK</v>
      </c>
      <c r="CL47" t="str">
        <f t="shared" si="348"/>
        <v>OK</v>
      </c>
      <c r="CM47" t="str">
        <f t="shared" si="348"/>
        <v>OK</v>
      </c>
    </row>
    <row r="48" spans="2:91" x14ac:dyDescent="0.3">
      <c r="B48" t="s">
        <v>30</v>
      </c>
      <c r="E48" s="121">
        <f>SUM('P-Builder'!O31:Q31)*4</f>
        <v>4313.9599999999991</v>
      </c>
      <c r="F48" s="121">
        <f>SUM('P-Builder'!F31:Q31)</f>
        <v>3696.5699999999993</v>
      </c>
      <c r="H48" s="220">
        <f>'P-Builder'!Q31</f>
        <v>359.27999999999992</v>
      </c>
      <c r="I48" s="220">
        <f>'Inputs &amp; Drivers'!J47/12</f>
        <v>308.04749999999996</v>
      </c>
      <c r="J48" s="217">
        <f>(1+INDEX('Inputs &amp; Drivers'!$I$61:$I$65,MATCH(Model2.0!J$5,'Inputs &amp; Drivers'!$B$61:$B$65,0))*(Model2.0!J$5&lt;&gt;Model2.0!I$5))*Model2.0!I48</f>
        <v>308.04749999999996</v>
      </c>
      <c r="K48" s="217">
        <f>(1+INDEX('Inputs &amp; Drivers'!$I$61:$I$65,MATCH(Model2.0!K$5,'Inputs &amp; Drivers'!$B$61:$B$65,0))*(Model2.0!K$5&lt;&gt;Model2.0!J$5))*Model2.0!J48</f>
        <v>308.04749999999996</v>
      </c>
      <c r="L48" s="217">
        <f>(1+INDEX('Inputs &amp; Drivers'!$I$61:$I$65,MATCH(Model2.0!L$5,'Inputs &amp; Drivers'!$B$61:$B$65,0))*(Model2.0!L$5&lt;&gt;Model2.0!K$5))*Model2.0!K48</f>
        <v>308.04749999999996</v>
      </c>
      <c r="M48" s="217">
        <f>(1+INDEX('Inputs &amp; Drivers'!$I$61:$I$65,MATCH(Model2.0!M$5,'Inputs &amp; Drivers'!$B$61:$B$65,0))*(Model2.0!M$5&lt;&gt;Model2.0!L$5))*Model2.0!L48</f>
        <v>308.04749999999996</v>
      </c>
      <c r="N48" s="217">
        <f>(1+INDEX('Inputs &amp; Drivers'!$I$61:$I$65,MATCH(Model2.0!N$5,'Inputs &amp; Drivers'!$B$61:$B$65,0))*(Model2.0!N$5&lt;&gt;Model2.0!M$5))*Model2.0!M48</f>
        <v>308.04749999999996</v>
      </c>
      <c r="O48" s="217">
        <f>(1+INDEX('Inputs &amp; Drivers'!$I$61:$I$65,MATCH(Model2.0!O$5,'Inputs &amp; Drivers'!$B$61:$B$65,0))*(Model2.0!O$5&lt;&gt;Model2.0!N$5))*Model2.0!N48</f>
        <v>308.04749999999996</v>
      </c>
      <c r="P48" s="217">
        <f>(1+INDEX('Inputs &amp; Drivers'!$I$61:$I$65,MATCH(Model2.0!P$5,'Inputs &amp; Drivers'!$B$61:$B$65,0))*(Model2.0!P$5&lt;&gt;Model2.0!O$5))*Model2.0!O48</f>
        <v>308.04749999999996</v>
      </c>
      <c r="Q48" s="217">
        <f>(1+INDEX('Inputs &amp; Drivers'!$I$61:$I$65,MATCH(Model2.0!Q$5,'Inputs &amp; Drivers'!$B$61:$B$65,0))*(Model2.0!Q$5&lt;&gt;Model2.0!P$5))*Model2.0!P48</f>
        <v>308.04749999999996</v>
      </c>
      <c r="R48" s="217">
        <f>(1+INDEX('Inputs &amp; Drivers'!$I$61:$I$65,MATCH(Model2.0!R$5,'Inputs &amp; Drivers'!$B$61:$B$65,0))*(Model2.0!R$5&lt;&gt;Model2.0!Q$5))*Model2.0!Q48</f>
        <v>308.04749999999996</v>
      </c>
      <c r="S48" s="217">
        <f>(1+INDEX('Inputs &amp; Drivers'!$I$61:$I$65,MATCH(Model2.0!S$5,'Inputs &amp; Drivers'!$B$61:$B$65,0))*(Model2.0!S$5&lt;&gt;Model2.0!R$5))*Model2.0!R48</f>
        <v>308.04749999999996</v>
      </c>
      <c r="T48" s="217">
        <f>(1+INDEX('Inputs &amp; Drivers'!$I$61:$I$65,MATCH(Model2.0!T$5,'Inputs &amp; Drivers'!$B$61:$B$65,0))*(Model2.0!T$5&lt;&gt;Model2.0!S$5))*Model2.0!S48</f>
        <v>308.04749999999996</v>
      </c>
      <c r="U48" s="217">
        <f>(1+INDEX('Inputs &amp; Drivers'!$I$61:$I$65,MATCH(Model2.0!U$5,'Inputs &amp; Drivers'!$B$61:$B$65,0))*(Model2.0!U$5&lt;&gt;Model2.0!T$5))*Model2.0!T48</f>
        <v>314.20844999999997</v>
      </c>
      <c r="V48" s="217">
        <f>(1+INDEX('Inputs &amp; Drivers'!$I$61:$I$65,MATCH(Model2.0!V$5,'Inputs &amp; Drivers'!$B$61:$B$65,0))*(Model2.0!V$5&lt;&gt;Model2.0!U$5))*Model2.0!U48</f>
        <v>314.20844999999997</v>
      </c>
      <c r="W48" s="217">
        <f>(1+INDEX('Inputs &amp; Drivers'!$I$61:$I$65,MATCH(Model2.0!W$5,'Inputs &amp; Drivers'!$B$61:$B$65,0))*(Model2.0!W$5&lt;&gt;Model2.0!V$5))*Model2.0!V48</f>
        <v>314.20844999999997</v>
      </c>
      <c r="X48" s="217">
        <f>(1+INDEX('Inputs &amp; Drivers'!$I$61:$I$65,MATCH(Model2.0!X$5,'Inputs &amp; Drivers'!$B$61:$B$65,0))*(Model2.0!X$5&lt;&gt;Model2.0!W$5))*Model2.0!W48</f>
        <v>314.20844999999997</v>
      </c>
      <c r="Y48" s="217">
        <f>(1+INDEX('Inputs &amp; Drivers'!$I$61:$I$65,MATCH(Model2.0!Y$5,'Inputs &amp; Drivers'!$B$61:$B$65,0))*(Model2.0!Y$5&lt;&gt;Model2.0!X$5))*Model2.0!X48</f>
        <v>314.20844999999997</v>
      </c>
      <c r="Z48" s="217">
        <f>(1+INDEX('Inputs &amp; Drivers'!$I$61:$I$65,MATCH(Model2.0!Z$5,'Inputs &amp; Drivers'!$B$61:$B$65,0))*(Model2.0!Z$5&lt;&gt;Model2.0!Y$5))*Model2.0!Y48</f>
        <v>314.20844999999997</v>
      </c>
      <c r="AA48" s="217">
        <f>(1+INDEX('Inputs &amp; Drivers'!$I$61:$I$65,MATCH(Model2.0!AA$5,'Inputs &amp; Drivers'!$B$61:$B$65,0))*(Model2.0!AA$5&lt;&gt;Model2.0!Z$5))*Model2.0!Z48</f>
        <v>314.20844999999997</v>
      </c>
      <c r="AB48" s="217">
        <f>(1+INDEX('Inputs &amp; Drivers'!$I$61:$I$65,MATCH(Model2.0!AB$5,'Inputs &amp; Drivers'!$B$61:$B$65,0))*(Model2.0!AB$5&lt;&gt;Model2.0!AA$5))*Model2.0!AA48</f>
        <v>314.20844999999997</v>
      </c>
      <c r="AC48" s="217">
        <f>(1+INDEX('Inputs &amp; Drivers'!$I$61:$I$65,MATCH(Model2.0!AC$5,'Inputs &amp; Drivers'!$B$61:$B$65,0))*(Model2.0!AC$5&lt;&gt;Model2.0!AB$5))*Model2.0!AB48</f>
        <v>314.20844999999997</v>
      </c>
      <c r="AD48" s="217">
        <f>(1+INDEX('Inputs &amp; Drivers'!$I$61:$I$65,MATCH(Model2.0!AD$5,'Inputs &amp; Drivers'!$B$61:$B$65,0))*(Model2.0!AD$5&lt;&gt;Model2.0!AC$5))*Model2.0!AC48</f>
        <v>314.20844999999997</v>
      </c>
      <c r="AE48" s="217">
        <f>(1+INDEX('Inputs &amp; Drivers'!$I$61:$I$65,MATCH(Model2.0!AE$5,'Inputs &amp; Drivers'!$B$61:$B$65,0))*(Model2.0!AE$5&lt;&gt;Model2.0!AD$5))*Model2.0!AD48</f>
        <v>314.20844999999997</v>
      </c>
      <c r="AF48" s="217">
        <f>(1+INDEX('Inputs &amp; Drivers'!$I$61:$I$65,MATCH(Model2.0!AF$5,'Inputs &amp; Drivers'!$B$61:$B$65,0))*(Model2.0!AF$5&lt;&gt;Model2.0!AE$5))*Model2.0!AE48</f>
        <v>314.20844999999997</v>
      </c>
      <c r="AG48" s="217">
        <f>(1+INDEX('Inputs &amp; Drivers'!$I$61:$I$65,MATCH(Model2.0!AG$5,'Inputs &amp; Drivers'!$B$61:$B$65,0))*(Model2.0!AG$5&lt;&gt;Model2.0!AF$5))*Model2.0!AF48</f>
        <v>320.49261899999999</v>
      </c>
      <c r="AH48" s="217">
        <f>(1+INDEX('Inputs &amp; Drivers'!$I$61:$I$65,MATCH(Model2.0!AH$5,'Inputs &amp; Drivers'!$B$61:$B$65,0))*(Model2.0!AH$5&lt;&gt;Model2.0!AG$5))*Model2.0!AG48</f>
        <v>320.49261899999999</v>
      </c>
      <c r="AI48" s="217">
        <f>(1+INDEX('Inputs &amp; Drivers'!$I$61:$I$65,MATCH(Model2.0!AI$5,'Inputs &amp; Drivers'!$B$61:$B$65,0))*(Model2.0!AI$5&lt;&gt;Model2.0!AH$5))*Model2.0!AH48</f>
        <v>320.49261899999999</v>
      </c>
      <c r="AJ48" s="217">
        <f>(1+INDEX('Inputs &amp; Drivers'!$I$61:$I$65,MATCH(Model2.0!AJ$5,'Inputs &amp; Drivers'!$B$61:$B$65,0))*(Model2.0!AJ$5&lt;&gt;Model2.0!AI$5))*Model2.0!AI48</f>
        <v>320.49261899999999</v>
      </c>
      <c r="AK48" s="217">
        <f>(1+INDEX('Inputs &amp; Drivers'!$I$61:$I$65,MATCH(Model2.0!AK$5,'Inputs &amp; Drivers'!$B$61:$B$65,0))*(Model2.0!AK$5&lt;&gt;Model2.0!AJ$5))*Model2.0!AJ48</f>
        <v>320.49261899999999</v>
      </c>
      <c r="AL48" s="217">
        <f>(1+INDEX('Inputs &amp; Drivers'!$I$61:$I$65,MATCH(Model2.0!AL$5,'Inputs &amp; Drivers'!$B$61:$B$65,0))*(Model2.0!AL$5&lt;&gt;Model2.0!AK$5))*Model2.0!AK48</f>
        <v>320.49261899999999</v>
      </c>
      <c r="AM48" s="217">
        <f>(1+INDEX('Inputs &amp; Drivers'!$I$61:$I$65,MATCH(Model2.0!AM$5,'Inputs &amp; Drivers'!$B$61:$B$65,0))*(Model2.0!AM$5&lt;&gt;Model2.0!AL$5))*Model2.0!AL48</f>
        <v>320.49261899999999</v>
      </c>
      <c r="AN48" s="217">
        <f>(1+INDEX('Inputs &amp; Drivers'!$I$61:$I$65,MATCH(Model2.0!AN$5,'Inputs &amp; Drivers'!$B$61:$B$65,0))*(Model2.0!AN$5&lt;&gt;Model2.0!AM$5))*Model2.0!AM48</f>
        <v>320.49261899999999</v>
      </c>
      <c r="AO48" s="217">
        <f>(1+INDEX('Inputs &amp; Drivers'!$I$61:$I$65,MATCH(Model2.0!AO$5,'Inputs &amp; Drivers'!$B$61:$B$65,0))*(Model2.0!AO$5&lt;&gt;Model2.0!AN$5))*Model2.0!AN48</f>
        <v>320.49261899999999</v>
      </c>
      <c r="AP48" s="217">
        <f>(1+INDEX('Inputs &amp; Drivers'!$I$61:$I$65,MATCH(Model2.0!AP$5,'Inputs &amp; Drivers'!$B$61:$B$65,0))*(Model2.0!AP$5&lt;&gt;Model2.0!AO$5))*Model2.0!AO48</f>
        <v>320.49261899999999</v>
      </c>
      <c r="AQ48" s="217">
        <f>(1+INDEX('Inputs &amp; Drivers'!$I$61:$I$65,MATCH(Model2.0!AQ$5,'Inputs &amp; Drivers'!$B$61:$B$65,0))*(Model2.0!AQ$5&lt;&gt;Model2.0!AP$5))*Model2.0!AP48</f>
        <v>320.49261899999999</v>
      </c>
      <c r="AR48" s="217">
        <f>(1+INDEX('Inputs &amp; Drivers'!$I$61:$I$65,MATCH(Model2.0!AR$5,'Inputs &amp; Drivers'!$B$61:$B$65,0))*(Model2.0!AR$5&lt;&gt;Model2.0!AQ$5))*Model2.0!AQ48</f>
        <v>320.49261899999999</v>
      </c>
      <c r="AS48" s="217">
        <f>(1+INDEX('Inputs &amp; Drivers'!$I$61:$I$65,MATCH(Model2.0!AS$5,'Inputs &amp; Drivers'!$B$61:$B$65,0))*(Model2.0!AS$5&lt;&gt;Model2.0!AR$5))*Model2.0!AR48</f>
        <v>326.90247138000001</v>
      </c>
      <c r="AT48" s="217">
        <f>(1+INDEX('Inputs &amp; Drivers'!$I$61:$I$65,MATCH(Model2.0!AT$5,'Inputs &amp; Drivers'!$B$61:$B$65,0))*(Model2.0!AT$5&lt;&gt;Model2.0!AS$5))*Model2.0!AS48</f>
        <v>326.90247138000001</v>
      </c>
      <c r="AU48" s="217">
        <f>(1+INDEX('Inputs &amp; Drivers'!$I$61:$I$65,MATCH(Model2.0!AU$5,'Inputs &amp; Drivers'!$B$61:$B$65,0))*(Model2.0!AU$5&lt;&gt;Model2.0!AT$5))*Model2.0!AT48</f>
        <v>326.90247138000001</v>
      </c>
      <c r="AV48" s="217">
        <f>(1+INDEX('Inputs &amp; Drivers'!$I$61:$I$65,MATCH(Model2.0!AV$5,'Inputs &amp; Drivers'!$B$61:$B$65,0))*(Model2.0!AV$5&lt;&gt;Model2.0!AU$5))*Model2.0!AU48</f>
        <v>326.90247138000001</v>
      </c>
      <c r="AW48" s="217">
        <f>(1+INDEX('Inputs &amp; Drivers'!$I$61:$I$65,MATCH(Model2.0!AW$5,'Inputs &amp; Drivers'!$B$61:$B$65,0))*(Model2.0!AW$5&lt;&gt;Model2.0!AV$5))*Model2.0!AV48</f>
        <v>326.90247138000001</v>
      </c>
      <c r="AX48" s="217">
        <f>(1+INDEX('Inputs &amp; Drivers'!$I$61:$I$65,MATCH(Model2.0!AX$5,'Inputs &amp; Drivers'!$B$61:$B$65,0))*(Model2.0!AX$5&lt;&gt;Model2.0!AW$5))*Model2.0!AW48</f>
        <v>326.90247138000001</v>
      </c>
      <c r="AY48" s="217">
        <f>(1+INDEX('Inputs &amp; Drivers'!$I$61:$I$65,MATCH(Model2.0!AY$5,'Inputs &amp; Drivers'!$B$61:$B$65,0))*(Model2.0!AY$5&lt;&gt;Model2.0!AX$5))*Model2.0!AX48</f>
        <v>326.90247138000001</v>
      </c>
      <c r="AZ48" s="217">
        <f>(1+INDEX('Inputs &amp; Drivers'!$I$61:$I$65,MATCH(Model2.0!AZ$5,'Inputs &amp; Drivers'!$B$61:$B$65,0))*(Model2.0!AZ$5&lt;&gt;Model2.0!AY$5))*Model2.0!AY48</f>
        <v>326.90247138000001</v>
      </c>
      <c r="BA48" s="217">
        <f>(1+INDEX('Inputs &amp; Drivers'!$I$61:$I$65,MATCH(Model2.0!BA$5,'Inputs &amp; Drivers'!$B$61:$B$65,0))*(Model2.0!BA$5&lt;&gt;Model2.0!AZ$5))*Model2.0!AZ48</f>
        <v>326.90247138000001</v>
      </c>
      <c r="BB48" s="217">
        <f>(1+INDEX('Inputs &amp; Drivers'!$I$61:$I$65,MATCH(Model2.0!BB$5,'Inputs &amp; Drivers'!$B$61:$B$65,0))*(Model2.0!BB$5&lt;&gt;Model2.0!BA$5))*Model2.0!BA48</f>
        <v>326.90247138000001</v>
      </c>
      <c r="BC48" s="217">
        <f>(1+INDEX('Inputs &amp; Drivers'!$I$61:$I$65,MATCH(Model2.0!BC$5,'Inputs &amp; Drivers'!$B$61:$B$65,0))*(Model2.0!BC$5&lt;&gt;Model2.0!BB$5))*Model2.0!BB48</f>
        <v>326.90247138000001</v>
      </c>
      <c r="BD48" s="217">
        <f>(1+INDEX('Inputs &amp; Drivers'!$I$61:$I$65,MATCH(Model2.0!BD$5,'Inputs &amp; Drivers'!$B$61:$B$65,0))*(Model2.0!BD$5&lt;&gt;Model2.0!BC$5))*Model2.0!BC48</f>
        <v>326.90247138000001</v>
      </c>
      <c r="BE48" s="217">
        <f>(1+INDEX('Inputs &amp; Drivers'!$I$61:$I$65,MATCH(Model2.0!BE$5,'Inputs &amp; Drivers'!$B$61:$B$65,0))*(Model2.0!BE$5&lt;&gt;Model2.0!BD$5))*Model2.0!BD48</f>
        <v>333.44052080760002</v>
      </c>
      <c r="BF48" s="217">
        <f>(1+INDEX('Inputs &amp; Drivers'!$I$61:$I$65,MATCH(Model2.0!BF$5,'Inputs &amp; Drivers'!$B$61:$B$65,0))*(Model2.0!BF$5&lt;&gt;Model2.0!BE$5))*Model2.0!BE48</f>
        <v>333.44052080760002</v>
      </c>
      <c r="BG48" s="217">
        <f>(1+INDEX('Inputs &amp; Drivers'!$I$61:$I$65,MATCH(Model2.0!BG$5,'Inputs &amp; Drivers'!$B$61:$B$65,0))*(Model2.0!BG$5&lt;&gt;Model2.0!BF$5))*Model2.0!BF48</f>
        <v>333.44052080760002</v>
      </c>
      <c r="BH48" s="217">
        <f>(1+INDEX('Inputs &amp; Drivers'!$I$61:$I$65,MATCH(Model2.0!BH$5,'Inputs &amp; Drivers'!$B$61:$B$65,0))*(Model2.0!BH$5&lt;&gt;Model2.0!BG$5))*Model2.0!BG48</f>
        <v>333.44052080760002</v>
      </c>
      <c r="BI48" s="217">
        <f>(1+INDEX('Inputs &amp; Drivers'!$I$61:$I$65,MATCH(Model2.0!BI$5,'Inputs &amp; Drivers'!$B$61:$B$65,0))*(Model2.0!BI$5&lt;&gt;Model2.0!BH$5))*Model2.0!BH48</f>
        <v>333.44052080760002</v>
      </c>
      <c r="BJ48" s="217">
        <f>(1+INDEX('Inputs &amp; Drivers'!$I$61:$I$65,MATCH(Model2.0!BJ$5,'Inputs &amp; Drivers'!$B$61:$B$65,0))*(Model2.0!BJ$5&lt;&gt;Model2.0!BI$5))*Model2.0!BI48</f>
        <v>333.44052080760002</v>
      </c>
      <c r="BK48" s="217">
        <f>(1+INDEX('Inputs &amp; Drivers'!$I$61:$I$65,MATCH(Model2.0!BK$5,'Inputs &amp; Drivers'!$B$61:$B$65,0))*(Model2.0!BK$5&lt;&gt;Model2.0!BJ$5))*Model2.0!BJ48</f>
        <v>333.44052080760002</v>
      </c>
      <c r="BL48" s="217">
        <f>(1+INDEX('Inputs &amp; Drivers'!$I$61:$I$65,MATCH(Model2.0!BL$5,'Inputs &amp; Drivers'!$B$61:$B$65,0))*(Model2.0!BL$5&lt;&gt;Model2.0!BK$5))*Model2.0!BK48</f>
        <v>333.44052080760002</v>
      </c>
      <c r="BM48" s="217">
        <f>(1+INDEX('Inputs &amp; Drivers'!$I$61:$I$65,MATCH(Model2.0!BM$5,'Inputs &amp; Drivers'!$B$61:$B$65,0))*(Model2.0!BM$5&lt;&gt;Model2.0!BL$5))*Model2.0!BL48</f>
        <v>333.44052080760002</v>
      </c>
      <c r="BN48" s="217">
        <f>(1+INDEX('Inputs &amp; Drivers'!$I$61:$I$65,MATCH(Model2.0!BN$5,'Inputs &amp; Drivers'!$B$61:$B$65,0))*(Model2.0!BN$5&lt;&gt;Model2.0!BM$5))*Model2.0!BM48</f>
        <v>333.44052080760002</v>
      </c>
      <c r="BO48" s="217">
        <f>(1+INDEX('Inputs &amp; Drivers'!$I$61:$I$65,MATCH(Model2.0!BO$5,'Inputs &amp; Drivers'!$B$61:$B$65,0))*(Model2.0!BO$5&lt;&gt;Model2.0!BN$5))*Model2.0!BN48</f>
        <v>333.44052080760002</v>
      </c>
      <c r="BP48" s="217">
        <f>(1+INDEX('Inputs &amp; Drivers'!$I$61:$I$65,MATCH(Model2.0!BP$5,'Inputs &amp; Drivers'!$B$61:$B$65,0))*(Model2.0!BP$5&lt;&gt;Model2.0!BO$5))*Model2.0!BO48</f>
        <v>333.44052080760002</v>
      </c>
      <c r="BR48" s="217">
        <f t="shared" si="356"/>
        <v>3696.57</v>
      </c>
      <c r="BS48" s="217">
        <f>SUM(I48:T48)</f>
        <v>3696.57</v>
      </c>
      <c r="BT48" s="217">
        <f t="shared" si="357"/>
        <v>0</v>
      </c>
      <c r="BV48" t="s">
        <v>30</v>
      </c>
      <c r="BW48" s="217">
        <f t="shared" si="358"/>
        <v>3696.57</v>
      </c>
      <c r="BX48" s="217">
        <f t="shared" si="358"/>
        <v>3770.5014000000006</v>
      </c>
      <c r="BY48" s="217">
        <f t="shared" si="358"/>
        <v>3845.9114280000008</v>
      </c>
      <c r="BZ48" s="217">
        <f t="shared" si="358"/>
        <v>3922.8296565599999</v>
      </c>
      <c r="CA48" s="217">
        <f t="shared" si="358"/>
        <v>4001.2862496912003</v>
      </c>
      <c r="CC48" s="217">
        <f t="shared" si="349"/>
        <v>3696.57</v>
      </c>
      <c r="CD48" s="217">
        <f t="shared" si="350"/>
        <v>3770.5014000000006</v>
      </c>
      <c r="CE48" s="217">
        <f t="shared" si="351"/>
        <v>3845.9114280000008</v>
      </c>
      <c r="CF48" s="217">
        <f t="shared" si="352"/>
        <v>3922.8296565599999</v>
      </c>
      <c r="CG48" s="217">
        <f t="shared" si="353"/>
        <v>4001.2862496912003</v>
      </c>
      <c r="CI48" t="str">
        <f t="shared" si="354"/>
        <v>OK</v>
      </c>
      <c r="CJ48" t="str">
        <f t="shared" si="348"/>
        <v>OK</v>
      </c>
      <c r="CK48" t="str">
        <f t="shared" si="348"/>
        <v>OK</v>
      </c>
      <c r="CL48" t="str">
        <f t="shared" si="348"/>
        <v>OK</v>
      </c>
      <c r="CM48" t="str">
        <f t="shared" si="348"/>
        <v>OK</v>
      </c>
    </row>
    <row r="49" spans="2:91" x14ac:dyDescent="0.3">
      <c r="B49" t="s">
        <v>31</v>
      </c>
      <c r="E49" s="121">
        <f>SUM('P-Builder'!O32:Q32)*4</f>
        <v>9954.24</v>
      </c>
      <c r="F49" s="121">
        <f>SUM('P-Builder'!F32:Q32)</f>
        <v>10913.51</v>
      </c>
      <c r="H49" s="220">
        <f>'P-Builder'!Q32</f>
        <v>1645.42</v>
      </c>
      <c r="I49" s="220">
        <f>'Inputs &amp; Drivers'!J48/12</f>
        <v>909.45916666666665</v>
      </c>
      <c r="J49" s="217">
        <f>(1+INDEX('Inputs &amp; Drivers'!$I$61:$I$65,MATCH(Model2.0!J$5,'Inputs &amp; Drivers'!$B$61:$B$65,0))*(Model2.0!J$5&lt;&gt;Model2.0!I$5))*Model2.0!I49</f>
        <v>909.45916666666665</v>
      </c>
      <c r="K49" s="217">
        <f>(1+INDEX('Inputs &amp; Drivers'!$I$61:$I$65,MATCH(Model2.0!K$5,'Inputs &amp; Drivers'!$B$61:$B$65,0))*(Model2.0!K$5&lt;&gt;Model2.0!J$5))*Model2.0!J49</f>
        <v>909.45916666666665</v>
      </c>
      <c r="L49" s="217">
        <f>(1+INDEX('Inputs &amp; Drivers'!$I$61:$I$65,MATCH(Model2.0!L$5,'Inputs &amp; Drivers'!$B$61:$B$65,0))*(Model2.0!L$5&lt;&gt;Model2.0!K$5))*Model2.0!K49</f>
        <v>909.45916666666665</v>
      </c>
      <c r="M49" s="217">
        <f>(1+INDEX('Inputs &amp; Drivers'!$I$61:$I$65,MATCH(Model2.0!M$5,'Inputs &amp; Drivers'!$B$61:$B$65,0))*(Model2.0!M$5&lt;&gt;Model2.0!L$5))*Model2.0!L49</f>
        <v>909.45916666666665</v>
      </c>
      <c r="N49" s="217">
        <f>(1+INDEX('Inputs &amp; Drivers'!$I$61:$I$65,MATCH(Model2.0!N$5,'Inputs &amp; Drivers'!$B$61:$B$65,0))*(Model2.0!N$5&lt;&gt;Model2.0!M$5))*Model2.0!M49</f>
        <v>909.45916666666665</v>
      </c>
      <c r="O49" s="217">
        <f>(1+INDEX('Inputs &amp; Drivers'!$I$61:$I$65,MATCH(Model2.0!O$5,'Inputs &amp; Drivers'!$B$61:$B$65,0))*(Model2.0!O$5&lt;&gt;Model2.0!N$5))*Model2.0!N49</f>
        <v>909.45916666666665</v>
      </c>
      <c r="P49" s="217">
        <f>(1+INDEX('Inputs &amp; Drivers'!$I$61:$I$65,MATCH(Model2.0!P$5,'Inputs &amp; Drivers'!$B$61:$B$65,0))*(Model2.0!P$5&lt;&gt;Model2.0!O$5))*Model2.0!O49</f>
        <v>909.45916666666665</v>
      </c>
      <c r="Q49" s="217">
        <f>(1+INDEX('Inputs &amp; Drivers'!$I$61:$I$65,MATCH(Model2.0!Q$5,'Inputs &amp; Drivers'!$B$61:$B$65,0))*(Model2.0!Q$5&lt;&gt;Model2.0!P$5))*Model2.0!P49</f>
        <v>909.45916666666665</v>
      </c>
      <c r="R49" s="217">
        <f>(1+INDEX('Inputs &amp; Drivers'!$I$61:$I$65,MATCH(Model2.0!R$5,'Inputs &amp; Drivers'!$B$61:$B$65,0))*(Model2.0!R$5&lt;&gt;Model2.0!Q$5))*Model2.0!Q49</f>
        <v>909.45916666666665</v>
      </c>
      <c r="S49" s="217">
        <f>(1+INDEX('Inputs &amp; Drivers'!$I$61:$I$65,MATCH(Model2.0!S$5,'Inputs &amp; Drivers'!$B$61:$B$65,0))*(Model2.0!S$5&lt;&gt;Model2.0!R$5))*Model2.0!R49</f>
        <v>909.45916666666665</v>
      </c>
      <c r="T49" s="217">
        <f>(1+INDEX('Inputs &amp; Drivers'!$I$61:$I$65,MATCH(Model2.0!T$5,'Inputs &amp; Drivers'!$B$61:$B$65,0))*(Model2.0!T$5&lt;&gt;Model2.0!S$5))*Model2.0!S49</f>
        <v>909.45916666666665</v>
      </c>
      <c r="U49" s="217">
        <f>(1+INDEX('Inputs &amp; Drivers'!$I$61:$I$65,MATCH(Model2.0!U$5,'Inputs &amp; Drivers'!$B$61:$B$65,0))*(Model2.0!U$5&lt;&gt;Model2.0!T$5))*Model2.0!T49</f>
        <v>927.64835000000005</v>
      </c>
      <c r="V49" s="217">
        <f>(1+INDEX('Inputs &amp; Drivers'!$I$61:$I$65,MATCH(Model2.0!V$5,'Inputs &amp; Drivers'!$B$61:$B$65,0))*(Model2.0!V$5&lt;&gt;Model2.0!U$5))*Model2.0!U49</f>
        <v>927.64835000000005</v>
      </c>
      <c r="W49" s="217">
        <f>(1+INDEX('Inputs &amp; Drivers'!$I$61:$I$65,MATCH(Model2.0!W$5,'Inputs &amp; Drivers'!$B$61:$B$65,0))*(Model2.0!W$5&lt;&gt;Model2.0!V$5))*Model2.0!V49</f>
        <v>927.64835000000005</v>
      </c>
      <c r="X49" s="217">
        <f>(1+INDEX('Inputs &amp; Drivers'!$I$61:$I$65,MATCH(Model2.0!X$5,'Inputs &amp; Drivers'!$B$61:$B$65,0))*(Model2.0!X$5&lt;&gt;Model2.0!W$5))*Model2.0!W49</f>
        <v>927.64835000000005</v>
      </c>
      <c r="Y49" s="217">
        <f>(1+INDEX('Inputs &amp; Drivers'!$I$61:$I$65,MATCH(Model2.0!Y$5,'Inputs &amp; Drivers'!$B$61:$B$65,0))*(Model2.0!Y$5&lt;&gt;Model2.0!X$5))*Model2.0!X49</f>
        <v>927.64835000000005</v>
      </c>
      <c r="Z49" s="217">
        <f>(1+INDEX('Inputs &amp; Drivers'!$I$61:$I$65,MATCH(Model2.0!Z$5,'Inputs &amp; Drivers'!$B$61:$B$65,0))*(Model2.0!Z$5&lt;&gt;Model2.0!Y$5))*Model2.0!Y49</f>
        <v>927.64835000000005</v>
      </c>
      <c r="AA49" s="217">
        <f>(1+INDEX('Inputs &amp; Drivers'!$I$61:$I$65,MATCH(Model2.0!AA$5,'Inputs &amp; Drivers'!$B$61:$B$65,0))*(Model2.0!AA$5&lt;&gt;Model2.0!Z$5))*Model2.0!Z49</f>
        <v>927.64835000000005</v>
      </c>
      <c r="AB49" s="217">
        <f>(1+INDEX('Inputs &amp; Drivers'!$I$61:$I$65,MATCH(Model2.0!AB$5,'Inputs &amp; Drivers'!$B$61:$B$65,0))*(Model2.0!AB$5&lt;&gt;Model2.0!AA$5))*Model2.0!AA49</f>
        <v>927.64835000000005</v>
      </c>
      <c r="AC49" s="217">
        <f>(1+INDEX('Inputs &amp; Drivers'!$I$61:$I$65,MATCH(Model2.0!AC$5,'Inputs &amp; Drivers'!$B$61:$B$65,0))*(Model2.0!AC$5&lt;&gt;Model2.0!AB$5))*Model2.0!AB49</f>
        <v>927.64835000000005</v>
      </c>
      <c r="AD49" s="217">
        <f>(1+INDEX('Inputs &amp; Drivers'!$I$61:$I$65,MATCH(Model2.0!AD$5,'Inputs &amp; Drivers'!$B$61:$B$65,0))*(Model2.0!AD$5&lt;&gt;Model2.0!AC$5))*Model2.0!AC49</f>
        <v>927.64835000000005</v>
      </c>
      <c r="AE49" s="217">
        <f>(1+INDEX('Inputs &amp; Drivers'!$I$61:$I$65,MATCH(Model2.0!AE$5,'Inputs &amp; Drivers'!$B$61:$B$65,0))*(Model2.0!AE$5&lt;&gt;Model2.0!AD$5))*Model2.0!AD49</f>
        <v>927.64835000000005</v>
      </c>
      <c r="AF49" s="217">
        <f>(1+INDEX('Inputs &amp; Drivers'!$I$61:$I$65,MATCH(Model2.0!AF$5,'Inputs &amp; Drivers'!$B$61:$B$65,0))*(Model2.0!AF$5&lt;&gt;Model2.0!AE$5))*Model2.0!AE49</f>
        <v>927.64835000000005</v>
      </c>
      <c r="AG49" s="217">
        <f>(1+INDEX('Inputs &amp; Drivers'!$I$61:$I$65,MATCH(Model2.0!AG$5,'Inputs &amp; Drivers'!$B$61:$B$65,0))*(Model2.0!AG$5&lt;&gt;Model2.0!AF$5))*Model2.0!AF49</f>
        <v>946.20131700000002</v>
      </c>
      <c r="AH49" s="217">
        <f>(1+INDEX('Inputs &amp; Drivers'!$I$61:$I$65,MATCH(Model2.0!AH$5,'Inputs &amp; Drivers'!$B$61:$B$65,0))*(Model2.0!AH$5&lt;&gt;Model2.0!AG$5))*Model2.0!AG49</f>
        <v>946.20131700000002</v>
      </c>
      <c r="AI49" s="217">
        <f>(1+INDEX('Inputs &amp; Drivers'!$I$61:$I$65,MATCH(Model2.0!AI$5,'Inputs &amp; Drivers'!$B$61:$B$65,0))*(Model2.0!AI$5&lt;&gt;Model2.0!AH$5))*Model2.0!AH49</f>
        <v>946.20131700000002</v>
      </c>
      <c r="AJ49" s="217">
        <f>(1+INDEX('Inputs &amp; Drivers'!$I$61:$I$65,MATCH(Model2.0!AJ$5,'Inputs &amp; Drivers'!$B$61:$B$65,0))*(Model2.0!AJ$5&lt;&gt;Model2.0!AI$5))*Model2.0!AI49</f>
        <v>946.20131700000002</v>
      </c>
      <c r="AK49" s="217">
        <f>(1+INDEX('Inputs &amp; Drivers'!$I$61:$I$65,MATCH(Model2.0!AK$5,'Inputs &amp; Drivers'!$B$61:$B$65,0))*(Model2.0!AK$5&lt;&gt;Model2.0!AJ$5))*Model2.0!AJ49</f>
        <v>946.20131700000002</v>
      </c>
      <c r="AL49" s="217">
        <f>(1+INDEX('Inputs &amp; Drivers'!$I$61:$I$65,MATCH(Model2.0!AL$5,'Inputs &amp; Drivers'!$B$61:$B$65,0))*(Model2.0!AL$5&lt;&gt;Model2.0!AK$5))*Model2.0!AK49</f>
        <v>946.20131700000002</v>
      </c>
      <c r="AM49" s="217">
        <f>(1+INDEX('Inputs &amp; Drivers'!$I$61:$I$65,MATCH(Model2.0!AM$5,'Inputs &amp; Drivers'!$B$61:$B$65,0))*(Model2.0!AM$5&lt;&gt;Model2.0!AL$5))*Model2.0!AL49</f>
        <v>946.20131700000002</v>
      </c>
      <c r="AN49" s="217">
        <f>(1+INDEX('Inputs &amp; Drivers'!$I$61:$I$65,MATCH(Model2.0!AN$5,'Inputs &amp; Drivers'!$B$61:$B$65,0))*(Model2.0!AN$5&lt;&gt;Model2.0!AM$5))*Model2.0!AM49</f>
        <v>946.20131700000002</v>
      </c>
      <c r="AO49" s="217">
        <f>(1+INDEX('Inputs &amp; Drivers'!$I$61:$I$65,MATCH(Model2.0!AO$5,'Inputs &amp; Drivers'!$B$61:$B$65,0))*(Model2.0!AO$5&lt;&gt;Model2.0!AN$5))*Model2.0!AN49</f>
        <v>946.20131700000002</v>
      </c>
      <c r="AP49" s="217">
        <f>(1+INDEX('Inputs &amp; Drivers'!$I$61:$I$65,MATCH(Model2.0!AP$5,'Inputs &amp; Drivers'!$B$61:$B$65,0))*(Model2.0!AP$5&lt;&gt;Model2.0!AO$5))*Model2.0!AO49</f>
        <v>946.20131700000002</v>
      </c>
      <c r="AQ49" s="217">
        <f>(1+INDEX('Inputs &amp; Drivers'!$I$61:$I$65,MATCH(Model2.0!AQ$5,'Inputs &amp; Drivers'!$B$61:$B$65,0))*(Model2.0!AQ$5&lt;&gt;Model2.0!AP$5))*Model2.0!AP49</f>
        <v>946.20131700000002</v>
      </c>
      <c r="AR49" s="217">
        <f>(1+INDEX('Inputs &amp; Drivers'!$I$61:$I$65,MATCH(Model2.0!AR$5,'Inputs &amp; Drivers'!$B$61:$B$65,0))*(Model2.0!AR$5&lt;&gt;Model2.0!AQ$5))*Model2.0!AQ49</f>
        <v>946.20131700000002</v>
      </c>
      <c r="AS49" s="217">
        <f>(1+INDEX('Inputs &amp; Drivers'!$I$61:$I$65,MATCH(Model2.0!AS$5,'Inputs &amp; Drivers'!$B$61:$B$65,0))*(Model2.0!AS$5&lt;&gt;Model2.0!AR$5))*Model2.0!AR49</f>
        <v>965.12534334000009</v>
      </c>
      <c r="AT49" s="217">
        <f>(1+INDEX('Inputs &amp; Drivers'!$I$61:$I$65,MATCH(Model2.0!AT$5,'Inputs &amp; Drivers'!$B$61:$B$65,0))*(Model2.0!AT$5&lt;&gt;Model2.0!AS$5))*Model2.0!AS49</f>
        <v>965.12534334000009</v>
      </c>
      <c r="AU49" s="217">
        <f>(1+INDEX('Inputs &amp; Drivers'!$I$61:$I$65,MATCH(Model2.0!AU$5,'Inputs &amp; Drivers'!$B$61:$B$65,0))*(Model2.0!AU$5&lt;&gt;Model2.0!AT$5))*Model2.0!AT49</f>
        <v>965.12534334000009</v>
      </c>
      <c r="AV49" s="217">
        <f>(1+INDEX('Inputs &amp; Drivers'!$I$61:$I$65,MATCH(Model2.0!AV$5,'Inputs &amp; Drivers'!$B$61:$B$65,0))*(Model2.0!AV$5&lt;&gt;Model2.0!AU$5))*Model2.0!AU49</f>
        <v>965.12534334000009</v>
      </c>
      <c r="AW49" s="217">
        <f>(1+INDEX('Inputs &amp; Drivers'!$I$61:$I$65,MATCH(Model2.0!AW$5,'Inputs &amp; Drivers'!$B$61:$B$65,0))*(Model2.0!AW$5&lt;&gt;Model2.0!AV$5))*Model2.0!AV49</f>
        <v>965.12534334000009</v>
      </c>
      <c r="AX49" s="217">
        <f>(1+INDEX('Inputs &amp; Drivers'!$I$61:$I$65,MATCH(Model2.0!AX$5,'Inputs &amp; Drivers'!$B$61:$B$65,0))*(Model2.0!AX$5&lt;&gt;Model2.0!AW$5))*Model2.0!AW49</f>
        <v>965.12534334000009</v>
      </c>
      <c r="AY49" s="217">
        <f>(1+INDEX('Inputs &amp; Drivers'!$I$61:$I$65,MATCH(Model2.0!AY$5,'Inputs &amp; Drivers'!$B$61:$B$65,0))*(Model2.0!AY$5&lt;&gt;Model2.0!AX$5))*Model2.0!AX49</f>
        <v>965.12534334000009</v>
      </c>
      <c r="AZ49" s="217">
        <f>(1+INDEX('Inputs &amp; Drivers'!$I$61:$I$65,MATCH(Model2.0!AZ$5,'Inputs &amp; Drivers'!$B$61:$B$65,0))*(Model2.0!AZ$5&lt;&gt;Model2.0!AY$5))*Model2.0!AY49</f>
        <v>965.12534334000009</v>
      </c>
      <c r="BA49" s="217">
        <f>(1+INDEX('Inputs &amp; Drivers'!$I$61:$I$65,MATCH(Model2.0!BA$5,'Inputs &amp; Drivers'!$B$61:$B$65,0))*(Model2.0!BA$5&lt;&gt;Model2.0!AZ$5))*Model2.0!AZ49</f>
        <v>965.12534334000009</v>
      </c>
      <c r="BB49" s="217">
        <f>(1+INDEX('Inputs &amp; Drivers'!$I$61:$I$65,MATCH(Model2.0!BB$5,'Inputs &amp; Drivers'!$B$61:$B$65,0))*(Model2.0!BB$5&lt;&gt;Model2.0!BA$5))*Model2.0!BA49</f>
        <v>965.12534334000009</v>
      </c>
      <c r="BC49" s="217">
        <f>(1+INDEX('Inputs &amp; Drivers'!$I$61:$I$65,MATCH(Model2.0!BC$5,'Inputs &amp; Drivers'!$B$61:$B$65,0))*(Model2.0!BC$5&lt;&gt;Model2.0!BB$5))*Model2.0!BB49</f>
        <v>965.12534334000009</v>
      </c>
      <c r="BD49" s="217">
        <f>(1+INDEX('Inputs &amp; Drivers'!$I$61:$I$65,MATCH(Model2.0!BD$5,'Inputs &amp; Drivers'!$B$61:$B$65,0))*(Model2.0!BD$5&lt;&gt;Model2.0!BC$5))*Model2.0!BC49</f>
        <v>965.12534334000009</v>
      </c>
      <c r="BE49" s="217">
        <f>(1+INDEX('Inputs &amp; Drivers'!$I$61:$I$65,MATCH(Model2.0!BE$5,'Inputs &amp; Drivers'!$B$61:$B$65,0))*(Model2.0!BE$5&lt;&gt;Model2.0!BD$5))*Model2.0!BD49</f>
        <v>984.42785020680014</v>
      </c>
      <c r="BF49" s="217">
        <f>(1+INDEX('Inputs &amp; Drivers'!$I$61:$I$65,MATCH(Model2.0!BF$5,'Inputs &amp; Drivers'!$B$61:$B$65,0))*(Model2.0!BF$5&lt;&gt;Model2.0!BE$5))*Model2.0!BE49</f>
        <v>984.42785020680014</v>
      </c>
      <c r="BG49" s="217">
        <f>(1+INDEX('Inputs &amp; Drivers'!$I$61:$I$65,MATCH(Model2.0!BG$5,'Inputs &amp; Drivers'!$B$61:$B$65,0))*(Model2.0!BG$5&lt;&gt;Model2.0!BF$5))*Model2.0!BF49</f>
        <v>984.42785020680014</v>
      </c>
      <c r="BH49" s="217">
        <f>(1+INDEX('Inputs &amp; Drivers'!$I$61:$I$65,MATCH(Model2.0!BH$5,'Inputs &amp; Drivers'!$B$61:$B$65,0))*(Model2.0!BH$5&lt;&gt;Model2.0!BG$5))*Model2.0!BG49</f>
        <v>984.42785020680014</v>
      </c>
      <c r="BI49" s="217">
        <f>(1+INDEX('Inputs &amp; Drivers'!$I$61:$I$65,MATCH(Model2.0!BI$5,'Inputs &amp; Drivers'!$B$61:$B$65,0))*(Model2.0!BI$5&lt;&gt;Model2.0!BH$5))*Model2.0!BH49</f>
        <v>984.42785020680014</v>
      </c>
      <c r="BJ49" s="217">
        <f>(1+INDEX('Inputs &amp; Drivers'!$I$61:$I$65,MATCH(Model2.0!BJ$5,'Inputs &amp; Drivers'!$B$61:$B$65,0))*(Model2.0!BJ$5&lt;&gt;Model2.0!BI$5))*Model2.0!BI49</f>
        <v>984.42785020680014</v>
      </c>
      <c r="BK49" s="217">
        <f>(1+INDEX('Inputs &amp; Drivers'!$I$61:$I$65,MATCH(Model2.0!BK$5,'Inputs &amp; Drivers'!$B$61:$B$65,0))*(Model2.0!BK$5&lt;&gt;Model2.0!BJ$5))*Model2.0!BJ49</f>
        <v>984.42785020680014</v>
      </c>
      <c r="BL49" s="217">
        <f>(1+INDEX('Inputs &amp; Drivers'!$I$61:$I$65,MATCH(Model2.0!BL$5,'Inputs &amp; Drivers'!$B$61:$B$65,0))*(Model2.0!BL$5&lt;&gt;Model2.0!BK$5))*Model2.0!BK49</f>
        <v>984.42785020680014</v>
      </c>
      <c r="BM49" s="217">
        <f>(1+INDEX('Inputs &amp; Drivers'!$I$61:$I$65,MATCH(Model2.0!BM$5,'Inputs &amp; Drivers'!$B$61:$B$65,0))*(Model2.0!BM$5&lt;&gt;Model2.0!BL$5))*Model2.0!BL49</f>
        <v>984.42785020680014</v>
      </c>
      <c r="BN49" s="217">
        <f>(1+INDEX('Inputs &amp; Drivers'!$I$61:$I$65,MATCH(Model2.0!BN$5,'Inputs &amp; Drivers'!$B$61:$B$65,0))*(Model2.0!BN$5&lt;&gt;Model2.0!BM$5))*Model2.0!BM49</f>
        <v>984.42785020680014</v>
      </c>
      <c r="BO49" s="217">
        <f>(1+INDEX('Inputs &amp; Drivers'!$I$61:$I$65,MATCH(Model2.0!BO$5,'Inputs &amp; Drivers'!$B$61:$B$65,0))*(Model2.0!BO$5&lt;&gt;Model2.0!BN$5))*Model2.0!BN49</f>
        <v>984.42785020680014</v>
      </c>
      <c r="BP49" s="217">
        <f>(1+INDEX('Inputs &amp; Drivers'!$I$61:$I$65,MATCH(Model2.0!BP$5,'Inputs &amp; Drivers'!$B$61:$B$65,0))*(Model2.0!BP$5&lt;&gt;Model2.0!BO$5))*Model2.0!BO49</f>
        <v>984.42785020680014</v>
      </c>
      <c r="BR49" s="217">
        <f t="shared" si="356"/>
        <v>10913.510000000002</v>
      </c>
      <c r="BS49" s="217">
        <f>SUM(I49:T49)</f>
        <v>10913.510000000002</v>
      </c>
      <c r="BT49" s="217">
        <f t="shared" si="357"/>
        <v>0</v>
      </c>
      <c r="BV49" t="s">
        <v>31</v>
      </c>
      <c r="BW49" s="217">
        <f t="shared" si="358"/>
        <v>10913.510000000002</v>
      </c>
      <c r="BX49" s="217">
        <f t="shared" si="358"/>
        <v>11131.780199999999</v>
      </c>
      <c r="BY49" s="217">
        <f t="shared" si="358"/>
        <v>11354.415803999997</v>
      </c>
      <c r="BZ49" s="217">
        <f t="shared" si="358"/>
        <v>11581.504120079999</v>
      </c>
      <c r="CA49" s="217">
        <f t="shared" si="358"/>
        <v>11813.134202481604</v>
      </c>
      <c r="CC49" s="217">
        <f t="shared" si="349"/>
        <v>10913.510000000002</v>
      </c>
      <c r="CD49" s="217">
        <f t="shared" si="350"/>
        <v>11131.780199999999</v>
      </c>
      <c r="CE49" s="217">
        <f t="shared" si="351"/>
        <v>11354.415803999997</v>
      </c>
      <c r="CF49" s="217">
        <f t="shared" si="352"/>
        <v>11581.504120079999</v>
      </c>
      <c r="CG49" s="217">
        <f t="shared" si="353"/>
        <v>11813.134202481604</v>
      </c>
      <c r="CI49" t="str">
        <f t="shared" si="354"/>
        <v>OK</v>
      </c>
      <c r="CJ49" t="str">
        <f t="shared" si="348"/>
        <v>OK</v>
      </c>
      <c r="CK49" t="str">
        <f t="shared" si="348"/>
        <v>OK</v>
      </c>
      <c r="CL49" t="str">
        <f t="shared" si="348"/>
        <v>OK</v>
      </c>
      <c r="CM49" t="str">
        <f t="shared" si="348"/>
        <v>OK</v>
      </c>
    </row>
    <row r="50" spans="2:91" x14ac:dyDescent="0.3">
      <c r="B50" t="s">
        <v>32</v>
      </c>
      <c r="E50" s="121">
        <f>SUM('P-Builder'!O33:Q33)*4</f>
        <v>17296.039999999997</v>
      </c>
      <c r="F50" s="121">
        <f>SUM('P-Builder'!F33:Q33)</f>
        <v>17300.16</v>
      </c>
      <c r="H50" s="220">
        <f>'P-Builder'!Q33</f>
        <v>1408.6499999999999</v>
      </c>
      <c r="I50" s="223">
        <f>1850*(1+'Inputs &amp; Drivers'!$N$70)^(I5-1)</f>
        <v>1850</v>
      </c>
      <c r="J50" s="223">
        <f>1850*(1+'Inputs &amp; Drivers'!$N$70)^(J5-1)</f>
        <v>1850</v>
      </c>
      <c r="K50" s="223">
        <f>1850*(1+'Inputs &amp; Drivers'!$N$70)^(K5-1)</f>
        <v>1850</v>
      </c>
      <c r="L50" s="223">
        <f>1850*(1+'Inputs &amp; Drivers'!$N$70)^(L5-1)</f>
        <v>1850</v>
      </c>
      <c r="M50" s="223">
        <f>1850*(1+'Inputs &amp; Drivers'!$N$70)^(M5-1)</f>
        <v>1850</v>
      </c>
      <c r="N50" s="223">
        <f>1850*(1+'Inputs &amp; Drivers'!$N$70)^(N5-1)</f>
        <v>1850</v>
      </c>
      <c r="O50" s="223">
        <f>1850*(1+'Inputs &amp; Drivers'!$N$70)^(O5-1)</f>
        <v>1850</v>
      </c>
      <c r="P50" s="223">
        <f>1850*(1+'Inputs &amp; Drivers'!$N$70)^(P5-1)</f>
        <v>1850</v>
      </c>
      <c r="Q50" s="223">
        <f>1850*(1+'Inputs &amp; Drivers'!$N$70)^(Q5-1)</f>
        <v>1850</v>
      </c>
      <c r="R50" s="223">
        <f>1850*(1+'Inputs &amp; Drivers'!$N$70)^(R5-1)</f>
        <v>1850</v>
      </c>
      <c r="S50" s="223">
        <f>1850*(1+'Inputs &amp; Drivers'!$N$70)^(S5-1)</f>
        <v>1850</v>
      </c>
      <c r="T50" s="223">
        <f>1850*(1+'Inputs &amp; Drivers'!$N$70)^(T5-1)</f>
        <v>1850</v>
      </c>
      <c r="U50" s="223">
        <f>1850*(1+'Inputs &amp; Drivers'!$N$70)^(U5-1)</f>
        <v>1877.7499999999998</v>
      </c>
      <c r="V50" s="223">
        <f>1850*(1+'Inputs &amp; Drivers'!$N$70)^(V5-1)</f>
        <v>1877.7499999999998</v>
      </c>
      <c r="W50" s="223">
        <f>1850*(1+'Inputs &amp; Drivers'!$N$70)^(W5-1)</f>
        <v>1877.7499999999998</v>
      </c>
      <c r="X50" s="223">
        <f>1850*(1+'Inputs &amp; Drivers'!$N$70)^(X5-1)</f>
        <v>1877.7499999999998</v>
      </c>
      <c r="Y50" s="223">
        <f>1850*(1+'Inputs &amp; Drivers'!$N$70)^(Y5-1)</f>
        <v>1877.7499999999998</v>
      </c>
      <c r="Z50" s="223">
        <f>1850*(1+'Inputs &amp; Drivers'!$N$70)^(Z5-1)</f>
        <v>1877.7499999999998</v>
      </c>
      <c r="AA50" s="223">
        <f>1850*(1+'Inputs &amp; Drivers'!$N$70)^(AA5-1)</f>
        <v>1877.7499999999998</v>
      </c>
      <c r="AB50" s="223">
        <f>1850*(1+'Inputs &amp; Drivers'!$N$70)^(AB5-1)</f>
        <v>1877.7499999999998</v>
      </c>
      <c r="AC50" s="223">
        <f>1850*(1+'Inputs &amp; Drivers'!$N$70)^(AC5-1)</f>
        <v>1877.7499999999998</v>
      </c>
      <c r="AD50" s="223">
        <f>1850*(1+'Inputs &amp; Drivers'!$N$70)^(AD5-1)</f>
        <v>1877.7499999999998</v>
      </c>
      <c r="AE50" s="223">
        <f>1850*(1+'Inputs &amp; Drivers'!$N$70)^(AE5-1)</f>
        <v>1877.7499999999998</v>
      </c>
      <c r="AF50" s="223">
        <f>1850*(1+'Inputs &amp; Drivers'!$N$70)^(AF5-1)</f>
        <v>1877.7499999999998</v>
      </c>
      <c r="AG50" s="223">
        <f>1850*(1+'Inputs &amp; Drivers'!$N$70)^(AG5-1)</f>
        <v>1905.9162499999995</v>
      </c>
      <c r="AH50" s="223">
        <f>1850*(1+'Inputs &amp; Drivers'!$N$70)^(AH5-1)</f>
        <v>1905.9162499999995</v>
      </c>
      <c r="AI50" s="223">
        <f>1850*(1+'Inputs &amp; Drivers'!$N$70)^(AI5-1)</f>
        <v>1905.9162499999995</v>
      </c>
      <c r="AJ50" s="223">
        <f>1850*(1+'Inputs &amp; Drivers'!$N$70)^(AJ5-1)</f>
        <v>1905.9162499999995</v>
      </c>
      <c r="AK50" s="223">
        <f>1850*(1+'Inputs &amp; Drivers'!$N$70)^(AK5-1)</f>
        <v>1905.9162499999995</v>
      </c>
      <c r="AL50" s="223">
        <f>1850*(1+'Inputs &amp; Drivers'!$N$70)^(AL5-1)</f>
        <v>1905.9162499999995</v>
      </c>
      <c r="AM50" s="223">
        <f>1850*(1+'Inputs &amp; Drivers'!$N$70)^(AM5-1)</f>
        <v>1905.9162499999995</v>
      </c>
      <c r="AN50" s="223">
        <f>1850*(1+'Inputs &amp; Drivers'!$N$70)^(AN5-1)</f>
        <v>1905.9162499999995</v>
      </c>
      <c r="AO50" s="223">
        <f>1850*(1+'Inputs &amp; Drivers'!$N$70)^(AO5-1)</f>
        <v>1905.9162499999995</v>
      </c>
      <c r="AP50" s="223">
        <f>1850*(1+'Inputs &amp; Drivers'!$N$70)^(AP5-1)</f>
        <v>1905.9162499999995</v>
      </c>
      <c r="AQ50" s="223">
        <f>1850*(1+'Inputs &amp; Drivers'!$N$70)^(AQ5-1)</f>
        <v>1905.9162499999995</v>
      </c>
      <c r="AR50" s="223">
        <f>1850*(1+'Inputs &amp; Drivers'!$N$70)^(AR5-1)</f>
        <v>1905.9162499999995</v>
      </c>
      <c r="AS50" s="223">
        <f>1850*(1+'Inputs &amp; Drivers'!$N$70)^(AS5-1)</f>
        <v>1934.5049937499994</v>
      </c>
      <c r="AT50" s="223">
        <f>1850*(1+'Inputs &amp; Drivers'!$N$70)^(AT5-1)</f>
        <v>1934.5049937499994</v>
      </c>
      <c r="AU50" s="223">
        <f>1850*(1+'Inputs &amp; Drivers'!$N$70)^(AU5-1)</f>
        <v>1934.5049937499994</v>
      </c>
      <c r="AV50" s="223">
        <f>1850*(1+'Inputs &amp; Drivers'!$N$70)^(AV5-1)</f>
        <v>1934.5049937499994</v>
      </c>
      <c r="AW50" s="223">
        <f>1850*(1+'Inputs &amp; Drivers'!$N$70)^(AW5-1)</f>
        <v>1934.5049937499994</v>
      </c>
      <c r="AX50" s="223">
        <f>1850*(1+'Inputs &amp; Drivers'!$N$70)^(AX5-1)</f>
        <v>1934.5049937499994</v>
      </c>
      <c r="AY50" s="223">
        <f>1850*(1+'Inputs &amp; Drivers'!$N$70)^(AY5-1)</f>
        <v>1934.5049937499994</v>
      </c>
      <c r="AZ50" s="223">
        <f>1850*(1+'Inputs &amp; Drivers'!$N$70)^(AZ5-1)</f>
        <v>1934.5049937499994</v>
      </c>
      <c r="BA50" s="223">
        <f>1850*(1+'Inputs &amp; Drivers'!$N$70)^(BA5-1)</f>
        <v>1934.5049937499994</v>
      </c>
      <c r="BB50" s="223">
        <f>1850*(1+'Inputs &amp; Drivers'!$N$70)^(BB5-1)</f>
        <v>1934.5049937499994</v>
      </c>
      <c r="BC50" s="223">
        <f>1850*(1+'Inputs &amp; Drivers'!$N$70)^(BC5-1)</f>
        <v>1934.5049937499994</v>
      </c>
      <c r="BD50" s="223">
        <f>1850*(1+'Inputs &amp; Drivers'!$N$70)^(BD5-1)</f>
        <v>1934.5049937499994</v>
      </c>
      <c r="BE50" s="223">
        <f>1850*(1+'Inputs &amp; Drivers'!$N$70)^(BE5-1)</f>
        <v>1963.5225686562489</v>
      </c>
      <c r="BF50" s="223">
        <f>1850*(1+'Inputs &amp; Drivers'!$N$70)^(BF5-1)</f>
        <v>1963.5225686562489</v>
      </c>
      <c r="BG50" s="223">
        <f>1850*(1+'Inputs &amp; Drivers'!$N$70)^(BG5-1)</f>
        <v>1963.5225686562489</v>
      </c>
      <c r="BH50" s="223">
        <f>1850*(1+'Inputs &amp; Drivers'!$N$70)^(BH5-1)</f>
        <v>1963.5225686562489</v>
      </c>
      <c r="BI50" s="223">
        <f>1850*(1+'Inputs &amp; Drivers'!$N$70)^(BI5-1)</f>
        <v>1963.5225686562489</v>
      </c>
      <c r="BJ50" s="223">
        <f>1850*(1+'Inputs &amp; Drivers'!$N$70)^(BJ5-1)</f>
        <v>1963.5225686562489</v>
      </c>
      <c r="BK50" s="223">
        <f>1850*(1+'Inputs &amp; Drivers'!$N$70)^(BK5-1)</f>
        <v>1963.5225686562489</v>
      </c>
      <c r="BL50" s="223">
        <f>1850*(1+'Inputs &amp; Drivers'!$N$70)^(BL5-1)</f>
        <v>1963.5225686562489</v>
      </c>
      <c r="BM50" s="223">
        <f>1850*(1+'Inputs &amp; Drivers'!$N$70)^(BM5-1)</f>
        <v>1963.5225686562489</v>
      </c>
      <c r="BN50" s="223">
        <f>1850*(1+'Inputs &amp; Drivers'!$N$70)^(BN5-1)</f>
        <v>1963.5225686562489</v>
      </c>
      <c r="BO50" s="223">
        <f>1850*(1+'Inputs &amp; Drivers'!$N$70)^(BO5-1)</f>
        <v>1963.5225686562489</v>
      </c>
      <c r="BP50" s="223">
        <f>1850*(1+'Inputs &amp; Drivers'!$N$70)^(BP5-1)</f>
        <v>1963.5225686562489</v>
      </c>
      <c r="BR50" s="217">
        <f t="shared" si="356"/>
        <v>22200</v>
      </c>
      <c r="BS50" s="217">
        <f>E50</f>
        <v>17296.039999999997</v>
      </c>
      <c r="BT50" s="217">
        <f>BS50-BR50</f>
        <v>-4903.9600000000028</v>
      </c>
      <c r="BV50" t="s">
        <v>32</v>
      </c>
      <c r="BW50" s="217">
        <f t="shared" si="358"/>
        <v>22200</v>
      </c>
      <c r="BX50" s="217">
        <f t="shared" si="358"/>
        <v>22532.999999999996</v>
      </c>
      <c r="BY50" s="217">
        <f t="shared" si="358"/>
        <v>22870.994999999992</v>
      </c>
      <c r="BZ50" s="217">
        <f t="shared" si="358"/>
        <v>23214.059924999994</v>
      </c>
      <c r="CA50" s="217">
        <f t="shared" si="358"/>
        <v>23562.27082387498</v>
      </c>
      <c r="CC50" s="217">
        <f t="shared" si="349"/>
        <v>22200</v>
      </c>
      <c r="CD50" s="217">
        <f t="shared" si="350"/>
        <v>22532.999999999996</v>
      </c>
      <c r="CE50" s="217">
        <f t="shared" si="351"/>
        <v>22870.994999999992</v>
      </c>
      <c r="CF50" s="217">
        <f t="shared" si="352"/>
        <v>23214.059924999994</v>
      </c>
      <c r="CG50" s="217">
        <f t="shared" si="353"/>
        <v>23562.27082387498</v>
      </c>
      <c r="CI50" t="str">
        <f t="shared" si="354"/>
        <v>OK</v>
      </c>
      <c r="CJ50" t="str">
        <f t="shared" si="348"/>
        <v>OK</v>
      </c>
      <c r="CK50" t="str">
        <f t="shared" si="348"/>
        <v>OK</v>
      </c>
      <c r="CL50" t="str">
        <f t="shared" si="348"/>
        <v>OK</v>
      </c>
      <c r="CM50" t="str">
        <f t="shared" si="348"/>
        <v>OK</v>
      </c>
    </row>
    <row r="51" spans="2:91" x14ac:dyDescent="0.3">
      <c r="B51" t="s">
        <v>81</v>
      </c>
      <c r="E51" s="121">
        <f>SUM('P-Builder'!O34:Q34)*4</f>
        <v>0</v>
      </c>
      <c r="F51" s="121">
        <f>SUM('P-Builder'!F34:Q34)</f>
        <v>0</v>
      </c>
      <c r="H51" s="220">
        <f>'P-Builder'!Q34</f>
        <v>0</v>
      </c>
      <c r="I51" s="220">
        <v>0</v>
      </c>
      <c r="J51" s="217">
        <f>(1+INDEX('Inputs &amp; Drivers'!$I$61:$I$65,MATCH(Model2.0!J$5,'Inputs &amp; Drivers'!$B$61:$B$65,0))*(Model2.0!J$5&lt;&gt;Model2.0!I$5))*Model2.0!I51</f>
        <v>0</v>
      </c>
      <c r="K51" s="217">
        <f>(1+INDEX('Inputs &amp; Drivers'!$I$61:$I$65,MATCH(Model2.0!K$5,'Inputs &amp; Drivers'!$B$61:$B$65,0))*(Model2.0!K$5&lt;&gt;Model2.0!J$5))*Model2.0!J51</f>
        <v>0</v>
      </c>
      <c r="L51" s="217">
        <f>(1+INDEX('Inputs &amp; Drivers'!$I$61:$I$65,MATCH(Model2.0!L$5,'Inputs &amp; Drivers'!$B$61:$B$65,0))*(Model2.0!L$5&lt;&gt;Model2.0!K$5))*Model2.0!K51</f>
        <v>0</v>
      </c>
      <c r="M51" s="217">
        <f>(1+INDEX('Inputs &amp; Drivers'!$I$61:$I$65,MATCH(Model2.0!M$5,'Inputs &amp; Drivers'!$B$61:$B$65,0))*(Model2.0!M$5&lt;&gt;Model2.0!L$5))*Model2.0!L51</f>
        <v>0</v>
      </c>
      <c r="N51" s="217">
        <f>(1+INDEX('Inputs &amp; Drivers'!$I$61:$I$65,MATCH(Model2.0!N$5,'Inputs &amp; Drivers'!$B$61:$B$65,0))*(Model2.0!N$5&lt;&gt;Model2.0!M$5))*Model2.0!M51</f>
        <v>0</v>
      </c>
      <c r="O51" s="217">
        <f>(1+INDEX('Inputs &amp; Drivers'!$I$61:$I$65,MATCH(Model2.0!O$5,'Inputs &amp; Drivers'!$B$61:$B$65,0))*(Model2.0!O$5&lt;&gt;Model2.0!N$5))*Model2.0!N51</f>
        <v>0</v>
      </c>
      <c r="P51" s="217">
        <f>(1+INDEX('Inputs &amp; Drivers'!$I$61:$I$65,MATCH(Model2.0!P$5,'Inputs &amp; Drivers'!$B$61:$B$65,0))*(Model2.0!P$5&lt;&gt;Model2.0!O$5))*Model2.0!O51</f>
        <v>0</v>
      </c>
      <c r="Q51" s="217">
        <f>(1+INDEX('Inputs &amp; Drivers'!$I$61:$I$65,MATCH(Model2.0!Q$5,'Inputs &amp; Drivers'!$B$61:$B$65,0))*(Model2.0!Q$5&lt;&gt;Model2.0!P$5))*Model2.0!P51</f>
        <v>0</v>
      </c>
      <c r="R51" s="217">
        <f>(1+INDEX('Inputs &amp; Drivers'!$I$61:$I$65,MATCH(Model2.0!R$5,'Inputs &amp; Drivers'!$B$61:$B$65,0))*(Model2.0!R$5&lt;&gt;Model2.0!Q$5))*Model2.0!Q51</f>
        <v>0</v>
      </c>
      <c r="S51" s="217">
        <f>(1+INDEX('Inputs &amp; Drivers'!$I$61:$I$65,MATCH(Model2.0!S$5,'Inputs &amp; Drivers'!$B$61:$B$65,0))*(Model2.0!S$5&lt;&gt;Model2.0!R$5))*Model2.0!R51</f>
        <v>0</v>
      </c>
      <c r="T51" s="217">
        <f>(1+INDEX('Inputs &amp; Drivers'!$I$61:$I$65,MATCH(Model2.0!T$5,'Inputs &amp; Drivers'!$B$61:$B$65,0))*(Model2.0!T$5&lt;&gt;Model2.0!S$5))*Model2.0!S51</f>
        <v>0</v>
      </c>
      <c r="U51" s="217">
        <f>(1+INDEX('Inputs &amp; Drivers'!$I$61:$I$65,MATCH(Model2.0!U$5,'Inputs &amp; Drivers'!$B$61:$B$65,0))*(Model2.0!U$5&lt;&gt;Model2.0!T$5))*Model2.0!T51</f>
        <v>0</v>
      </c>
      <c r="V51" s="217">
        <f>(1+INDEX('Inputs &amp; Drivers'!$I$61:$I$65,MATCH(Model2.0!V$5,'Inputs &amp; Drivers'!$B$61:$B$65,0))*(Model2.0!V$5&lt;&gt;Model2.0!U$5))*Model2.0!U51</f>
        <v>0</v>
      </c>
      <c r="W51" s="217">
        <f>(1+INDEX('Inputs &amp; Drivers'!$I$61:$I$65,MATCH(Model2.0!W$5,'Inputs &amp; Drivers'!$B$61:$B$65,0))*(Model2.0!W$5&lt;&gt;Model2.0!V$5))*Model2.0!V51</f>
        <v>0</v>
      </c>
      <c r="X51" s="217">
        <f>(1+INDEX('Inputs &amp; Drivers'!$I$61:$I$65,MATCH(Model2.0!X$5,'Inputs &amp; Drivers'!$B$61:$B$65,0))*(Model2.0!X$5&lt;&gt;Model2.0!W$5))*Model2.0!W51</f>
        <v>0</v>
      </c>
      <c r="Y51" s="217">
        <f>(1+INDEX('Inputs &amp; Drivers'!$I$61:$I$65,MATCH(Model2.0!Y$5,'Inputs &amp; Drivers'!$B$61:$B$65,0))*(Model2.0!Y$5&lt;&gt;Model2.0!X$5))*Model2.0!X51</f>
        <v>0</v>
      </c>
      <c r="Z51" s="217">
        <f>(1+INDEX('Inputs &amp; Drivers'!$I$61:$I$65,MATCH(Model2.0!Z$5,'Inputs &amp; Drivers'!$B$61:$B$65,0))*(Model2.0!Z$5&lt;&gt;Model2.0!Y$5))*Model2.0!Y51</f>
        <v>0</v>
      </c>
      <c r="AA51" s="217">
        <f>(1+INDEX('Inputs &amp; Drivers'!$I$61:$I$65,MATCH(Model2.0!AA$5,'Inputs &amp; Drivers'!$B$61:$B$65,0))*(Model2.0!AA$5&lt;&gt;Model2.0!Z$5))*Model2.0!Z51</f>
        <v>0</v>
      </c>
      <c r="AB51" s="217">
        <f>(1+INDEX('Inputs &amp; Drivers'!$I$61:$I$65,MATCH(Model2.0!AB$5,'Inputs &amp; Drivers'!$B$61:$B$65,0))*(Model2.0!AB$5&lt;&gt;Model2.0!AA$5))*Model2.0!AA51</f>
        <v>0</v>
      </c>
      <c r="AC51" s="217">
        <f>(1+INDEX('Inputs &amp; Drivers'!$I$61:$I$65,MATCH(Model2.0!AC$5,'Inputs &amp; Drivers'!$B$61:$B$65,0))*(Model2.0!AC$5&lt;&gt;Model2.0!AB$5))*Model2.0!AB51</f>
        <v>0</v>
      </c>
      <c r="AD51" s="217">
        <f>(1+INDEX('Inputs &amp; Drivers'!$I$61:$I$65,MATCH(Model2.0!AD$5,'Inputs &amp; Drivers'!$B$61:$B$65,0))*(Model2.0!AD$5&lt;&gt;Model2.0!AC$5))*Model2.0!AC51</f>
        <v>0</v>
      </c>
      <c r="AE51" s="217">
        <f>(1+INDEX('Inputs &amp; Drivers'!$I$61:$I$65,MATCH(Model2.0!AE$5,'Inputs &amp; Drivers'!$B$61:$B$65,0))*(Model2.0!AE$5&lt;&gt;Model2.0!AD$5))*Model2.0!AD51</f>
        <v>0</v>
      </c>
      <c r="AF51" s="217">
        <f>(1+INDEX('Inputs &amp; Drivers'!$I$61:$I$65,MATCH(Model2.0!AF$5,'Inputs &amp; Drivers'!$B$61:$B$65,0))*(Model2.0!AF$5&lt;&gt;Model2.0!AE$5))*Model2.0!AE51</f>
        <v>0</v>
      </c>
      <c r="AG51" s="217">
        <f>(1+INDEX('Inputs &amp; Drivers'!$I$61:$I$65,MATCH(Model2.0!AG$5,'Inputs &amp; Drivers'!$B$61:$B$65,0))*(Model2.0!AG$5&lt;&gt;Model2.0!AF$5))*Model2.0!AF51</f>
        <v>0</v>
      </c>
      <c r="AH51" s="217">
        <f>(1+INDEX('Inputs &amp; Drivers'!$I$61:$I$65,MATCH(Model2.0!AH$5,'Inputs &amp; Drivers'!$B$61:$B$65,0))*(Model2.0!AH$5&lt;&gt;Model2.0!AG$5))*Model2.0!AG51</f>
        <v>0</v>
      </c>
      <c r="AI51" s="217">
        <f>(1+INDEX('Inputs &amp; Drivers'!$I$61:$I$65,MATCH(Model2.0!AI$5,'Inputs &amp; Drivers'!$B$61:$B$65,0))*(Model2.0!AI$5&lt;&gt;Model2.0!AH$5))*Model2.0!AH51</f>
        <v>0</v>
      </c>
      <c r="AJ51" s="217">
        <f>(1+INDEX('Inputs &amp; Drivers'!$I$61:$I$65,MATCH(Model2.0!AJ$5,'Inputs &amp; Drivers'!$B$61:$B$65,0))*(Model2.0!AJ$5&lt;&gt;Model2.0!AI$5))*Model2.0!AI51</f>
        <v>0</v>
      </c>
      <c r="AK51" s="217">
        <f>(1+INDEX('Inputs &amp; Drivers'!$I$61:$I$65,MATCH(Model2.0!AK$5,'Inputs &amp; Drivers'!$B$61:$B$65,0))*(Model2.0!AK$5&lt;&gt;Model2.0!AJ$5))*Model2.0!AJ51</f>
        <v>0</v>
      </c>
      <c r="AL51" s="217">
        <f>(1+INDEX('Inputs &amp; Drivers'!$I$61:$I$65,MATCH(Model2.0!AL$5,'Inputs &amp; Drivers'!$B$61:$B$65,0))*(Model2.0!AL$5&lt;&gt;Model2.0!AK$5))*Model2.0!AK51</f>
        <v>0</v>
      </c>
      <c r="AM51" s="217">
        <f>(1+INDEX('Inputs &amp; Drivers'!$I$61:$I$65,MATCH(Model2.0!AM$5,'Inputs &amp; Drivers'!$B$61:$B$65,0))*(Model2.0!AM$5&lt;&gt;Model2.0!AL$5))*Model2.0!AL51</f>
        <v>0</v>
      </c>
      <c r="AN51" s="217">
        <f>(1+INDEX('Inputs &amp; Drivers'!$I$61:$I$65,MATCH(Model2.0!AN$5,'Inputs &amp; Drivers'!$B$61:$B$65,0))*(Model2.0!AN$5&lt;&gt;Model2.0!AM$5))*Model2.0!AM51</f>
        <v>0</v>
      </c>
      <c r="AO51" s="217">
        <f>(1+INDEX('Inputs &amp; Drivers'!$I$61:$I$65,MATCH(Model2.0!AO$5,'Inputs &amp; Drivers'!$B$61:$B$65,0))*(Model2.0!AO$5&lt;&gt;Model2.0!AN$5))*Model2.0!AN51</f>
        <v>0</v>
      </c>
      <c r="AP51" s="217">
        <f>(1+INDEX('Inputs &amp; Drivers'!$I$61:$I$65,MATCH(Model2.0!AP$5,'Inputs &amp; Drivers'!$B$61:$B$65,0))*(Model2.0!AP$5&lt;&gt;Model2.0!AO$5))*Model2.0!AO51</f>
        <v>0</v>
      </c>
      <c r="AQ51" s="217">
        <f>(1+INDEX('Inputs &amp; Drivers'!$I$61:$I$65,MATCH(Model2.0!AQ$5,'Inputs &amp; Drivers'!$B$61:$B$65,0))*(Model2.0!AQ$5&lt;&gt;Model2.0!AP$5))*Model2.0!AP51</f>
        <v>0</v>
      </c>
      <c r="AR51" s="217">
        <f>(1+INDEX('Inputs &amp; Drivers'!$I$61:$I$65,MATCH(Model2.0!AR$5,'Inputs &amp; Drivers'!$B$61:$B$65,0))*(Model2.0!AR$5&lt;&gt;Model2.0!AQ$5))*Model2.0!AQ51</f>
        <v>0</v>
      </c>
      <c r="AS51" s="217">
        <f>(1+INDEX('Inputs &amp; Drivers'!$I$61:$I$65,MATCH(Model2.0!AS$5,'Inputs &amp; Drivers'!$B$61:$B$65,0))*(Model2.0!AS$5&lt;&gt;Model2.0!AR$5))*Model2.0!AR51</f>
        <v>0</v>
      </c>
      <c r="AT51" s="217">
        <f>(1+INDEX('Inputs &amp; Drivers'!$I$61:$I$65,MATCH(Model2.0!AT$5,'Inputs &amp; Drivers'!$B$61:$B$65,0))*(Model2.0!AT$5&lt;&gt;Model2.0!AS$5))*Model2.0!AS51</f>
        <v>0</v>
      </c>
      <c r="AU51" s="217">
        <f>(1+INDEX('Inputs &amp; Drivers'!$I$61:$I$65,MATCH(Model2.0!AU$5,'Inputs &amp; Drivers'!$B$61:$B$65,0))*(Model2.0!AU$5&lt;&gt;Model2.0!AT$5))*Model2.0!AT51</f>
        <v>0</v>
      </c>
      <c r="AV51" s="217">
        <f>(1+INDEX('Inputs &amp; Drivers'!$I$61:$I$65,MATCH(Model2.0!AV$5,'Inputs &amp; Drivers'!$B$61:$B$65,0))*(Model2.0!AV$5&lt;&gt;Model2.0!AU$5))*Model2.0!AU51</f>
        <v>0</v>
      </c>
      <c r="AW51" s="217">
        <f>(1+INDEX('Inputs &amp; Drivers'!$I$61:$I$65,MATCH(Model2.0!AW$5,'Inputs &amp; Drivers'!$B$61:$B$65,0))*(Model2.0!AW$5&lt;&gt;Model2.0!AV$5))*Model2.0!AV51</f>
        <v>0</v>
      </c>
      <c r="AX51" s="217">
        <f>(1+INDEX('Inputs &amp; Drivers'!$I$61:$I$65,MATCH(Model2.0!AX$5,'Inputs &amp; Drivers'!$B$61:$B$65,0))*(Model2.0!AX$5&lt;&gt;Model2.0!AW$5))*Model2.0!AW51</f>
        <v>0</v>
      </c>
      <c r="AY51" s="217">
        <f>(1+INDEX('Inputs &amp; Drivers'!$I$61:$I$65,MATCH(Model2.0!AY$5,'Inputs &amp; Drivers'!$B$61:$B$65,0))*(Model2.0!AY$5&lt;&gt;Model2.0!AX$5))*Model2.0!AX51</f>
        <v>0</v>
      </c>
      <c r="AZ51" s="217">
        <f>(1+INDEX('Inputs &amp; Drivers'!$I$61:$I$65,MATCH(Model2.0!AZ$5,'Inputs &amp; Drivers'!$B$61:$B$65,0))*(Model2.0!AZ$5&lt;&gt;Model2.0!AY$5))*Model2.0!AY51</f>
        <v>0</v>
      </c>
      <c r="BA51" s="217">
        <f>(1+INDEX('Inputs &amp; Drivers'!$I$61:$I$65,MATCH(Model2.0!BA$5,'Inputs &amp; Drivers'!$B$61:$B$65,0))*(Model2.0!BA$5&lt;&gt;Model2.0!AZ$5))*Model2.0!AZ51</f>
        <v>0</v>
      </c>
      <c r="BB51" s="217">
        <f>(1+INDEX('Inputs &amp; Drivers'!$I$61:$I$65,MATCH(Model2.0!BB$5,'Inputs &amp; Drivers'!$B$61:$B$65,0))*(Model2.0!BB$5&lt;&gt;Model2.0!BA$5))*Model2.0!BA51</f>
        <v>0</v>
      </c>
      <c r="BC51" s="217">
        <f>(1+INDEX('Inputs &amp; Drivers'!$I$61:$I$65,MATCH(Model2.0!BC$5,'Inputs &amp; Drivers'!$B$61:$B$65,0))*(Model2.0!BC$5&lt;&gt;Model2.0!BB$5))*Model2.0!BB51</f>
        <v>0</v>
      </c>
      <c r="BD51" s="217">
        <f>(1+INDEX('Inputs &amp; Drivers'!$I$61:$I$65,MATCH(Model2.0!BD$5,'Inputs &amp; Drivers'!$B$61:$B$65,0))*(Model2.0!BD$5&lt;&gt;Model2.0!BC$5))*Model2.0!BC51</f>
        <v>0</v>
      </c>
      <c r="BE51" s="217">
        <f>(1+INDEX('Inputs &amp; Drivers'!$I$61:$I$65,MATCH(Model2.0!BE$5,'Inputs &amp; Drivers'!$B$61:$B$65,0))*(Model2.0!BE$5&lt;&gt;Model2.0!BD$5))*Model2.0!BD51</f>
        <v>0</v>
      </c>
      <c r="BF51" s="217">
        <f>(1+INDEX('Inputs &amp; Drivers'!$I$61:$I$65,MATCH(Model2.0!BF$5,'Inputs &amp; Drivers'!$B$61:$B$65,0))*(Model2.0!BF$5&lt;&gt;Model2.0!BE$5))*Model2.0!BE51</f>
        <v>0</v>
      </c>
      <c r="BG51" s="217">
        <f>(1+INDEX('Inputs &amp; Drivers'!$I$61:$I$65,MATCH(Model2.0!BG$5,'Inputs &amp; Drivers'!$B$61:$B$65,0))*(Model2.0!BG$5&lt;&gt;Model2.0!BF$5))*Model2.0!BF51</f>
        <v>0</v>
      </c>
      <c r="BH51" s="217">
        <f>(1+INDEX('Inputs &amp; Drivers'!$I$61:$I$65,MATCH(Model2.0!BH$5,'Inputs &amp; Drivers'!$B$61:$B$65,0))*(Model2.0!BH$5&lt;&gt;Model2.0!BG$5))*Model2.0!BG51</f>
        <v>0</v>
      </c>
      <c r="BI51" s="217">
        <f>(1+INDEX('Inputs &amp; Drivers'!$I$61:$I$65,MATCH(Model2.0!BI$5,'Inputs &amp; Drivers'!$B$61:$B$65,0))*(Model2.0!BI$5&lt;&gt;Model2.0!BH$5))*Model2.0!BH51</f>
        <v>0</v>
      </c>
      <c r="BJ51" s="217">
        <f>(1+INDEX('Inputs &amp; Drivers'!$I$61:$I$65,MATCH(Model2.0!BJ$5,'Inputs &amp; Drivers'!$B$61:$B$65,0))*(Model2.0!BJ$5&lt;&gt;Model2.0!BI$5))*Model2.0!BI51</f>
        <v>0</v>
      </c>
      <c r="BK51" s="217">
        <f>(1+INDEX('Inputs &amp; Drivers'!$I$61:$I$65,MATCH(Model2.0!BK$5,'Inputs &amp; Drivers'!$B$61:$B$65,0))*(Model2.0!BK$5&lt;&gt;Model2.0!BJ$5))*Model2.0!BJ51</f>
        <v>0</v>
      </c>
      <c r="BL51" s="217">
        <f>(1+INDEX('Inputs &amp; Drivers'!$I$61:$I$65,MATCH(Model2.0!BL$5,'Inputs &amp; Drivers'!$B$61:$B$65,0))*(Model2.0!BL$5&lt;&gt;Model2.0!BK$5))*Model2.0!BK51</f>
        <v>0</v>
      </c>
      <c r="BM51" s="217">
        <f>(1+INDEX('Inputs &amp; Drivers'!$I$61:$I$65,MATCH(Model2.0!BM$5,'Inputs &amp; Drivers'!$B$61:$B$65,0))*(Model2.0!BM$5&lt;&gt;Model2.0!BL$5))*Model2.0!BL51</f>
        <v>0</v>
      </c>
      <c r="BN51" s="217">
        <f>(1+INDEX('Inputs &amp; Drivers'!$I$61:$I$65,MATCH(Model2.0!BN$5,'Inputs &amp; Drivers'!$B$61:$B$65,0))*(Model2.0!BN$5&lt;&gt;Model2.0!BM$5))*Model2.0!BM51</f>
        <v>0</v>
      </c>
      <c r="BO51" s="217">
        <f>(1+INDEX('Inputs &amp; Drivers'!$I$61:$I$65,MATCH(Model2.0!BO$5,'Inputs &amp; Drivers'!$B$61:$B$65,0))*(Model2.0!BO$5&lt;&gt;Model2.0!BN$5))*Model2.0!BN51</f>
        <v>0</v>
      </c>
      <c r="BP51" s="217">
        <f>(1+INDEX('Inputs &amp; Drivers'!$I$61:$I$65,MATCH(Model2.0!BP$5,'Inputs &amp; Drivers'!$B$61:$B$65,0))*(Model2.0!BP$5&lt;&gt;Model2.0!BO$5))*Model2.0!BO51</f>
        <v>0</v>
      </c>
      <c r="BR51" s="217">
        <f t="shared" ref="BR51" si="359">SUM(I51:T51)</f>
        <v>0</v>
      </c>
      <c r="BS51" s="217">
        <f>E51</f>
        <v>0</v>
      </c>
      <c r="BT51" s="217">
        <f t="shared" ref="BT51" si="360">BS51-BR51</f>
        <v>0</v>
      </c>
      <c r="BV51" t="s">
        <v>81</v>
      </c>
      <c r="BW51" s="217">
        <f t="shared" si="358"/>
        <v>0</v>
      </c>
      <c r="BX51" s="217">
        <f t="shared" si="358"/>
        <v>0</v>
      </c>
      <c r="BY51" s="217">
        <f t="shared" si="358"/>
        <v>0</v>
      </c>
      <c r="BZ51" s="217">
        <f t="shared" si="358"/>
        <v>0</v>
      </c>
      <c r="CA51" s="217">
        <f>SUMIF($I$5:$BP$5,CA$18,$I51:$BP51)</f>
        <v>0</v>
      </c>
      <c r="CC51" s="217">
        <f t="shared" si="349"/>
        <v>0</v>
      </c>
      <c r="CD51" s="217">
        <f t="shared" si="350"/>
        <v>0</v>
      </c>
      <c r="CE51" s="217">
        <f t="shared" si="351"/>
        <v>0</v>
      </c>
      <c r="CF51" s="217">
        <f t="shared" si="352"/>
        <v>0</v>
      </c>
      <c r="CG51" s="217">
        <f t="shared" si="353"/>
        <v>0</v>
      </c>
      <c r="CI51" t="str">
        <f t="shared" ref="CI51" si="361">IF(CC51=BW51,"OK","Check")</f>
        <v>OK</v>
      </c>
      <c r="CJ51" t="str">
        <f t="shared" ref="CJ51" si="362">IF(CD51=BX51,"OK","Check")</f>
        <v>OK</v>
      </c>
      <c r="CK51" t="str">
        <f t="shared" ref="CK51" si="363">IF(CE51=BY51,"OK","Check")</f>
        <v>OK</v>
      </c>
      <c r="CL51" t="str">
        <f t="shared" ref="CL51" si="364">IF(CF51=BZ51,"OK","Check")</f>
        <v>OK</v>
      </c>
      <c r="CM51" t="str">
        <f t="shared" ref="CM51" si="365">IF(CG51=CA51,"OK","Check")</f>
        <v>OK</v>
      </c>
    </row>
    <row r="52" spans="2:91" x14ac:dyDescent="0.3">
      <c r="B52" t="s">
        <v>33</v>
      </c>
      <c r="E52" s="121">
        <f>SUM('P-Builder'!O35:Q35)*4</f>
        <v>1675.96</v>
      </c>
      <c r="F52" s="121">
        <f>SUM('P-Builder'!F35:Q35)</f>
        <v>1940.76</v>
      </c>
      <c r="H52" s="220">
        <f>'P-Builder'!Q35</f>
        <v>163.16</v>
      </c>
      <c r="I52" s="220">
        <f>'Inputs &amp; Drivers'!J51/12</f>
        <v>161.73000000000002</v>
      </c>
      <c r="J52" s="217">
        <f>(1+INDEX('Inputs &amp; Drivers'!$I$61:$I$65,MATCH(Model2.0!J$5,'Inputs &amp; Drivers'!$B$61:$B$65,0))*(Model2.0!J$5&lt;&gt;Model2.0!I$5))*Model2.0!I52</f>
        <v>161.73000000000002</v>
      </c>
      <c r="K52" s="217">
        <f>(1+INDEX('Inputs &amp; Drivers'!$I$61:$I$65,MATCH(Model2.0!K$5,'Inputs &amp; Drivers'!$B$61:$B$65,0))*(Model2.0!K$5&lt;&gt;Model2.0!J$5))*Model2.0!J52</f>
        <v>161.73000000000002</v>
      </c>
      <c r="L52" s="217">
        <f>(1+INDEX('Inputs &amp; Drivers'!$I$61:$I$65,MATCH(Model2.0!L$5,'Inputs &amp; Drivers'!$B$61:$B$65,0))*(Model2.0!L$5&lt;&gt;Model2.0!K$5))*Model2.0!K52</f>
        <v>161.73000000000002</v>
      </c>
      <c r="M52" s="217">
        <f>(1+INDEX('Inputs &amp; Drivers'!$I$61:$I$65,MATCH(Model2.0!M$5,'Inputs &amp; Drivers'!$B$61:$B$65,0))*(Model2.0!M$5&lt;&gt;Model2.0!L$5))*Model2.0!L52</f>
        <v>161.73000000000002</v>
      </c>
      <c r="N52" s="217">
        <f>(1+INDEX('Inputs &amp; Drivers'!$I$61:$I$65,MATCH(Model2.0!N$5,'Inputs &amp; Drivers'!$B$61:$B$65,0))*(Model2.0!N$5&lt;&gt;Model2.0!M$5))*Model2.0!M52</f>
        <v>161.73000000000002</v>
      </c>
      <c r="O52" s="217">
        <f>(1+INDEX('Inputs &amp; Drivers'!$I$61:$I$65,MATCH(Model2.0!O$5,'Inputs &amp; Drivers'!$B$61:$B$65,0))*(Model2.0!O$5&lt;&gt;Model2.0!N$5))*Model2.0!N52</f>
        <v>161.73000000000002</v>
      </c>
      <c r="P52" s="217">
        <f>(1+INDEX('Inputs &amp; Drivers'!$I$61:$I$65,MATCH(Model2.0!P$5,'Inputs &amp; Drivers'!$B$61:$B$65,0))*(Model2.0!P$5&lt;&gt;Model2.0!O$5))*Model2.0!O52</f>
        <v>161.73000000000002</v>
      </c>
      <c r="Q52" s="217">
        <f>(1+INDEX('Inputs &amp; Drivers'!$I$61:$I$65,MATCH(Model2.0!Q$5,'Inputs &amp; Drivers'!$B$61:$B$65,0))*(Model2.0!Q$5&lt;&gt;Model2.0!P$5))*Model2.0!P52</f>
        <v>161.73000000000002</v>
      </c>
      <c r="R52" s="217">
        <f>(1+INDEX('Inputs &amp; Drivers'!$I$61:$I$65,MATCH(Model2.0!R$5,'Inputs &amp; Drivers'!$B$61:$B$65,0))*(Model2.0!R$5&lt;&gt;Model2.0!Q$5))*Model2.0!Q52</f>
        <v>161.73000000000002</v>
      </c>
      <c r="S52" s="217">
        <f>(1+INDEX('Inputs &amp; Drivers'!$I$61:$I$65,MATCH(Model2.0!S$5,'Inputs &amp; Drivers'!$B$61:$B$65,0))*(Model2.0!S$5&lt;&gt;Model2.0!R$5))*Model2.0!R52</f>
        <v>161.73000000000002</v>
      </c>
      <c r="T52" s="217">
        <f>(1+INDEX('Inputs &amp; Drivers'!$I$61:$I$65,MATCH(Model2.0!T$5,'Inputs &amp; Drivers'!$B$61:$B$65,0))*(Model2.0!T$5&lt;&gt;Model2.0!S$5))*Model2.0!S52</f>
        <v>161.73000000000002</v>
      </c>
      <c r="U52" s="217">
        <f>(1+INDEX('Inputs &amp; Drivers'!$I$61:$I$65,MATCH(Model2.0!U$5,'Inputs &amp; Drivers'!$B$61:$B$65,0))*(Model2.0!U$5&lt;&gt;Model2.0!T$5))*Model2.0!T52</f>
        <v>164.96460000000002</v>
      </c>
      <c r="V52" s="217">
        <f>(1+INDEX('Inputs &amp; Drivers'!$I$61:$I$65,MATCH(Model2.0!V$5,'Inputs &amp; Drivers'!$B$61:$B$65,0))*(Model2.0!V$5&lt;&gt;Model2.0!U$5))*Model2.0!U52</f>
        <v>164.96460000000002</v>
      </c>
      <c r="W52" s="217">
        <f>(1+INDEX('Inputs &amp; Drivers'!$I$61:$I$65,MATCH(Model2.0!W$5,'Inputs &amp; Drivers'!$B$61:$B$65,0))*(Model2.0!W$5&lt;&gt;Model2.0!V$5))*Model2.0!V52</f>
        <v>164.96460000000002</v>
      </c>
      <c r="X52" s="217">
        <f>(1+INDEX('Inputs &amp; Drivers'!$I$61:$I$65,MATCH(Model2.0!X$5,'Inputs &amp; Drivers'!$B$61:$B$65,0))*(Model2.0!X$5&lt;&gt;Model2.0!W$5))*Model2.0!W52</f>
        <v>164.96460000000002</v>
      </c>
      <c r="Y52" s="217">
        <f>(1+INDEX('Inputs &amp; Drivers'!$I$61:$I$65,MATCH(Model2.0!Y$5,'Inputs &amp; Drivers'!$B$61:$B$65,0))*(Model2.0!Y$5&lt;&gt;Model2.0!X$5))*Model2.0!X52</f>
        <v>164.96460000000002</v>
      </c>
      <c r="Z52" s="217">
        <f>(1+INDEX('Inputs &amp; Drivers'!$I$61:$I$65,MATCH(Model2.0!Z$5,'Inputs &amp; Drivers'!$B$61:$B$65,0))*(Model2.0!Z$5&lt;&gt;Model2.0!Y$5))*Model2.0!Y52</f>
        <v>164.96460000000002</v>
      </c>
      <c r="AA52" s="217">
        <f>(1+INDEX('Inputs &amp; Drivers'!$I$61:$I$65,MATCH(Model2.0!AA$5,'Inputs &amp; Drivers'!$B$61:$B$65,0))*(Model2.0!AA$5&lt;&gt;Model2.0!Z$5))*Model2.0!Z52</f>
        <v>164.96460000000002</v>
      </c>
      <c r="AB52" s="217">
        <f>(1+INDEX('Inputs &amp; Drivers'!$I$61:$I$65,MATCH(Model2.0!AB$5,'Inputs &amp; Drivers'!$B$61:$B$65,0))*(Model2.0!AB$5&lt;&gt;Model2.0!AA$5))*Model2.0!AA52</f>
        <v>164.96460000000002</v>
      </c>
      <c r="AC52" s="217">
        <f>(1+INDEX('Inputs &amp; Drivers'!$I$61:$I$65,MATCH(Model2.0!AC$5,'Inputs &amp; Drivers'!$B$61:$B$65,0))*(Model2.0!AC$5&lt;&gt;Model2.0!AB$5))*Model2.0!AB52</f>
        <v>164.96460000000002</v>
      </c>
      <c r="AD52" s="217">
        <f>(1+INDEX('Inputs &amp; Drivers'!$I$61:$I$65,MATCH(Model2.0!AD$5,'Inputs &amp; Drivers'!$B$61:$B$65,0))*(Model2.0!AD$5&lt;&gt;Model2.0!AC$5))*Model2.0!AC52</f>
        <v>164.96460000000002</v>
      </c>
      <c r="AE52" s="217">
        <f>(1+INDEX('Inputs &amp; Drivers'!$I$61:$I$65,MATCH(Model2.0!AE$5,'Inputs &amp; Drivers'!$B$61:$B$65,0))*(Model2.0!AE$5&lt;&gt;Model2.0!AD$5))*Model2.0!AD52</f>
        <v>164.96460000000002</v>
      </c>
      <c r="AF52" s="217">
        <f>(1+INDEX('Inputs &amp; Drivers'!$I$61:$I$65,MATCH(Model2.0!AF$5,'Inputs &amp; Drivers'!$B$61:$B$65,0))*(Model2.0!AF$5&lt;&gt;Model2.0!AE$5))*Model2.0!AE52</f>
        <v>164.96460000000002</v>
      </c>
      <c r="AG52" s="217">
        <f>(1+INDEX('Inputs &amp; Drivers'!$I$61:$I$65,MATCH(Model2.0!AG$5,'Inputs &amp; Drivers'!$B$61:$B$65,0))*(Model2.0!AG$5&lt;&gt;Model2.0!AF$5))*Model2.0!AF52</f>
        <v>168.26389200000003</v>
      </c>
      <c r="AH52" s="217">
        <f>(1+INDEX('Inputs &amp; Drivers'!$I$61:$I$65,MATCH(Model2.0!AH$5,'Inputs &amp; Drivers'!$B$61:$B$65,0))*(Model2.0!AH$5&lt;&gt;Model2.0!AG$5))*Model2.0!AG52</f>
        <v>168.26389200000003</v>
      </c>
      <c r="AI52" s="217">
        <f>(1+INDEX('Inputs &amp; Drivers'!$I$61:$I$65,MATCH(Model2.0!AI$5,'Inputs &amp; Drivers'!$B$61:$B$65,0))*(Model2.0!AI$5&lt;&gt;Model2.0!AH$5))*Model2.0!AH52</f>
        <v>168.26389200000003</v>
      </c>
      <c r="AJ52" s="217">
        <f>(1+INDEX('Inputs &amp; Drivers'!$I$61:$I$65,MATCH(Model2.0!AJ$5,'Inputs &amp; Drivers'!$B$61:$B$65,0))*(Model2.0!AJ$5&lt;&gt;Model2.0!AI$5))*Model2.0!AI52</f>
        <v>168.26389200000003</v>
      </c>
      <c r="AK52" s="217">
        <f>(1+INDEX('Inputs &amp; Drivers'!$I$61:$I$65,MATCH(Model2.0!AK$5,'Inputs &amp; Drivers'!$B$61:$B$65,0))*(Model2.0!AK$5&lt;&gt;Model2.0!AJ$5))*Model2.0!AJ52</f>
        <v>168.26389200000003</v>
      </c>
      <c r="AL52" s="217">
        <f>(1+INDEX('Inputs &amp; Drivers'!$I$61:$I$65,MATCH(Model2.0!AL$5,'Inputs &amp; Drivers'!$B$61:$B$65,0))*(Model2.0!AL$5&lt;&gt;Model2.0!AK$5))*Model2.0!AK52</f>
        <v>168.26389200000003</v>
      </c>
      <c r="AM52" s="217">
        <f>(1+INDEX('Inputs &amp; Drivers'!$I$61:$I$65,MATCH(Model2.0!AM$5,'Inputs &amp; Drivers'!$B$61:$B$65,0))*(Model2.0!AM$5&lt;&gt;Model2.0!AL$5))*Model2.0!AL52</f>
        <v>168.26389200000003</v>
      </c>
      <c r="AN52" s="217">
        <f>(1+INDEX('Inputs &amp; Drivers'!$I$61:$I$65,MATCH(Model2.0!AN$5,'Inputs &amp; Drivers'!$B$61:$B$65,0))*(Model2.0!AN$5&lt;&gt;Model2.0!AM$5))*Model2.0!AM52</f>
        <v>168.26389200000003</v>
      </c>
      <c r="AO52" s="217">
        <f>(1+INDEX('Inputs &amp; Drivers'!$I$61:$I$65,MATCH(Model2.0!AO$5,'Inputs &amp; Drivers'!$B$61:$B$65,0))*(Model2.0!AO$5&lt;&gt;Model2.0!AN$5))*Model2.0!AN52</f>
        <v>168.26389200000003</v>
      </c>
      <c r="AP52" s="217">
        <f>(1+INDEX('Inputs &amp; Drivers'!$I$61:$I$65,MATCH(Model2.0!AP$5,'Inputs &amp; Drivers'!$B$61:$B$65,0))*(Model2.0!AP$5&lt;&gt;Model2.0!AO$5))*Model2.0!AO52</f>
        <v>168.26389200000003</v>
      </c>
      <c r="AQ52" s="217">
        <f>(1+INDEX('Inputs &amp; Drivers'!$I$61:$I$65,MATCH(Model2.0!AQ$5,'Inputs &amp; Drivers'!$B$61:$B$65,0))*(Model2.0!AQ$5&lt;&gt;Model2.0!AP$5))*Model2.0!AP52</f>
        <v>168.26389200000003</v>
      </c>
      <c r="AR52" s="217">
        <f>(1+INDEX('Inputs &amp; Drivers'!$I$61:$I$65,MATCH(Model2.0!AR$5,'Inputs &amp; Drivers'!$B$61:$B$65,0))*(Model2.0!AR$5&lt;&gt;Model2.0!AQ$5))*Model2.0!AQ52</f>
        <v>168.26389200000003</v>
      </c>
      <c r="AS52" s="217">
        <f>(1+INDEX('Inputs &amp; Drivers'!$I$61:$I$65,MATCH(Model2.0!AS$5,'Inputs &amp; Drivers'!$B$61:$B$65,0))*(Model2.0!AS$5&lt;&gt;Model2.0!AR$5))*Model2.0!AR52</f>
        <v>171.62916984000003</v>
      </c>
      <c r="AT52" s="217">
        <f>(1+INDEX('Inputs &amp; Drivers'!$I$61:$I$65,MATCH(Model2.0!AT$5,'Inputs &amp; Drivers'!$B$61:$B$65,0))*(Model2.0!AT$5&lt;&gt;Model2.0!AS$5))*Model2.0!AS52</f>
        <v>171.62916984000003</v>
      </c>
      <c r="AU52" s="217">
        <f>(1+INDEX('Inputs &amp; Drivers'!$I$61:$I$65,MATCH(Model2.0!AU$5,'Inputs &amp; Drivers'!$B$61:$B$65,0))*(Model2.0!AU$5&lt;&gt;Model2.0!AT$5))*Model2.0!AT52</f>
        <v>171.62916984000003</v>
      </c>
      <c r="AV52" s="217">
        <f>(1+INDEX('Inputs &amp; Drivers'!$I$61:$I$65,MATCH(Model2.0!AV$5,'Inputs &amp; Drivers'!$B$61:$B$65,0))*(Model2.0!AV$5&lt;&gt;Model2.0!AU$5))*Model2.0!AU52</f>
        <v>171.62916984000003</v>
      </c>
      <c r="AW52" s="217">
        <f>(1+INDEX('Inputs &amp; Drivers'!$I$61:$I$65,MATCH(Model2.0!AW$5,'Inputs &amp; Drivers'!$B$61:$B$65,0))*(Model2.0!AW$5&lt;&gt;Model2.0!AV$5))*Model2.0!AV52</f>
        <v>171.62916984000003</v>
      </c>
      <c r="AX52" s="217">
        <f>(1+INDEX('Inputs &amp; Drivers'!$I$61:$I$65,MATCH(Model2.0!AX$5,'Inputs &amp; Drivers'!$B$61:$B$65,0))*(Model2.0!AX$5&lt;&gt;Model2.0!AW$5))*Model2.0!AW52</f>
        <v>171.62916984000003</v>
      </c>
      <c r="AY52" s="217">
        <f>(1+INDEX('Inputs &amp; Drivers'!$I$61:$I$65,MATCH(Model2.0!AY$5,'Inputs &amp; Drivers'!$B$61:$B$65,0))*(Model2.0!AY$5&lt;&gt;Model2.0!AX$5))*Model2.0!AX52</f>
        <v>171.62916984000003</v>
      </c>
      <c r="AZ52" s="217">
        <f>(1+INDEX('Inputs &amp; Drivers'!$I$61:$I$65,MATCH(Model2.0!AZ$5,'Inputs &amp; Drivers'!$B$61:$B$65,0))*(Model2.0!AZ$5&lt;&gt;Model2.0!AY$5))*Model2.0!AY52</f>
        <v>171.62916984000003</v>
      </c>
      <c r="BA52" s="217">
        <f>(1+INDEX('Inputs &amp; Drivers'!$I$61:$I$65,MATCH(Model2.0!BA$5,'Inputs &amp; Drivers'!$B$61:$B$65,0))*(Model2.0!BA$5&lt;&gt;Model2.0!AZ$5))*Model2.0!AZ52</f>
        <v>171.62916984000003</v>
      </c>
      <c r="BB52" s="217">
        <f>(1+INDEX('Inputs &amp; Drivers'!$I$61:$I$65,MATCH(Model2.0!BB$5,'Inputs &amp; Drivers'!$B$61:$B$65,0))*(Model2.0!BB$5&lt;&gt;Model2.0!BA$5))*Model2.0!BA52</f>
        <v>171.62916984000003</v>
      </c>
      <c r="BC52" s="217">
        <f>(1+INDEX('Inputs &amp; Drivers'!$I$61:$I$65,MATCH(Model2.0!BC$5,'Inputs &amp; Drivers'!$B$61:$B$65,0))*(Model2.0!BC$5&lt;&gt;Model2.0!BB$5))*Model2.0!BB52</f>
        <v>171.62916984000003</v>
      </c>
      <c r="BD52" s="217">
        <f>(1+INDEX('Inputs &amp; Drivers'!$I$61:$I$65,MATCH(Model2.0!BD$5,'Inputs &amp; Drivers'!$B$61:$B$65,0))*(Model2.0!BD$5&lt;&gt;Model2.0!BC$5))*Model2.0!BC52</f>
        <v>171.62916984000003</v>
      </c>
      <c r="BE52" s="217">
        <f>(1+INDEX('Inputs &amp; Drivers'!$I$61:$I$65,MATCH(Model2.0!BE$5,'Inputs &amp; Drivers'!$B$61:$B$65,0))*(Model2.0!BE$5&lt;&gt;Model2.0!BD$5))*Model2.0!BD52</f>
        <v>175.06175323680003</v>
      </c>
      <c r="BF52" s="217">
        <f>(1+INDEX('Inputs &amp; Drivers'!$I$61:$I$65,MATCH(Model2.0!BF$5,'Inputs &amp; Drivers'!$B$61:$B$65,0))*(Model2.0!BF$5&lt;&gt;Model2.0!BE$5))*Model2.0!BE52</f>
        <v>175.06175323680003</v>
      </c>
      <c r="BG52" s="217">
        <f>(1+INDEX('Inputs &amp; Drivers'!$I$61:$I$65,MATCH(Model2.0!BG$5,'Inputs &amp; Drivers'!$B$61:$B$65,0))*(Model2.0!BG$5&lt;&gt;Model2.0!BF$5))*Model2.0!BF52</f>
        <v>175.06175323680003</v>
      </c>
      <c r="BH52" s="217">
        <f>(1+INDEX('Inputs &amp; Drivers'!$I$61:$I$65,MATCH(Model2.0!BH$5,'Inputs &amp; Drivers'!$B$61:$B$65,0))*(Model2.0!BH$5&lt;&gt;Model2.0!BG$5))*Model2.0!BG52</f>
        <v>175.06175323680003</v>
      </c>
      <c r="BI52" s="217">
        <f>(1+INDEX('Inputs &amp; Drivers'!$I$61:$I$65,MATCH(Model2.0!BI$5,'Inputs &amp; Drivers'!$B$61:$B$65,0))*(Model2.0!BI$5&lt;&gt;Model2.0!BH$5))*Model2.0!BH52</f>
        <v>175.06175323680003</v>
      </c>
      <c r="BJ52" s="217">
        <f>(1+INDEX('Inputs &amp; Drivers'!$I$61:$I$65,MATCH(Model2.0!BJ$5,'Inputs &amp; Drivers'!$B$61:$B$65,0))*(Model2.0!BJ$5&lt;&gt;Model2.0!BI$5))*Model2.0!BI52</f>
        <v>175.06175323680003</v>
      </c>
      <c r="BK52" s="217">
        <f>(1+INDEX('Inputs &amp; Drivers'!$I$61:$I$65,MATCH(Model2.0!BK$5,'Inputs &amp; Drivers'!$B$61:$B$65,0))*(Model2.0!BK$5&lt;&gt;Model2.0!BJ$5))*Model2.0!BJ52</f>
        <v>175.06175323680003</v>
      </c>
      <c r="BL52" s="217">
        <f>(1+INDEX('Inputs &amp; Drivers'!$I$61:$I$65,MATCH(Model2.0!BL$5,'Inputs &amp; Drivers'!$B$61:$B$65,0))*(Model2.0!BL$5&lt;&gt;Model2.0!BK$5))*Model2.0!BK52</f>
        <v>175.06175323680003</v>
      </c>
      <c r="BM52" s="217">
        <f>(1+INDEX('Inputs &amp; Drivers'!$I$61:$I$65,MATCH(Model2.0!BM$5,'Inputs &amp; Drivers'!$B$61:$B$65,0))*(Model2.0!BM$5&lt;&gt;Model2.0!BL$5))*Model2.0!BL52</f>
        <v>175.06175323680003</v>
      </c>
      <c r="BN52" s="217">
        <f>(1+INDEX('Inputs &amp; Drivers'!$I$61:$I$65,MATCH(Model2.0!BN$5,'Inputs &amp; Drivers'!$B$61:$B$65,0))*(Model2.0!BN$5&lt;&gt;Model2.0!BM$5))*Model2.0!BM52</f>
        <v>175.06175323680003</v>
      </c>
      <c r="BO52" s="217">
        <f>(1+INDEX('Inputs &amp; Drivers'!$I$61:$I$65,MATCH(Model2.0!BO$5,'Inputs &amp; Drivers'!$B$61:$B$65,0))*(Model2.0!BO$5&lt;&gt;Model2.0!BN$5))*Model2.0!BN52</f>
        <v>175.06175323680003</v>
      </c>
      <c r="BP52" s="217">
        <f>(1+INDEX('Inputs &amp; Drivers'!$I$61:$I$65,MATCH(Model2.0!BP$5,'Inputs &amp; Drivers'!$B$61:$B$65,0))*(Model2.0!BP$5&lt;&gt;Model2.0!BO$5))*Model2.0!BO52</f>
        <v>175.06175323680003</v>
      </c>
      <c r="BR52" s="217">
        <f t="shared" si="356"/>
        <v>1940.7600000000002</v>
      </c>
      <c r="BS52" s="217">
        <f t="shared" ref="BS52:BS56" si="366">SUM(I52:T52)</f>
        <v>1940.7600000000002</v>
      </c>
      <c r="BT52" s="217">
        <f t="shared" ref="BT52:BT55" si="367">BS52-BR52</f>
        <v>0</v>
      </c>
      <c r="BV52" t="s">
        <v>33</v>
      </c>
      <c r="BW52" s="217">
        <f t="shared" si="358"/>
        <v>1940.7600000000002</v>
      </c>
      <c r="BX52" s="217">
        <f t="shared" si="358"/>
        <v>1979.5752000000002</v>
      </c>
      <c r="BY52" s="217">
        <f t="shared" si="358"/>
        <v>2019.166704</v>
      </c>
      <c r="BZ52" s="217">
        <f t="shared" si="358"/>
        <v>2059.5500380800004</v>
      </c>
      <c r="CA52" s="217">
        <f t="shared" si="358"/>
        <v>2100.7410388416006</v>
      </c>
      <c r="CC52" s="217">
        <f t="shared" si="349"/>
        <v>1940.7600000000002</v>
      </c>
      <c r="CD52" s="217">
        <f t="shared" si="350"/>
        <v>1979.5752000000002</v>
      </c>
      <c r="CE52" s="217">
        <f t="shared" si="351"/>
        <v>2019.166704</v>
      </c>
      <c r="CF52" s="217">
        <f t="shared" si="352"/>
        <v>2059.5500380800004</v>
      </c>
      <c r="CG52" s="217">
        <f t="shared" si="353"/>
        <v>2100.7410388416006</v>
      </c>
      <c r="CI52" t="str">
        <f t="shared" si="354"/>
        <v>OK</v>
      </c>
      <c r="CJ52" t="str">
        <f t="shared" si="348"/>
        <v>OK</v>
      </c>
      <c r="CK52" t="str">
        <f t="shared" si="348"/>
        <v>OK</v>
      </c>
      <c r="CL52" t="str">
        <f t="shared" si="348"/>
        <v>OK</v>
      </c>
      <c r="CM52" t="str">
        <f t="shared" si="348"/>
        <v>OK</v>
      </c>
    </row>
    <row r="53" spans="2:91" x14ac:dyDescent="0.3">
      <c r="B53" t="s">
        <v>34</v>
      </c>
      <c r="E53" s="121">
        <f>SUM('P-Builder'!O36:Q36)*4</f>
        <v>36152.520000000004</v>
      </c>
      <c r="F53" s="121">
        <f>SUM('P-Builder'!F36:Q36)</f>
        <v>28122.840000000004</v>
      </c>
      <c r="H53" s="220">
        <f>'P-Builder'!Q36</f>
        <v>2948.17</v>
      </c>
      <c r="I53" s="220">
        <f>'Inputs &amp; Drivers'!J52/12</f>
        <v>2343.5700000000002</v>
      </c>
      <c r="J53" s="217">
        <f>(1+INDEX('Inputs &amp; Drivers'!$I$61:$I$65,MATCH(Model2.0!J$5,'Inputs &amp; Drivers'!$B$61:$B$65,0))*(Model2.0!J$5&lt;&gt;Model2.0!I$5))*Model2.0!I53</f>
        <v>2343.5700000000002</v>
      </c>
      <c r="K53" s="217">
        <f>(1+INDEX('Inputs &amp; Drivers'!$I$61:$I$65,MATCH(Model2.0!K$5,'Inputs &amp; Drivers'!$B$61:$B$65,0))*(Model2.0!K$5&lt;&gt;Model2.0!J$5))*Model2.0!J53</f>
        <v>2343.5700000000002</v>
      </c>
      <c r="L53" s="217">
        <f>(1+INDEX('Inputs &amp; Drivers'!$I$61:$I$65,MATCH(Model2.0!L$5,'Inputs &amp; Drivers'!$B$61:$B$65,0))*(Model2.0!L$5&lt;&gt;Model2.0!K$5))*Model2.0!K53</f>
        <v>2343.5700000000002</v>
      </c>
      <c r="M53" s="217">
        <f>(1+INDEX('Inputs &amp; Drivers'!$I$61:$I$65,MATCH(Model2.0!M$5,'Inputs &amp; Drivers'!$B$61:$B$65,0))*(Model2.0!M$5&lt;&gt;Model2.0!L$5))*Model2.0!L53</f>
        <v>2343.5700000000002</v>
      </c>
      <c r="N53" s="217">
        <f>(1+INDEX('Inputs &amp; Drivers'!$I$61:$I$65,MATCH(Model2.0!N$5,'Inputs &amp; Drivers'!$B$61:$B$65,0))*(Model2.0!N$5&lt;&gt;Model2.0!M$5))*Model2.0!M53</f>
        <v>2343.5700000000002</v>
      </c>
      <c r="O53" s="217">
        <f>(1+INDEX('Inputs &amp; Drivers'!$I$61:$I$65,MATCH(Model2.0!O$5,'Inputs &amp; Drivers'!$B$61:$B$65,0))*(Model2.0!O$5&lt;&gt;Model2.0!N$5))*Model2.0!N53</f>
        <v>2343.5700000000002</v>
      </c>
      <c r="P53" s="217">
        <f>(1+INDEX('Inputs &amp; Drivers'!$I$61:$I$65,MATCH(Model2.0!P$5,'Inputs &amp; Drivers'!$B$61:$B$65,0))*(Model2.0!P$5&lt;&gt;Model2.0!O$5))*Model2.0!O53</f>
        <v>2343.5700000000002</v>
      </c>
      <c r="Q53" s="217">
        <f>(1+INDEX('Inputs &amp; Drivers'!$I$61:$I$65,MATCH(Model2.0!Q$5,'Inputs &amp; Drivers'!$B$61:$B$65,0))*(Model2.0!Q$5&lt;&gt;Model2.0!P$5))*Model2.0!P53</f>
        <v>2343.5700000000002</v>
      </c>
      <c r="R53" s="217">
        <f>(1+INDEX('Inputs &amp; Drivers'!$I$61:$I$65,MATCH(Model2.0!R$5,'Inputs &amp; Drivers'!$B$61:$B$65,0))*(Model2.0!R$5&lt;&gt;Model2.0!Q$5))*Model2.0!Q53</f>
        <v>2343.5700000000002</v>
      </c>
      <c r="S53" s="217">
        <f>(1+INDEX('Inputs &amp; Drivers'!$I$61:$I$65,MATCH(Model2.0!S$5,'Inputs &amp; Drivers'!$B$61:$B$65,0))*(Model2.0!S$5&lt;&gt;Model2.0!R$5))*Model2.0!R53</f>
        <v>2343.5700000000002</v>
      </c>
      <c r="T53" s="217">
        <f>(1+INDEX('Inputs &amp; Drivers'!$I$61:$I$65,MATCH(Model2.0!T$5,'Inputs &amp; Drivers'!$B$61:$B$65,0))*(Model2.0!T$5&lt;&gt;Model2.0!S$5))*Model2.0!S53</f>
        <v>2343.5700000000002</v>
      </c>
      <c r="U53" s="217">
        <f>(1+INDEX('Inputs &amp; Drivers'!$I$61:$I$65,MATCH(Model2.0!U$5,'Inputs &amp; Drivers'!$B$61:$B$65,0))*(Model2.0!U$5&lt;&gt;Model2.0!T$5))*Model2.0!T53</f>
        <v>2390.4414000000002</v>
      </c>
      <c r="V53" s="217">
        <f>(1+INDEX('Inputs &amp; Drivers'!$I$61:$I$65,MATCH(Model2.0!V$5,'Inputs &amp; Drivers'!$B$61:$B$65,0))*(Model2.0!V$5&lt;&gt;Model2.0!U$5))*Model2.0!U53</f>
        <v>2390.4414000000002</v>
      </c>
      <c r="W53" s="217">
        <f>(1+INDEX('Inputs &amp; Drivers'!$I$61:$I$65,MATCH(Model2.0!W$5,'Inputs &amp; Drivers'!$B$61:$B$65,0))*(Model2.0!W$5&lt;&gt;Model2.0!V$5))*Model2.0!V53</f>
        <v>2390.4414000000002</v>
      </c>
      <c r="X53" s="217">
        <f>(1+INDEX('Inputs &amp; Drivers'!$I$61:$I$65,MATCH(Model2.0!X$5,'Inputs &amp; Drivers'!$B$61:$B$65,0))*(Model2.0!X$5&lt;&gt;Model2.0!W$5))*Model2.0!W53</f>
        <v>2390.4414000000002</v>
      </c>
      <c r="Y53" s="217">
        <f>(1+INDEX('Inputs &amp; Drivers'!$I$61:$I$65,MATCH(Model2.0!Y$5,'Inputs &amp; Drivers'!$B$61:$B$65,0))*(Model2.0!Y$5&lt;&gt;Model2.0!X$5))*Model2.0!X53</f>
        <v>2390.4414000000002</v>
      </c>
      <c r="Z53" s="217">
        <f>(1+INDEX('Inputs &amp; Drivers'!$I$61:$I$65,MATCH(Model2.0!Z$5,'Inputs &amp; Drivers'!$B$61:$B$65,0))*(Model2.0!Z$5&lt;&gt;Model2.0!Y$5))*Model2.0!Y53</f>
        <v>2390.4414000000002</v>
      </c>
      <c r="AA53" s="217">
        <f>(1+INDEX('Inputs &amp; Drivers'!$I$61:$I$65,MATCH(Model2.0!AA$5,'Inputs &amp; Drivers'!$B$61:$B$65,0))*(Model2.0!AA$5&lt;&gt;Model2.0!Z$5))*Model2.0!Z53</f>
        <v>2390.4414000000002</v>
      </c>
      <c r="AB53" s="217">
        <f>(1+INDEX('Inputs &amp; Drivers'!$I$61:$I$65,MATCH(Model2.0!AB$5,'Inputs &amp; Drivers'!$B$61:$B$65,0))*(Model2.0!AB$5&lt;&gt;Model2.0!AA$5))*Model2.0!AA53</f>
        <v>2390.4414000000002</v>
      </c>
      <c r="AC53" s="217">
        <f>(1+INDEX('Inputs &amp; Drivers'!$I$61:$I$65,MATCH(Model2.0!AC$5,'Inputs &amp; Drivers'!$B$61:$B$65,0))*(Model2.0!AC$5&lt;&gt;Model2.0!AB$5))*Model2.0!AB53</f>
        <v>2390.4414000000002</v>
      </c>
      <c r="AD53" s="217">
        <f>(1+INDEX('Inputs &amp; Drivers'!$I$61:$I$65,MATCH(Model2.0!AD$5,'Inputs &amp; Drivers'!$B$61:$B$65,0))*(Model2.0!AD$5&lt;&gt;Model2.0!AC$5))*Model2.0!AC53</f>
        <v>2390.4414000000002</v>
      </c>
      <c r="AE53" s="217">
        <f>(1+INDEX('Inputs &amp; Drivers'!$I$61:$I$65,MATCH(Model2.0!AE$5,'Inputs &amp; Drivers'!$B$61:$B$65,0))*(Model2.0!AE$5&lt;&gt;Model2.0!AD$5))*Model2.0!AD53</f>
        <v>2390.4414000000002</v>
      </c>
      <c r="AF53" s="217">
        <f>(1+INDEX('Inputs &amp; Drivers'!$I$61:$I$65,MATCH(Model2.0!AF$5,'Inputs &amp; Drivers'!$B$61:$B$65,0))*(Model2.0!AF$5&lt;&gt;Model2.0!AE$5))*Model2.0!AE53</f>
        <v>2390.4414000000002</v>
      </c>
      <c r="AG53" s="217">
        <f>(1+INDEX('Inputs &amp; Drivers'!$I$61:$I$65,MATCH(Model2.0!AG$5,'Inputs &amp; Drivers'!$B$61:$B$65,0))*(Model2.0!AG$5&lt;&gt;Model2.0!AF$5))*Model2.0!AF53</f>
        <v>2438.2502280000003</v>
      </c>
      <c r="AH53" s="217">
        <f>(1+INDEX('Inputs &amp; Drivers'!$I$61:$I$65,MATCH(Model2.0!AH$5,'Inputs &amp; Drivers'!$B$61:$B$65,0))*(Model2.0!AH$5&lt;&gt;Model2.0!AG$5))*Model2.0!AG53</f>
        <v>2438.2502280000003</v>
      </c>
      <c r="AI53" s="217">
        <f>(1+INDEX('Inputs &amp; Drivers'!$I$61:$I$65,MATCH(Model2.0!AI$5,'Inputs &amp; Drivers'!$B$61:$B$65,0))*(Model2.0!AI$5&lt;&gt;Model2.0!AH$5))*Model2.0!AH53</f>
        <v>2438.2502280000003</v>
      </c>
      <c r="AJ53" s="217">
        <f>(1+INDEX('Inputs &amp; Drivers'!$I$61:$I$65,MATCH(Model2.0!AJ$5,'Inputs &amp; Drivers'!$B$61:$B$65,0))*(Model2.0!AJ$5&lt;&gt;Model2.0!AI$5))*Model2.0!AI53</f>
        <v>2438.2502280000003</v>
      </c>
      <c r="AK53" s="217">
        <f>(1+INDEX('Inputs &amp; Drivers'!$I$61:$I$65,MATCH(Model2.0!AK$5,'Inputs &amp; Drivers'!$B$61:$B$65,0))*(Model2.0!AK$5&lt;&gt;Model2.0!AJ$5))*Model2.0!AJ53</f>
        <v>2438.2502280000003</v>
      </c>
      <c r="AL53" s="217">
        <f>(1+INDEX('Inputs &amp; Drivers'!$I$61:$I$65,MATCH(Model2.0!AL$5,'Inputs &amp; Drivers'!$B$61:$B$65,0))*(Model2.0!AL$5&lt;&gt;Model2.0!AK$5))*Model2.0!AK53</f>
        <v>2438.2502280000003</v>
      </c>
      <c r="AM53" s="217">
        <f>(1+INDEX('Inputs &amp; Drivers'!$I$61:$I$65,MATCH(Model2.0!AM$5,'Inputs &amp; Drivers'!$B$61:$B$65,0))*(Model2.0!AM$5&lt;&gt;Model2.0!AL$5))*Model2.0!AL53</f>
        <v>2438.2502280000003</v>
      </c>
      <c r="AN53" s="217">
        <f>(1+INDEX('Inputs &amp; Drivers'!$I$61:$I$65,MATCH(Model2.0!AN$5,'Inputs &amp; Drivers'!$B$61:$B$65,0))*(Model2.0!AN$5&lt;&gt;Model2.0!AM$5))*Model2.0!AM53</f>
        <v>2438.2502280000003</v>
      </c>
      <c r="AO53" s="217">
        <f>(1+INDEX('Inputs &amp; Drivers'!$I$61:$I$65,MATCH(Model2.0!AO$5,'Inputs &amp; Drivers'!$B$61:$B$65,0))*(Model2.0!AO$5&lt;&gt;Model2.0!AN$5))*Model2.0!AN53</f>
        <v>2438.2502280000003</v>
      </c>
      <c r="AP53" s="217">
        <f>(1+INDEX('Inputs &amp; Drivers'!$I$61:$I$65,MATCH(Model2.0!AP$5,'Inputs &amp; Drivers'!$B$61:$B$65,0))*(Model2.0!AP$5&lt;&gt;Model2.0!AO$5))*Model2.0!AO53</f>
        <v>2438.2502280000003</v>
      </c>
      <c r="AQ53" s="217">
        <f>(1+INDEX('Inputs &amp; Drivers'!$I$61:$I$65,MATCH(Model2.0!AQ$5,'Inputs &amp; Drivers'!$B$61:$B$65,0))*(Model2.0!AQ$5&lt;&gt;Model2.0!AP$5))*Model2.0!AP53</f>
        <v>2438.2502280000003</v>
      </c>
      <c r="AR53" s="217">
        <f>(1+INDEX('Inputs &amp; Drivers'!$I$61:$I$65,MATCH(Model2.0!AR$5,'Inputs &amp; Drivers'!$B$61:$B$65,0))*(Model2.0!AR$5&lt;&gt;Model2.0!AQ$5))*Model2.0!AQ53</f>
        <v>2438.2502280000003</v>
      </c>
      <c r="AS53" s="217">
        <f>(1+INDEX('Inputs &amp; Drivers'!$I$61:$I$65,MATCH(Model2.0!AS$5,'Inputs &amp; Drivers'!$B$61:$B$65,0))*(Model2.0!AS$5&lt;&gt;Model2.0!AR$5))*Model2.0!AR53</f>
        <v>2487.0152325600002</v>
      </c>
      <c r="AT53" s="217">
        <f>(1+INDEX('Inputs &amp; Drivers'!$I$61:$I$65,MATCH(Model2.0!AT$5,'Inputs &amp; Drivers'!$B$61:$B$65,0))*(Model2.0!AT$5&lt;&gt;Model2.0!AS$5))*Model2.0!AS53</f>
        <v>2487.0152325600002</v>
      </c>
      <c r="AU53" s="217">
        <f>(1+INDEX('Inputs &amp; Drivers'!$I$61:$I$65,MATCH(Model2.0!AU$5,'Inputs &amp; Drivers'!$B$61:$B$65,0))*(Model2.0!AU$5&lt;&gt;Model2.0!AT$5))*Model2.0!AT53</f>
        <v>2487.0152325600002</v>
      </c>
      <c r="AV53" s="217">
        <f>(1+INDEX('Inputs &amp; Drivers'!$I$61:$I$65,MATCH(Model2.0!AV$5,'Inputs &amp; Drivers'!$B$61:$B$65,0))*(Model2.0!AV$5&lt;&gt;Model2.0!AU$5))*Model2.0!AU53</f>
        <v>2487.0152325600002</v>
      </c>
      <c r="AW53" s="217">
        <f>(1+INDEX('Inputs &amp; Drivers'!$I$61:$I$65,MATCH(Model2.0!AW$5,'Inputs &amp; Drivers'!$B$61:$B$65,0))*(Model2.0!AW$5&lt;&gt;Model2.0!AV$5))*Model2.0!AV53</f>
        <v>2487.0152325600002</v>
      </c>
      <c r="AX53" s="217">
        <f>(1+INDEX('Inputs &amp; Drivers'!$I$61:$I$65,MATCH(Model2.0!AX$5,'Inputs &amp; Drivers'!$B$61:$B$65,0))*(Model2.0!AX$5&lt;&gt;Model2.0!AW$5))*Model2.0!AW53</f>
        <v>2487.0152325600002</v>
      </c>
      <c r="AY53" s="217">
        <f>(1+INDEX('Inputs &amp; Drivers'!$I$61:$I$65,MATCH(Model2.0!AY$5,'Inputs &amp; Drivers'!$B$61:$B$65,0))*(Model2.0!AY$5&lt;&gt;Model2.0!AX$5))*Model2.0!AX53</f>
        <v>2487.0152325600002</v>
      </c>
      <c r="AZ53" s="217">
        <f>(1+INDEX('Inputs &amp; Drivers'!$I$61:$I$65,MATCH(Model2.0!AZ$5,'Inputs &amp; Drivers'!$B$61:$B$65,0))*(Model2.0!AZ$5&lt;&gt;Model2.0!AY$5))*Model2.0!AY53</f>
        <v>2487.0152325600002</v>
      </c>
      <c r="BA53" s="217">
        <f>(1+INDEX('Inputs &amp; Drivers'!$I$61:$I$65,MATCH(Model2.0!BA$5,'Inputs &amp; Drivers'!$B$61:$B$65,0))*(Model2.0!BA$5&lt;&gt;Model2.0!AZ$5))*Model2.0!AZ53</f>
        <v>2487.0152325600002</v>
      </c>
      <c r="BB53" s="217">
        <f>(1+INDEX('Inputs &amp; Drivers'!$I$61:$I$65,MATCH(Model2.0!BB$5,'Inputs &amp; Drivers'!$B$61:$B$65,0))*(Model2.0!BB$5&lt;&gt;Model2.0!BA$5))*Model2.0!BA53</f>
        <v>2487.0152325600002</v>
      </c>
      <c r="BC53" s="217">
        <f>(1+INDEX('Inputs &amp; Drivers'!$I$61:$I$65,MATCH(Model2.0!BC$5,'Inputs &amp; Drivers'!$B$61:$B$65,0))*(Model2.0!BC$5&lt;&gt;Model2.0!BB$5))*Model2.0!BB53</f>
        <v>2487.0152325600002</v>
      </c>
      <c r="BD53" s="217">
        <f>(1+INDEX('Inputs &amp; Drivers'!$I$61:$I$65,MATCH(Model2.0!BD$5,'Inputs &amp; Drivers'!$B$61:$B$65,0))*(Model2.0!BD$5&lt;&gt;Model2.0!BC$5))*Model2.0!BC53</f>
        <v>2487.0152325600002</v>
      </c>
      <c r="BE53" s="217">
        <f>(1+INDEX('Inputs &amp; Drivers'!$I$61:$I$65,MATCH(Model2.0!BE$5,'Inputs &amp; Drivers'!$B$61:$B$65,0))*(Model2.0!BE$5&lt;&gt;Model2.0!BD$5))*Model2.0!BD53</f>
        <v>2536.7555372112001</v>
      </c>
      <c r="BF53" s="217">
        <f>(1+INDEX('Inputs &amp; Drivers'!$I$61:$I$65,MATCH(Model2.0!BF$5,'Inputs &amp; Drivers'!$B$61:$B$65,0))*(Model2.0!BF$5&lt;&gt;Model2.0!BE$5))*Model2.0!BE53</f>
        <v>2536.7555372112001</v>
      </c>
      <c r="BG53" s="217">
        <f>(1+INDEX('Inputs &amp; Drivers'!$I$61:$I$65,MATCH(Model2.0!BG$5,'Inputs &amp; Drivers'!$B$61:$B$65,0))*(Model2.0!BG$5&lt;&gt;Model2.0!BF$5))*Model2.0!BF53</f>
        <v>2536.7555372112001</v>
      </c>
      <c r="BH53" s="217">
        <f>(1+INDEX('Inputs &amp; Drivers'!$I$61:$I$65,MATCH(Model2.0!BH$5,'Inputs &amp; Drivers'!$B$61:$B$65,0))*(Model2.0!BH$5&lt;&gt;Model2.0!BG$5))*Model2.0!BG53</f>
        <v>2536.7555372112001</v>
      </c>
      <c r="BI53" s="217">
        <f>(1+INDEX('Inputs &amp; Drivers'!$I$61:$I$65,MATCH(Model2.0!BI$5,'Inputs &amp; Drivers'!$B$61:$B$65,0))*(Model2.0!BI$5&lt;&gt;Model2.0!BH$5))*Model2.0!BH53</f>
        <v>2536.7555372112001</v>
      </c>
      <c r="BJ53" s="217">
        <f>(1+INDEX('Inputs &amp; Drivers'!$I$61:$I$65,MATCH(Model2.0!BJ$5,'Inputs &amp; Drivers'!$B$61:$B$65,0))*(Model2.0!BJ$5&lt;&gt;Model2.0!BI$5))*Model2.0!BI53</f>
        <v>2536.7555372112001</v>
      </c>
      <c r="BK53" s="217">
        <f>(1+INDEX('Inputs &amp; Drivers'!$I$61:$I$65,MATCH(Model2.0!BK$5,'Inputs &amp; Drivers'!$B$61:$B$65,0))*(Model2.0!BK$5&lt;&gt;Model2.0!BJ$5))*Model2.0!BJ53</f>
        <v>2536.7555372112001</v>
      </c>
      <c r="BL53" s="217">
        <f>(1+INDEX('Inputs &amp; Drivers'!$I$61:$I$65,MATCH(Model2.0!BL$5,'Inputs &amp; Drivers'!$B$61:$B$65,0))*(Model2.0!BL$5&lt;&gt;Model2.0!BK$5))*Model2.0!BK53</f>
        <v>2536.7555372112001</v>
      </c>
      <c r="BM53" s="217">
        <f>(1+INDEX('Inputs &amp; Drivers'!$I$61:$I$65,MATCH(Model2.0!BM$5,'Inputs &amp; Drivers'!$B$61:$B$65,0))*(Model2.0!BM$5&lt;&gt;Model2.0!BL$5))*Model2.0!BL53</f>
        <v>2536.7555372112001</v>
      </c>
      <c r="BN53" s="217">
        <f>(1+INDEX('Inputs &amp; Drivers'!$I$61:$I$65,MATCH(Model2.0!BN$5,'Inputs &amp; Drivers'!$B$61:$B$65,0))*(Model2.0!BN$5&lt;&gt;Model2.0!BM$5))*Model2.0!BM53</f>
        <v>2536.7555372112001</v>
      </c>
      <c r="BO53" s="217">
        <f>(1+INDEX('Inputs &amp; Drivers'!$I$61:$I$65,MATCH(Model2.0!BO$5,'Inputs &amp; Drivers'!$B$61:$B$65,0))*(Model2.0!BO$5&lt;&gt;Model2.0!BN$5))*Model2.0!BN53</f>
        <v>2536.7555372112001</v>
      </c>
      <c r="BP53" s="217">
        <f>(1+INDEX('Inputs &amp; Drivers'!$I$61:$I$65,MATCH(Model2.0!BP$5,'Inputs &amp; Drivers'!$B$61:$B$65,0))*(Model2.0!BP$5&lt;&gt;Model2.0!BO$5))*Model2.0!BO53</f>
        <v>2536.7555372112001</v>
      </c>
      <c r="BR53" s="217">
        <f t="shared" si="356"/>
        <v>28122.84</v>
      </c>
      <c r="BS53" s="217">
        <f t="shared" si="366"/>
        <v>28122.84</v>
      </c>
      <c r="BT53" s="217">
        <f t="shared" si="367"/>
        <v>0</v>
      </c>
      <c r="BV53" t="s">
        <v>34</v>
      </c>
      <c r="BW53" s="217">
        <f t="shared" si="358"/>
        <v>28122.84</v>
      </c>
      <c r="BX53" s="217">
        <f t="shared" si="358"/>
        <v>28685.2968</v>
      </c>
      <c r="BY53" s="217">
        <f t="shared" si="358"/>
        <v>29259.002736000006</v>
      </c>
      <c r="BZ53" s="217">
        <f t="shared" si="358"/>
        <v>29844.182790719995</v>
      </c>
      <c r="CA53" s="217">
        <f t="shared" si="358"/>
        <v>30441.066446534402</v>
      </c>
      <c r="CC53" s="217">
        <f t="shared" si="349"/>
        <v>28122.84</v>
      </c>
      <c r="CD53" s="217">
        <f t="shared" si="350"/>
        <v>28685.2968</v>
      </c>
      <c r="CE53" s="217">
        <f t="shared" si="351"/>
        <v>29259.002736000006</v>
      </c>
      <c r="CF53" s="217">
        <f t="shared" si="352"/>
        <v>29844.182790719995</v>
      </c>
      <c r="CG53" s="217">
        <f t="shared" si="353"/>
        <v>30441.066446534402</v>
      </c>
      <c r="CI53" t="str">
        <f t="shared" si="354"/>
        <v>OK</v>
      </c>
      <c r="CJ53" t="str">
        <f t="shared" si="348"/>
        <v>OK</v>
      </c>
      <c r="CK53" t="str">
        <f t="shared" si="348"/>
        <v>OK</v>
      </c>
      <c r="CL53" t="str">
        <f t="shared" si="348"/>
        <v>OK</v>
      </c>
      <c r="CM53" t="str">
        <f t="shared" si="348"/>
        <v>OK</v>
      </c>
    </row>
    <row r="54" spans="2:91" x14ac:dyDescent="0.3">
      <c r="B54" t="s">
        <v>35</v>
      </c>
      <c r="E54" s="121">
        <f>SUM('P-Builder'!O37:Q37)*4</f>
        <v>0</v>
      </c>
      <c r="F54" s="121">
        <f>SUM('P-Builder'!F37:Q37)</f>
        <v>0</v>
      </c>
      <c r="H54" s="220">
        <f>'P-Builder'!Q37</f>
        <v>0</v>
      </c>
      <c r="I54" s="220">
        <f>'Inputs &amp; Drivers'!J53/12</f>
        <v>0</v>
      </c>
      <c r="J54" s="217">
        <f>(1+INDEX('Inputs &amp; Drivers'!$I$61:$I$65,MATCH(Model2.0!J$5,'Inputs &amp; Drivers'!$B$61:$B$65,0))*(Model2.0!J$5&lt;&gt;Model2.0!I$5))*Model2.0!I54</f>
        <v>0</v>
      </c>
      <c r="K54" s="217">
        <f>(1+INDEX('Inputs &amp; Drivers'!$I$61:$I$65,MATCH(Model2.0!K$5,'Inputs &amp; Drivers'!$B$61:$B$65,0))*(Model2.0!K$5&lt;&gt;Model2.0!J$5))*Model2.0!J54</f>
        <v>0</v>
      </c>
      <c r="L54" s="217">
        <f>(1+INDEX('Inputs &amp; Drivers'!$I$61:$I$65,MATCH(Model2.0!L$5,'Inputs &amp; Drivers'!$B$61:$B$65,0))*(Model2.0!L$5&lt;&gt;Model2.0!K$5))*Model2.0!K54</f>
        <v>0</v>
      </c>
      <c r="M54" s="217">
        <f>(1+INDEX('Inputs &amp; Drivers'!$I$61:$I$65,MATCH(Model2.0!M$5,'Inputs &amp; Drivers'!$B$61:$B$65,0))*(Model2.0!M$5&lt;&gt;Model2.0!L$5))*Model2.0!L54</f>
        <v>0</v>
      </c>
      <c r="N54" s="217">
        <f>(1+INDEX('Inputs &amp; Drivers'!$I$61:$I$65,MATCH(Model2.0!N$5,'Inputs &amp; Drivers'!$B$61:$B$65,0))*(Model2.0!N$5&lt;&gt;Model2.0!M$5))*Model2.0!M54</f>
        <v>0</v>
      </c>
      <c r="O54" s="217">
        <f>(1+INDEX('Inputs &amp; Drivers'!$I$61:$I$65,MATCH(Model2.0!O$5,'Inputs &amp; Drivers'!$B$61:$B$65,0))*(Model2.0!O$5&lt;&gt;Model2.0!N$5))*Model2.0!N54</f>
        <v>0</v>
      </c>
      <c r="P54" s="217">
        <f>(1+INDEX('Inputs &amp; Drivers'!$I$61:$I$65,MATCH(Model2.0!P$5,'Inputs &amp; Drivers'!$B$61:$B$65,0))*(Model2.0!P$5&lt;&gt;Model2.0!O$5))*Model2.0!O54</f>
        <v>0</v>
      </c>
      <c r="Q54" s="217">
        <f>(1+INDEX('Inputs &amp; Drivers'!$I$61:$I$65,MATCH(Model2.0!Q$5,'Inputs &amp; Drivers'!$B$61:$B$65,0))*(Model2.0!Q$5&lt;&gt;Model2.0!P$5))*Model2.0!P54</f>
        <v>0</v>
      </c>
      <c r="R54" s="217">
        <f>(1+INDEX('Inputs &amp; Drivers'!$I$61:$I$65,MATCH(Model2.0!R$5,'Inputs &amp; Drivers'!$B$61:$B$65,0))*(Model2.0!R$5&lt;&gt;Model2.0!Q$5))*Model2.0!Q54</f>
        <v>0</v>
      </c>
      <c r="S54" s="217">
        <f>(1+INDEX('Inputs &amp; Drivers'!$I$61:$I$65,MATCH(Model2.0!S$5,'Inputs &amp; Drivers'!$B$61:$B$65,0))*(Model2.0!S$5&lt;&gt;Model2.0!R$5))*Model2.0!R54</f>
        <v>0</v>
      </c>
      <c r="T54" s="217">
        <f>(1+INDEX('Inputs &amp; Drivers'!$I$61:$I$65,MATCH(Model2.0!T$5,'Inputs &amp; Drivers'!$B$61:$B$65,0))*(Model2.0!T$5&lt;&gt;Model2.0!S$5))*Model2.0!S54</f>
        <v>0</v>
      </c>
      <c r="U54" s="217">
        <f>(1+INDEX('Inputs &amp; Drivers'!$I$61:$I$65,MATCH(Model2.0!U$5,'Inputs &amp; Drivers'!$B$61:$B$65,0))*(Model2.0!U$5&lt;&gt;Model2.0!T$5))*Model2.0!T54</f>
        <v>0</v>
      </c>
      <c r="V54" s="217">
        <f>(1+INDEX('Inputs &amp; Drivers'!$I$61:$I$65,MATCH(Model2.0!V$5,'Inputs &amp; Drivers'!$B$61:$B$65,0))*(Model2.0!V$5&lt;&gt;Model2.0!U$5))*Model2.0!U54</f>
        <v>0</v>
      </c>
      <c r="W54" s="217">
        <f>(1+INDEX('Inputs &amp; Drivers'!$I$61:$I$65,MATCH(Model2.0!W$5,'Inputs &amp; Drivers'!$B$61:$B$65,0))*(Model2.0!W$5&lt;&gt;Model2.0!V$5))*Model2.0!V54</f>
        <v>0</v>
      </c>
      <c r="X54" s="217">
        <f>(1+INDEX('Inputs &amp; Drivers'!$I$61:$I$65,MATCH(Model2.0!X$5,'Inputs &amp; Drivers'!$B$61:$B$65,0))*(Model2.0!X$5&lt;&gt;Model2.0!W$5))*Model2.0!W54</f>
        <v>0</v>
      </c>
      <c r="Y54" s="217">
        <f>(1+INDEX('Inputs &amp; Drivers'!$I$61:$I$65,MATCH(Model2.0!Y$5,'Inputs &amp; Drivers'!$B$61:$B$65,0))*(Model2.0!Y$5&lt;&gt;Model2.0!X$5))*Model2.0!X54</f>
        <v>0</v>
      </c>
      <c r="Z54" s="217">
        <f>(1+INDEX('Inputs &amp; Drivers'!$I$61:$I$65,MATCH(Model2.0!Z$5,'Inputs &amp; Drivers'!$B$61:$B$65,0))*(Model2.0!Z$5&lt;&gt;Model2.0!Y$5))*Model2.0!Y54</f>
        <v>0</v>
      </c>
      <c r="AA54" s="217">
        <f>(1+INDEX('Inputs &amp; Drivers'!$I$61:$I$65,MATCH(Model2.0!AA$5,'Inputs &amp; Drivers'!$B$61:$B$65,0))*(Model2.0!AA$5&lt;&gt;Model2.0!Z$5))*Model2.0!Z54</f>
        <v>0</v>
      </c>
      <c r="AB54" s="217">
        <f>(1+INDEX('Inputs &amp; Drivers'!$I$61:$I$65,MATCH(Model2.0!AB$5,'Inputs &amp; Drivers'!$B$61:$B$65,0))*(Model2.0!AB$5&lt;&gt;Model2.0!AA$5))*Model2.0!AA54</f>
        <v>0</v>
      </c>
      <c r="AC54" s="217">
        <f>(1+INDEX('Inputs &amp; Drivers'!$I$61:$I$65,MATCH(Model2.0!AC$5,'Inputs &amp; Drivers'!$B$61:$B$65,0))*(Model2.0!AC$5&lt;&gt;Model2.0!AB$5))*Model2.0!AB54</f>
        <v>0</v>
      </c>
      <c r="AD54" s="217">
        <f>(1+INDEX('Inputs &amp; Drivers'!$I$61:$I$65,MATCH(Model2.0!AD$5,'Inputs &amp; Drivers'!$B$61:$B$65,0))*(Model2.0!AD$5&lt;&gt;Model2.0!AC$5))*Model2.0!AC54</f>
        <v>0</v>
      </c>
      <c r="AE54" s="217">
        <f>(1+INDEX('Inputs &amp; Drivers'!$I$61:$I$65,MATCH(Model2.0!AE$5,'Inputs &amp; Drivers'!$B$61:$B$65,0))*(Model2.0!AE$5&lt;&gt;Model2.0!AD$5))*Model2.0!AD54</f>
        <v>0</v>
      </c>
      <c r="AF54" s="217">
        <f>(1+INDEX('Inputs &amp; Drivers'!$I$61:$I$65,MATCH(Model2.0!AF$5,'Inputs &amp; Drivers'!$B$61:$B$65,0))*(Model2.0!AF$5&lt;&gt;Model2.0!AE$5))*Model2.0!AE54</f>
        <v>0</v>
      </c>
      <c r="AG54" s="217">
        <f>(1+INDEX('Inputs &amp; Drivers'!$I$61:$I$65,MATCH(Model2.0!AG$5,'Inputs &amp; Drivers'!$B$61:$B$65,0))*(Model2.0!AG$5&lt;&gt;Model2.0!AF$5))*Model2.0!AF54</f>
        <v>0</v>
      </c>
      <c r="AH54" s="217">
        <f>(1+INDEX('Inputs &amp; Drivers'!$I$61:$I$65,MATCH(Model2.0!AH$5,'Inputs &amp; Drivers'!$B$61:$B$65,0))*(Model2.0!AH$5&lt;&gt;Model2.0!AG$5))*Model2.0!AG54</f>
        <v>0</v>
      </c>
      <c r="AI54" s="217">
        <f>(1+INDEX('Inputs &amp; Drivers'!$I$61:$I$65,MATCH(Model2.0!AI$5,'Inputs &amp; Drivers'!$B$61:$B$65,0))*(Model2.0!AI$5&lt;&gt;Model2.0!AH$5))*Model2.0!AH54</f>
        <v>0</v>
      </c>
      <c r="AJ54" s="217">
        <f>(1+INDEX('Inputs &amp; Drivers'!$I$61:$I$65,MATCH(Model2.0!AJ$5,'Inputs &amp; Drivers'!$B$61:$B$65,0))*(Model2.0!AJ$5&lt;&gt;Model2.0!AI$5))*Model2.0!AI54</f>
        <v>0</v>
      </c>
      <c r="AK54" s="217">
        <f>(1+INDEX('Inputs &amp; Drivers'!$I$61:$I$65,MATCH(Model2.0!AK$5,'Inputs &amp; Drivers'!$B$61:$B$65,0))*(Model2.0!AK$5&lt;&gt;Model2.0!AJ$5))*Model2.0!AJ54</f>
        <v>0</v>
      </c>
      <c r="AL54" s="217">
        <f>(1+INDEX('Inputs &amp; Drivers'!$I$61:$I$65,MATCH(Model2.0!AL$5,'Inputs &amp; Drivers'!$B$61:$B$65,0))*(Model2.0!AL$5&lt;&gt;Model2.0!AK$5))*Model2.0!AK54</f>
        <v>0</v>
      </c>
      <c r="AM54" s="217">
        <f>(1+INDEX('Inputs &amp; Drivers'!$I$61:$I$65,MATCH(Model2.0!AM$5,'Inputs &amp; Drivers'!$B$61:$B$65,0))*(Model2.0!AM$5&lt;&gt;Model2.0!AL$5))*Model2.0!AL54</f>
        <v>0</v>
      </c>
      <c r="AN54" s="217">
        <f>(1+INDEX('Inputs &amp; Drivers'!$I$61:$I$65,MATCH(Model2.0!AN$5,'Inputs &amp; Drivers'!$B$61:$B$65,0))*(Model2.0!AN$5&lt;&gt;Model2.0!AM$5))*Model2.0!AM54</f>
        <v>0</v>
      </c>
      <c r="AO54" s="217">
        <f>(1+INDEX('Inputs &amp; Drivers'!$I$61:$I$65,MATCH(Model2.0!AO$5,'Inputs &amp; Drivers'!$B$61:$B$65,0))*(Model2.0!AO$5&lt;&gt;Model2.0!AN$5))*Model2.0!AN54</f>
        <v>0</v>
      </c>
      <c r="AP54" s="217">
        <f>(1+INDEX('Inputs &amp; Drivers'!$I$61:$I$65,MATCH(Model2.0!AP$5,'Inputs &amp; Drivers'!$B$61:$B$65,0))*(Model2.0!AP$5&lt;&gt;Model2.0!AO$5))*Model2.0!AO54</f>
        <v>0</v>
      </c>
      <c r="AQ54" s="217">
        <f>(1+INDEX('Inputs &amp; Drivers'!$I$61:$I$65,MATCH(Model2.0!AQ$5,'Inputs &amp; Drivers'!$B$61:$B$65,0))*(Model2.0!AQ$5&lt;&gt;Model2.0!AP$5))*Model2.0!AP54</f>
        <v>0</v>
      </c>
      <c r="AR54" s="217">
        <f>(1+INDEX('Inputs &amp; Drivers'!$I$61:$I$65,MATCH(Model2.0!AR$5,'Inputs &amp; Drivers'!$B$61:$B$65,0))*(Model2.0!AR$5&lt;&gt;Model2.0!AQ$5))*Model2.0!AQ54</f>
        <v>0</v>
      </c>
      <c r="AS54" s="217">
        <f>(1+INDEX('Inputs &amp; Drivers'!$I$61:$I$65,MATCH(Model2.0!AS$5,'Inputs &amp; Drivers'!$B$61:$B$65,0))*(Model2.0!AS$5&lt;&gt;Model2.0!AR$5))*Model2.0!AR54</f>
        <v>0</v>
      </c>
      <c r="AT54" s="217">
        <f>(1+INDEX('Inputs &amp; Drivers'!$I$61:$I$65,MATCH(Model2.0!AT$5,'Inputs &amp; Drivers'!$B$61:$B$65,0))*(Model2.0!AT$5&lt;&gt;Model2.0!AS$5))*Model2.0!AS54</f>
        <v>0</v>
      </c>
      <c r="AU54" s="217">
        <f>(1+INDEX('Inputs &amp; Drivers'!$I$61:$I$65,MATCH(Model2.0!AU$5,'Inputs &amp; Drivers'!$B$61:$B$65,0))*(Model2.0!AU$5&lt;&gt;Model2.0!AT$5))*Model2.0!AT54</f>
        <v>0</v>
      </c>
      <c r="AV54" s="217">
        <f>(1+INDEX('Inputs &amp; Drivers'!$I$61:$I$65,MATCH(Model2.0!AV$5,'Inputs &amp; Drivers'!$B$61:$B$65,0))*(Model2.0!AV$5&lt;&gt;Model2.0!AU$5))*Model2.0!AU54</f>
        <v>0</v>
      </c>
      <c r="AW54" s="217">
        <f>(1+INDEX('Inputs &amp; Drivers'!$I$61:$I$65,MATCH(Model2.0!AW$5,'Inputs &amp; Drivers'!$B$61:$B$65,0))*(Model2.0!AW$5&lt;&gt;Model2.0!AV$5))*Model2.0!AV54</f>
        <v>0</v>
      </c>
      <c r="AX54" s="217">
        <f>(1+INDEX('Inputs &amp; Drivers'!$I$61:$I$65,MATCH(Model2.0!AX$5,'Inputs &amp; Drivers'!$B$61:$B$65,0))*(Model2.0!AX$5&lt;&gt;Model2.0!AW$5))*Model2.0!AW54</f>
        <v>0</v>
      </c>
      <c r="AY54" s="217">
        <f>(1+INDEX('Inputs &amp; Drivers'!$I$61:$I$65,MATCH(Model2.0!AY$5,'Inputs &amp; Drivers'!$B$61:$B$65,0))*(Model2.0!AY$5&lt;&gt;Model2.0!AX$5))*Model2.0!AX54</f>
        <v>0</v>
      </c>
      <c r="AZ54" s="217">
        <f>(1+INDEX('Inputs &amp; Drivers'!$I$61:$I$65,MATCH(Model2.0!AZ$5,'Inputs &amp; Drivers'!$B$61:$B$65,0))*(Model2.0!AZ$5&lt;&gt;Model2.0!AY$5))*Model2.0!AY54</f>
        <v>0</v>
      </c>
      <c r="BA54" s="217">
        <f>(1+INDEX('Inputs &amp; Drivers'!$I$61:$I$65,MATCH(Model2.0!BA$5,'Inputs &amp; Drivers'!$B$61:$B$65,0))*(Model2.0!BA$5&lt;&gt;Model2.0!AZ$5))*Model2.0!AZ54</f>
        <v>0</v>
      </c>
      <c r="BB54" s="217">
        <f>(1+INDEX('Inputs &amp; Drivers'!$I$61:$I$65,MATCH(Model2.0!BB$5,'Inputs &amp; Drivers'!$B$61:$B$65,0))*(Model2.0!BB$5&lt;&gt;Model2.0!BA$5))*Model2.0!BA54</f>
        <v>0</v>
      </c>
      <c r="BC54" s="217">
        <f>(1+INDEX('Inputs &amp; Drivers'!$I$61:$I$65,MATCH(Model2.0!BC$5,'Inputs &amp; Drivers'!$B$61:$B$65,0))*(Model2.0!BC$5&lt;&gt;Model2.0!BB$5))*Model2.0!BB54</f>
        <v>0</v>
      </c>
      <c r="BD54" s="217">
        <f>(1+INDEX('Inputs &amp; Drivers'!$I$61:$I$65,MATCH(Model2.0!BD$5,'Inputs &amp; Drivers'!$B$61:$B$65,0))*(Model2.0!BD$5&lt;&gt;Model2.0!BC$5))*Model2.0!BC54</f>
        <v>0</v>
      </c>
      <c r="BE54" s="217">
        <f>(1+INDEX('Inputs &amp; Drivers'!$I$61:$I$65,MATCH(Model2.0!BE$5,'Inputs &amp; Drivers'!$B$61:$B$65,0))*(Model2.0!BE$5&lt;&gt;Model2.0!BD$5))*Model2.0!BD54</f>
        <v>0</v>
      </c>
      <c r="BF54" s="217">
        <f>(1+INDEX('Inputs &amp; Drivers'!$I$61:$I$65,MATCH(Model2.0!BF$5,'Inputs &amp; Drivers'!$B$61:$B$65,0))*(Model2.0!BF$5&lt;&gt;Model2.0!BE$5))*Model2.0!BE54</f>
        <v>0</v>
      </c>
      <c r="BG54" s="217">
        <f>(1+INDEX('Inputs &amp; Drivers'!$I$61:$I$65,MATCH(Model2.0!BG$5,'Inputs &amp; Drivers'!$B$61:$B$65,0))*(Model2.0!BG$5&lt;&gt;Model2.0!BF$5))*Model2.0!BF54</f>
        <v>0</v>
      </c>
      <c r="BH54" s="217">
        <f>(1+INDEX('Inputs &amp; Drivers'!$I$61:$I$65,MATCH(Model2.0!BH$5,'Inputs &amp; Drivers'!$B$61:$B$65,0))*(Model2.0!BH$5&lt;&gt;Model2.0!BG$5))*Model2.0!BG54</f>
        <v>0</v>
      </c>
      <c r="BI54" s="217">
        <f>(1+INDEX('Inputs &amp; Drivers'!$I$61:$I$65,MATCH(Model2.0!BI$5,'Inputs &amp; Drivers'!$B$61:$B$65,0))*(Model2.0!BI$5&lt;&gt;Model2.0!BH$5))*Model2.0!BH54</f>
        <v>0</v>
      </c>
      <c r="BJ54" s="217">
        <f>(1+INDEX('Inputs &amp; Drivers'!$I$61:$I$65,MATCH(Model2.0!BJ$5,'Inputs &amp; Drivers'!$B$61:$B$65,0))*(Model2.0!BJ$5&lt;&gt;Model2.0!BI$5))*Model2.0!BI54</f>
        <v>0</v>
      </c>
      <c r="BK54" s="217">
        <f>(1+INDEX('Inputs &amp; Drivers'!$I$61:$I$65,MATCH(Model2.0!BK$5,'Inputs &amp; Drivers'!$B$61:$B$65,0))*(Model2.0!BK$5&lt;&gt;Model2.0!BJ$5))*Model2.0!BJ54</f>
        <v>0</v>
      </c>
      <c r="BL54" s="217">
        <f>(1+INDEX('Inputs &amp; Drivers'!$I$61:$I$65,MATCH(Model2.0!BL$5,'Inputs &amp; Drivers'!$B$61:$B$65,0))*(Model2.0!BL$5&lt;&gt;Model2.0!BK$5))*Model2.0!BK54</f>
        <v>0</v>
      </c>
      <c r="BM54" s="217">
        <f>(1+INDEX('Inputs &amp; Drivers'!$I$61:$I$65,MATCH(Model2.0!BM$5,'Inputs &amp; Drivers'!$B$61:$B$65,0))*(Model2.0!BM$5&lt;&gt;Model2.0!BL$5))*Model2.0!BL54</f>
        <v>0</v>
      </c>
      <c r="BN54" s="217">
        <f>(1+INDEX('Inputs &amp; Drivers'!$I$61:$I$65,MATCH(Model2.0!BN$5,'Inputs &amp; Drivers'!$B$61:$B$65,0))*(Model2.0!BN$5&lt;&gt;Model2.0!BM$5))*Model2.0!BM54</f>
        <v>0</v>
      </c>
      <c r="BO54" s="217">
        <f>(1+INDEX('Inputs &amp; Drivers'!$I$61:$I$65,MATCH(Model2.0!BO$5,'Inputs &amp; Drivers'!$B$61:$B$65,0))*(Model2.0!BO$5&lt;&gt;Model2.0!BN$5))*Model2.0!BN54</f>
        <v>0</v>
      </c>
      <c r="BP54" s="217">
        <f>(1+INDEX('Inputs &amp; Drivers'!$I$61:$I$65,MATCH(Model2.0!BP$5,'Inputs &amp; Drivers'!$B$61:$B$65,0))*(Model2.0!BP$5&lt;&gt;Model2.0!BO$5))*Model2.0!BO54</f>
        <v>0</v>
      </c>
      <c r="BR54" s="217">
        <f>SUM(I54:T54)</f>
        <v>0</v>
      </c>
      <c r="BS54" s="217">
        <f t="shared" si="366"/>
        <v>0</v>
      </c>
      <c r="BT54" s="217">
        <f t="shared" si="367"/>
        <v>0</v>
      </c>
      <c r="BV54" t="s">
        <v>35</v>
      </c>
      <c r="BW54" s="217">
        <f t="shared" si="358"/>
        <v>0</v>
      </c>
      <c r="BX54" s="217">
        <f t="shared" si="358"/>
        <v>0</v>
      </c>
      <c r="BY54" s="217">
        <f t="shared" si="358"/>
        <v>0</v>
      </c>
      <c r="BZ54" s="217">
        <f t="shared" si="358"/>
        <v>0</v>
      </c>
      <c r="CA54" s="217">
        <f t="shared" si="358"/>
        <v>0</v>
      </c>
      <c r="CC54" s="217">
        <f t="shared" si="349"/>
        <v>0</v>
      </c>
      <c r="CD54" s="217">
        <f t="shared" si="350"/>
        <v>0</v>
      </c>
      <c r="CE54" s="217">
        <f t="shared" si="351"/>
        <v>0</v>
      </c>
      <c r="CF54" s="217">
        <f t="shared" si="352"/>
        <v>0</v>
      </c>
      <c r="CG54" s="217">
        <f t="shared" si="353"/>
        <v>0</v>
      </c>
      <c r="CI54" t="str">
        <f t="shared" si="354"/>
        <v>OK</v>
      </c>
      <c r="CJ54" t="str">
        <f t="shared" si="354"/>
        <v>OK</v>
      </c>
      <c r="CK54" t="str">
        <f t="shared" si="354"/>
        <v>OK</v>
      </c>
      <c r="CL54" t="str">
        <f t="shared" si="354"/>
        <v>OK</v>
      </c>
      <c r="CM54" t="str">
        <f t="shared" si="354"/>
        <v>OK</v>
      </c>
    </row>
    <row r="55" spans="2:91" x14ac:dyDescent="0.3">
      <c r="B55" t="s">
        <v>36</v>
      </c>
      <c r="E55" s="121">
        <f>SUM('P-Builder'!O38:Q38)*4</f>
        <v>0</v>
      </c>
      <c r="F55" s="121">
        <f>SUM('P-Builder'!F38:Q38)</f>
        <v>0</v>
      </c>
      <c r="H55" s="220">
        <f>'P-Builder'!Q38</f>
        <v>0</v>
      </c>
      <c r="I55" s="220">
        <f>'Inputs &amp; Drivers'!J54/12</f>
        <v>0</v>
      </c>
      <c r="J55" s="217">
        <f>(1+INDEX('Inputs &amp; Drivers'!$J$61:$J$65,MATCH(Model2.0!J$5,'Inputs &amp; Drivers'!$B$61:$B$65,0))*(Model2.0!J$5&lt;&gt;Model2.0!I$5))*Model2.0!I55</f>
        <v>0</v>
      </c>
      <c r="K55" s="217">
        <f>(1+INDEX('Inputs &amp; Drivers'!$J$61:$J$65,MATCH(Model2.0!K$5,'Inputs &amp; Drivers'!$B$61:$B$65,0))*(Model2.0!K$5&lt;&gt;Model2.0!J$5))*Model2.0!J55</f>
        <v>0</v>
      </c>
      <c r="L55" s="217">
        <f>(1+INDEX('Inputs &amp; Drivers'!$J$61:$J$65,MATCH(Model2.0!L$5,'Inputs &amp; Drivers'!$B$61:$B$65,0))*(Model2.0!L$5&lt;&gt;Model2.0!K$5))*Model2.0!K55</f>
        <v>0</v>
      </c>
      <c r="M55" s="217">
        <f>(1+INDEX('Inputs &amp; Drivers'!$J$61:$J$65,MATCH(Model2.0!M$5,'Inputs &amp; Drivers'!$B$61:$B$65,0))*(Model2.0!M$5&lt;&gt;Model2.0!L$5))*Model2.0!L55</f>
        <v>0</v>
      </c>
      <c r="N55" s="217">
        <f>(1+INDEX('Inputs &amp; Drivers'!$J$61:$J$65,MATCH(Model2.0!N$5,'Inputs &amp; Drivers'!$B$61:$B$65,0))*(Model2.0!N$5&lt;&gt;Model2.0!M$5))*Model2.0!M55</f>
        <v>0</v>
      </c>
      <c r="O55" s="217">
        <f>(1+INDEX('Inputs &amp; Drivers'!$J$61:$J$65,MATCH(Model2.0!O$5,'Inputs &amp; Drivers'!$B$61:$B$65,0))*(Model2.0!O$5&lt;&gt;Model2.0!N$5))*Model2.0!N55</f>
        <v>0</v>
      </c>
      <c r="P55" s="217">
        <f>(1+INDEX('Inputs &amp; Drivers'!$J$61:$J$65,MATCH(Model2.0!P$5,'Inputs &amp; Drivers'!$B$61:$B$65,0))*(Model2.0!P$5&lt;&gt;Model2.0!O$5))*Model2.0!O55</f>
        <v>0</v>
      </c>
      <c r="Q55" s="217">
        <f>(1+INDEX('Inputs &amp; Drivers'!$J$61:$J$65,MATCH(Model2.0!Q$5,'Inputs &amp; Drivers'!$B$61:$B$65,0))*(Model2.0!Q$5&lt;&gt;Model2.0!P$5))*Model2.0!P55</f>
        <v>0</v>
      </c>
      <c r="R55" s="217">
        <f>(1+INDEX('Inputs &amp; Drivers'!$J$61:$J$65,MATCH(Model2.0!R$5,'Inputs &amp; Drivers'!$B$61:$B$65,0))*(Model2.0!R$5&lt;&gt;Model2.0!Q$5))*Model2.0!Q55</f>
        <v>0</v>
      </c>
      <c r="S55" s="217">
        <f>(1+INDEX('Inputs &amp; Drivers'!$J$61:$J$65,MATCH(Model2.0!S$5,'Inputs &amp; Drivers'!$B$61:$B$65,0))*(Model2.0!S$5&lt;&gt;Model2.0!R$5))*Model2.0!R55</f>
        <v>0</v>
      </c>
      <c r="T55" s="217">
        <f>(1+INDEX('Inputs &amp; Drivers'!$J$61:$J$65,MATCH(Model2.0!T$5,'Inputs &amp; Drivers'!$B$61:$B$65,0))*(Model2.0!T$5&lt;&gt;Model2.0!S$5))*Model2.0!S55</f>
        <v>0</v>
      </c>
      <c r="U55" s="217">
        <f>(1+INDEX('Inputs &amp; Drivers'!$J$61:$J$65,MATCH(Model2.0!U$5,'Inputs &amp; Drivers'!$B$61:$B$65,0))*(Model2.0!U$5&lt;&gt;Model2.0!T$5))*Model2.0!T55</f>
        <v>0</v>
      </c>
      <c r="V55" s="217">
        <f>(1+INDEX('Inputs &amp; Drivers'!$J$61:$J$65,MATCH(Model2.0!V$5,'Inputs &amp; Drivers'!$B$61:$B$65,0))*(Model2.0!V$5&lt;&gt;Model2.0!U$5))*Model2.0!U55</f>
        <v>0</v>
      </c>
      <c r="W55" s="217">
        <f>(1+INDEX('Inputs &amp; Drivers'!$J$61:$J$65,MATCH(Model2.0!W$5,'Inputs &amp; Drivers'!$B$61:$B$65,0))*(Model2.0!W$5&lt;&gt;Model2.0!V$5))*Model2.0!V55</f>
        <v>0</v>
      </c>
      <c r="X55" s="217">
        <f>(1+INDEX('Inputs &amp; Drivers'!$J$61:$J$65,MATCH(Model2.0!X$5,'Inputs &amp; Drivers'!$B$61:$B$65,0))*(Model2.0!X$5&lt;&gt;Model2.0!W$5))*Model2.0!W55</f>
        <v>0</v>
      </c>
      <c r="Y55" s="217">
        <f>(1+INDEX('Inputs &amp; Drivers'!$J$61:$J$65,MATCH(Model2.0!Y$5,'Inputs &amp; Drivers'!$B$61:$B$65,0))*(Model2.0!Y$5&lt;&gt;Model2.0!X$5))*Model2.0!X55</f>
        <v>0</v>
      </c>
      <c r="Z55" s="217">
        <f>(1+INDEX('Inputs &amp; Drivers'!$J$61:$J$65,MATCH(Model2.0!Z$5,'Inputs &amp; Drivers'!$B$61:$B$65,0))*(Model2.0!Z$5&lt;&gt;Model2.0!Y$5))*Model2.0!Y55</f>
        <v>0</v>
      </c>
      <c r="AA55" s="217">
        <f>(1+INDEX('Inputs &amp; Drivers'!$J$61:$J$65,MATCH(Model2.0!AA$5,'Inputs &amp; Drivers'!$B$61:$B$65,0))*(Model2.0!AA$5&lt;&gt;Model2.0!Z$5))*Model2.0!Z55</f>
        <v>0</v>
      </c>
      <c r="AB55" s="217">
        <f>(1+INDEX('Inputs &amp; Drivers'!$J$61:$J$65,MATCH(Model2.0!AB$5,'Inputs &amp; Drivers'!$B$61:$B$65,0))*(Model2.0!AB$5&lt;&gt;Model2.0!AA$5))*Model2.0!AA55</f>
        <v>0</v>
      </c>
      <c r="AC55" s="217">
        <f>(1+INDEX('Inputs &amp; Drivers'!$J$61:$J$65,MATCH(Model2.0!AC$5,'Inputs &amp; Drivers'!$B$61:$B$65,0))*(Model2.0!AC$5&lt;&gt;Model2.0!AB$5))*Model2.0!AB55</f>
        <v>0</v>
      </c>
      <c r="AD55" s="217">
        <f>(1+INDEX('Inputs &amp; Drivers'!$J$61:$J$65,MATCH(Model2.0!AD$5,'Inputs &amp; Drivers'!$B$61:$B$65,0))*(Model2.0!AD$5&lt;&gt;Model2.0!AC$5))*Model2.0!AC55</f>
        <v>0</v>
      </c>
      <c r="AE55" s="217">
        <f>(1+INDEX('Inputs &amp; Drivers'!$J$61:$J$65,MATCH(Model2.0!AE$5,'Inputs &amp; Drivers'!$B$61:$B$65,0))*(Model2.0!AE$5&lt;&gt;Model2.0!AD$5))*Model2.0!AD55</f>
        <v>0</v>
      </c>
      <c r="AF55" s="217">
        <f>(1+INDEX('Inputs &amp; Drivers'!$J$61:$J$65,MATCH(Model2.0!AF$5,'Inputs &amp; Drivers'!$B$61:$B$65,0))*(Model2.0!AF$5&lt;&gt;Model2.0!AE$5))*Model2.0!AE55</f>
        <v>0</v>
      </c>
      <c r="AG55" s="217">
        <f>(1+INDEX('Inputs &amp; Drivers'!$J$61:$J$65,MATCH(Model2.0!AG$5,'Inputs &amp; Drivers'!$B$61:$B$65,0))*(Model2.0!AG$5&lt;&gt;Model2.0!AF$5))*Model2.0!AF55</f>
        <v>0</v>
      </c>
      <c r="AH55" s="217">
        <f>(1+INDEX('Inputs &amp; Drivers'!$J$61:$J$65,MATCH(Model2.0!AH$5,'Inputs &amp; Drivers'!$B$61:$B$65,0))*(Model2.0!AH$5&lt;&gt;Model2.0!AG$5))*Model2.0!AG55</f>
        <v>0</v>
      </c>
      <c r="AI55" s="217">
        <f>(1+INDEX('Inputs &amp; Drivers'!$J$61:$J$65,MATCH(Model2.0!AI$5,'Inputs &amp; Drivers'!$B$61:$B$65,0))*(Model2.0!AI$5&lt;&gt;Model2.0!AH$5))*Model2.0!AH55</f>
        <v>0</v>
      </c>
      <c r="AJ55" s="217">
        <f>(1+INDEX('Inputs &amp; Drivers'!$J$61:$J$65,MATCH(Model2.0!AJ$5,'Inputs &amp; Drivers'!$B$61:$B$65,0))*(Model2.0!AJ$5&lt;&gt;Model2.0!AI$5))*Model2.0!AI55</f>
        <v>0</v>
      </c>
      <c r="AK55" s="217">
        <f>(1+INDEX('Inputs &amp; Drivers'!$J$61:$J$65,MATCH(Model2.0!AK$5,'Inputs &amp; Drivers'!$B$61:$B$65,0))*(Model2.0!AK$5&lt;&gt;Model2.0!AJ$5))*Model2.0!AJ55</f>
        <v>0</v>
      </c>
      <c r="AL55" s="217">
        <f>(1+INDEX('Inputs &amp; Drivers'!$J$61:$J$65,MATCH(Model2.0!AL$5,'Inputs &amp; Drivers'!$B$61:$B$65,0))*(Model2.0!AL$5&lt;&gt;Model2.0!AK$5))*Model2.0!AK55</f>
        <v>0</v>
      </c>
      <c r="AM55" s="217">
        <f>(1+INDEX('Inputs &amp; Drivers'!$J$61:$J$65,MATCH(Model2.0!AM$5,'Inputs &amp; Drivers'!$B$61:$B$65,0))*(Model2.0!AM$5&lt;&gt;Model2.0!AL$5))*Model2.0!AL55</f>
        <v>0</v>
      </c>
      <c r="AN55" s="217">
        <f>(1+INDEX('Inputs &amp; Drivers'!$J$61:$J$65,MATCH(Model2.0!AN$5,'Inputs &amp; Drivers'!$B$61:$B$65,0))*(Model2.0!AN$5&lt;&gt;Model2.0!AM$5))*Model2.0!AM55</f>
        <v>0</v>
      </c>
      <c r="AO55" s="217">
        <f>(1+INDEX('Inputs &amp; Drivers'!$J$61:$J$65,MATCH(Model2.0!AO$5,'Inputs &amp; Drivers'!$B$61:$B$65,0))*(Model2.0!AO$5&lt;&gt;Model2.0!AN$5))*Model2.0!AN55</f>
        <v>0</v>
      </c>
      <c r="AP55" s="217">
        <f>(1+INDEX('Inputs &amp; Drivers'!$J$61:$J$65,MATCH(Model2.0!AP$5,'Inputs &amp; Drivers'!$B$61:$B$65,0))*(Model2.0!AP$5&lt;&gt;Model2.0!AO$5))*Model2.0!AO55</f>
        <v>0</v>
      </c>
      <c r="AQ55" s="217">
        <f>(1+INDEX('Inputs &amp; Drivers'!$J$61:$J$65,MATCH(Model2.0!AQ$5,'Inputs &amp; Drivers'!$B$61:$B$65,0))*(Model2.0!AQ$5&lt;&gt;Model2.0!AP$5))*Model2.0!AP55</f>
        <v>0</v>
      </c>
      <c r="AR55" s="217">
        <f>(1+INDEX('Inputs &amp; Drivers'!$J$61:$J$65,MATCH(Model2.0!AR$5,'Inputs &amp; Drivers'!$B$61:$B$65,0))*(Model2.0!AR$5&lt;&gt;Model2.0!AQ$5))*Model2.0!AQ55</f>
        <v>0</v>
      </c>
      <c r="AS55" s="217">
        <f>(1+INDEX('Inputs &amp; Drivers'!$J$61:$J$65,MATCH(Model2.0!AS$5,'Inputs &amp; Drivers'!$B$61:$B$65,0))*(Model2.0!AS$5&lt;&gt;Model2.0!AR$5))*Model2.0!AR55</f>
        <v>0</v>
      </c>
      <c r="AT55" s="217">
        <f>(1+INDEX('Inputs &amp; Drivers'!$J$61:$J$65,MATCH(Model2.0!AT$5,'Inputs &amp; Drivers'!$B$61:$B$65,0))*(Model2.0!AT$5&lt;&gt;Model2.0!AS$5))*Model2.0!AS55</f>
        <v>0</v>
      </c>
      <c r="AU55" s="217">
        <f>(1+INDEX('Inputs &amp; Drivers'!$J$61:$J$65,MATCH(Model2.0!AU$5,'Inputs &amp; Drivers'!$B$61:$B$65,0))*(Model2.0!AU$5&lt;&gt;Model2.0!AT$5))*Model2.0!AT55</f>
        <v>0</v>
      </c>
      <c r="AV55" s="217">
        <f>(1+INDEX('Inputs &amp; Drivers'!$J$61:$J$65,MATCH(Model2.0!AV$5,'Inputs &amp; Drivers'!$B$61:$B$65,0))*(Model2.0!AV$5&lt;&gt;Model2.0!AU$5))*Model2.0!AU55</f>
        <v>0</v>
      </c>
      <c r="AW55" s="217">
        <f>(1+INDEX('Inputs &amp; Drivers'!$J$61:$J$65,MATCH(Model2.0!AW$5,'Inputs &amp; Drivers'!$B$61:$B$65,0))*(Model2.0!AW$5&lt;&gt;Model2.0!AV$5))*Model2.0!AV55</f>
        <v>0</v>
      </c>
      <c r="AX55" s="217">
        <f>(1+INDEX('Inputs &amp; Drivers'!$J$61:$J$65,MATCH(Model2.0!AX$5,'Inputs &amp; Drivers'!$B$61:$B$65,0))*(Model2.0!AX$5&lt;&gt;Model2.0!AW$5))*Model2.0!AW55</f>
        <v>0</v>
      </c>
      <c r="AY55" s="217">
        <f>(1+INDEX('Inputs &amp; Drivers'!$J$61:$J$65,MATCH(Model2.0!AY$5,'Inputs &amp; Drivers'!$B$61:$B$65,0))*(Model2.0!AY$5&lt;&gt;Model2.0!AX$5))*Model2.0!AX55</f>
        <v>0</v>
      </c>
      <c r="AZ55" s="217">
        <f>(1+INDEX('Inputs &amp; Drivers'!$J$61:$J$65,MATCH(Model2.0!AZ$5,'Inputs &amp; Drivers'!$B$61:$B$65,0))*(Model2.0!AZ$5&lt;&gt;Model2.0!AY$5))*Model2.0!AY55</f>
        <v>0</v>
      </c>
      <c r="BA55" s="217">
        <f>(1+INDEX('Inputs &amp; Drivers'!$J$61:$J$65,MATCH(Model2.0!BA$5,'Inputs &amp; Drivers'!$B$61:$B$65,0))*(Model2.0!BA$5&lt;&gt;Model2.0!AZ$5))*Model2.0!AZ55</f>
        <v>0</v>
      </c>
      <c r="BB55" s="217">
        <f>(1+INDEX('Inputs &amp; Drivers'!$J$61:$J$65,MATCH(Model2.0!BB$5,'Inputs &amp; Drivers'!$B$61:$B$65,0))*(Model2.0!BB$5&lt;&gt;Model2.0!BA$5))*Model2.0!BA55</f>
        <v>0</v>
      </c>
      <c r="BC55" s="217">
        <f>(1+INDEX('Inputs &amp; Drivers'!$J$61:$J$65,MATCH(Model2.0!BC$5,'Inputs &amp; Drivers'!$B$61:$B$65,0))*(Model2.0!BC$5&lt;&gt;Model2.0!BB$5))*Model2.0!BB55</f>
        <v>0</v>
      </c>
      <c r="BD55" s="217">
        <f>(1+INDEX('Inputs &amp; Drivers'!$J$61:$J$65,MATCH(Model2.0!BD$5,'Inputs &amp; Drivers'!$B$61:$B$65,0))*(Model2.0!BD$5&lt;&gt;Model2.0!BC$5))*Model2.0!BC55</f>
        <v>0</v>
      </c>
      <c r="BE55" s="217">
        <f>(1+INDEX('Inputs &amp; Drivers'!$J$61:$J$65,MATCH(Model2.0!BE$5,'Inputs &amp; Drivers'!$B$61:$B$65,0))*(Model2.0!BE$5&lt;&gt;Model2.0!BD$5))*Model2.0!BD55</f>
        <v>0</v>
      </c>
      <c r="BF55" s="217">
        <f>(1+INDEX('Inputs &amp; Drivers'!$J$61:$J$65,MATCH(Model2.0!BF$5,'Inputs &amp; Drivers'!$B$61:$B$65,0))*(Model2.0!BF$5&lt;&gt;Model2.0!BE$5))*Model2.0!BE55</f>
        <v>0</v>
      </c>
      <c r="BG55" s="217">
        <f>(1+INDEX('Inputs &amp; Drivers'!$J$61:$J$65,MATCH(Model2.0!BG$5,'Inputs &amp; Drivers'!$B$61:$B$65,0))*(Model2.0!BG$5&lt;&gt;Model2.0!BF$5))*Model2.0!BF55</f>
        <v>0</v>
      </c>
      <c r="BH55" s="217">
        <f>(1+INDEX('Inputs &amp; Drivers'!$J$61:$J$65,MATCH(Model2.0!BH$5,'Inputs &amp; Drivers'!$B$61:$B$65,0))*(Model2.0!BH$5&lt;&gt;Model2.0!BG$5))*Model2.0!BG55</f>
        <v>0</v>
      </c>
      <c r="BI55" s="217">
        <f>(1+INDEX('Inputs &amp; Drivers'!$J$61:$J$65,MATCH(Model2.0!BI$5,'Inputs &amp; Drivers'!$B$61:$B$65,0))*(Model2.0!BI$5&lt;&gt;Model2.0!BH$5))*Model2.0!BH55</f>
        <v>0</v>
      </c>
      <c r="BJ55" s="217">
        <f>(1+INDEX('Inputs &amp; Drivers'!$J$61:$J$65,MATCH(Model2.0!BJ$5,'Inputs &amp; Drivers'!$B$61:$B$65,0))*(Model2.0!BJ$5&lt;&gt;Model2.0!BI$5))*Model2.0!BI55</f>
        <v>0</v>
      </c>
      <c r="BK55" s="217">
        <f>(1+INDEX('Inputs &amp; Drivers'!$J$61:$J$65,MATCH(Model2.0!BK$5,'Inputs &amp; Drivers'!$B$61:$B$65,0))*(Model2.0!BK$5&lt;&gt;Model2.0!BJ$5))*Model2.0!BJ55</f>
        <v>0</v>
      </c>
      <c r="BL55" s="217">
        <f>(1+INDEX('Inputs &amp; Drivers'!$J$61:$J$65,MATCH(Model2.0!BL$5,'Inputs &amp; Drivers'!$B$61:$B$65,0))*(Model2.0!BL$5&lt;&gt;Model2.0!BK$5))*Model2.0!BK55</f>
        <v>0</v>
      </c>
      <c r="BM55" s="217">
        <f>(1+INDEX('Inputs &amp; Drivers'!$J$61:$J$65,MATCH(Model2.0!BM$5,'Inputs &amp; Drivers'!$B$61:$B$65,0))*(Model2.0!BM$5&lt;&gt;Model2.0!BL$5))*Model2.0!BL55</f>
        <v>0</v>
      </c>
      <c r="BN55" s="217">
        <f>(1+INDEX('Inputs &amp; Drivers'!$J$61:$J$65,MATCH(Model2.0!BN$5,'Inputs &amp; Drivers'!$B$61:$B$65,0))*(Model2.0!BN$5&lt;&gt;Model2.0!BM$5))*Model2.0!BM55</f>
        <v>0</v>
      </c>
      <c r="BO55" s="217">
        <f>(1+INDEX('Inputs &amp; Drivers'!$J$61:$J$65,MATCH(Model2.0!BO$5,'Inputs &amp; Drivers'!$B$61:$B$65,0))*(Model2.0!BO$5&lt;&gt;Model2.0!BN$5))*Model2.0!BN55</f>
        <v>0</v>
      </c>
      <c r="BP55" s="217">
        <f>(1+INDEX('Inputs &amp; Drivers'!$J$61:$J$65,MATCH(Model2.0!BP$5,'Inputs &amp; Drivers'!$B$61:$B$65,0))*(Model2.0!BP$5&lt;&gt;Model2.0!BO$5))*Model2.0!BO55</f>
        <v>0</v>
      </c>
      <c r="BR55" s="217">
        <f t="shared" si="356"/>
        <v>0</v>
      </c>
      <c r="BS55" s="217">
        <f t="shared" si="366"/>
        <v>0</v>
      </c>
      <c r="BT55" s="217">
        <f t="shared" si="367"/>
        <v>0</v>
      </c>
      <c r="BV55" t="s">
        <v>149</v>
      </c>
      <c r="BW55" s="217">
        <f t="shared" si="358"/>
        <v>0</v>
      </c>
      <c r="BX55" s="217">
        <f t="shared" si="358"/>
        <v>0</v>
      </c>
      <c r="BY55" s="217">
        <f t="shared" si="358"/>
        <v>0</v>
      </c>
      <c r="BZ55" s="217">
        <f t="shared" si="358"/>
        <v>0</v>
      </c>
      <c r="CA55" s="217">
        <f t="shared" si="358"/>
        <v>0</v>
      </c>
      <c r="CC55" s="217">
        <f t="shared" si="349"/>
        <v>0</v>
      </c>
      <c r="CD55" s="217">
        <f t="shared" si="350"/>
        <v>0</v>
      </c>
      <c r="CE55" s="217">
        <f t="shared" si="351"/>
        <v>0</v>
      </c>
      <c r="CF55" s="217">
        <f t="shared" si="352"/>
        <v>0</v>
      </c>
      <c r="CG55" s="217">
        <f t="shared" si="353"/>
        <v>0</v>
      </c>
      <c r="CI55" t="str">
        <f t="shared" si="354"/>
        <v>OK</v>
      </c>
      <c r="CJ55" t="str">
        <f t="shared" si="354"/>
        <v>OK</v>
      </c>
      <c r="CK55" t="str">
        <f t="shared" si="354"/>
        <v>OK</v>
      </c>
      <c r="CL55" t="str">
        <f t="shared" si="354"/>
        <v>OK</v>
      </c>
      <c r="CM55" t="str">
        <f t="shared" si="354"/>
        <v>OK</v>
      </c>
    </row>
    <row r="56" spans="2:91" x14ac:dyDescent="0.3">
      <c r="B56" t="s">
        <v>82</v>
      </c>
      <c r="E56" s="121">
        <f>SUM('P-Builder'!O39:Q39)*4</f>
        <v>0</v>
      </c>
      <c r="F56" s="121">
        <f>SUM('P-Builder'!F39:Q39)</f>
        <v>0</v>
      </c>
      <c r="H56" s="220">
        <f>'P-Builder'!Q39</f>
        <v>0</v>
      </c>
      <c r="I56" s="220">
        <f>'Inputs &amp; Drivers'!J55/12</f>
        <v>0</v>
      </c>
      <c r="J56" s="217">
        <f>(1+INDEX('Inputs &amp; Drivers'!$I$61:$I$65,MATCH(Model2.0!J$5,'Inputs &amp; Drivers'!$B$61:$B$65,0))*(Model2.0!J$5&lt;&gt;Model2.0!I$5))*Model2.0!I56</f>
        <v>0</v>
      </c>
      <c r="K56" s="217">
        <f>(1+INDEX('Inputs &amp; Drivers'!$I$61:$I$65,MATCH(Model2.0!K$5,'Inputs &amp; Drivers'!$B$61:$B$65,0))*(Model2.0!K$5&lt;&gt;Model2.0!J$5))*Model2.0!J56</f>
        <v>0</v>
      </c>
      <c r="L56" s="217">
        <f>(1+INDEX('Inputs &amp; Drivers'!$I$61:$I$65,MATCH(Model2.0!L$5,'Inputs &amp; Drivers'!$B$61:$B$65,0))*(Model2.0!L$5&lt;&gt;Model2.0!K$5))*Model2.0!K56</f>
        <v>0</v>
      </c>
      <c r="M56" s="217">
        <f>(1+INDEX('Inputs &amp; Drivers'!$I$61:$I$65,MATCH(Model2.0!M$5,'Inputs &amp; Drivers'!$B$61:$B$65,0))*(Model2.0!M$5&lt;&gt;Model2.0!L$5))*Model2.0!L56</f>
        <v>0</v>
      </c>
      <c r="N56" s="217">
        <f>(1+INDEX('Inputs &amp; Drivers'!$I$61:$I$65,MATCH(Model2.0!N$5,'Inputs &amp; Drivers'!$B$61:$B$65,0))*(Model2.0!N$5&lt;&gt;Model2.0!M$5))*Model2.0!M56</f>
        <v>0</v>
      </c>
      <c r="O56" s="217">
        <f>(1+INDEX('Inputs &amp; Drivers'!$I$61:$I$65,MATCH(Model2.0!O$5,'Inputs &amp; Drivers'!$B$61:$B$65,0))*(Model2.0!O$5&lt;&gt;Model2.0!N$5))*Model2.0!N56</f>
        <v>0</v>
      </c>
      <c r="P56" s="217">
        <f>(1+INDEX('Inputs &amp; Drivers'!$I$61:$I$65,MATCH(Model2.0!P$5,'Inputs &amp; Drivers'!$B$61:$B$65,0))*(Model2.0!P$5&lt;&gt;Model2.0!O$5))*Model2.0!O56</f>
        <v>0</v>
      </c>
      <c r="Q56" s="217">
        <f>(1+INDEX('Inputs &amp; Drivers'!$I$61:$I$65,MATCH(Model2.0!Q$5,'Inputs &amp; Drivers'!$B$61:$B$65,0))*(Model2.0!Q$5&lt;&gt;Model2.0!P$5))*Model2.0!P56</f>
        <v>0</v>
      </c>
      <c r="R56" s="217">
        <f>(1+INDEX('Inputs &amp; Drivers'!$I$61:$I$65,MATCH(Model2.0!R$5,'Inputs &amp; Drivers'!$B$61:$B$65,0))*(Model2.0!R$5&lt;&gt;Model2.0!Q$5))*Model2.0!Q56</f>
        <v>0</v>
      </c>
      <c r="S56" s="217">
        <f>(1+INDEX('Inputs &amp; Drivers'!$I$61:$I$65,MATCH(Model2.0!S$5,'Inputs &amp; Drivers'!$B$61:$B$65,0))*(Model2.0!S$5&lt;&gt;Model2.0!R$5))*Model2.0!R56</f>
        <v>0</v>
      </c>
      <c r="T56" s="217">
        <f>(1+INDEX('Inputs &amp; Drivers'!$I$61:$I$65,MATCH(Model2.0!T$5,'Inputs &amp; Drivers'!$B$61:$B$65,0))*(Model2.0!T$5&lt;&gt;Model2.0!S$5))*Model2.0!S56</f>
        <v>0</v>
      </c>
      <c r="U56" s="217">
        <f>(1+INDEX('Inputs &amp; Drivers'!$I$61:$I$65,MATCH(Model2.0!U$5,'Inputs &amp; Drivers'!$B$61:$B$65,0))*(Model2.0!U$5&lt;&gt;Model2.0!T$5))*Model2.0!T56</f>
        <v>0</v>
      </c>
      <c r="V56" s="217">
        <f>(1+INDEX('Inputs &amp; Drivers'!$I$61:$I$65,MATCH(Model2.0!V$5,'Inputs &amp; Drivers'!$B$61:$B$65,0))*(Model2.0!V$5&lt;&gt;Model2.0!U$5))*Model2.0!U56</f>
        <v>0</v>
      </c>
      <c r="W56" s="217">
        <f>(1+INDEX('Inputs &amp; Drivers'!$I$61:$I$65,MATCH(Model2.0!W$5,'Inputs &amp; Drivers'!$B$61:$B$65,0))*(Model2.0!W$5&lt;&gt;Model2.0!V$5))*Model2.0!V56</f>
        <v>0</v>
      </c>
      <c r="X56" s="217">
        <f>(1+INDEX('Inputs &amp; Drivers'!$I$61:$I$65,MATCH(Model2.0!X$5,'Inputs &amp; Drivers'!$B$61:$B$65,0))*(Model2.0!X$5&lt;&gt;Model2.0!W$5))*Model2.0!W56</f>
        <v>0</v>
      </c>
      <c r="Y56" s="217">
        <f>(1+INDEX('Inputs &amp; Drivers'!$I$61:$I$65,MATCH(Model2.0!Y$5,'Inputs &amp; Drivers'!$B$61:$B$65,0))*(Model2.0!Y$5&lt;&gt;Model2.0!X$5))*Model2.0!X56</f>
        <v>0</v>
      </c>
      <c r="Z56" s="217">
        <f>(1+INDEX('Inputs &amp; Drivers'!$I$61:$I$65,MATCH(Model2.0!Z$5,'Inputs &amp; Drivers'!$B$61:$B$65,0))*(Model2.0!Z$5&lt;&gt;Model2.0!Y$5))*Model2.0!Y56</f>
        <v>0</v>
      </c>
      <c r="AA56" s="217">
        <f>(1+INDEX('Inputs &amp; Drivers'!$I$61:$I$65,MATCH(Model2.0!AA$5,'Inputs &amp; Drivers'!$B$61:$B$65,0))*(Model2.0!AA$5&lt;&gt;Model2.0!Z$5))*Model2.0!Z56</f>
        <v>0</v>
      </c>
      <c r="AB56" s="217">
        <f>(1+INDEX('Inputs &amp; Drivers'!$I$61:$I$65,MATCH(Model2.0!AB$5,'Inputs &amp; Drivers'!$B$61:$B$65,0))*(Model2.0!AB$5&lt;&gt;Model2.0!AA$5))*Model2.0!AA56</f>
        <v>0</v>
      </c>
      <c r="AC56" s="217">
        <f>(1+INDEX('Inputs &amp; Drivers'!$I$61:$I$65,MATCH(Model2.0!AC$5,'Inputs &amp; Drivers'!$B$61:$B$65,0))*(Model2.0!AC$5&lt;&gt;Model2.0!AB$5))*Model2.0!AB56</f>
        <v>0</v>
      </c>
      <c r="AD56" s="217">
        <f>(1+INDEX('Inputs &amp; Drivers'!$I$61:$I$65,MATCH(Model2.0!AD$5,'Inputs &amp; Drivers'!$B$61:$B$65,0))*(Model2.0!AD$5&lt;&gt;Model2.0!AC$5))*Model2.0!AC56</f>
        <v>0</v>
      </c>
      <c r="AE56" s="217">
        <f>(1+INDEX('Inputs &amp; Drivers'!$I$61:$I$65,MATCH(Model2.0!AE$5,'Inputs &amp; Drivers'!$B$61:$B$65,0))*(Model2.0!AE$5&lt;&gt;Model2.0!AD$5))*Model2.0!AD56</f>
        <v>0</v>
      </c>
      <c r="AF56" s="217">
        <f>(1+INDEX('Inputs &amp; Drivers'!$I$61:$I$65,MATCH(Model2.0!AF$5,'Inputs &amp; Drivers'!$B$61:$B$65,0))*(Model2.0!AF$5&lt;&gt;Model2.0!AE$5))*Model2.0!AE56</f>
        <v>0</v>
      </c>
      <c r="AG56" s="217">
        <f>(1+INDEX('Inputs &amp; Drivers'!$I$61:$I$65,MATCH(Model2.0!AG$5,'Inputs &amp; Drivers'!$B$61:$B$65,0))*(Model2.0!AG$5&lt;&gt;Model2.0!AF$5))*Model2.0!AF56</f>
        <v>0</v>
      </c>
      <c r="AH56" s="217">
        <f>(1+INDEX('Inputs &amp; Drivers'!$I$61:$I$65,MATCH(Model2.0!AH$5,'Inputs &amp; Drivers'!$B$61:$B$65,0))*(Model2.0!AH$5&lt;&gt;Model2.0!AG$5))*Model2.0!AG56</f>
        <v>0</v>
      </c>
      <c r="AI56" s="217">
        <f>(1+INDEX('Inputs &amp; Drivers'!$I$61:$I$65,MATCH(Model2.0!AI$5,'Inputs &amp; Drivers'!$B$61:$B$65,0))*(Model2.0!AI$5&lt;&gt;Model2.0!AH$5))*Model2.0!AH56</f>
        <v>0</v>
      </c>
      <c r="AJ56" s="217">
        <f>(1+INDEX('Inputs &amp; Drivers'!$I$61:$I$65,MATCH(Model2.0!AJ$5,'Inputs &amp; Drivers'!$B$61:$B$65,0))*(Model2.0!AJ$5&lt;&gt;Model2.0!AI$5))*Model2.0!AI56</f>
        <v>0</v>
      </c>
      <c r="AK56" s="217">
        <f>(1+INDEX('Inputs &amp; Drivers'!$I$61:$I$65,MATCH(Model2.0!AK$5,'Inputs &amp; Drivers'!$B$61:$B$65,0))*(Model2.0!AK$5&lt;&gt;Model2.0!AJ$5))*Model2.0!AJ56</f>
        <v>0</v>
      </c>
      <c r="AL56" s="217">
        <f>(1+INDEX('Inputs &amp; Drivers'!$I$61:$I$65,MATCH(Model2.0!AL$5,'Inputs &amp; Drivers'!$B$61:$B$65,0))*(Model2.0!AL$5&lt;&gt;Model2.0!AK$5))*Model2.0!AK56</f>
        <v>0</v>
      </c>
      <c r="AM56" s="217">
        <f>(1+INDEX('Inputs &amp; Drivers'!$I$61:$I$65,MATCH(Model2.0!AM$5,'Inputs &amp; Drivers'!$B$61:$B$65,0))*(Model2.0!AM$5&lt;&gt;Model2.0!AL$5))*Model2.0!AL56</f>
        <v>0</v>
      </c>
      <c r="AN56" s="217">
        <f>(1+INDEX('Inputs &amp; Drivers'!$I$61:$I$65,MATCH(Model2.0!AN$5,'Inputs &amp; Drivers'!$B$61:$B$65,0))*(Model2.0!AN$5&lt;&gt;Model2.0!AM$5))*Model2.0!AM56</f>
        <v>0</v>
      </c>
      <c r="AO56" s="217">
        <f>(1+INDEX('Inputs &amp; Drivers'!$I$61:$I$65,MATCH(Model2.0!AO$5,'Inputs &amp; Drivers'!$B$61:$B$65,0))*(Model2.0!AO$5&lt;&gt;Model2.0!AN$5))*Model2.0!AN56</f>
        <v>0</v>
      </c>
      <c r="AP56" s="217">
        <f>(1+INDEX('Inputs &amp; Drivers'!$I$61:$I$65,MATCH(Model2.0!AP$5,'Inputs &amp; Drivers'!$B$61:$B$65,0))*(Model2.0!AP$5&lt;&gt;Model2.0!AO$5))*Model2.0!AO56</f>
        <v>0</v>
      </c>
      <c r="AQ56" s="217">
        <f>(1+INDEX('Inputs &amp; Drivers'!$I$61:$I$65,MATCH(Model2.0!AQ$5,'Inputs &amp; Drivers'!$B$61:$B$65,0))*(Model2.0!AQ$5&lt;&gt;Model2.0!AP$5))*Model2.0!AP56</f>
        <v>0</v>
      </c>
      <c r="AR56" s="217">
        <f>(1+INDEX('Inputs &amp; Drivers'!$I$61:$I$65,MATCH(Model2.0!AR$5,'Inputs &amp; Drivers'!$B$61:$B$65,0))*(Model2.0!AR$5&lt;&gt;Model2.0!AQ$5))*Model2.0!AQ56</f>
        <v>0</v>
      </c>
      <c r="AS56" s="217">
        <f>(1+INDEX('Inputs &amp; Drivers'!$I$61:$I$65,MATCH(Model2.0!AS$5,'Inputs &amp; Drivers'!$B$61:$B$65,0))*(Model2.0!AS$5&lt;&gt;Model2.0!AR$5))*Model2.0!AR56</f>
        <v>0</v>
      </c>
      <c r="AT56" s="217">
        <f>(1+INDEX('Inputs &amp; Drivers'!$I$61:$I$65,MATCH(Model2.0!AT$5,'Inputs &amp; Drivers'!$B$61:$B$65,0))*(Model2.0!AT$5&lt;&gt;Model2.0!AS$5))*Model2.0!AS56</f>
        <v>0</v>
      </c>
      <c r="AU56" s="217">
        <f>(1+INDEX('Inputs &amp; Drivers'!$I$61:$I$65,MATCH(Model2.0!AU$5,'Inputs &amp; Drivers'!$B$61:$B$65,0))*(Model2.0!AU$5&lt;&gt;Model2.0!AT$5))*Model2.0!AT56</f>
        <v>0</v>
      </c>
      <c r="AV56" s="217">
        <f>(1+INDEX('Inputs &amp; Drivers'!$I$61:$I$65,MATCH(Model2.0!AV$5,'Inputs &amp; Drivers'!$B$61:$B$65,0))*(Model2.0!AV$5&lt;&gt;Model2.0!AU$5))*Model2.0!AU56</f>
        <v>0</v>
      </c>
      <c r="AW56" s="217">
        <f>(1+INDEX('Inputs &amp; Drivers'!$I$61:$I$65,MATCH(Model2.0!AW$5,'Inputs &amp; Drivers'!$B$61:$B$65,0))*(Model2.0!AW$5&lt;&gt;Model2.0!AV$5))*Model2.0!AV56</f>
        <v>0</v>
      </c>
      <c r="AX56" s="217">
        <f>(1+INDEX('Inputs &amp; Drivers'!$I$61:$I$65,MATCH(Model2.0!AX$5,'Inputs &amp; Drivers'!$B$61:$B$65,0))*(Model2.0!AX$5&lt;&gt;Model2.0!AW$5))*Model2.0!AW56</f>
        <v>0</v>
      </c>
      <c r="AY56" s="217">
        <f>(1+INDEX('Inputs &amp; Drivers'!$I$61:$I$65,MATCH(Model2.0!AY$5,'Inputs &amp; Drivers'!$B$61:$B$65,0))*(Model2.0!AY$5&lt;&gt;Model2.0!AX$5))*Model2.0!AX56</f>
        <v>0</v>
      </c>
      <c r="AZ56" s="217">
        <f>(1+INDEX('Inputs &amp; Drivers'!$I$61:$I$65,MATCH(Model2.0!AZ$5,'Inputs &amp; Drivers'!$B$61:$B$65,0))*(Model2.0!AZ$5&lt;&gt;Model2.0!AY$5))*Model2.0!AY56</f>
        <v>0</v>
      </c>
      <c r="BA56" s="217">
        <f>(1+INDEX('Inputs &amp; Drivers'!$I$61:$I$65,MATCH(Model2.0!BA$5,'Inputs &amp; Drivers'!$B$61:$B$65,0))*(Model2.0!BA$5&lt;&gt;Model2.0!AZ$5))*Model2.0!AZ56</f>
        <v>0</v>
      </c>
      <c r="BB56" s="217">
        <f>(1+INDEX('Inputs &amp; Drivers'!$I$61:$I$65,MATCH(Model2.0!BB$5,'Inputs &amp; Drivers'!$B$61:$B$65,0))*(Model2.0!BB$5&lt;&gt;Model2.0!BA$5))*Model2.0!BA56</f>
        <v>0</v>
      </c>
      <c r="BC56" s="217">
        <f>(1+INDEX('Inputs &amp; Drivers'!$I$61:$I$65,MATCH(Model2.0!BC$5,'Inputs &amp; Drivers'!$B$61:$B$65,0))*(Model2.0!BC$5&lt;&gt;Model2.0!BB$5))*Model2.0!BB56</f>
        <v>0</v>
      </c>
      <c r="BD56" s="217">
        <f>(1+INDEX('Inputs &amp; Drivers'!$I$61:$I$65,MATCH(Model2.0!BD$5,'Inputs &amp; Drivers'!$B$61:$B$65,0))*(Model2.0!BD$5&lt;&gt;Model2.0!BC$5))*Model2.0!BC56</f>
        <v>0</v>
      </c>
      <c r="BE56" s="217">
        <f>(1+INDEX('Inputs &amp; Drivers'!$I$61:$I$65,MATCH(Model2.0!BE$5,'Inputs &amp; Drivers'!$B$61:$B$65,0))*(Model2.0!BE$5&lt;&gt;Model2.0!BD$5))*Model2.0!BD56</f>
        <v>0</v>
      </c>
      <c r="BF56" s="217">
        <f>(1+INDEX('Inputs &amp; Drivers'!$I$61:$I$65,MATCH(Model2.0!BF$5,'Inputs &amp; Drivers'!$B$61:$B$65,0))*(Model2.0!BF$5&lt;&gt;Model2.0!BE$5))*Model2.0!BE56</f>
        <v>0</v>
      </c>
      <c r="BG56" s="217">
        <f>(1+INDEX('Inputs &amp; Drivers'!$I$61:$I$65,MATCH(Model2.0!BG$5,'Inputs &amp; Drivers'!$B$61:$B$65,0))*(Model2.0!BG$5&lt;&gt;Model2.0!BF$5))*Model2.0!BF56</f>
        <v>0</v>
      </c>
      <c r="BH56" s="217">
        <f>(1+INDEX('Inputs &amp; Drivers'!$I$61:$I$65,MATCH(Model2.0!BH$5,'Inputs &amp; Drivers'!$B$61:$B$65,0))*(Model2.0!BH$5&lt;&gt;Model2.0!BG$5))*Model2.0!BG56</f>
        <v>0</v>
      </c>
      <c r="BI56" s="217">
        <f>(1+INDEX('Inputs &amp; Drivers'!$I$61:$I$65,MATCH(Model2.0!BI$5,'Inputs &amp; Drivers'!$B$61:$B$65,0))*(Model2.0!BI$5&lt;&gt;Model2.0!BH$5))*Model2.0!BH56</f>
        <v>0</v>
      </c>
      <c r="BJ56" s="217">
        <f>(1+INDEX('Inputs &amp; Drivers'!$I$61:$I$65,MATCH(Model2.0!BJ$5,'Inputs &amp; Drivers'!$B$61:$B$65,0))*(Model2.0!BJ$5&lt;&gt;Model2.0!BI$5))*Model2.0!BI56</f>
        <v>0</v>
      </c>
      <c r="BK56" s="217">
        <f>(1+INDEX('Inputs &amp; Drivers'!$I$61:$I$65,MATCH(Model2.0!BK$5,'Inputs &amp; Drivers'!$B$61:$B$65,0))*(Model2.0!BK$5&lt;&gt;Model2.0!BJ$5))*Model2.0!BJ56</f>
        <v>0</v>
      </c>
      <c r="BL56" s="217">
        <f>(1+INDEX('Inputs &amp; Drivers'!$I$61:$I$65,MATCH(Model2.0!BL$5,'Inputs &amp; Drivers'!$B$61:$B$65,0))*(Model2.0!BL$5&lt;&gt;Model2.0!BK$5))*Model2.0!BK56</f>
        <v>0</v>
      </c>
      <c r="BM56" s="217">
        <f>(1+INDEX('Inputs &amp; Drivers'!$I$61:$I$65,MATCH(Model2.0!BM$5,'Inputs &amp; Drivers'!$B$61:$B$65,0))*(Model2.0!BM$5&lt;&gt;Model2.0!BL$5))*Model2.0!BL56</f>
        <v>0</v>
      </c>
      <c r="BN56" s="217">
        <f>(1+INDEX('Inputs &amp; Drivers'!$I$61:$I$65,MATCH(Model2.0!BN$5,'Inputs &amp; Drivers'!$B$61:$B$65,0))*(Model2.0!BN$5&lt;&gt;Model2.0!BM$5))*Model2.0!BM56</f>
        <v>0</v>
      </c>
      <c r="BO56" s="217">
        <f>(1+INDEX('Inputs &amp; Drivers'!$I$61:$I$65,MATCH(Model2.0!BO$5,'Inputs &amp; Drivers'!$B$61:$B$65,0))*(Model2.0!BO$5&lt;&gt;Model2.0!BN$5))*Model2.0!BN56</f>
        <v>0</v>
      </c>
      <c r="BP56" s="217">
        <f>(1+INDEX('Inputs &amp; Drivers'!$I$61:$I$65,MATCH(Model2.0!BP$5,'Inputs &amp; Drivers'!$B$61:$B$65,0))*(Model2.0!BP$5&lt;&gt;Model2.0!BO$5))*Model2.0!BO56</f>
        <v>0</v>
      </c>
      <c r="BR56" s="217">
        <f t="shared" si="356"/>
        <v>0</v>
      </c>
      <c r="BS56" s="217">
        <f t="shared" si="366"/>
        <v>0</v>
      </c>
      <c r="BT56" s="217">
        <f t="shared" ref="BT56" si="368">BS56-BR56</f>
        <v>0</v>
      </c>
      <c r="BV56" t="s">
        <v>82</v>
      </c>
      <c r="BW56" s="217">
        <f t="shared" si="358"/>
        <v>0</v>
      </c>
      <c r="BX56" s="217">
        <f t="shared" si="358"/>
        <v>0</v>
      </c>
      <c r="BY56" s="217">
        <f t="shared" si="358"/>
        <v>0</v>
      </c>
      <c r="BZ56" s="217">
        <f t="shared" si="358"/>
        <v>0</v>
      </c>
      <c r="CA56" s="217">
        <f t="shared" si="358"/>
        <v>0</v>
      </c>
      <c r="CC56" s="217">
        <f t="shared" si="349"/>
        <v>0</v>
      </c>
      <c r="CD56" s="217">
        <f t="shared" si="350"/>
        <v>0</v>
      </c>
      <c r="CE56" s="217">
        <f t="shared" si="351"/>
        <v>0</v>
      </c>
      <c r="CF56" s="217">
        <f t="shared" si="352"/>
        <v>0</v>
      </c>
      <c r="CG56" s="217">
        <f t="shared" si="353"/>
        <v>0</v>
      </c>
      <c r="CI56" t="str">
        <f t="shared" ref="CI56" si="369">IF(CC56=BW56,"OK","Check")</f>
        <v>OK</v>
      </c>
      <c r="CJ56" t="str">
        <f t="shared" ref="CJ56" si="370">IF(CD56=BX56,"OK","Check")</f>
        <v>OK</v>
      </c>
      <c r="CK56" t="str">
        <f t="shared" ref="CK56" si="371">IF(CE56=BY56,"OK","Check")</f>
        <v>OK</v>
      </c>
      <c r="CL56" t="str">
        <f t="shared" ref="CL56" si="372">IF(CF56=BZ56,"OK","Check")</f>
        <v>OK</v>
      </c>
      <c r="CM56" t="str">
        <f t="shared" ref="CM56" si="373">IF(CG56=CA56,"OK","Check")</f>
        <v>OK</v>
      </c>
    </row>
    <row r="57" spans="2:91" x14ac:dyDescent="0.3"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R57" s="217"/>
      <c r="BS57" s="217"/>
      <c r="BT57" s="217"/>
      <c r="BW57" s="217"/>
      <c r="BX57" s="217"/>
      <c r="BY57" s="217"/>
      <c r="BZ57" s="217"/>
      <c r="CA57" s="217"/>
    </row>
    <row r="58" spans="2:91" x14ac:dyDescent="0.3">
      <c r="B58" t="s">
        <v>37</v>
      </c>
      <c r="E58" s="43">
        <f>SUM(E37:E55)</f>
        <v>287413.15999999997</v>
      </c>
      <c r="F58" s="43">
        <f>SUM(F37:F55)</f>
        <v>288831.47000000003</v>
      </c>
      <c r="H58" s="217">
        <f>'P-Builder'!Q41</f>
        <v>24338.47</v>
      </c>
      <c r="I58" s="217">
        <f>SUM(I37,I39:I41,I43:I56)</f>
        <v>24165.832435759079</v>
      </c>
      <c r="J58" s="217">
        <f>SUM(J37,J39:J41,J43:J56)</f>
        <v>24188.721448167838</v>
      </c>
      <c r="K58" s="217">
        <f t="shared" ref="K58:BP58" si="374">SUM(K37,K39:K41,K43:K56)</f>
        <v>24211.763053992658</v>
      </c>
      <c r="L58" s="217">
        <f t="shared" si="374"/>
        <v>24416.641102323276</v>
      </c>
      <c r="M58" s="217">
        <f t="shared" si="374"/>
        <v>24622.885004309432</v>
      </c>
      <c r="N58" s="217">
        <f t="shared" si="374"/>
        <v>24830.50386564216</v>
      </c>
      <c r="O58" s="217">
        <f t="shared" si="374"/>
        <v>24928.302392729609</v>
      </c>
      <c r="P58" s="217">
        <f t="shared" si="374"/>
        <v>25026.752909997642</v>
      </c>
      <c r="Q58" s="217">
        <f t="shared" si="374"/>
        <v>25125.859764047462</v>
      </c>
      <c r="R58" s="217">
        <f t="shared" si="374"/>
        <v>25225.627330457613</v>
      </c>
      <c r="S58" s="217">
        <f t="shared" si="374"/>
        <v>25326.060013977163</v>
      </c>
      <c r="T58" s="217">
        <f t="shared" si="374"/>
        <v>25427.162248720182</v>
      </c>
      <c r="U58" s="217">
        <f t="shared" si="374"/>
        <v>25523.407441354968</v>
      </c>
      <c r="V58" s="217">
        <f t="shared" si="374"/>
        <v>25580.703231954336</v>
      </c>
      <c r="W58" s="217">
        <f t="shared" si="374"/>
        <v>25638.190008522375</v>
      </c>
      <c r="X58" s="217">
        <f t="shared" si="374"/>
        <v>25695.868407678965</v>
      </c>
      <c r="Y58" s="217">
        <f t="shared" si="374"/>
        <v>25753.739068166084</v>
      </c>
      <c r="Z58" s="217">
        <f t="shared" si="374"/>
        <v>25811.802630854821</v>
      </c>
      <c r="AA58" s="217">
        <f t="shared" si="374"/>
        <v>25870.059738752527</v>
      </c>
      <c r="AB58" s="217">
        <f t="shared" si="374"/>
        <v>25928.511037009885</v>
      </c>
      <c r="AC58" s="217">
        <f t="shared" si="374"/>
        <v>25987.157172928106</v>
      </c>
      <c r="AD58" s="217">
        <f t="shared" si="374"/>
        <v>26045.99879596605</v>
      </c>
      <c r="AE58" s="217">
        <f t="shared" si="374"/>
        <v>26105.036557747459</v>
      </c>
      <c r="AF58" s="217">
        <f t="shared" si="374"/>
        <v>26164.271112068134</v>
      </c>
      <c r="AG58" s="217">
        <f t="shared" si="374"/>
        <v>26622.582820012267</v>
      </c>
      <c r="AH58" s="217">
        <f t="shared" si="374"/>
        <v>26688.838497246928</v>
      </c>
      <c r="AI58" s="217">
        <f t="shared" si="374"/>
        <v>26755.315026739041</v>
      </c>
      <c r="AJ58" s="217">
        <f t="shared" si="374"/>
        <v>26822.013144662793</v>
      </c>
      <c r="AK58" s="217">
        <f t="shared" si="374"/>
        <v>26888.933589646294</v>
      </c>
      <c r="AL58" s="217">
        <f t="shared" si="374"/>
        <v>26956.077102779738</v>
      </c>
      <c r="AM58" s="217">
        <f t="shared" si="374"/>
        <v>27023.444427623625</v>
      </c>
      <c r="AN58" s="217">
        <f t="shared" si="374"/>
        <v>27091.036310216994</v>
      </c>
      <c r="AO58" s="217">
        <f t="shared" si="374"/>
        <v>27158.853499085672</v>
      </c>
      <c r="AP58" s="217">
        <f t="shared" si="374"/>
        <v>27226.896745250579</v>
      </c>
      <c r="AQ58" s="217">
        <f t="shared" si="374"/>
        <v>27295.166802236039</v>
      </c>
      <c r="AR58" s="217">
        <f t="shared" si="374"/>
        <v>27363.664426078114</v>
      </c>
      <c r="AS58" s="217">
        <f t="shared" si="374"/>
        <v>27250.692182428422</v>
      </c>
      <c r="AT58" s="217">
        <f t="shared" si="374"/>
        <v>27319.64721818082</v>
      </c>
      <c r="AU58" s="217">
        <f t="shared" si="374"/>
        <v>27388.832104052395</v>
      </c>
      <c r="AV58" s="217">
        <f t="shared" si="374"/>
        <v>27458.247606210207</v>
      </c>
      <c r="AW58" s="217">
        <f t="shared" si="374"/>
        <v>27527.894493375214</v>
      </c>
      <c r="AX58" s="217">
        <f t="shared" si="374"/>
        <v>27597.773536830769</v>
      </c>
      <c r="AY58" s="217">
        <f t="shared" si="374"/>
        <v>27667.885510431181</v>
      </c>
      <c r="AZ58" s="217">
        <f t="shared" si="374"/>
        <v>27738.231190610255</v>
      </c>
      <c r="BA58" s="217">
        <f t="shared" si="374"/>
        <v>27808.811356389924</v>
      </c>
      <c r="BB58" s="217">
        <f t="shared" si="374"/>
        <v>27879.626789388865</v>
      </c>
      <c r="BC58" s="217">
        <f t="shared" si="374"/>
        <v>27950.67827383113</v>
      </c>
      <c r="BD58" s="217">
        <f t="shared" si="374"/>
        <v>28021.96659655487</v>
      </c>
      <c r="BE58" s="217">
        <f t="shared" si="374"/>
        <v>27895.506280752918</v>
      </c>
      <c r="BF58" s="217">
        <f t="shared" si="374"/>
        <v>27967.270651053961</v>
      </c>
      <c r="BG58" s="217">
        <f t="shared" si="374"/>
        <v>28039.274235922672</v>
      </c>
      <c r="BH58" s="217">
        <f t="shared" si="374"/>
        <v>28111.517832740945</v>
      </c>
      <c r="BI58" s="217">
        <f t="shared" si="374"/>
        <v>28184.002241548613</v>
      </c>
      <c r="BJ58" s="217">
        <f t="shared" si="374"/>
        <v>28256.728265052308</v>
      </c>
      <c r="BK58" s="217">
        <f t="shared" si="374"/>
        <v>28329.696708634347</v>
      </c>
      <c r="BL58" s="217">
        <f t="shared" si="374"/>
        <v>28402.90838036166</v>
      </c>
      <c r="BM58" s="217">
        <f t="shared" si="374"/>
        <v>28476.364090994728</v>
      </c>
      <c r="BN58" s="217">
        <f t="shared" si="374"/>
        <v>28550.064653996578</v>
      </c>
      <c r="BO58" s="217">
        <f t="shared" si="374"/>
        <v>28624.010885541764</v>
      </c>
      <c r="BP58" s="217">
        <f t="shared" si="374"/>
        <v>28698.203604525435</v>
      </c>
      <c r="BR58" s="217">
        <f>SUM(BR37:BR56)</f>
        <v>297496.11157012417</v>
      </c>
      <c r="BS58" s="217">
        <f>SUM(BS37:BS56)</f>
        <v>330911.94367056183</v>
      </c>
      <c r="BT58" s="217">
        <f>SUM(BT37:BT56)</f>
        <v>33415.832100437692</v>
      </c>
      <c r="BV58" t="s">
        <v>37</v>
      </c>
      <c r="BW58" s="217">
        <f>SUM(BW43:BW56,BW39:BW41,BW37)</f>
        <v>297496.11157012417</v>
      </c>
      <c r="BX58" s="217">
        <f t="shared" ref="BX58:CA58" si="375">SUM(BX43:BX56,BX39:BX41,BX37)</f>
        <v>310104.74520300375</v>
      </c>
      <c r="BY58" s="217">
        <f t="shared" si="375"/>
        <v>323892.82239157811</v>
      </c>
      <c r="BZ58" s="217">
        <f t="shared" si="375"/>
        <v>331610.28685828409</v>
      </c>
      <c r="CA58" s="217">
        <f t="shared" si="375"/>
        <v>339535.54783112596</v>
      </c>
      <c r="CC58" s="217">
        <f>SUM($I58:$T58)</f>
        <v>297496.11157012411</v>
      </c>
      <c r="CD58" s="217">
        <f>SUM($U58:$AF58)</f>
        <v>310104.74520300369</v>
      </c>
      <c r="CE58" s="217">
        <f>SUM($AG58:$AR58)</f>
        <v>323892.82239157805</v>
      </c>
      <c r="CF58" s="217">
        <f>SUM($AS58:$BD58)</f>
        <v>331610.28685828403</v>
      </c>
      <c r="CG58" s="217">
        <f>SUM($BE58:$BP58)</f>
        <v>339535.54783112591</v>
      </c>
    </row>
    <row r="59" spans="2:91" x14ac:dyDescent="0.3">
      <c r="H59" s="217">
        <f>'P-Builder'!Q42</f>
        <v>0</v>
      </c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R59" s="217"/>
      <c r="BS59" s="217"/>
      <c r="BT59" s="217"/>
      <c r="BW59" s="217"/>
      <c r="BX59" s="217"/>
      <c r="BY59" s="217"/>
      <c r="BZ59" s="217"/>
      <c r="CA59" s="217"/>
      <c r="CC59" t="str">
        <f>IF(CC58=BW58,"OK","Check")</f>
        <v>OK</v>
      </c>
      <c r="CD59" t="str">
        <f t="shared" ref="CD59:CG59" si="376">IF(CD58=BX58,"OK","Check")</f>
        <v>OK</v>
      </c>
      <c r="CE59" t="str">
        <f t="shared" si="376"/>
        <v>OK</v>
      </c>
      <c r="CF59" t="str">
        <f t="shared" si="376"/>
        <v>OK</v>
      </c>
      <c r="CG59" t="str">
        <f t="shared" si="376"/>
        <v>OK</v>
      </c>
    </row>
    <row r="60" spans="2:91" x14ac:dyDescent="0.3">
      <c r="B60" t="s">
        <v>38</v>
      </c>
      <c r="E60" s="43">
        <f>E34-E58</f>
        <v>842389.12000000011</v>
      </c>
      <c r="F60" s="43">
        <f>F34-F58</f>
        <v>634336.54</v>
      </c>
      <c r="H60" s="217">
        <f>'P-Builder'!Q43</f>
        <v>73151.14</v>
      </c>
      <c r="I60" s="217">
        <f>I34-I58</f>
        <v>68236.99005308382</v>
      </c>
      <c r="J60" s="217">
        <f>J34-J58</f>
        <v>68828.821541694255</v>
      </c>
      <c r="K60" s="217">
        <f t="shared" ref="K60:AN60" si="377">K34-K58</f>
        <v>69425.275526293917</v>
      </c>
      <c r="L60" s="217">
        <f t="shared" si="377"/>
        <v>74386.745254672147</v>
      </c>
      <c r="M60" s="217">
        <f t="shared" si="377"/>
        <v>79381.917846814948</v>
      </c>
      <c r="N60" s="217">
        <f t="shared" si="377"/>
        <v>84410.993466801359</v>
      </c>
      <c r="O60" s="217">
        <f t="shared" si="377"/>
        <v>86805.267063521314</v>
      </c>
      <c r="P60" s="217">
        <f t="shared" si="377"/>
        <v>89216.056778538114</v>
      </c>
      <c r="Q60" s="217">
        <f t="shared" si="377"/>
        <v>91643.449638667254</v>
      </c>
      <c r="R60" s="217">
        <f t="shared" si="377"/>
        <v>94087.533712163568</v>
      </c>
      <c r="S60" s="217">
        <f t="shared" si="377"/>
        <v>96459.758106438268</v>
      </c>
      <c r="T60" s="217">
        <f t="shared" si="377"/>
        <v>98848.852965945262</v>
      </c>
      <c r="U60" s="217">
        <f t="shared" si="377"/>
        <v>78858.337660908088</v>
      </c>
      <c r="V60" s="217">
        <f t="shared" si="377"/>
        <v>80038.477832005738</v>
      </c>
      <c r="W60" s="217">
        <f t="shared" si="377"/>
        <v>81223.425490695736</v>
      </c>
      <c r="X60" s="217">
        <f t="shared" si="377"/>
        <v>82413.179137177198</v>
      </c>
      <c r="Y60" s="217">
        <f t="shared" si="377"/>
        <v>83607.737617042992</v>
      </c>
      <c r="Z60" s="217">
        <f t="shared" si="377"/>
        <v>84807.100115423062</v>
      </c>
      <c r="AA60" s="217">
        <f t="shared" si="377"/>
        <v>86011.26615124839</v>
      </c>
      <c r="AB60" s="217">
        <f t="shared" si="377"/>
        <v>87220.235571632904</v>
      </c>
      <c r="AC60" s="217">
        <f t="shared" si="377"/>
        <v>88434.008546371624</v>
      </c>
      <c r="AD60" s="217">
        <f t="shared" si="377"/>
        <v>89652.585562552355</v>
      </c>
      <c r="AE60" s="217">
        <f t="shared" si="377"/>
        <v>90875.967419278284</v>
      </c>
      <c r="AF60" s="217">
        <f t="shared" si="377"/>
        <v>92104.155222500267</v>
      </c>
      <c r="AG60" s="217">
        <f t="shared" si="377"/>
        <v>81400.640731611085</v>
      </c>
      <c r="AH60" s="217">
        <f t="shared" si="377"/>
        <v>82631.819380144007</v>
      </c>
      <c r="AI60" s="217">
        <f t="shared" si="377"/>
        <v>83867.786998796437</v>
      </c>
      <c r="AJ60" s="217">
        <f t="shared" si="377"/>
        <v>85108.5457977193</v>
      </c>
      <c r="AK60" s="217">
        <f t="shared" si="377"/>
        <v>86354.098269387556</v>
      </c>
      <c r="AL60" s="217">
        <f t="shared" si="377"/>
        <v>87604.447184042394</v>
      </c>
      <c r="AM60" s="217">
        <f t="shared" si="377"/>
        <v>88859.595585227478</v>
      </c>
      <c r="AN60" s="217">
        <f t="shared" si="377"/>
        <v>90119.546785418541</v>
      </c>
      <c r="AO60" s="217">
        <f t="shared" ref="AO60:BO60" si="378">AO34-AO58</f>
        <v>91384.304361743751</v>
      </c>
      <c r="AP60" s="217">
        <f t="shared" si="378"/>
        <v>92653.872151793519</v>
      </c>
      <c r="AQ60" s="217">
        <f t="shared" si="378"/>
        <v>93928.254249517719</v>
      </c>
      <c r="AR60" s="217">
        <f t="shared" si="378"/>
        <v>95207.455001208655</v>
      </c>
      <c r="AS60" s="217">
        <f t="shared" si="378"/>
        <v>84664.096831920222</v>
      </c>
      <c r="AT60" s="217">
        <f t="shared" si="378"/>
        <v>85952.948920208699</v>
      </c>
      <c r="AU60" s="217">
        <f t="shared" si="378"/>
        <v>87246.634176475782</v>
      </c>
      <c r="AV60" s="217">
        <f t="shared" si="378"/>
        <v>88545.157917869117</v>
      </c>
      <c r="AW60" s="217">
        <f t="shared" si="378"/>
        <v>89848.525695021526</v>
      </c>
      <c r="AX60" s="217">
        <f t="shared" si="378"/>
        <v>91156.743288513564</v>
      </c>
      <c r="AY60" s="217">
        <f t="shared" si="378"/>
        <v>92469.816705411053</v>
      </c>
      <c r="AZ60" s="217">
        <f t="shared" si="378"/>
        <v>93787.752175875474</v>
      </c>
      <c r="BA60" s="217">
        <f t="shared" si="378"/>
        <v>95110.556149845914</v>
      </c>
      <c r="BB60" s="217">
        <f t="shared" si="378"/>
        <v>96438.235293791251</v>
      </c>
      <c r="BC60" s="217">
        <f t="shared" si="378"/>
        <v>97770.796487531101</v>
      </c>
      <c r="BD60" s="217">
        <f t="shared" si="378"/>
        <v>99108.246821124223</v>
      </c>
      <c r="BE60" s="217">
        <f t="shared" si="378"/>
        <v>88148.820615121644</v>
      </c>
      <c r="BF60" s="217">
        <f t="shared" si="378"/>
        <v>89496.071324391</v>
      </c>
      <c r="BG60" s="217">
        <f t="shared" si="378"/>
        <v>90848.233674991643</v>
      </c>
      <c r="BH60" s="217">
        <f t="shared" si="378"/>
        <v>92205.315568124643</v>
      </c>
      <c r="BI60" s="217">
        <f t="shared" si="378"/>
        <v>93567.325100637463</v>
      </c>
      <c r="BJ60" s="217">
        <f t="shared" si="378"/>
        <v>94934.270562289836</v>
      </c>
      <c r="BK60" s="217">
        <f t="shared" si="378"/>
        <v>96306.160433077923</v>
      </c>
      <c r="BL60" s="217">
        <f t="shared" si="378"/>
        <v>97683.00338061637</v>
      </c>
      <c r="BM60" s="217">
        <f t="shared" si="378"/>
        <v>99064.808257576209</v>
      </c>
      <c r="BN60" s="217">
        <f t="shared" si="378"/>
        <v>100451.58409917841</v>
      </c>
      <c r="BO60" s="217">
        <f t="shared" si="378"/>
        <v>101843.3401207412</v>
      </c>
      <c r="BP60" s="217">
        <f>BP34-BP58</f>
        <v>103240.08571528063</v>
      </c>
      <c r="BR60" s="217">
        <f>BR34-BR58</f>
        <v>1001731.6619546342</v>
      </c>
      <c r="BS60" s="217">
        <f>BS34-BS58</f>
        <v>841707.43821094418</v>
      </c>
      <c r="BT60" s="217">
        <f>BR60-BS60</f>
        <v>160024.22374369006</v>
      </c>
      <c r="BV60" t="s">
        <v>38</v>
      </c>
      <c r="BW60" s="217">
        <f>BW34-BW58</f>
        <v>1001731.661954634</v>
      </c>
      <c r="BX60" s="217">
        <f t="shared" ref="BX60:CA60" si="379">BX34-BX58</f>
        <v>1025246.4763268367</v>
      </c>
      <c r="BY60" s="217">
        <f t="shared" si="379"/>
        <v>1059120.3664966105</v>
      </c>
      <c r="BZ60" s="217">
        <f t="shared" si="379"/>
        <v>1102099.5104635877</v>
      </c>
      <c r="CA60" s="217">
        <f t="shared" si="379"/>
        <v>1147789.0188520269</v>
      </c>
      <c r="CC60" s="217">
        <f>SUM($I60:$T60)</f>
        <v>1001731.6619546342</v>
      </c>
      <c r="CD60" s="217">
        <f>SUM($U60:$AF60)</f>
        <v>1025246.4763268365</v>
      </c>
      <c r="CE60" s="217">
        <f>SUM($AG60:$AR60)</f>
        <v>1059120.3664966105</v>
      </c>
      <c r="CF60" s="217">
        <f>SUM($AS60:$BD60)</f>
        <v>1102099.5104635879</v>
      </c>
      <c r="CG60" s="217">
        <f>SUM($BE60:$BP60)</f>
        <v>1147789.0188520271</v>
      </c>
    </row>
    <row r="61" spans="2:91" x14ac:dyDescent="0.3">
      <c r="CC61" t="str">
        <f>IF(CC60=BW60,"OK","Check")</f>
        <v>OK</v>
      </c>
      <c r="CD61" t="str">
        <f t="shared" ref="CD61:CG61" si="380">IF(CD60=BX60,"OK","Check")</f>
        <v>OK</v>
      </c>
      <c r="CE61" t="str">
        <f t="shared" si="380"/>
        <v>OK</v>
      </c>
      <c r="CF61" t="str">
        <f t="shared" si="380"/>
        <v>OK</v>
      </c>
      <c r="CG61" t="str">
        <f t="shared" si="380"/>
        <v>OK</v>
      </c>
    </row>
    <row r="63" spans="2:91" x14ac:dyDescent="0.3">
      <c r="BT63" s="217">
        <f>BS58-BR58</f>
        <v>33415.832100437663</v>
      </c>
    </row>
    <row r="66" spans="71:71" x14ac:dyDescent="0.3">
      <c r="BS66">
        <f>BR58/BS58</f>
        <v>0.89901896036214191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964B-0968-4472-B378-F1C4366F999E}">
  <sheetPr>
    <tabColor theme="5"/>
  </sheetPr>
  <dimension ref="A1:AS98"/>
  <sheetViews>
    <sheetView topLeftCell="A13" zoomScale="55" zoomScaleNormal="55" workbookViewId="0">
      <selection activeCell="N53" sqref="N53"/>
    </sheetView>
  </sheetViews>
  <sheetFormatPr defaultRowHeight="14.4" x14ac:dyDescent="0.3"/>
  <cols>
    <col min="2" max="2" width="31.88671875" bestFit="1" customWidth="1"/>
    <col min="4" max="4" width="9.6640625" bestFit="1" customWidth="1"/>
    <col min="5" max="5" width="33.44140625" bestFit="1" customWidth="1"/>
    <col min="6" max="9" width="16.5546875" bestFit="1" customWidth="1"/>
    <col min="10" max="10" width="16.6640625" bestFit="1" customWidth="1"/>
    <col min="11" max="11" width="16" bestFit="1" customWidth="1"/>
    <col min="12" max="12" width="16.33203125" bestFit="1" customWidth="1"/>
    <col min="13" max="13" width="15.6640625" bestFit="1" customWidth="1"/>
    <col min="14" max="14" width="15.44140625" bestFit="1" customWidth="1"/>
    <col min="15" max="15" width="16" bestFit="1" customWidth="1"/>
    <col min="16" max="16" width="16.6640625" bestFit="1" customWidth="1"/>
    <col min="17" max="17" width="16.5546875" bestFit="1" customWidth="1"/>
    <col min="18" max="19" width="1.88671875" customWidth="1"/>
    <col min="20" max="20" width="14.5546875" bestFit="1" customWidth="1"/>
    <col min="21" max="21" width="2.33203125" customWidth="1"/>
    <col min="22" max="22" width="13.44140625" bestFit="1" customWidth="1"/>
    <col min="23" max="23" width="1.33203125" customWidth="1"/>
    <col min="24" max="24" width="11.5546875" bestFit="1" customWidth="1"/>
    <col min="25" max="25" width="1.6640625" customWidth="1"/>
    <col min="26" max="26" width="11.33203125" bestFit="1" customWidth="1"/>
    <col min="27" max="27" width="2.44140625" customWidth="1"/>
    <col min="28" max="28" width="11.5546875" bestFit="1" customWidth="1"/>
    <col min="29" max="29" width="2.109375" customWidth="1"/>
    <col min="30" max="30" width="12.5546875" bestFit="1" customWidth="1"/>
    <col min="31" max="31" width="2.6640625" customWidth="1"/>
    <col min="32" max="32" width="15.44140625" bestFit="1" customWidth="1"/>
    <col min="33" max="33" width="3" customWidth="1"/>
    <col min="34" max="34" width="12.6640625" customWidth="1"/>
  </cols>
  <sheetData>
    <row r="1" spans="1:45" ht="23.4" x14ac:dyDescent="0.45">
      <c r="A1" s="13"/>
      <c r="B1" s="12" t="s">
        <v>105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spans="1:45" ht="23.4" x14ac:dyDescent="0.45">
      <c r="A2" s="13"/>
      <c r="B2" s="12" t="s">
        <v>106</v>
      </c>
      <c r="C2" s="13"/>
      <c r="D2" s="116">
        <v>45689</v>
      </c>
      <c r="E2" s="13"/>
      <c r="F2" s="112">
        <f t="shared" ref="F2:Q2" si="0">SUM(F5:F43)</f>
        <v>201534.53</v>
      </c>
      <c r="G2" s="112">
        <f t="shared" si="0"/>
        <v>236283.89000000004</v>
      </c>
      <c r="H2" s="112">
        <f t="shared" si="0"/>
        <v>255075.86000000002</v>
      </c>
      <c r="I2" s="112">
        <f t="shared" si="0"/>
        <v>290199.67999999999</v>
      </c>
      <c r="J2" s="112">
        <f t="shared" si="0"/>
        <v>306114.01</v>
      </c>
      <c r="K2" s="112">
        <f t="shared" si="0"/>
        <v>343684.95000000007</v>
      </c>
      <c r="L2" s="112">
        <f t="shared" si="0"/>
        <v>353865.87000000005</v>
      </c>
      <c r="M2" s="112">
        <f t="shared" si="0"/>
        <v>357758.05000000005</v>
      </c>
      <c r="N2" s="112">
        <f t="shared" si="0"/>
        <v>371969.32</v>
      </c>
      <c r="O2" s="112">
        <f t="shared" si="0"/>
        <v>382155.33000000013</v>
      </c>
      <c r="P2" s="112">
        <f t="shared" si="0"/>
        <v>387237.72000000009</v>
      </c>
      <c r="Q2" s="112">
        <f t="shared" si="0"/>
        <v>405266.12</v>
      </c>
      <c r="R2" s="13"/>
      <c r="S2" s="13"/>
      <c r="T2" s="13"/>
      <c r="U2" s="13"/>
      <c r="V2" s="13"/>
      <c r="W2" s="13"/>
      <c r="X2" s="528" t="s">
        <v>107</v>
      </c>
      <c r="Y2" s="528"/>
      <c r="Z2" s="528"/>
      <c r="AA2" s="528"/>
      <c r="AB2" s="528"/>
      <c r="AC2" s="528"/>
      <c r="AD2" s="528"/>
      <c r="AE2" s="14"/>
      <c r="AF2" s="14" t="s">
        <v>108</v>
      </c>
      <c r="AG2" s="13"/>
      <c r="AH2" s="14" t="s">
        <v>108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8.600000000000001" thickBot="1" x14ac:dyDescent="0.4">
      <c r="D3" t="s">
        <v>361</v>
      </c>
      <c r="F3" s="15">
        <f>EDATE(D2,0)</f>
        <v>45689</v>
      </c>
      <c r="G3" s="15">
        <f>EDATE(F3,1)</f>
        <v>45717</v>
      </c>
      <c r="H3" s="15">
        <f t="shared" ref="H3:Q3" si="1">EDATE(G3,1)</f>
        <v>45748</v>
      </c>
      <c r="I3" s="15">
        <f t="shared" si="1"/>
        <v>45778</v>
      </c>
      <c r="J3" s="15">
        <f t="shared" si="1"/>
        <v>45809</v>
      </c>
      <c r="K3" s="15">
        <f t="shared" si="1"/>
        <v>45839</v>
      </c>
      <c r="L3" s="15">
        <f t="shared" si="1"/>
        <v>45870</v>
      </c>
      <c r="M3" s="15">
        <f t="shared" si="1"/>
        <v>45901</v>
      </c>
      <c r="N3" s="15">
        <f t="shared" si="1"/>
        <v>45931</v>
      </c>
      <c r="O3" s="15">
        <f t="shared" si="1"/>
        <v>45962</v>
      </c>
      <c r="P3" s="15">
        <f t="shared" si="1"/>
        <v>45992</v>
      </c>
      <c r="Q3" s="15">
        <f t="shared" si="1"/>
        <v>46023</v>
      </c>
      <c r="T3" t="s">
        <v>109</v>
      </c>
      <c r="V3" t="s">
        <v>110</v>
      </c>
      <c r="X3" t="s">
        <v>110</v>
      </c>
      <c r="Z3" t="s">
        <v>111</v>
      </c>
      <c r="AB3" t="s">
        <v>112</v>
      </c>
      <c r="AD3" t="s">
        <v>113</v>
      </c>
      <c r="AF3" t="s">
        <v>93</v>
      </c>
      <c r="AH3" t="s">
        <v>4</v>
      </c>
    </row>
    <row r="4" spans="1:45" ht="18" x14ac:dyDescent="0.3">
      <c r="B4" s="20"/>
      <c r="E4" s="16" t="s">
        <v>2</v>
      </c>
      <c r="F4" s="1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T4" s="20"/>
      <c r="V4" s="20"/>
      <c r="X4" s="20"/>
      <c r="Z4" s="20"/>
      <c r="AB4" s="20"/>
      <c r="AD4" s="20"/>
      <c r="AF4" s="20"/>
      <c r="AH4" s="20"/>
      <c r="AJ4">
        <v>1279529.1199999999</v>
      </c>
      <c r="AL4" s="16" t="s">
        <v>2</v>
      </c>
    </row>
    <row r="5" spans="1:45" x14ac:dyDescent="0.3">
      <c r="B5" s="49"/>
      <c r="E5" s="21" t="s">
        <v>7</v>
      </c>
      <c r="F5" s="22">
        <f>SUMIFS('Data Drop'!$G:$G,'Data Drop'!$H:$H,$E5, 'Data Drop'!$D:$D,MONTH(F$3),'Data Drop'!$E:$E,YEAR(F$3))</f>
        <v>41324.649999999994</v>
      </c>
      <c r="G5" s="23">
        <f>SUMIFS('Data Drop'!$G:$G,'Data Drop'!$H:$H,$E5, 'Data Drop'!$D:$D,MONTH(G$3),'Data Drop'!$E:$E,YEAR(G$3))</f>
        <v>48906.560000000005</v>
      </c>
      <c r="H5" s="23">
        <f>SUMIFS('Data Drop'!$G:$G,'Data Drop'!$H:$H,$E5, 'Data Drop'!$D:$D,MONTH(H$3),'Data Drop'!$E:$E,YEAR(H$3))</f>
        <v>54138.43</v>
      </c>
      <c r="I5" s="23">
        <f>SUMIFS('Data Drop'!$G:$G,'Data Drop'!$H:$H,$E5, 'Data Drop'!$D:$D,MONTH(I$3),'Data Drop'!$E:$E,YEAR(I$3))</f>
        <v>60857.869999999995</v>
      </c>
      <c r="J5" s="23">
        <f>SUMIFS('Data Drop'!$G:$G,'Data Drop'!$H:$H,$E5, 'Data Drop'!$D:$D,MONTH(J$3),'Data Drop'!$E:$E,YEAR(J$3))</f>
        <v>65220.380000000005</v>
      </c>
      <c r="K5" s="23">
        <f>SUMIFS('Data Drop'!$G:$G,'Data Drop'!$H:$H,$E5, 'Data Drop'!$D:$D,MONTH(K$3),'Data Drop'!$E:$E,YEAR(K$3))</f>
        <v>72813.540000000008</v>
      </c>
      <c r="L5" s="23">
        <f>SUMIFS('Data Drop'!$G:$G,'Data Drop'!$H:$H,$E5, 'Data Drop'!$D:$D,MONTH(L$3),'Data Drop'!$E:$E,YEAR(L$3))</f>
        <v>75484.5</v>
      </c>
      <c r="M5" s="23">
        <f>SUMIFS('Data Drop'!$G:$G,'Data Drop'!$H:$H,$E5, 'Data Drop'!$D:$D,MONTH(M$3),'Data Drop'!$E:$E,YEAR(M$3))</f>
        <v>77101.22</v>
      </c>
      <c r="N5" s="23">
        <f>SUMIFS('Data Drop'!$G:$G,'Data Drop'!$H:$H,$E5, 'Data Drop'!$D:$D,MONTH(N$3),'Data Drop'!$E:$E,YEAR(N$3))</f>
        <v>81508.509999999995</v>
      </c>
      <c r="O5" s="23">
        <f>SUMIFS('Data Drop'!$G:$G,'Data Drop'!$H:$H,$E5, 'Data Drop'!$D:$D,MONTH(O$3),'Data Drop'!$E:$E,YEAR(O$3))</f>
        <v>84146.790000000008</v>
      </c>
      <c r="P5" s="23">
        <f>SUMIFS('Data Drop'!$G:$G,'Data Drop'!$H:$H,$E5, 'Data Drop'!$D:$D,MONTH(P$3),'Data Drop'!$E:$E,YEAR(P$3))</f>
        <v>82848.56</v>
      </c>
      <c r="Q5" s="23">
        <f>SUMIFS('Data Drop'!$G:$G,'Data Drop'!$H:$H,$E5, 'Data Drop'!$D:$D,MONTH(Q$3),'Data Drop'!$E:$E,YEAR(Q$3))</f>
        <v>88458.819999999992</v>
      </c>
      <c r="R5" s="24"/>
      <c r="T5" s="25">
        <f>SUM(F5:Q5)</f>
        <v>832809.83</v>
      </c>
      <c r="V5" s="25">
        <f t="shared" ref="V5:V37" si="2">IFERROR(AVERAGEIF($F$2:$Q$2,"&gt;0",F5:Q5),"")</f>
        <v>69400.819166666668</v>
      </c>
      <c r="X5" s="44" cm="1">
        <f t="array" ref="X5">IFERROR(AVERAGE(IF($F$2:$P$2&gt;0,$G5:$Q5/$F5:$P5-1)),"")</f>
        <v>7.2962803151931252E-2</v>
      </c>
      <c r="Z5" s="44" cm="1">
        <f t="array" ref="Z5">IFERROR(AVERAGE($O5:$Q5/$N5:$P5-1),"")</f>
        <v>2.8219014881711191E-2</v>
      </c>
      <c r="AA5" s="43"/>
      <c r="AB5" s="44">
        <f>IFERROR(AVERAGE($Q5/$P5-1),"")</f>
        <v>6.7717049035010302E-2</v>
      </c>
      <c r="AC5" s="43"/>
      <c r="AD5" s="44">
        <f>IFERROR(AVERAGE($Q5/$F5-1),"")</f>
        <v>1.1405824368748436</v>
      </c>
      <c r="AE5" s="43"/>
      <c r="AF5" s="25">
        <f>SUM(O5:Q5)*4</f>
        <v>1021816.6799999999</v>
      </c>
      <c r="AH5" s="25"/>
      <c r="AJ5" s="43">
        <v>592</v>
      </c>
      <c r="AL5" s="21" t="s">
        <v>7</v>
      </c>
    </row>
    <row r="6" spans="1:45" x14ac:dyDescent="0.3">
      <c r="B6" s="49"/>
      <c r="E6" s="21" t="s">
        <v>9</v>
      </c>
      <c r="F6" s="22">
        <f>SUMIFS('Data Drop'!$G:$G,'Data Drop'!$H:$H,$E6, 'Data Drop'!$D:$D,MONTH(F$3),'Data Drop'!$E:$E,YEAR(F$3))</f>
        <v>0</v>
      </c>
      <c r="G6" s="23">
        <f>SUMIFS('Data Drop'!$G:$G,'Data Drop'!$H:$H,$E6, 'Data Drop'!$D:$D,MONTH(G$3),'Data Drop'!$E:$E,YEAR(G$3))</f>
        <v>0</v>
      </c>
      <c r="H6" s="23">
        <f>SUMIFS('Data Drop'!$G:$G,'Data Drop'!$H:$H,$E6, 'Data Drop'!$D:$D,MONTH(H$3),'Data Drop'!$E:$E,YEAR(H$3))</f>
        <v>0</v>
      </c>
      <c r="I6" s="23">
        <f>SUMIFS('Data Drop'!$G:$G,'Data Drop'!$H:$H,$E6, 'Data Drop'!$D:$D,MONTH(I$3),'Data Drop'!$E:$E,YEAR(I$3))</f>
        <v>0</v>
      </c>
      <c r="J6" s="23">
        <f>SUMIFS('Data Drop'!$G:$G,'Data Drop'!$H:$H,$E6, 'Data Drop'!$D:$D,MONTH(J$3),'Data Drop'!$E:$E,YEAR(J$3))</f>
        <v>0</v>
      </c>
      <c r="K6" s="23">
        <f>SUMIFS('Data Drop'!$G:$G,'Data Drop'!$H:$H,$E6, 'Data Drop'!$D:$D,MONTH(K$3),'Data Drop'!$E:$E,YEAR(K$3))</f>
        <v>0</v>
      </c>
      <c r="L6" s="23">
        <f>SUMIFS('Data Drop'!$G:$G,'Data Drop'!$H:$H,$E6, 'Data Drop'!$D:$D,MONTH(L$3),'Data Drop'!$E:$E,YEAR(L$3))</f>
        <v>0</v>
      </c>
      <c r="M6" s="23">
        <f>SUMIFS('Data Drop'!$G:$G,'Data Drop'!$H:$H,$E6, 'Data Drop'!$D:$D,MONTH(M$3),'Data Drop'!$E:$E,YEAR(M$3))</f>
        <v>0</v>
      </c>
      <c r="N6" s="23">
        <f>SUMIFS('Data Drop'!$G:$G,'Data Drop'!$H:$H,$E6, 'Data Drop'!$D:$D,MONTH(N$3),'Data Drop'!$E:$E,YEAR(N$3))</f>
        <v>0</v>
      </c>
      <c r="O6" s="23">
        <f>SUMIFS('Data Drop'!$G:$G,'Data Drop'!$H:$H,$E6, 'Data Drop'!$D:$D,MONTH(O$3),'Data Drop'!$E:$E,YEAR(O$3))</f>
        <v>0</v>
      </c>
      <c r="P6" s="23">
        <f>SUMIFS('Data Drop'!$G:$G,'Data Drop'!$H:$H,$E6, 'Data Drop'!$D:$D,MONTH(P$3),'Data Drop'!$E:$E,YEAR(P$3))</f>
        <v>0</v>
      </c>
      <c r="Q6" s="23">
        <f>SUMIFS('Data Drop'!$G:$G,'Data Drop'!$H:$H,$E6, 'Data Drop'!$D:$D,MONTH(Q$3),'Data Drop'!$E:$E,YEAR(Q$3))</f>
        <v>0</v>
      </c>
      <c r="R6" s="24"/>
      <c r="T6" s="25">
        <f t="shared" ref="T6:T43" si="3">SUM(F6:Q6)</f>
        <v>0</v>
      </c>
      <c r="V6" s="25">
        <f t="shared" si="2"/>
        <v>0</v>
      </c>
      <c r="X6" s="44" t="str" cm="1">
        <f t="array" ref="X6">IFERROR(AVERAGE(IF($F$2:$P$2&gt;0,$G6:$Q6/$F6:$P6-1)),"")</f>
        <v/>
      </c>
      <c r="Z6" s="44" t="str" cm="1">
        <f t="array" ref="Z6">IFERROR(AVERAGE($O6:$Q6/$N6:$P6-1),"")</f>
        <v/>
      </c>
      <c r="AB6" s="44" t="str">
        <f>IFERROR(AVERAGE($Q6/$P6-1),"")</f>
        <v/>
      </c>
      <c r="AD6" s="44" t="str">
        <f>IFERROR(AVERAGE($Q6/$F6-1),"")</f>
        <v/>
      </c>
      <c r="AF6" s="25">
        <f t="shared" ref="AF6:AF43" si="4">SUM(O6:Q6)*4</f>
        <v>0</v>
      </c>
      <c r="AH6" s="25"/>
      <c r="AJ6" s="43">
        <f>AJ4/AJ5/12</f>
        <v>180.11389639639637</v>
      </c>
      <c r="AL6" s="21" t="s">
        <v>9</v>
      </c>
    </row>
    <row r="7" spans="1:45" x14ac:dyDescent="0.3">
      <c r="B7" s="49"/>
      <c r="E7" s="21" t="s">
        <v>74</v>
      </c>
      <c r="F7" s="22">
        <f>SUMIFS('Data Drop'!$G:$G,'Data Drop'!$H:$H,$E7, 'Data Drop'!$D:$D,MONTH(F$3),'Data Drop'!$E:$E,YEAR(F$3))</f>
        <v>0</v>
      </c>
      <c r="G7" s="23">
        <f>SUMIFS('Data Drop'!$G:$G,'Data Drop'!$H:$H,$E7, 'Data Drop'!$D:$D,MONTH(G$3),'Data Drop'!$E:$E,YEAR(G$3))</f>
        <v>0</v>
      </c>
      <c r="H7" s="23">
        <f>SUMIFS('Data Drop'!$G:$G,'Data Drop'!$H:$H,$E7, 'Data Drop'!$D:$D,MONTH(H$3),'Data Drop'!$E:$E,YEAR(H$3))</f>
        <v>0</v>
      </c>
      <c r="I7" s="23">
        <f>SUMIFS('Data Drop'!$G:$G,'Data Drop'!$H:$H,$E7, 'Data Drop'!$D:$D,MONTH(I$3),'Data Drop'!$E:$E,YEAR(I$3))</f>
        <v>0</v>
      </c>
      <c r="J7" s="23">
        <f>SUMIFS('Data Drop'!$G:$G,'Data Drop'!$H:$H,$E7, 'Data Drop'!$D:$D,MONTH(J$3),'Data Drop'!$E:$E,YEAR(J$3))</f>
        <v>0</v>
      </c>
      <c r="K7" s="23">
        <f>SUMIFS('Data Drop'!$G:$G,'Data Drop'!$H:$H,$E7, 'Data Drop'!$D:$D,MONTH(K$3),'Data Drop'!$E:$E,YEAR(K$3))</f>
        <v>0</v>
      </c>
      <c r="L7" s="23">
        <f>SUMIFS('Data Drop'!$G:$G,'Data Drop'!$H:$H,$E7, 'Data Drop'!$D:$D,MONTH(L$3),'Data Drop'!$E:$E,YEAR(L$3))</f>
        <v>0</v>
      </c>
      <c r="M7" s="23">
        <f>SUMIFS('Data Drop'!$G:$G,'Data Drop'!$H:$H,$E7, 'Data Drop'!$D:$D,MONTH(M$3),'Data Drop'!$E:$E,YEAR(M$3))</f>
        <v>0</v>
      </c>
      <c r="N7" s="23">
        <f>SUMIFS('Data Drop'!$G:$G,'Data Drop'!$H:$H,$E7, 'Data Drop'!$D:$D,MONTH(N$3),'Data Drop'!$E:$E,YEAR(N$3))</f>
        <v>0</v>
      </c>
      <c r="O7" s="23">
        <f>SUMIFS('Data Drop'!$G:$G,'Data Drop'!$H:$H,$E7, 'Data Drop'!$D:$D,MONTH(O$3),'Data Drop'!$E:$E,YEAR(O$3))</f>
        <v>0</v>
      </c>
      <c r="P7" s="23">
        <f>SUMIFS('Data Drop'!$G:$G,'Data Drop'!$H:$H,$E7, 'Data Drop'!$D:$D,MONTH(P$3),'Data Drop'!$E:$E,YEAR(P$3))</f>
        <v>0</v>
      </c>
      <c r="Q7" s="23">
        <f>SUMIFS('Data Drop'!$G:$G,'Data Drop'!$H:$H,$E7, 'Data Drop'!$D:$D,MONTH(Q$3),'Data Drop'!$E:$E,YEAR(Q$3))</f>
        <v>0</v>
      </c>
      <c r="R7" s="24"/>
      <c r="T7" s="25">
        <f t="shared" si="3"/>
        <v>0</v>
      </c>
      <c r="V7" s="25">
        <f t="shared" si="2"/>
        <v>0</v>
      </c>
      <c r="X7" s="44" t="str" cm="1">
        <f t="array" ref="X7">IFERROR(AVERAGE(IF($F$2:$P$2&gt;0,$G7:$Q7/$F7:$P7-1)),"")</f>
        <v/>
      </c>
      <c r="Z7" s="44" t="str" cm="1">
        <f t="array" ref="Z7">IFERROR(AVERAGE($O7:$Q7/$N7:$P7-1),"")</f>
        <v/>
      </c>
      <c r="AB7" s="44" t="str">
        <f>IFERROR(AVERAGE($Q7/$P7-1),"")</f>
        <v/>
      </c>
      <c r="AD7" s="44" t="str">
        <f>IFERROR(AVERAGE($Q7/$F7-1),"")</f>
        <v/>
      </c>
      <c r="AF7" s="25">
        <f t="shared" si="4"/>
        <v>0</v>
      </c>
      <c r="AH7" s="25"/>
      <c r="AL7" s="21" t="s">
        <v>74</v>
      </c>
    </row>
    <row r="8" spans="1:45" x14ac:dyDescent="0.3">
      <c r="B8" s="48" t="s">
        <v>114</v>
      </c>
      <c r="E8" s="26" t="s">
        <v>10</v>
      </c>
      <c r="F8" s="22">
        <f>SUM(F5:F7)</f>
        <v>41324.649999999994</v>
      </c>
      <c r="G8" s="28">
        <f>SUM(G5:G7)</f>
        <v>48906.560000000005</v>
      </c>
      <c r="H8" s="28">
        <f t="shared" ref="H8:Q8" si="5">SUM(H5:H7)</f>
        <v>54138.43</v>
      </c>
      <c r="I8" s="28">
        <f t="shared" si="5"/>
        <v>60857.869999999995</v>
      </c>
      <c r="J8" s="28">
        <f t="shared" si="5"/>
        <v>65220.380000000005</v>
      </c>
      <c r="K8" s="28">
        <f t="shared" si="5"/>
        <v>72813.540000000008</v>
      </c>
      <c r="L8" s="28">
        <f t="shared" si="5"/>
        <v>75484.5</v>
      </c>
      <c r="M8" s="28">
        <f t="shared" si="5"/>
        <v>77101.22</v>
      </c>
      <c r="N8" s="28">
        <f t="shared" si="5"/>
        <v>81508.509999999995</v>
      </c>
      <c r="O8" s="28">
        <f t="shared" si="5"/>
        <v>84146.790000000008</v>
      </c>
      <c r="P8" s="28">
        <f t="shared" si="5"/>
        <v>82848.56</v>
      </c>
      <c r="Q8" s="28">
        <f t="shared" si="5"/>
        <v>88458.819999999992</v>
      </c>
      <c r="R8" s="24"/>
      <c r="T8" s="25">
        <f t="shared" si="3"/>
        <v>832809.83</v>
      </c>
      <c r="V8" s="25">
        <f t="shared" si="2"/>
        <v>69400.819166666668</v>
      </c>
      <c r="X8" s="44" cm="1">
        <f t="array" ref="X8">IFERROR(AVERAGE(IF($F$2:$P$2&gt;0,$G8:$Q8/$F8:$P8-1)),"")</f>
        <v>7.2962803151931252E-2</v>
      </c>
      <c r="Z8" s="44" cm="1">
        <f t="array" ref="Z8">IFERROR(AVERAGE($O8:$Q8/$N8:$P8-1),"")</f>
        <v>2.8219014881711191E-2</v>
      </c>
      <c r="AB8" s="44">
        <f>IFERROR(AVERAGE($Q8/$P8-1),"")</f>
        <v>6.7717049035010302E-2</v>
      </c>
      <c r="AD8" s="44">
        <f>IFERROR(AVERAGE($Q8/$F8-1),"")</f>
        <v>1.1405824368748436</v>
      </c>
      <c r="AF8" s="25">
        <f t="shared" si="4"/>
        <v>1021816.6799999999</v>
      </c>
      <c r="AH8" s="25"/>
      <c r="AL8" s="26" t="s">
        <v>10</v>
      </c>
    </row>
    <row r="9" spans="1:45" x14ac:dyDescent="0.3">
      <c r="B9" s="49"/>
      <c r="E9" s="29"/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4"/>
      <c r="T9" s="25"/>
      <c r="V9" s="25" t="str">
        <f t="shared" si="2"/>
        <v/>
      </c>
      <c r="X9" s="44" t="str" cm="1">
        <f t="array" ref="X9">IFERROR(AVERAGE(IF($F$2:$P$2&gt;0,$G9:$Q9/$F9:$P9-1)),"")</f>
        <v/>
      </c>
      <c r="Z9" s="44"/>
      <c r="AB9" s="44"/>
      <c r="AD9" s="44"/>
      <c r="AF9" s="25">
        <f t="shared" si="4"/>
        <v>0</v>
      </c>
      <c r="AH9" s="25"/>
      <c r="AL9" s="29"/>
    </row>
    <row r="10" spans="1:45" x14ac:dyDescent="0.3">
      <c r="B10" s="49"/>
      <c r="E10" s="21" t="s">
        <v>11</v>
      </c>
      <c r="F10" s="22">
        <f>SUMIFS('Data Drop'!$G:$G,'Data Drop'!$H:$H,$E10, 'Data Drop'!$D:$D,MONTH(F$3),'Data Drop'!$E:$E,YEAR(F$3))/2</f>
        <v>1216</v>
      </c>
      <c r="G10" s="23">
        <f>SUMIFS('Data Drop'!$G:$G,'Data Drop'!$H:$H,$E10, 'Data Drop'!$D:$D,MONTH(G$3),'Data Drop'!$E:$E,YEAR(G$3))/2</f>
        <v>1453.8000000000002</v>
      </c>
      <c r="H10" s="23">
        <f>SUMIFS('Data Drop'!$G:$G,'Data Drop'!$H:$H,$E10, 'Data Drop'!$D:$D,MONTH(H$3),'Data Drop'!$E:$E,YEAR(H$3))/2</f>
        <v>1681.4349999999999</v>
      </c>
      <c r="I10" s="23">
        <f>SUMIFS('Data Drop'!$G:$G,'Data Drop'!$H:$H,$E10, 'Data Drop'!$D:$D,MONTH(I$3),'Data Drop'!$E:$E,YEAR(I$3))/2</f>
        <v>1733.8000000000002</v>
      </c>
      <c r="J10" s="23">
        <f>SUMIFS('Data Drop'!$G:$G,'Data Drop'!$H:$H,$E10, 'Data Drop'!$D:$D,MONTH(J$3),'Data Drop'!$E:$E,YEAR(J$3))/2</f>
        <v>1742.1999999999998</v>
      </c>
      <c r="K10" s="23">
        <f>SUMIFS('Data Drop'!$G:$G,'Data Drop'!$H:$H,$E10, 'Data Drop'!$D:$D,MONTH(K$3),'Data Drop'!$E:$E,YEAR(K$3))/2</f>
        <v>1289.7</v>
      </c>
      <c r="L10" s="23">
        <f>SUMIFS('Data Drop'!$G:$G,'Data Drop'!$H:$H,$E10, 'Data Drop'!$D:$D,MONTH(L$3),'Data Drop'!$E:$E,YEAR(L$3))/2</f>
        <v>1791.2949999999998</v>
      </c>
      <c r="M10" s="23">
        <f>SUMIFS('Data Drop'!$G:$G,'Data Drop'!$H:$H,$E10, 'Data Drop'!$D:$D,MONTH(M$3),'Data Drop'!$E:$E,YEAR(M$3))/2</f>
        <v>1641.28</v>
      </c>
      <c r="N10" s="23">
        <f>SUMIFS('Data Drop'!$G:$G,'Data Drop'!$H:$H,$E10, 'Data Drop'!$D:$D,MONTH(N$3),'Data Drop'!$E:$E,YEAR(N$3))/2</f>
        <v>2143.4349999999999</v>
      </c>
      <c r="O10" s="23">
        <f>SUMIFS('Data Drop'!$G:$G,'Data Drop'!$H:$H,$E10, 'Data Drop'!$D:$D,MONTH(O$3),'Data Drop'!$E:$E,YEAR(O$3))/2</f>
        <v>1939.54</v>
      </c>
      <c r="P10" s="23">
        <f>SUMIFS('Data Drop'!$G:$G,'Data Drop'!$H:$H,$E10, 'Data Drop'!$D:$D,MONTH(P$3),'Data Drop'!$E:$E,YEAR(P$3))/2</f>
        <v>3040.15</v>
      </c>
      <c r="Q10" s="23">
        <f>SUMIFS('Data Drop'!$G:$G,'Data Drop'!$H:$H,$E10, 'Data Drop'!$D:$D,MONTH(Q$3),'Data Drop'!$E:$E,YEAR(Q$3))/2</f>
        <v>2492.4899999999998</v>
      </c>
      <c r="R10" s="24"/>
      <c r="T10" s="25">
        <f t="shared" si="3"/>
        <v>22165.125</v>
      </c>
      <c r="V10" s="25">
        <f t="shared" si="2"/>
        <v>1847.09375</v>
      </c>
      <c r="X10" s="44" cm="1">
        <f t="array" ref="X10">IFERROR(AVERAGE(IF($F$2:$P$2&gt;0,$G10:$Q10/$F10:$P10-1)),"")</f>
        <v>9.3792658031069148E-2</v>
      </c>
      <c r="Z10" s="44" cm="1">
        <f t="array" ref="Z10">IFERROR(AVERAGE($O10:$Q10/$N10:$P10-1),"")</f>
        <v>9.7397173141496693E-2</v>
      </c>
      <c r="AB10" s="44">
        <f t="shared" ref="AB10:AB15" si="6">IFERROR(AVERAGE($Q10/$P10-1),"")</f>
        <v>-0.18014242718286932</v>
      </c>
      <c r="AD10" s="44">
        <f t="shared" ref="AD10:AD15" si="7">IFERROR(AVERAGE($Q10/$F10-1),"")</f>
        <v>1.0497450657894736</v>
      </c>
      <c r="AF10" s="25">
        <f t="shared" si="4"/>
        <v>29888.720000000001</v>
      </c>
      <c r="AH10" s="25"/>
      <c r="AL10" s="21" t="s">
        <v>11</v>
      </c>
    </row>
    <row r="11" spans="1:45" x14ac:dyDescent="0.3">
      <c r="B11" s="49"/>
      <c r="E11" s="21" t="s">
        <v>12</v>
      </c>
      <c r="F11" s="22">
        <f>SUMIFS('Data Drop'!$G:$G,'Data Drop'!$H:$H,$E10, 'Data Drop'!$D:$D,MONTH(F$3),'Data Drop'!$E:$E,YEAR(F$3))/2</f>
        <v>1216</v>
      </c>
      <c r="G11" s="23">
        <f>SUMIFS('Data Drop'!$G:$G,'Data Drop'!$H:$H,$E10, 'Data Drop'!$D:$D,MONTH(G$3),'Data Drop'!$E:$E,YEAR(G$3))/2</f>
        <v>1453.8000000000002</v>
      </c>
      <c r="H11" s="23">
        <f>SUMIFS('Data Drop'!$G:$G,'Data Drop'!$H:$H,$E10, 'Data Drop'!$D:$D,MONTH(H$3),'Data Drop'!$E:$E,YEAR(H$3))/2</f>
        <v>1681.4349999999999</v>
      </c>
      <c r="I11" s="23">
        <f>SUMIFS('Data Drop'!$G:$G,'Data Drop'!$H:$H,$E10, 'Data Drop'!$D:$D,MONTH(I$3),'Data Drop'!$E:$E,YEAR(I$3))/2</f>
        <v>1733.8000000000002</v>
      </c>
      <c r="J11" s="23">
        <f>SUMIFS('Data Drop'!$G:$G,'Data Drop'!$H:$H,$E10, 'Data Drop'!$D:$D,MONTH(J$3),'Data Drop'!$E:$E,YEAR(J$3))/2</f>
        <v>1742.1999999999998</v>
      </c>
      <c r="K11" s="23">
        <f>SUMIFS('Data Drop'!$G:$G,'Data Drop'!$H:$H,$E10, 'Data Drop'!$D:$D,MONTH(K$3),'Data Drop'!$E:$E,YEAR(K$3))/2</f>
        <v>1289.7</v>
      </c>
      <c r="L11" s="23">
        <f>SUMIFS('Data Drop'!$G:$G,'Data Drop'!$H:$H,$E10, 'Data Drop'!$D:$D,MONTH(L$3),'Data Drop'!$E:$E,YEAR(L$3))/2</f>
        <v>1791.2949999999998</v>
      </c>
      <c r="M11" s="23">
        <f>SUMIFS('Data Drop'!$G:$G,'Data Drop'!$H:$H,$E10, 'Data Drop'!$D:$D,MONTH(M$3),'Data Drop'!$E:$E,YEAR(M$3))/2</f>
        <v>1641.28</v>
      </c>
      <c r="N11" s="23">
        <f>SUMIFS('Data Drop'!$G:$G,'Data Drop'!$H:$H,$E10, 'Data Drop'!$D:$D,MONTH(N$3),'Data Drop'!$E:$E,YEAR(N$3))/2</f>
        <v>2143.4349999999999</v>
      </c>
      <c r="O11" s="23">
        <f>SUMIFS('Data Drop'!$G:$G,'Data Drop'!$H:$H,$E10, 'Data Drop'!$D:$D,MONTH(O$3),'Data Drop'!$E:$E,YEAR(O$3))/2</f>
        <v>1939.54</v>
      </c>
      <c r="P11" s="23">
        <f>SUMIFS('Data Drop'!$G:$G,'Data Drop'!$H:$H,$E10, 'Data Drop'!$D:$D,MONTH(P$3),'Data Drop'!$E:$E,YEAR(P$3))/2</f>
        <v>3040.15</v>
      </c>
      <c r="Q11" s="23">
        <f>SUMIFS('Data Drop'!$G:$G,'Data Drop'!$H:$H,$E10, 'Data Drop'!$D:$D,MONTH(Q$3),'Data Drop'!$E:$E,YEAR(Q$3))/2</f>
        <v>2492.4899999999998</v>
      </c>
      <c r="R11" s="24"/>
      <c r="T11" s="25">
        <f t="shared" si="3"/>
        <v>22165.125</v>
      </c>
      <c r="V11" s="25">
        <f t="shared" si="2"/>
        <v>1847.09375</v>
      </c>
      <c r="X11" s="44" cm="1">
        <f t="array" ref="X11">IFERROR(AVERAGE(IF($F$2:$P$2&gt;0,$G11:$Q11/$F11:$P11-1)),"")</f>
        <v>9.3792658031069148E-2</v>
      </c>
      <c r="Z11" s="44" cm="1">
        <f t="array" ref="Z11">IFERROR(AVERAGE($O11:$Q11/$N11:$P11-1),"")</f>
        <v>9.7397173141496693E-2</v>
      </c>
      <c r="AB11" s="44">
        <f t="shared" si="6"/>
        <v>-0.18014242718286932</v>
      </c>
      <c r="AD11" s="44">
        <f t="shared" si="7"/>
        <v>1.0497450657894736</v>
      </c>
      <c r="AF11" s="25">
        <f t="shared" si="4"/>
        <v>29888.720000000001</v>
      </c>
      <c r="AH11" s="25"/>
      <c r="AL11" s="21" t="s">
        <v>12</v>
      </c>
    </row>
    <row r="12" spans="1:45" x14ac:dyDescent="0.3">
      <c r="B12" s="49"/>
      <c r="E12" s="30" t="s">
        <v>13</v>
      </c>
      <c r="F12" s="22">
        <f>SUMIFS('Data Drop'!$G:$G,'Data Drop'!$H:$H,$E12, 'Data Drop'!$D:$D,MONTH(F$3),'Data Drop'!$E:$E,YEAR(F$3))</f>
        <v>2454</v>
      </c>
      <c r="G12" s="23">
        <f>SUMIFS('Data Drop'!$G:$G,'Data Drop'!$H:$H,$E12, 'Data Drop'!$D:$D,MONTH(G$3),'Data Drop'!$E:$E,YEAR(G$3))</f>
        <v>2646</v>
      </c>
      <c r="H12" s="23">
        <f>SUMIFS('Data Drop'!$G:$G,'Data Drop'!$H:$H,$E12, 'Data Drop'!$D:$D,MONTH(H$3),'Data Drop'!$E:$E,YEAR(H$3))</f>
        <v>2742</v>
      </c>
      <c r="I12" s="23">
        <f>SUMIFS('Data Drop'!$G:$G,'Data Drop'!$H:$H,$E12, 'Data Drop'!$D:$D,MONTH(I$3),'Data Drop'!$E:$E,YEAR(I$3))</f>
        <v>2964</v>
      </c>
      <c r="J12" s="23">
        <f>SUMIFS('Data Drop'!$G:$G,'Data Drop'!$H:$H,$E12, 'Data Drop'!$D:$D,MONTH(J$3),'Data Drop'!$E:$E,YEAR(J$3))</f>
        <v>3054</v>
      </c>
      <c r="K12" s="23">
        <f>SUMIFS('Data Drop'!$G:$G,'Data Drop'!$H:$H,$E12, 'Data Drop'!$D:$D,MONTH(K$3),'Data Drop'!$E:$E,YEAR(K$3))</f>
        <v>3102</v>
      </c>
      <c r="L12" s="23">
        <f>SUMIFS('Data Drop'!$G:$G,'Data Drop'!$H:$H,$E12, 'Data Drop'!$D:$D,MONTH(L$3),'Data Drop'!$E:$E,YEAR(L$3))</f>
        <v>3144</v>
      </c>
      <c r="M12" s="23">
        <f>SUMIFS('Data Drop'!$G:$G,'Data Drop'!$H:$H,$E12, 'Data Drop'!$D:$D,MONTH(M$3),'Data Drop'!$E:$E,YEAR(M$3))</f>
        <v>3096</v>
      </c>
      <c r="N12" s="23">
        <f>SUMIFS('Data Drop'!$G:$G,'Data Drop'!$H:$H,$E12, 'Data Drop'!$D:$D,MONTH(N$3),'Data Drop'!$E:$E,YEAR(N$3))</f>
        <v>3084</v>
      </c>
      <c r="O12" s="23">
        <f>SUMIFS('Data Drop'!$G:$G,'Data Drop'!$H:$H,$E12, 'Data Drop'!$D:$D,MONTH(O$3),'Data Drop'!$E:$E,YEAR(O$3))</f>
        <v>3078</v>
      </c>
      <c r="P12" s="23">
        <f>SUMIFS('Data Drop'!$G:$G,'Data Drop'!$H:$H,$E12, 'Data Drop'!$D:$D,MONTH(P$3),'Data Drop'!$E:$E,YEAR(P$3))</f>
        <v>3174</v>
      </c>
      <c r="Q12" s="23">
        <f>SUMIFS('Data Drop'!$G:$G,'Data Drop'!$H:$H,$E12, 'Data Drop'!$D:$D,MONTH(Q$3),'Data Drop'!$E:$E,YEAR(Q$3))</f>
        <v>3258</v>
      </c>
      <c r="R12" s="24"/>
      <c r="T12" s="25">
        <f t="shared" si="3"/>
        <v>35796</v>
      </c>
      <c r="V12" s="25">
        <f t="shared" si="2"/>
        <v>2983</v>
      </c>
      <c r="X12" s="44" cm="1">
        <f t="array" ref="X12">IFERROR(AVERAGE(IF($F$2:$P$2&gt;0,$G12:$Q12/$F12:$P12-1)),"")</f>
        <v>2.6515467980007559E-2</v>
      </c>
      <c r="Z12" s="44" cm="1">
        <f t="array" ref="Z12">IFERROR(AVERAGE($O12:$Q12/$N12:$P12-1),"")</f>
        <v>1.8569528961407178E-2</v>
      </c>
      <c r="AB12" s="44">
        <f t="shared" si="6"/>
        <v>2.6465028355387554E-2</v>
      </c>
      <c r="AD12" s="44">
        <f t="shared" si="7"/>
        <v>0.32762836185819078</v>
      </c>
      <c r="AF12" s="25">
        <f t="shared" si="4"/>
        <v>38040</v>
      </c>
      <c r="AH12" s="25"/>
      <c r="AL12" s="30" t="s">
        <v>13</v>
      </c>
    </row>
    <row r="13" spans="1:45" x14ac:dyDescent="0.3">
      <c r="B13" s="49"/>
      <c r="E13" s="31" t="s">
        <v>78</v>
      </c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4"/>
      <c r="T13" s="25">
        <f t="shared" si="3"/>
        <v>0</v>
      </c>
      <c r="V13" s="25" t="str">
        <f t="shared" si="2"/>
        <v/>
      </c>
      <c r="X13" s="44" t="str" cm="1">
        <f t="array" ref="X13">IFERROR(AVERAGE(IF($F$2:$P$2&gt;0,$G13:$Q13/$F13:$P13-1)),"")</f>
        <v/>
      </c>
      <c r="Z13" s="44" t="str" cm="1">
        <f t="array" ref="Z13">IFERROR(AVERAGE($O13:$Q13/$N13:$P13-1),"")</f>
        <v/>
      </c>
      <c r="AB13" s="44" t="str">
        <f t="shared" si="6"/>
        <v/>
      </c>
      <c r="AD13" s="44" t="str">
        <f t="shared" si="7"/>
        <v/>
      </c>
      <c r="AF13" s="25">
        <f t="shared" si="4"/>
        <v>0</v>
      </c>
      <c r="AH13" s="25"/>
      <c r="AL13" s="31" t="s">
        <v>78</v>
      </c>
    </row>
    <row r="14" spans="1:45" x14ac:dyDescent="0.3">
      <c r="B14" s="49"/>
      <c r="E14" s="21" t="s">
        <v>15</v>
      </c>
      <c r="F14" s="22">
        <f>SUMIFS('Data Drop'!$G:$G,'Data Drop'!$H:$H,$E14, 'Data Drop'!$D:$D,MONTH(F$3),'Data Drop'!$E:$E,YEAR(F$3))</f>
        <v>0</v>
      </c>
      <c r="G14" s="23">
        <f>SUMIFS('Data Drop'!$G:$G,'Data Drop'!$H:$H,$E14, 'Data Drop'!$D:$D,MONTH(G$3),'Data Drop'!$E:$E,YEAR(G$3))</f>
        <v>0</v>
      </c>
      <c r="H14" s="23">
        <f>SUMIFS('Data Drop'!$G:$G,'Data Drop'!$H:$H,$E14, 'Data Drop'!$D:$D,MONTH(H$3),'Data Drop'!$E:$E,YEAR(H$3))</f>
        <v>0</v>
      </c>
      <c r="I14" s="23">
        <f>SUMIFS('Data Drop'!$G:$G,'Data Drop'!$H:$H,$E14, 'Data Drop'!$D:$D,MONTH(I$3),'Data Drop'!$E:$E,YEAR(I$3))</f>
        <v>0</v>
      </c>
      <c r="J14" s="23">
        <f>SUMIFS('Data Drop'!$G:$G,'Data Drop'!$H:$H,$E14, 'Data Drop'!$D:$D,MONTH(J$3),'Data Drop'!$E:$E,YEAR(J$3))</f>
        <v>0</v>
      </c>
      <c r="K14" s="23">
        <f>SUMIFS('Data Drop'!$G:$G,'Data Drop'!$H:$H,$E14, 'Data Drop'!$D:$D,MONTH(K$3),'Data Drop'!$E:$E,YEAR(K$3))</f>
        <v>0</v>
      </c>
      <c r="L14" s="23">
        <f>SUMIFS('Data Drop'!$G:$G,'Data Drop'!$H:$H,$E14, 'Data Drop'!$D:$D,MONTH(L$3),'Data Drop'!$E:$E,YEAR(L$3))</f>
        <v>0</v>
      </c>
      <c r="M14" s="23">
        <f>SUMIFS('Data Drop'!$G:$G,'Data Drop'!$H:$H,$E14, 'Data Drop'!$D:$D,MONTH(M$3),'Data Drop'!$E:$E,YEAR(M$3))</f>
        <v>0</v>
      </c>
      <c r="N14" s="23">
        <f>SUMIFS('Data Drop'!$G:$G,'Data Drop'!$H:$H,$E14, 'Data Drop'!$D:$D,MONTH(N$3),'Data Drop'!$E:$E,YEAR(N$3))</f>
        <v>0</v>
      </c>
      <c r="O14" s="23">
        <f>SUMIFS('Data Drop'!$G:$G,'Data Drop'!$H:$H,$E14, 'Data Drop'!$D:$D,MONTH(O$3),'Data Drop'!$E:$E,YEAR(O$3))</f>
        <v>0</v>
      </c>
      <c r="P14" s="23">
        <f>SUMIFS('Data Drop'!$G:$G,'Data Drop'!$H:$H,$E14, 'Data Drop'!$D:$D,MONTH(P$3),'Data Drop'!$E:$E,YEAR(P$3))</f>
        <v>0</v>
      </c>
      <c r="Q14" s="23">
        <f>SUMIFS('Data Drop'!$G:$G,'Data Drop'!$H:$H,$E14, 'Data Drop'!$D:$D,MONTH(Q$3),'Data Drop'!$E:$E,YEAR(Q$3))</f>
        <v>0</v>
      </c>
      <c r="R14" s="24"/>
      <c r="T14" s="25">
        <f t="shared" si="3"/>
        <v>0</v>
      </c>
      <c r="V14" s="25">
        <f t="shared" si="2"/>
        <v>0</v>
      </c>
      <c r="X14" s="44" t="str" cm="1">
        <f t="array" ref="X14">IFERROR(AVERAGE(IF($F$2:$P$2&gt;0,$G14:$Q14/$F14:$P14-1)),"")</f>
        <v/>
      </c>
      <c r="Z14" s="44" t="str" cm="1">
        <f t="array" ref="Z14">IFERROR(AVERAGE($O14:$Q14/$N14:$P14-1),"")</f>
        <v/>
      </c>
      <c r="AB14" s="44" t="str">
        <f t="shared" si="6"/>
        <v/>
      </c>
      <c r="AD14" s="44" t="str">
        <f t="shared" si="7"/>
        <v/>
      </c>
      <c r="AF14" s="25">
        <f t="shared" si="4"/>
        <v>0</v>
      </c>
      <c r="AH14" s="25"/>
      <c r="AL14" s="21" t="s">
        <v>15</v>
      </c>
    </row>
    <row r="15" spans="1:45" x14ac:dyDescent="0.3">
      <c r="B15" s="49"/>
      <c r="E15" s="21" t="s">
        <v>16</v>
      </c>
      <c r="F15" s="22">
        <f>SUMIFS('Data Drop'!$G:$G,'Data Drop'!$H:$H,$E15, 'Data Drop'!$D:$D,MONTH(F$3),'Data Drop'!$E:$E,YEAR(F$3))</f>
        <v>912.96000000000015</v>
      </c>
      <c r="G15" s="23">
        <f>SUMIFS('Data Drop'!$G:$G,'Data Drop'!$H:$H,$E15, 'Data Drop'!$D:$D,MONTH(G$3),'Data Drop'!$E:$E,YEAR(G$3))</f>
        <v>756.68999999999983</v>
      </c>
      <c r="H15" s="23">
        <f>SUMIFS('Data Drop'!$G:$G,'Data Drop'!$H:$H,$E15, 'Data Drop'!$D:$D,MONTH(H$3),'Data Drop'!$E:$E,YEAR(H$3))</f>
        <v>843.42000000000007</v>
      </c>
      <c r="I15" s="23">
        <f>SUMIFS('Data Drop'!$G:$G,'Data Drop'!$H:$H,$E15, 'Data Drop'!$D:$D,MONTH(I$3),'Data Drop'!$E:$E,YEAR(I$3))</f>
        <v>1118.6300000000003</v>
      </c>
      <c r="J15" s="23">
        <f>SUMIFS('Data Drop'!$G:$G,'Data Drop'!$H:$H,$E15, 'Data Drop'!$D:$D,MONTH(J$3),'Data Drop'!$E:$E,YEAR(J$3))</f>
        <v>889.55000000000007</v>
      </c>
      <c r="K15" s="23">
        <f>SUMIFS('Data Drop'!$G:$G,'Data Drop'!$H:$H,$E15, 'Data Drop'!$D:$D,MONTH(K$3),'Data Drop'!$E:$E,YEAR(K$3))</f>
        <v>760.21</v>
      </c>
      <c r="L15" s="23">
        <f>SUMIFS('Data Drop'!$G:$G,'Data Drop'!$H:$H,$E15, 'Data Drop'!$D:$D,MONTH(L$3),'Data Drop'!$E:$E,YEAR(L$3))</f>
        <v>1091.8</v>
      </c>
      <c r="M15" s="23">
        <f>SUMIFS('Data Drop'!$G:$G,'Data Drop'!$H:$H,$E15, 'Data Drop'!$D:$D,MONTH(M$3),'Data Drop'!$E:$E,YEAR(M$3))</f>
        <v>619.78</v>
      </c>
      <c r="N15" s="23">
        <f>SUMIFS('Data Drop'!$G:$G,'Data Drop'!$H:$H,$E15, 'Data Drop'!$D:$D,MONTH(N$3),'Data Drop'!$E:$E,YEAR(N$3))</f>
        <v>696.85000000000014</v>
      </c>
      <c r="O15" s="23">
        <f>SUMIFS('Data Drop'!$G:$G,'Data Drop'!$H:$H,$E15, 'Data Drop'!$D:$D,MONTH(O$3),'Data Drop'!$E:$E,YEAR(O$3))</f>
        <v>687.25000000000011</v>
      </c>
      <c r="P15" s="23">
        <f>SUMIFS('Data Drop'!$G:$G,'Data Drop'!$H:$H,$E15, 'Data Drop'!$D:$D,MONTH(P$3),'Data Drop'!$E:$E,YEAR(P$3))</f>
        <v>1066.98</v>
      </c>
      <c r="Q15" s="23">
        <f>SUMIFS('Data Drop'!$G:$G,'Data Drop'!$H:$H,$E15, 'Data Drop'!$D:$D,MONTH(Q$3),'Data Drop'!$E:$E,YEAR(Q$3))</f>
        <v>787.81000000000006</v>
      </c>
      <c r="R15" s="24"/>
      <c r="T15" s="25">
        <f t="shared" si="3"/>
        <v>10231.93</v>
      </c>
      <c r="V15" s="25">
        <f t="shared" si="2"/>
        <v>852.66083333333336</v>
      </c>
      <c r="X15" s="44" cm="1">
        <f t="array" ref="X15">IFERROR(AVERAGE(IF($F$2:$P$2&gt;0,$G15:$Q15/$F15:$P15-1)),"")</f>
        <v>2.953462680227803E-2</v>
      </c>
      <c r="Z15" s="44" cm="1">
        <f t="array" ref="Z15">IFERROR(AVERAGE($O15:$Q15/$N15:$P15-1),"")</f>
        <v>9.2371390565578415E-2</v>
      </c>
      <c r="AB15" s="44">
        <f t="shared" si="6"/>
        <v>-0.2616450167763219</v>
      </c>
      <c r="AD15" s="44">
        <f t="shared" si="7"/>
        <v>-0.13708158079214872</v>
      </c>
      <c r="AF15" s="25">
        <f t="shared" si="4"/>
        <v>10168.16</v>
      </c>
      <c r="AH15" s="25"/>
      <c r="AL15" s="32" t="s">
        <v>16</v>
      </c>
    </row>
    <row r="16" spans="1:45" x14ac:dyDescent="0.3">
      <c r="B16" s="49"/>
      <c r="E16" s="29"/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4"/>
      <c r="T16" s="25"/>
      <c r="V16" s="25" t="str">
        <f t="shared" si="2"/>
        <v/>
      </c>
      <c r="X16" s="44" t="str" cm="1">
        <f t="array" ref="X16">IFERROR(AVERAGE(IF($F$2:$P$2&gt;0,$G16:$Q16/$F16:$P16-1)),"")</f>
        <v/>
      </c>
      <c r="Z16" s="44"/>
      <c r="AB16" s="44"/>
      <c r="AD16" s="44"/>
      <c r="AF16" s="25">
        <f t="shared" si="4"/>
        <v>0</v>
      </c>
      <c r="AH16" s="25"/>
      <c r="AL16" s="29"/>
    </row>
    <row r="17" spans="2:38" ht="17.399999999999999" x14ac:dyDescent="0.3">
      <c r="B17" s="48" t="s">
        <v>115</v>
      </c>
      <c r="E17" s="33" t="s">
        <v>17</v>
      </c>
      <c r="F17" s="22">
        <f>SUM(F15,F8:F14)</f>
        <v>47123.609999999993</v>
      </c>
      <c r="G17" s="51">
        <f t="shared" ref="G17:Q17" si="8">SUM(G15,G8:G14)</f>
        <v>55216.850000000013</v>
      </c>
      <c r="H17" s="51">
        <f t="shared" si="8"/>
        <v>61086.719999999994</v>
      </c>
      <c r="I17" s="51">
        <f t="shared" si="8"/>
        <v>68408.100000000006</v>
      </c>
      <c r="J17" s="51">
        <f t="shared" si="8"/>
        <v>72648.33</v>
      </c>
      <c r="K17" s="51">
        <f t="shared" si="8"/>
        <v>79255.150000000009</v>
      </c>
      <c r="L17" s="51">
        <f t="shared" si="8"/>
        <v>83302.89</v>
      </c>
      <c r="M17" s="51">
        <f t="shared" si="8"/>
        <v>84099.56</v>
      </c>
      <c r="N17" s="51">
        <f t="shared" si="8"/>
        <v>89576.23</v>
      </c>
      <c r="O17" s="51">
        <f t="shared" si="8"/>
        <v>91791.12</v>
      </c>
      <c r="P17" s="51">
        <f t="shared" si="8"/>
        <v>93169.839999999982</v>
      </c>
      <c r="Q17" s="51">
        <f t="shared" si="8"/>
        <v>97489.61</v>
      </c>
      <c r="R17" s="24"/>
      <c r="T17" s="25">
        <f t="shared" si="3"/>
        <v>923168.00999999989</v>
      </c>
      <c r="V17" s="25">
        <f t="shared" si="2"/>
        <v>76930.667499999996</v>
      </c>
      <c r="X17" s="44" cm="1">
        <f t="array" ref="X17">IFERROR(AVERAGE(IF($F$2:$P$2&gt;0,$G17:$Q17/$F17:$P17-1)),"")</f>
        <v>6.9336160980714767E-2</v>
      </c>
      <c r="Z17" s="44" cm="1">
        <f t="array" ref="Z17">IFERROR(AVERAGE($O17:$Q17/$N17:$P17-1),"")</f>
        <v>2.8703656909692787E-2</v>
      </c>
      <c r="AB17" s="44">
        <f t="shared" ref="AB17:AB37" si="9">IFERROR(AVERAGE($Q17/$P17-1),"")</f>
        <v>4.6364467299718548E-2</v>
      </c>
      <c r="AD17" s="44">
        <f t="shared" ref="AD17:AD37" si="10">IFERROR(AVERAGE($Q17/$F17-1),"")</f>
        <v>1.0688060613352843</v>
      </c>
      <c r="AF17" s="25">
        <f t="shared" si="4"/>
        <v>1129802.2799999998</v>
      </c>
      <c r="AH17" s="25"/>
      <c r="AL17" s="33" t="s">
        <v>17</v>
      </c>
    </row>
    <row r="18" spans="2:38" x14ac:dyDescent="0.3">
      <c r="B18" s="49"/>
      <c r="E18" s="21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4"/>
      <c r="T18" s="25">
        <f t="shared" si="3"/>
        <v>0</v>
      </c>
      <c r="V18" s="25" t="str">
        <f t="shared" si="2"/>
        <v/>
      </c>
      <c r="X18" s="44" t="str" cm="1">
        <f t="array" ref="X18">IFERROR(AVERAGE(IF($F$2:$P$2&gt;0,$G18:$Q18/$F18:$P18-1)),"")</f>
        <v/>
      </c>
      <c r="Z18" s="44" t="str" cm="1">
        <f t="array" ref="Z18">IFERROR(AVERAGE($O18:$Q18/$N18:$P18-1),"")</f>
        <v/>
      </c>
      <c r="AB18" s="44" t="str">
        <f t="shared" si="9"/>
        <v/>
      </c>
      <c r="AD18" s="44" t="str">
        <f t="shared" si="10"/>
        <v/>
      </c>
      <c r="AF18" s="25">
        <f t="shared" si="4"/>
        <v>0</v>
      </c>
      <c r="AH18" s="25"/>
      <c r="AL18" s="21"/>
    </row>
    <row r="19" spans="2:38" ht="18" x14ac:dyDescent="0.3">
      <c r="B19" s="49"/>
      <c r="E19" s="16" t="s">
        <v>18</v>
      </c>
      <c r="F19" s="22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4"/>
      <c r="T19" s="25">
        <f t="shared" si="3"/>
        <v>0</v>
      </c>
      <c r="V19" s="25" t="str">
        <f t="shared" si="2"/>
        <v/>
      </c>
      <c r="X19" s="44" t="str" cm="1">
        <f t="array" ref="X19">IFERROR(AVERAGE(IF($F$2:$P$2&gt;0,$G19:$Q19/$F19:$P19-1)),"")</f>
        <v/>
      </c>
      <c r="Z19" s="44" t="str" cm="1">
        <f t="array" ref="Z19">IFERROR(AVERAGE($O19:$Q19/$N19:$P19-1),"")</f>
        <v/>
      </c>
      <c r="AB19" s="44" t="str">
        <f t="shared" si="9"/>
        <v/>
      </c>
      <c r="AD19" s="44" t="str">
        <f t="shared" si="10"/>
        <v/>
      </c>
      <c r="AF19" s="25">
        <f t="shared" si="4"/>
        <v>0</v>
      </c>
      <c r="AH19" s="25"/>
      <c r="AL19" s="16" t="s">
        <v>18</v>
      </c>
    </row>
    <row r="20" spans="2:38" x14ac:dyDescent="0.3">
      <c r="B20" s="49"/>
      <c r="E20" s="21" t="s">
        <v>19</v>
      </c>
      <c r="F20" s="22">
        <f>SUMIFS('Data Drop'!$G:$G,'Data Drop'!$H:$H,$E20, 'Data Drop'!$D:$D,MONTH(F$3),'Data Drop'!$E:$E,YEAR(F$3))</f>
        <v>2690.57</v>
      </c>
      <c r="G20" s="22">
        <f>SUMIFS('Data Drop'!$G:$G,'Data Drop'!$H:$H,$E20, 'Data Drop'!$D:$D,MONTH(G$3),'Data Drop'!$E:$E,YEAR(G$3))</f>
        <v>3766.329999999999</v>
      </c>
      <c r="H20" s="22">
        <f>SUMIFS('Data Drop'!$G:$G,'Data Drop'!$H:$H,$E20, 'Data Drop'!$D:$D,MONTH(H$3),'Data Drop'!$E:$E,YEAR(H$3))</f>
        <v>3452.2200000000007</v>
      </c>
      <c r="I20" s="22">
        <f>SUMIFS('Data Drop'!$G:$G,'Data Drop'!$H:$H,$E20, 'Data Drop'!$D:$D,MONTH(I$3),'Data Drop'!$E:$E,YEAR(I$3))</f>
        <v>4285.3999999999987</v>
      </c>
      <c r="J20" s="22">
        <f>SUMIFS('Data Drop'!$G:$G,'Data Drop'!$H:$H,$E20, 'Data Drop'!$D:$D,MONTH(J$3),'Data Drop'!$E:$E,YEAR(J$3))</f>
        <v>3507.0499999999997</v>
      </c>
      <c r="K20" s="22">
        <f>SUMIFS('Data Drop'!$G:$G,'Data Drop'!$H:$H,$E20, 'Data Drop'!$D:$D,MONTH(K$3),'Data Drop'!$E:$E,YEAR(K$3))</f>
        <v>2723.6</v>
      </c>
      <c r="L20" s="22">
        <f>SUMIFS('Data Drop'!$G:$G,'Data Drop'!$H:$H,$E20, 'Data Drop'!$D:$D,MONTH(L$3),'Data Drop'!$E:$E,YEAR(L$3))</f>
        <v>3419.91</v>
      </c>
      <c r="M20" s="22">
        <f>SUMIFS('Data Drop'!$G:$G,'Data Drop'!$H:$H,$E20, 'Data Drop'!$D:$D,MONTH(M$3),'Data Drop'!$E:$E,YEAR(M$3))</f>
        <v>3480.9100000000003</v>
      </c>
      <c r="N20" s="22">
        <f>SUMIFS('Data Drop'!$G:$G,'Data Drop'!$H:$H,$E20, 'Data Drop'!$D:$D,MONTH(N$3),'Data Drop'!$E:$E,YEAR(N$3))</f>
        <v>1750.46</v>
      </c>
      <c r="O20" s="22">
        <f>SUMIFS('Data Drop'!$G:$G,'Data Drop'!$H:$H,$E20, 'Data Drop'!$D:$D,MONTH(O$3),'Data Drop'!$E:$E,YEAR(O$3))</f>
        <v>1792.6</v>
      </c>
      <c r="P20" s="22">
        <f>SUMIFS('Data Drop'!$G:$G,'Data Drop'!$H:$H,$E20, 'Data Drop'!$D:$D,MONTH(P$3),'Data Drop'!$E:$E,YEAR(P$3))</f>
        <v>1752.92</v>
      </c>
      <c r="Q20" s="22">
        <f>SUMIFS('Data Drop'!$G:$G,'Data Drop'!$H:$H,$E20, 'Data Drop'!$D:$D,MONTH(Q$3),'Data Drop'!$E:$E,YEAR(Q$3))</f>
        <v>2235.4499999999998</v>
      </c>
      <c r="R20" s="24"/>
      <c r="T20" s="25">
        <f t="shared" si="3"/>
        <v>34857.419999999991</v>
      </c>
      <c r="V20" s="25">
        <f t="shared" si="2"/>
        <v>2904.7849999999994</v>
      </c>
      <c r="X20" s="44" cm="1">
        <f t="array" ref="X20">IFERROR(AVERAGE(IF($F$2:$P$2&gt;0,$G20:$Q20/$F20:$P20-1)),"")</f>
        <v>1.8757344528539388E-2</v>
      </c>
      <c r="Z20" s="44" cm="1">
        <f t="array" ref="Z20">IFERROR(AVERAGE($O20:$Q20/$N20:$P20-1),"")</f>
        <v>9.2403447907776062E-2</v>
      </c>
      <c r="AB20" s="44">
        <f t="shared" si="9"/>
        <v>0.27527211738128354</v>
      </c>
      <c r="AD20" s="44">
        <f t="shared" si="10"/>
        <v>-0.16915374809055339</v>
      </c>
      <c r="AF20" s="25">
        <f t="shared" si="4"/>
        <v>23123.879999999997</v>
      </c>
      <c r="AH20" s="25"/>
      <c r="AL20" s="21" t="s">
        <v>19</v>
      </c>
    </row>
    <row r="21" spans="2:38" x14ac:dyDescent="0.3">
      <c r="B21" s="49"/>
      <c r="E21" s="30" t="s">
        <v>70</v>
      </c>
      <c r="F21" s="22">
        <f>SUMIFS('Data Drop'!$G:$G,'Data Drop'!$H:$H,$E21, 'Data Drop'!$D:$D,MONTH(F$3),'Data Drop'!$E:$E,YEAR(F$3))</f>
        <v>703.49</v>
      </c>
      <c r="G21" s="23">
        <f>SUMIFS('Data Drop'!$G:$G,'Data Drop'!$H:$H,$E21, 'Data Drop'!$D:$D,MONTH(G$3),'Data Drop'!$E:$E,YEAR(G$3))</f>
        <v>756.68000000000006</v>
      </c>
      <c r="H21" s="23">
        <f>SUMIFS('Data Drop'!$G:$G,'Data Drop'!$H:$H,$E21, 'Data Drop'!$D:$D,MONTH(H$3),'Data Drop'!$E:$E,YEAR(H$3))</f>
        <v>881.91999999999985</v>
      </c>
      <c r="I21" s="23">
        <f>SUMIFS('Data Drop'!$G:$G,'Data Drop'!$H:$H,$E21, 'Data Drop'!$D:$D,MONTH(I$3),'Data Drop'!$E:$E,YEAR(I$3))</f>
        <v>1037.71</v>
      </c>
      <c r="J21" s="23">
        <f>SUMIFS('Data Drop'!$G:$G,'Data Drop'!$H:$H,$E21, 'Data Drop'!$D:$D,MONTH(J$3),'Data Drop'!$E:$E,YEAR(J$3))</f>
        <v>1031.97</v>
      </c>
      <c r="K21" s="23">
        <f>SUMIFS('Data Drop'!$G:$G,'Data Drop'!$H:$H,$E21, 'Data Drop'!$D:$D,MONTH(K$3),'Data Drop'!$E:$E,YEAR(K$3))</f>
        <v>1088.8699999999999</v>
      </c>
      <c r="L21" s="23">
        <f>SUMIFS('Data Drop'!$G:$G,'Data Drop'!$H:$H,$E21, 'Data Drop'!$D:$D,MONTH(L$3),'Data Drop'!$E:$E,YEAR(L$3))</f>
        <v>1189.6199999999999</v>
      </c>
      <c r="M21" s="23">
        <f>SUMIFS('Data Drop'!$G:$G,'Data Drop'!$H:$H,$E21, 'Data Drop'!$D:$D,MONTH(M$3),'Data Drop'!$E:$E,YEAR(M$3))</f>
        <v>1153.06</v>
      </c>
      <c r="N21" s="23">
        <f>SUMIFS('Data Drop'!$G:$G,'Data Drop'!$H:$H,$E21, 'Data Drop'!$D:$D,MONTH(N$3),'Data Drop'!$E:$E,YEAR(N$3))</f>
        <v>1300.3200000000002</v>
      </c>
      <c r="O21" s="23">
        <f>SUMIFS('Data Drop'!$G:$G,'Data Drop'!$H:$H,$E21, 'Data Drop'!$D:$D,MONTH(O$3),'Data Drop'!$E:$E,YEAR(O$3))</f>
        <v>1237.3900000000001</v>
      </c>
      <c r="P21" s="23">
        <f>SUMIFS('Data Drop'!$G:$G,'Data Drop'!$H:$H,$E21, 'Data Drop'!$D:$D,MONTH(P$3),'Data Drop'!$E:$E,YEAR(P$3))</f>
        <v>1468.12</v>
      </c>
      <c r="Q21" s="23">
        <f>SUMIFS('Data Drop'!$G:$G,'Data Drop'!$H:$H,$E21, 'Data Drop'!$D:$D,MONTH(Q$3),'Data Drop'!$E:$E,YEAR(Q$3))</f>
        <v>1484.59</v>
      </c>
      <c r="R21" s="24"/>
      <c r="T21" s="25">
        <f t="shared" si="3"/>
        <v>13333.739999999998</v>
      </c>
      <c r="V21" s="25">
        <f t="shared" si="2"/>
        <v>1111.1449999999998</v>
      </c>
      <c r="X21" s="44" cm="1">
        <f t="array" ref="X21">IFERROR(AVERAGE(IF($F$2:$P$2&gt;0,$G21:$Q21/$F21:$P21-1)),"")</f>
        <v>7.3288222634879815E-2</v>
      </c>
      <c r="Z21" s="44" cm="1">
        <f t="array" ref="Z21">IFERROR(AVERAGE($O21:$Q21/$N21:$P21-1),"")</f>
        <v>4.976256967708792E-2</v>
      </c>
      <c r="AB21" s="44">
        <f t="shared" si="9"/>
        <v>1.1218429011252473E-2</v>
      </c>
      <c r="AD21" s="44">
        <f t="shared" si="10"/>
        <v>1.1103213976033772</v>
      </c>
      <c r="AF21" s="25">
        <f t="shared" si="4"/>
        <v>16760.400000000001</v>
      </c>
      <c r="AH21" s="25"/>
      <c r="AL21" s="21" t="s">
        <v>116</v>
      </c>
    </row>
    <row r="22" spans="2:38" x14ac:dyDescent="0.3">
      <c r="B22" s="49"/>
      <c r="E22" s="31" t="s">
        <v>71</v>
      </c>
      <c r="F22" s="22">
        <f>SUMIFS('Data Drop'!$G:$G,'Data Drop'!$H:$H,$E22, 'Data Drop'!$D:$D,MONTH(F$3),'Data Drop'!$E:$E,YEAR(F$3))</f>
        <v>0</v>
      </c>
      <c r="G22" s="23">
        <f>SUMIFS('Data Drop'!$G:$G,'Data Drop'!$H:$H,$E22, 'Data Drop'!$D:$D,MONTH(G$3),'Data Drop'!$E:$E,YEAR(G$3))</f>
        <v>0</v>
      </c>
      <c r="H22" s="23">
        <f>SUMIFS('Data Drop'!$G:$G,'Data Drop'!$H:$H,$E22, 'Data Drop'!$D:$D,MONTH(H$3),'Data Drop'!$E:$E,YEAR(H$3))</f>
        <v>0</v>
      </c>
      <c r="I22" s="23">
        <f>SUMIFS('Data Drop'!$G:$G,'Data Drop'!$H:$H,$E22, 'Data Drop'!$D:$D,MONTH(I$3),'Data Drop'!$E:$E,YEAR(I$3))</f>
        <v>0</v>
      </c>
      <c r="J22" s="23">
        <f>SUMIFS('Data Drop'!$G:$G,'Data Drop'!$H:$H,$E22, 'Data Drop'!$D:$D,MONTH(J$3),'Data Drop'!$E:$E,YEAR(J$3))</f>
        <v>0</v>
      </c>
      <c r="K22" s="23">
        <f>SUMIFS('Data Drop'!$G:$G,'Data Drop'!$H:$H,$E22, 'Data Drop'!$D:$D,MONTH(K$3),'Data Drop'!$E:$E,YEAR(K$3))</f>
        <v>0</v>
      </c>
      <c r="L22" s="23">
        <f>SUMIFS('Data Drop'!$G:$G,'Data Drop'!$H:$H,$E22, 'Data Drop'!$D:$D,MONTH(L$3),'Data Drop'!$E:$E,YEAR(L$3))</f>
        <v>0</v>
      </c>
      <c r="M22" s="23">
        <f>SUMIFS('Data Drop'!$G:$G,'Data Drop'!$H:$H,$E22, 'Data Drop'!$D:$D,MONTH(M$3),'Data Drop'!$E:$E,YEAR(M$3))</f>
        <v>0</v>
      </c>
      <c r="N22" s="23">
        <f>SUMIFS('Data Drop'!$G:$G,'Data Drop'!$H:$H,$E22, 'Data Drop'!$D:$D,MONTH(N$3),'Data Drop'!$E:$E,YEAR(N$3))</f>
        <v>0</v>
      </c>
      <c r="O22" s="23">
        <f>SUMIFS('Data Drop'!$G:$G,'Data Drop'!$H:$H,$E22, 'Data Drop'!$D:$D,MONTH(O$3),'Data Drop'!$E:$E,YEAR(O$3))</f>
        <v>0</v>
      </c>
      <c r="P22" s="23">
        <f>SUMIFS('Data Drop'!$G:$G,'Data Drop'!$H:$H,$E22, 'Data Drop'!$D:$D,MONTH(P$3),'Data Drop'!$E:$E,YEAR(P$3))</f>
        <v>0</v>
      </c>
      <c r="Q22" s="23">
        <f>SUMIFS('Data Drop'!$G:$G,'Data Drop'!$H:$H,$E22, 'Data Drop'!$D:$D,MONTH(Q$3),'Data Drop'!$E:$E,YEAR(Q$3))</f>
        <v>0</v>
      </c>
      <c r="R22" s="24"/>
      <c r="T22" s="25">
        <f t="shared" si="3"/>
        <v>0</v>
      </c>
      <c r="V22" s="25">
        <f t="shared" si="2"/>
        <v>0</v>
      </c>
      <c r="X22" s="44" t="str" cm="1">
        <f t="array" ref="X22">IFERROR(AVERAGE(IF($F$2:$P$2&gt;0,$G22:$Q22/$F22:$P22-1)),"")</f>
        <v/>
      </c>
      <c r="Z22" s="44" t="str" cm="1">
        <f t="array" ref="Z22">IFERROR(AVERAGE($O22:$Q22/$N22:$P22-1),"")</f>
        <v/>
      </c>
      <c r="AB22" s="44" t="str">
        <f t="shared" si="9"/>
        <v/>
      </c>
      <c r="AD22" s="44" t="str">
        <f t="shared" si="10"/>
        <v/>
      </c>
      <c r="AF22" s="25">
        <f t="shared" si="4"/>
        <v>0</v>
      </c>
      <c r="AH22" s="25"/>
      <c r="AL22" s="21" t="s">
        <v>73</v>
      </c>
    </row>
    <row r="23" spans="2:38" x14ac:dyDescent="0.3">
      <c r="B23" s="49"/>
      <c r="E23" s="21" t="s">
        <v>22</v>
      </c>
      <c r="F23" s="22">
        <f>SUMIFS('Data Drop'!$G:$G,'Data Drop'!$H:$H,$E23, 'Data Drop'!$D:$D,MONTH(F$3),'Data Drop'!$E:$E,YEAR(F$3))</f>
        <v>0</v>
      </c>
      <c r="G23" s="23">
        <f>SUMIFS('Data Drop'!$G:$G,'Data Drop'!$H:$H,$E23, 'Data Drop'!$D:$D,MONTH(G$3),'Data Drop'!$E:$E,YEAR(G$3))</f>
        <v>0</v>
      </c>
      <c r="H23" s="23">
        <f>SUMIFS('Data Drop'!$G:$G,'Data Drop'!$H:$H,$E23, 'Data Drop'!$D:$D,MONTH(H$3),'Data Drop'!$E:$E,YEAR(H$3))</f>
        <v>0</v>
      </c>
      <c r="I23" s="23">
        <f>SUMIFS('Data Drop'!$G:$G,'Data Drop'!$H:$H,$E23, 'Data Drop'!$D:$D,MONTH(I$3),'Data Drop'!$E:$E,YEAR(I$3))</f>
        <v>0</v>
      </c>
      <c r="J23" s="23">
        <f>SUMIFS('Data Drop'!$G:$G,'Data Drop'!$H:$H,$E23, 'Data Drop'!$D:$D,MONTH(J$3),'Data Drop'!$E:$E,YEAR(J$3))</f>
        <v>0</v>
      </c>
      <c r="K23" s="23">
        <f>SUMIFS('Data Drop'!$G:$G,'Data Drop'!$H:$H,$E23, 'Data Drop'!$D:$D,MONTH(K$3),'Data Drop'!$E:$E,YEAR(K$3))</f>
        <v>0</v>
      </c>
      <c r="L23" s="23">
        <f>SUMIFS('Data Drop'!$G:$G,'Data Drop'!$H:$H,$E23, 'Data Drop'!$D:$D,MONTH(L$3),'Data Drop'!$E:$E,YEAR(L$3))</f>
        <v>0</v>
      </c>
      <c r="M23" s="23">
        <f>SUMIFS('Data Drop'!$G:$G,'Data Drop'!$H:$H,$E23, 'Data Drop'!$D:$D,MONTH(M$3),'Data Drop'!$E:$E,YEAR(M$3))</f>
        <v>0</v>
      </c>
      <c r="N23" s="23">
        <f>SUMIFS('Data Drop'!$G:$G,'Data Drop'!$H:$H,$E23, 'Data Drop'!$D:$D,MONTH(N$3),'Data Drop'!$E:$E,YEAR(N$3))</f>
        <v>0</v>
      </c>
      <c r="O23" s="23">
        <f>SUMIFS('Data Drop'!$G:$G,'Data Drop'!$H:$H,$E23, 'Data Drop'!$D:$D,MONTH(O$3),'Data Drop'!$E:$E,YEAR(O$3))</f>
        <v>0</v>
      </c>
      <c r="P23" s="23">
        <f>SUMIFS('Data Drop'!$G:$G,'Data Drop'!$H:$H,$E23, 'Data Drop'!$D:$D,MONTH(P$3),'Data Drop'!$E:$E,YEAR(P$3))</f>
        <v>0</v>
      </c>
      <c r="Q23" s="23">
        <f>SUMIFS('Data Drop'!$G:$G,'Data Drop'!$H:$H,$E23, 'Data Drop'!$D:$D,MONTH(Q$3),'Data Drop'!$E:$E,YEAR(Q$3))</f>
        <v>0</v>
      </c>
      <c r="R23" s="24"/>
      <c r="T23" s="25">
        <f t="shared" si="3"/>
        <v>0</v>
      </c>
      <c r="V23" s="25">
        <f t="shared" si="2"/>
        <v>0</v>
      </c>
      <c r="X23" s="44" t="str" cm="1">
        <f t="array" ref="X23">IFERROR(AVERAGE(IF($F$2:$P$2&gt;0,$G23:$Q23/$F23:$P23-1)),"")</f>
        <v/>
      </c>
      <c r="Z23" s="44" t="str" cm="1">
        <f t="array" ref="Z23">IFERROR(AVERAGE($O23:$Q23/$N23:$P23-1),"")</f>
        <v/>
      </c>
      <c r="AB23" s="44" t="str">
        <f t="shared" si="9"/>
        <v/>
      </c>
      <c r="AD23" s="44" t="str">
        <f t="shared" si="10"/>
        <v/>
      </c>
      <c r="AF23" s="25">
        <f t="shared" si="4"/>
        <v>0</v>
      </c>
      <c r="AH23" s="25"/>
      <c r="AL23" s="21" t="s">
        <v>22</v>
      </c>
    </row>
    <row r="24" spans="2:38" x14ac:dyDescent="0.3">
      <c r="B24" s="49"/>
      <c r="E24" s="21" t="s">
        <v>23</v>
      </c>
      <c r="F24" s="22">
        <f>SUMIFS('Data Drop'!$G:$G,'Data Drop'!$H:$H,$E24, 'Data Drop'!$D:$D,MONTH(F$3),'Data Drop'!$E:$E,YEAR(F$3))</f>
        <v>0</v>
      </c>
      <c r="G24" s="23">
        <f>SUMIFS('Data Drop'!$G:$G,'Data Drop'!$H:$H,$E24, 'Data Drop'!$D:$D,MONTH(G$3),'Data Drop'!$E:$E,YEAR(G$3))</f>
        <v>0</v>
      </c>
      <c r="H24" s="23">
        <f>SUMIFS('Data Drop'!$G:$G,'Data Drop'!$H:$H,$E24, 'Data Drop'!$D:$D,MONTH(H$3),'Data Drop'!$E:$E,YEAR(H$3))</f>
        <v>0</v>
      </c>
      <c r="I24" s="23">
        <f>SUMIFS('Data Drop'!$G:$G,'Data Drop'!$H:$H,$E24, 'Data Drop'!$D:$D,MONTH(I$3),'Data Drop'!$E:$E,YEAR(I$3))</f>
        <v>0</v>
      </c>
      <c r="J24" s="23">
        <f>SUMIFS('Data Drop'!$G:$G,'Data Drop'!$H:$H,$E24, 'Data Drop'!$D:$D,MONTH(J$3),'Data Drop'!$E:$E,YEAR(J$3))</f>
        <v>0</v>
      </c>
      <c r="K24" s="23">
        <f>SUMIFS('Data Drop'!$G:$G,'Data Drop'!$H:$H,$E24, 'Data Drop'!$D:$D,MONTH(K$3),'Data Drop'!$E:$E,YEAR(K$3))</f>
        <v>0</v>
      </c>
      <c r="L24" s="23">
        <f>SUMIFS('Data Drop'!$G:$G,'Data Drop'!$H:$H,$E24, 'Data Drop'!$D:$D,MONTH(L$3),'Data Drop'!$E:$E,YEAR(L$3))</f>
        <v>0</v>
      </c>
      <c r="M24" s="23">
        <f>SUMIFS('Data Drop'!$G:$G,'Data Drop'!$H:$H,$E24, 'Data Drop'!$D:$D,MONTH(M$3),'Data Drop'!$E:$E,YEAR(M$3))</f>
        <v>0</v>
      </c>
      <c r="N24" s="23">
        <f>SUMIFS('Data Drop'!$G:$G,'Data Drop'!$H:$H,$E24, 'Data Drop'!$D:$D,MONTH(N$3),'Data Drop'!$E:$E,YEAR(N$3))</f>
        <v>410.25</v>
      </c>
      <c r="O24" s="23">
        <f>SUMIFS('Data Drop'!$G:$G,'Data Drop'!$H:$H,$E24, 'Data Drop'!$D:$D,MONTH(O$3),'Data Drop'!$E:$E,YEAR(O$3))</f>
        <v>0</v>
      </c>
      <c r="P24" s="23">
        <f>SUMIFS('Data Drop'!$G:$G,'Data Drop'!$H:$H,$E24, 'Data Drop'!$D:$D,MONTH(P$3),'Data Drop'!$E:$E,YEAR(P$3))</f>
        <v>0</v>
      </c>
      <c r="Q24" s="23">
        <f>SUMIFS('Data Drop'!$G:$G,'Data Drop'!$H:$H,$E24, 'Data Drop'!$D:$D,MONTH(Q$3),'Data Drop'!$E:$E,YEAR(Q$3))</f>
        <v>0</v>
      </c>
      <c r="R24" s="24"/>
      <c r="T24" s="25">
        <f t="shared" si="3"/>
        <v>410.25</v>
      </c>
      <c r="V24" s="25">
        <f t="shared" si="2"/>
        <v>34.1875</v>
      </c>
      <c r="X24" s="44" t="str" cm="1">
        <f t="array" ref="X24">IFERROR(AVERAGE(IF($F$2:$P$2&gt;0,$G24:$Q24/$F24:$P24-1)),"")</f>
        <v/>
      </c>
      <c r="Z24" s="44" t="str" cm="1">
        <f t="array" ref="Z24">IFERROR(AVERAGE($O24:$Q24/$N24:$P24-1),"")</f>
        <v/>
      </c>
      <c r="AB24" s="44" t="str">
        <f t="shared" si="9"/>
        <v/>
      </c>
      <c r="AD24" s="44" t="str">
        <f t="shared" si="10"/>
        <v/>
      </c>
      <c r="AF24" s="25">
        <f t="shared" si="4"/>
        <v>0</v>
      </c>
      <c r="AH24" s="25"/>
      <c r="AL24" s="21" t="s">
        <v>23</v>
      </c>
    </row>
    <row r="25" spans="2:38" x14ac:dyDescent="0.3">
      <c r="B25" s="49"/>
      <c r="E25" s="34" t="s">
        <v>24</v>
      </c>
      <c r="F25" s="22">
        <f>SUMIFS('Data Drop'!$G:$G,'Data Drop'!$H:$H,$E25, 'Data Drop'!$D:$D,MONTH(F$3),'Data Drop'!$E:$E,YEAR(F$3))</f>
        <v>3057.99</v>
      </c>
      <c r="G25" s="23">
        <f>SUMIFS('Data Drop'!$G:$G,'Data Drop'!$H:$H,$E25, 'Data Drop'!$D:$D,MONTH(G$3),'Data Drop'!$E:$E,YEAR(G$3))</f>
        <v>3581.49</v>
      </c>
      <c r="H25" s="23">
        <f>SUMIFS('Data Drop'!$G:$G,'Data Drop'!$H:$H,$E25, 'Data Drop'!$D:$D,MONTH(H$3),'Data Drop'!$E:$E,YEAR(H$3))</f>
        <v>3012.7300000000005</v>
      </c>
      <c r="I25" s="23">
        <f>SUMIFS('Data Drop'!$G:$G,'Data Drop'!$H:$H,$E25, 'Data Drop'!$D:$D,MONTH(I$3),'Data Drop'!$E:$E,YEAR(I$3))</f>
        <v>3757.4300000000003</v>
      </c>
      <c r="J25" s="23">
        <f>SUMIFS('Data Drop'!$G:$G,'Data Drop'!$H:$H,$E25, 'Data Drop'!$D:$D,MONTH(J$3),'Data Drop'!$E:$E,YEAR(J$3))</f>
        <v>3574.19</v>
      </c>
      <c r="K25" s="23">
        <f>SUMIFS('Data Drop'!$G:$G,'Data Drop'!$H:$H,$E25, 'Data Drop'!$D:$D,MONTH(K$3),'Data Drop'!$E:$E,YEAR(K$3))</f>
        <v>3849.46</v>
      </c>
      <c r="L25" s="23">
        <f>SUMIFS('Data Drop'!$G:$G,'Data Drop'!$H:$H,$E25, 'Data Drop'!$D:$D,MONTH(L$3),'Data Drop'!$E:$E,YEAR(L$3))</f>
        <v>4059.7200000000003</v>
      </c>
      <c r="M25" s="23">
        <f>SUMIFS('Data Drop'!$G:$G,'Data Drop'!$H:$H,$E25, 'Data Drop'!$D:$D,MONTH(M$3),'Data Drop'!$E:$E,YEAR(M$3))</f>
        <v>4309.09</v>
      </c>
      <c r="N25" s="23">
        <f>SUMIFS('Data Drop'!$G:$G,'Data Drop'!$H:$H,$E25, 'Data Drop'!$D:$D,MONTH(N$3),'Data Drop'!$E:$E,YEAR(N$3))</f>
        <v>4315.51</v>
      </c>
      <c r="O25" s="23">
        <f>SUMIFS('Data Drop'!$G:$G,'Data Drop'!$H:$H,$E25, 'Data Drop'!$D:$D,MONTH(O$3),'Data Drop'!$E:$E,YEAR(O$3))</f>
        <v>4183.6400000000003</v>
      </c>
      <c r="P25" s="23">
        <f>SUMIFS('Data Drop'!$G:$G,'Data Drop'!$H:$H,$E25, 'Data Drop'!$D:$D,MONTH(P$3),'Data Drop'!$E:$E,YEAR(P$3))</f>
        <v>4623.63</v>
      </c>
      <c r="Q25" s="23">
        <f>SUMIFS('Data Drop'!$G:$G,'Data Drop'!$H:$H,$E25, 'Data Drop'!$D:$D,MONTH(Q$3),'Data Drop'!$E:$E,YEAR(Q$3))</f>
        <v>4599.4799999999996</v>
      </c>
      <c r="R25" s="24"/>
      <c r="T25" s="25">
        <f t="shared" si="3"/>
        <v>46924.36</v>
      </c>
      <c r="V25" s="25">
        <f t="shared" si="2"/>
        <v>3910.3633333333332</v>
      </c>
      <c r="X25" s="44" cm="1">
        <f t="array" ref="X25">IFERROR(AVERAGE(IF($F$2:$P$2&gt;0,$G25:$Q25/$F25:$P25-1)),"")</f>
        <v>4.3158483772997046E-2</v>
      </c>
      <c r="Z25" s="44" cm="1">
        <f t="array" ref="Z25">IFERROR(AVERAGE($O25:$Q25/$N25:$P25-1),"")</f>
        <v>2.3129597113007588E-2</v>
      </c>
      <c r="AB25" s="44">
        <f t="shared" si="9"/>
        <v>-5.2231688089229289E-3</v>
      </c>
      <c r="AD25" s="44">
        <f t="shared" si="10"/>
        <v>0.50408601728586411</v>
      </c>
      <c r="AF25" s="25">
        <f t="shared" si="4"/>
        <v>53627</v>
      </c>
      <c r="AH25" s="25"/>
      <c r="AL25" s="34" t="s">
        <v>117</v>
      </c>
    </row>
    <row r="26" spans="2:38" x14ac:dyDescent="0.3">
      <c r="B26" s="49"/>
      <c r="E26" s="31" t="s">
        <v>25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4"/>
      <c r="T26" s="25">
        <f t="shared" si="3"/>
        <v>0</v>
      </c>
      <c r="V26" s="25" t="str">
        <f t="shared" si="2"/>
        <v/>
      </c>
      <c r="X26" s="44" t="str" cm="1">
        <f t="array" ref="X26">IFERROR(AVERAGE(IF($F$2:$P$2&gt;0,$G26:$Q26/$F26:$P26-1)),"")</f>
        <v/>
      </c>
      <c r="Z26" s="44" t="str" cm="1">
        <f t="array" ref="Z26">IFERROR(AVERAGE($O26:$Q26/$N26:$P26-1),"")</f>
        <v/>
      </c>
      <c r="AB26" s="44" t="str">
        <f t="shared" si="9"/>
        <v/>
      </c>
      <c r="AD26" s="44" t="str">
        <f t="shared" si="10"/>
        <v/>
      </c>
      <c r="AF26" s="25">
        <f t="shared" si="4"/>
        <v>0</v>
      </c>
      <c r="AH26" s="25"/>
      <c r="AL26" s="31" t="s">
        <v>118</v>
      </c>
    </row>
    <row r="27" spans="2:38" x14ac:dyDescent="0.3">
      <c r="B27" s="49"/>
      <c r="E27" s="21" t="s">
        <v>26</v>
      </c>
      <c r="F27" s="22">
        <f>SUMIFS('Data Drop'!$G:$G,'Data Drop'!$H:$H,$E27, 'Data Drop'!$D:$D,MONTH(F$3),'Data Drop'!$E:$E,YEAR(F$3))</f>
        <v>7411.6100000000015</v>
      </c>
      <c r="G27" s="23">
        <f>SUMIFS('Data Drop'!$G:$G,'Data Drop'!$H:$H,$E27, 'Data Drop'!$D:$D,MONTH(G$3),'Data Drop'!$E:$E,YEAR(G$3))</f>
        <v>5951.6399999999994</v>
      </c>
      <c r="H27" s="23">
        <f>SUMIFS('Data Drop'!$G:$G,'Data Drop'!$H:$H,$E27, 'Data Drop'!$D:$D,MONTH(H$3),'Data Drop'!$E:$E,YEAR(H$3))</f>
        <v>7074.0500000000011</v>
      </c>
      <c r="I27" s="23">
        <f>SUMIFS('Data Drop'!$G:$G,'Data Drop'!$H:$H,$E27, 'Data Drop'!$D:$D,MONTH(I$3),'Data Drop'!$E:$E,YEAR(I$3))</f>
        <v>8733.74</v>
      </c>
      <c r="J27" s="23">
        <f>SUMIFS('Data Drop'!$G:$G,'Data Drop'!$H:$H,$E27, 'Data Drop'!$D:$D,MONTH(J$3),'Data Drop'!$E:$E,YEAR(J$3))</f>
        <v>8561.9800000000014</v>
      </c>
      <c r="K27" s="23">
        <f>SUMIFS('Data Drop'!$G:$G,'Data Drop'!$H:$H,$E27, 'Data Drop'!$D:$D,MONTH(K$3),'Data Drop'!$E:$E,YEAR(K$3))</f>
        <v>7791.6699999999992</v>
      </c>
      <c r="L27" s="23">
        <f>SUMIFS('Data Drop'!$G:$G,'Data Drop'!$H:$H,$E27, 'Data Drop'!$D:$D,MONTH(L$3),'Data Drop'!$E:$E,YEAR(L$3))</f>
        <v>8660.26</v>
      </c>
      <c r="M27" s="23">
        <f>SUMIFS('Data Drop'!$G:$G,'Data Drop'!$H:$H,$E27, 'Data Drop'!$D:$D,MONTH(M$3),'Data Drop'!$E:$E,YEAR(M$3))</f>
        <v>8146.4599999999991</v>
      </c>
      <c r="N27" s="23">
        <f>SUMIFS('Data Drop'!$G:$G,'Data Drop'!$H:$H,$E27, 'Data Drop'!$D:$D,MONTH(N$3),'Data Drop'!$E:$E,YEAR(N$3))</f>
        <v>6517.5199999999986</v>
      </c>
      <c r="O27" s="23">
        <f>SUMIFS('Data Drop'!$G:$G,'Data Drop'!$H:$H,$E27, 'Data Drop'!$D:$D,MONTH(O$3),'Data Drop'!$E:$E,YEAR(O$3))</f>
        <v>6709.19</v>
      </c>
      <c r="P27" s="23">
        <f>SUMIFS('Data Drop'!$G:$G,'Data Drop'!$H:$H,$E27, 'Data Drop'!$D:$D,MONTH(P$3),'Data Drop'!$E:$E,YEAR(P$3))</f>
        <v>7437.9700000000012</v>
      </c>
      <c r="Q27" s="23">
        <f>SUMIFS('Data Drop'!$G:$G,'Data Drop'!$H:$H,$E27, 'Data Drop'!$D:$D,MONTH(Q$3),'Data Drop'!$E:$E,YEAR(Q$3))</f>
        <v>6888.2200000000012</v>
      </c>
      <c r="R27" s="24"/>
      <c r="T27" s="25">
        <f t="shared" si="3"/>
        <v>89884.310000000012</v>
      </c>
      <c r="V27" s="25">
        <f t="shared" si="2"/>
        <v>7490.359166666668</v>
      </c>
      <c r="X27" s="44" cm="1">
        <f t="array" ref="X27">IFERROR(AVERAGE(IF($F$2:$P$2&gt;0,$G27:$Q27/$F27:$P27-1)),"")</f>
        <v>2.99078562621283E-3</v>
      </c>
      <c r="Z27" s="44" cm="1">
        <f t="array" ref="Z27">IFERROR(AVERAGE($O27:$Q27/$N27:$P27-1),"")</f>
        <v>2.1373756839404012E-2</v>
      </c>
      <c r="AB27" s="44">
        <f t="shared" si="9"/>
        <v>-7.3911295689549683E-2</v>
      </c>
      <c r="AD27" s="44">
        <f t="shared" si="10"/>
        <v>-7.0617585113086134E-2</v>
      </c>
      <c r="AF27" s="25">
        <f t="shared" si="4"/>
        <v>84141.52</v>
      </c>
      <c r="AH27" s="25"/>
      <c r="AL27" s="21" t="s">
        <v>26</v>
      </c>
    </row>
    <row r="28" spans="2:38" x14ac:dyDescent="0.3">
      <c r="B28" s="49"/>
      <c r="E28" s="21" t="s">
        <v>27</v>
      </c>
      <c r="F28" s="22">
        <f>SUMIFS('Data Drop'!$G:$G,'Data Drop'!$H:$H,$E28, 'Data Drop'!$D:$D,MONTH(F$3),'Data Drop'!$E:$E,YEAR(F$3))</f>
        <v>464.39</v>
      </c>
      <c r="G28" s="23">
        <f>SUMIFS('Data Drop'!$G:$G,'Data Drop'!$H:$H,$E28, 'Data Drop'!$D:$D,MONTH(G$3),'Data Drop'!$E:$E,YEAR(G$3))</f>
        <v>3.77</v>
      </c>
      <c r="H28" s="23">
        <f>SUMIFS('Data Drop'!$G:$G,'Data Drop'!$H:$H,$E28, 'Data Drop'!$D:$D,MONTH(H$3),'Data Drop'!$E:$E,YEAR(H$3))</f>
        <v>162.69</v>
      </c>
      <c r="I28" s="23">
        <f>SUMIFS('Data Drop'!$G:$G,'Data Drop'!$H:$H,$E28, 'Data Drop'!$D:$D,MONTH(I$3),'Data Drop'!$E:$E,YEAR(I$3))</f>
        <v>155.28</v>
      </c>
      <c r="J28" s="23">
        <f>SUMIFS('Data Drop'!$G:$G,'Data Drop'!$H:$H,$E28, 'Data Drop'!$D:$D,MONTH(J$3),'Data Drop'!$E:$E,YEAR(J$3))</f>
        <v>55.44</v>
      </c>
      <c r="K28" s="23">
        <f>SUMIFS('Data Drop'!$G:$G,'Data Drop'!$H:$H,$E28, 'Data Drop'!$D:$D,MONTH(K$3),'Data Drop'!$E:$E,YEAR(K$3))</f>
        <v>79.73</v>
      </c>
      <c r="L28" s="23">
        <f>SUMIFS('Data Drop'!$G:$G,'Data Drop'!$H:$H,$E28, 'Data Drop'!$D:$D,MONTH(L$3),'Data Drop'!$E:$E,YEAR(L$3))</f>
        <v>477.39</v>
      </c>
      <c r="M28" s="23">
        <f>SUMIFS('Data Drop'!$G:$G,'Data Drop'!$H:$H,$E28, 'Data Drop'!$D:$D,MONTH(M$3),'Data Drop'!$E:$E,YEAR(M$3))</f>
        <v>54.14</v>
      </c>
      <c r="N28" s="23">
        <f>SUMIFS('Data Drop'!$G:$G,'Data Drop'!$H:$H,$E28, 'Data Drop'!$D:$D,MONTH(N$3),'Data Drop'!$E:$E,YEAR(N$3))</f>
        <v>67.58</v>
      </c>
      <c r="O28" s="23">
        <f>SUMIFS('Data Drop'!$G:$G,'Data Drop'!$H:$H,$E28, 'Data Drop'!$D:$D,MONTH(O$3),'Data Drop'!$E:$E,YEAR(O$3))</f>
        <v>2.2599999999999998</v>
      </c>
      <c r="P28" s="23">
        <f>SUMIFS('Data Drop'!$G:$G,'Data Drop'!$H:$H,$E28, 'Data Drop'!$D:$D,MONTH(P$3),'Data Drop'!$E:$E,YEAR(P$3))</f>
        <v>43.02</v>
      </c>
      <c r="Q28" s="23">
        <f>SUMIFS('Data Drop'!$G:$G,'Data Drop'!$H:$H,$E28, 'Data Drop'!$D:$D,MONTH(Q$3),'Data Drop'!$E:$E,YEAR(Q$3))</f>
        <v>94.23</v>
      </c>
      <c r="R28" s="24"/>
      <c r="T28" s="25">
        <f t="shared" si="3"/>
        <v>1659.92</v>
      </c>
      <c r="V28" s="25">
        <f t="shared" si="2"/>
        <v>138.32666666666668</v>
      </c>
      <c r="X28" s="44" cm="1">
        <f t="array" ref="X28">IFERROR(AVERAGE(IF($F$2:$P$2&gt;0,$G28:$Q28/$F28:$P28-1)),"")</f>
        <v>5.7745486098951879</v>
      </c>
      <c r="Z28" s="44" cm="1">
        <f t="array" ref="Z28">IFERROR(AVERAGE($O28:$Q28/$N28:$P28-1),"")</f>
        <v>6.0864055486087878</v>
      </c>
      <c r="AB28" s="44">
        <f t="shared" si="9"/>
        <v>1.1903765690376567</v>
      </c>
      <c r="AD28" s="44">
        <f t="shared" si="10"/>
        <v>-0.79708865393311656</v>
      </c>
      <c r="AF28" s="25">
        <f t="shared" si="4"/>
        <v>558.04</v>
      </c>
      <c r="AH28" s="25"/>
      <c r="AL28" s="21" t="s">
        <v>27</v>
      </c>
    </row>
    <row r="29" spans="2:38" x14ac:dyDescent="0.3">
      <c r="B29" s="49"/>
      <c r="E29" s="21" t="s">
        <v>28</v>
      </c>
      <c r="F29" s="22">
        <f>SUMIFS('Data Drop'!$G:$G,'Data Drop'!$H:$H,$E29, 'Data Drop'!$D:$D,MONTH(F$3),'Data Drop'!$E:$E,YEAR(F$3))</f>
        <v>1787.91</v>
      </c>
      <c r="G29" s="23">
        <f>SUMIFS('Data Drop'!$G:$G,'Data Drop'!$H:$H,$E29, 'Data Drop'!$D:$D,MONTH(G$3),'Data Drop'!$E:$E,YEAR(G$3))</f>
        <v>2478.2600000000002</v>
      </c>
      <c r="H29" s="23">
        <f>SUMIFS('Data Drop'!$G:$G,'Data Drop'!$H:$H,$E29, 'Data Drop'!$D:$D,MONTH(H$3),'Data Drop'!$E:$E,YEAR(H$3))</f>
        <v>1154.6600000000001</v>
      </c>
      <c r="I29" s="23">
        <f>SUMIFS('Data Drop'!$G:$G,'Data Drop'!$H:$H,$E29, 'Data Drop'!$D:$D,MONTH(I$3),'Data Drop'!$E:$E,YEAR(I$3))</f>
        <v>4197.6499999999996</v>
      </c>
      <c r="J29" s="23">
        <f>SUMIFS('Data Drop'!$G:$G,'Data Drop'!$H:$H,$E29, 'Data Drop'!$D:$D,MONTH(J$3),'Data Drop'!$E:$E,YEAR(J$3))</f>
        <v>4226.4699999999993</v>
      </c>
      <c r="K29" s="23">
        <f>SUMIFS('Data Drop'!$G:$G,'Data Drop'!$H:$H,$E29, 'Data Drop'!$D:$D,MONTH(K$3),'Data Drop'!$E:$E,YEAR(K$3))</f>
        <v>3614.1399999999994</v>
      </c>
      <c r="L29" s="23">
        <f>SUMIFS('Data Drop'!$G:$G,'Data Drop'!$H:$H,$E29, 'Data Drop'!$D:$D,MONTH(L$3),'Data Drop'!$E:$E,YEAR(L$3))</f>
        <v>5572.98</v>
      </c>
      <c r="M29" s="23">
        <f>SUMIFS('Data Drop'!$G:$G,'Data Drop'!$H:$H,$E29, 'Data Drop'!$D:$D,MONTH(M$3),'Data Drop'!$E:$E,YEAR(M$3))</f>
        <v>5344.8</v>
      </c>
      <c r="N29" s="23">
        <f>SUMIFS('Data Drop'!$G:$G,'Data Drop'!$H:$H,$E29, 'Data Drop'!$D:$D,MONTH(N$3),'Data Drop'!$E:$E,YEAR(N$3))</f>
        <v>1458.36</v>
      </c>
      <c r="O29" s="23">
        <f>SUMIFS('Data Drop'!$G:$G,'Data Drop'!$H:$H,$E29, 'Data Drop'!$D:$D,MONTH(O$3),'Data Drop'!$E:$E,YEAR(O$3))</f>
        <v>3092.95</v>
      </c>
      <c r="P29" s="23">
        <f>SUMIFS('Data Drop'!$G:$G,'Data Drop'!$H:$H,$E29, 'Data Drop'!$D:$D,MONTH(P$3),'Data Drop'!$E:$E,YEAR(P$3))</f>
        <v>4347.63</v>
      </c>
      <c r="Q29" s="23">
        <f>SUMIFS('Data Drop'!$G:$G,'Data Drop'!$H:$H,$E29, 'Data Drop'!$D:$D,MONTH(Q$3),'Data Drop'!$E:$E,YEAR(Q$3))</f>
        <v>2511.8200000000002</v>
      </c>
      <c r="R29" s="24"/>
      <c r="T29" s="25">
        <f t="shared" si="3"/>
        <v>39787.62999999999</v>
      </c>
      <c r="V29" s="25">
        <f t="shared" si="2"/>
        <v>3315.6358333333324</v>
      </c>
      <c r="X29" s="44" cm="1">
        <f t="array" ref="X29">IFERROR(AVERAGE(IF($F$2:$P$2&gt;0,$G29:$Q29/$F29:$P29-1)),"")</f>
        <v>0.29341555839699401</v>
      </c>
      <c r="Z29" s="44" cm="1">
        <f t="array" ref="Z29">IFERROR(AVERAGE($O29:$Q29/$N29:$P29-1),"")</f>
        <v>0.36808130131007005</v>
      </c>
      <c r="AB29" s="44">
        <f t="shared" si="9"/>
        <v>-0.4222553437160016</v>
      </c>
      <c r="AD29" s="44">
        <f t="shared" si="10"/>
        <v>0.40489174511021253</v>
      </c>
      <c r="AF29" s="25">
        <f t="shared" si="4"/>
        <v>39809.599999999999</v>
      </c>
      <c r="AH29" s="25"/>
      <c r="AL29" s="21" t="s">
        <v>28</v>
      </c>
    </row>
    <row r="30" spans="2:38" x14ac:dyDescent="0.3">
      <c r="B30" s="49"/>
      <c r="E30" s="21" t="s">
        <v>29</v>
      </c>
      <c r="F30" s="22">
        <f>SUMIFS('Data Drop'!$G:$G,'Data Drop'!$H:$H,$E30, 'Data Drop'!$D:$D,MONTH(F$3),'Data Drop'!$E:$E,YEAR(F$3))</f>
        <v>0</v>
      </c>
      <c r="G30" s="23">
        <f>SUMIFS('Data Drop'!$G:$G,'Data Drop'!$H:$H,$E30, 'Data Drop'!$D:$D,MONTH(G$3),'Data Drop'!$E:$E,YEAR(G$3))</f>
        <v>0</v>
      </c>
      <c r="H30" s="23">
        <f>SUMIFS('Data Drop'!$G:$G,'Data Drop'!$H:$H,$E30, 'Data Drop'!$D:$D,MONTH(H$3),'Data Drop'!$E:$E,YEAR(H$3))</f>
        <v>0</v>
      </c>
      <c r="I30" s="23">
        <f>SUMIFS('Data Drop'!$G:$G,'Data Drop'!$H:$H,$E30, 'Data Drop'!$D:$D,MONTH(I$3),'Data Drop'!$E:$E,YEAR(I$3))</f>
        <v>0</v>
      </c>
      <c r="J30" s="23">
        <f>SUMIFS('Data Drop'!$G:$G,'Data Drop'!$H:$H,$E30, 'Data Drop'!$D:$D,MONTH(J$3),'Data Drop'!$E:$E,YEAR(J$3))</f>
        <v>0</v>
      </c>
      <c r="K30" s="23">
        <f>SUMIFS('Data Drop'!$G:$G,'Data Drop'!$H:$H,$E30, 'Data Drop'!$D:$D,MONTH(K$3),'Data Drop'!$E:$E,YEAR(K$3))</f>
        <v>0</v>
      </c>
      <c r="L30" s="23">
        <f>SUMIFS('Data Drop'!$G:$G,'Data Drop'!$H:$H,$E30, 'Data Drop'!$D:$D,MONTH(L$3),'Data Drop'!$E:$E,YEAR(L$3))</f>
        <v>0</v>
      </c>
      <c r="M30" s="23">
        <f>SUMIFS('Data Drop'!$G:$G,'Data Drop'!$H:$H,$E30, 'Data Drop'!$D:$D,MONTH(M$3),'Data Drop'!$E:$E,YEAR(M$3))</f>
        <v>0</v>
      </c>
      <c r="N30" s="23">
        <f>SUMIFS('Data Drop'!$G:$G,'Data Drop'!$H:$H,$E30, 'Data Drop'!$D:$D,MONTH(N$3),'Data Drop'!$E:$E,YEAR(N$3))</f>
        <v>0</v>
      </c>
      <c r="O30" s="23">
        <f>SUMIFS('Data Drop'!$G:$G,'Data Drop'!$H:$H,$E30, 'Data Drop'!$D:$D,MONTH(O$3),'Data Drop'!$E:$E,YEAR(O$3))</f>
        <v>0</v>
      </c>
      <c r="P30" s="23">
        <f>SUMIFS('Data Drop'!$G:$G,'Data Drop'!$H:$H,$E30, 'Data Drop'!$D:$D,MONTH(P$3),'Data Drop'!$E:$E,YEAR(P$3))</f>
        <v>0</v>
      </c>
      <c r="Q30" s="23">
        <f>SUMIFS('Data Drop'!$G:$G,'Data Drop'!$H:$H,$E30, 'Data Drop'!$D:$D,MONTH(Q$3),'Data Drop'!$E:$E,YEAR(Q$3))</f>
        <v>0</v>
      </c>
      <c r="R30" s="24"/>
      <c r="T30" s="25">
        <f t="shared" si="3"/>
        <v>0</v>
      </c>
      <c r="V30" s="25">
        <f t="shared" si="2"/>
        <v>0</v>
      </c>
      <c r="X30" s="44" t="str" cm="1">
        <f t="array" ref="X30">IFERROR(AVERAGE(IF($F$2:$P$2&gt;0,$G30:$Q30/$F30:$P30-1)),"")</f>
        <v/>
      </c>
      <c r="Z30" s="44" t="str" cm="1">
        <f t="array" ref="Z30">IFERROR(AVERAGE($O30:$Q30/$N30:$P30-1),"")</f>
        <v/>
      </c>
      <c r="AB30" s="44" t="str">
        <f t="shared" si="9"/>
        <v/>
      </c>
      <c r="AD30" s="44" t="str">
        <f t="shared" si="10"/>
        <v/>
      </c>
      <c r="AF30" s="25">
        <f t="shared" si="4"/>
        <v>0</v>
      </c>
      <c r="AH30" s="25"/>
      <c r="AL30" s="21" t="s">
        <v>29</v>
      </c>
    </row>
    <row r="31" spans="2:38" x14ac:dyDescent="0.3">
      <c r="B31" s="49"/>
      <c r="E31" s="21" t="s">
        <v>30</v>
      </c>
      <c r="F31" s="22">
        <f>SUMIFS('Data Drop'!$G:$G,'Data Drop'!$H:$H,$E31, 'Data Drop'!$D:$D,MONTH(F$3),'Data Drop'!$E:$E,YEAR(F$3))</f>
        <v>352.63</v>
      </c>
      <c r="G31" s="23">
        <f>SUMIFS('Data Drop'!$G:$G,'Data Drop'!$H:$H,$E31, 'Data Drop'!$D:$D,MONTH(G$3),'Data Drop'!$E:$E,YEAR(G$3))</f>
        <v>212.59000000000009</v>
      </c>
      <c r="H31" s="23">
        <f>SUMIFS('Data Drop'!$G:$G,'Data Drop'!$H:$H,$E31, 'Data Drop'!$D:$D,MONTH(H$3),'Data Drop'!$E:$E,YEAR(H$3))</f>
        <v>288.37999999999994</v>
      </c>
      <c r="I31" s="23">
        <f>SUMIFS('Data Drop'!$G:$G,'Data Drop'!$H:$H,$E31, 'Data Drop'!$D:$D,MONTH(I$3),'Data Drop'!$E:$E,YEAR(I$3))</f>
        <v>351.81999999999994</v>
      </c>
      <c r="J31" s="23">
        <f>SUMIFS('Data Drop'!$G:$G,'Data Drop'!$H:$H,$E31, 'Data Drop'!$D:$D,MONTH(J$3),'Data Drop'!$E:$E,YEAR(J$3))</f>
        <v>237.58</v>
      </c>
      <c r="K31" s="23">
        <f>SUMIFS('Data Drop'!$G:$G,'Data Drop'!$H:$H,$E31, 'Data Drop'!$D:$D,MONTH(K$3),'Data Drop'!$E:$E,YEAR(K$3))</f>
        <v>182.07</v>
      </c>
      <c r="L31" s="23">
        <f>SUMIFS('Data Drop'!$G:$G,'Data Drop'!$H:$H,$E31, 'Data Drop'!$D:$D,MONTH(L$3),'Data Drop'!$E:$E,YEAR(L$3))</f>
        <v>418.24999999999994</v>
      </c>
      <c r="M31" s="23">
        <f>SUMIFS('Data Drop'!$G:$G,'Data Drop'!$H:$H,$E31, 'Data Drop'!$D:$D,MONTH(M$3),'Data Drop'!$E:$E,YEAR(M$3))</f>
        <v>275.06</v>
      </c>
      <c r="N31" s="23">
        <f>SUMIFS('Data Drop'!$G:$G,'Data Drop'!$H:$H,$E31, 'Data Drop'!$D:$D,MONTH(N$3),'Data Drop'!$E:$E,YEAR(N$3))</f>
        <v>299.7</v>
      </c>
      <c r="O31" s="23">
        <f>SUMIFS('Data Drop'!$G:$G,'Data Drop'!$H:$H,$E31, 'Data Drop'!$D:$D,MONTH(O$3),'Data Drop'!$E:$E,YEAR(O$3))</f>
        <v>243.02</v>
      </c>
      <c r="P31" s="23">
        <f>SUMIFS('Data Drop'!$G:$G,'Data Drop'!$H:$H,$E31, 'Data Drop'!$D:$D,MONTH(P$3),'Data Drop'!$E:$E,YEAR(P$3))</f>
        <v>476.18999999999994</v>
      </c>
      <c r="Q31" s="23">
        <f>SUMIFS('Data Drop'!$G:$G,'Data Drop'!$H:$H,$E31, 'Data Drop'!$D:$D,MONTH(Q$3),'Data Drop'!$E:$E,YEAR(Q$3))</f>
        <v>359.27999999999992</v>
      </c>
      <c r="R31" s="24"/>
      <c r="T31" s="25">
        <f t="shared" si="3"/>
        <v>3696.5699999999993</v>
      </c>
      <c r="V31" s="25">
        <f t="shared" si="2"/>
        <v>308.04749999999996</v>
      </c>
      <c r="X31" s="44" cm="1">
        <f t="array" ref="X31">IFERROR(AVERAGE(IF($F$2:$P$2&gt;0,$G31:$Q31/$F31:$P31-1)),"")</f>
        <v>0.10820541319537259</v>
      </c>
      <c r="Z31" s="44" cm="1">
        <f t="array" ref="Z31">IFERROR(AVERAGE($O31:$Q31/$N31:$P31-1),"")</f>
        <v>0.17494488507116632</v>
      </c>
      <c r="AB31" s="44">
        <f t="shared" si="9"/>
        <v>-0.24551124551124559</v>
      </c>
      <c r="AD31" s="44">
        <f t="shared" si="10"/>
        <v>1.8858293395343395E-2</v>
      </c>
      <c r="AF31" s="25">
        <f t="shared" si="4"/>
        <v>4313.9599999999991</v>
      </c>
      <c r="AH31" s="25"/>
      <c r="AL31" s="21" t="s">
        <v>30</v>
      </c>
    </row>
    <row r="32" spans="2:38" x14ac:dyDescent="0.3">
      <c r="B32" s="49"/>
      <c r="E32" s="21" t="s">
        <v>31</v>
      </c>
      <c r="F32" s="22">
        <f>SUMIFS('Data Drop'!$G:$G,'Data Drop'!$H:$H,$E32, 'Data Drop'!$D:$D,MONTH(F$3),'Data Drop'!$E:$E,YEAR(F$3))</f>
        <v>6.2099999999999991</v>
      </c>
      <c r="G32" s="23">
        <f>SUMIFS('Data Drop'!$G:$G,'Data Drop'!$H:$H,$E32, 'Data Drop'!$D:$D,MONTH(G$3),'Data Drop'!$E:$E,YEAR(G$3))</f>
        <v>3303.3900000000003</v>
      </c>
      <c r="H32" s="23">
        <f>SUMIFS('Data Drop'!$G:$G,'Data Drop'!$H:$H,$E32, 'Data Drop'!$D:$D,MONTH(H$3),'Data Drop'!$E:$E,YEAR(H$3))</f>
        <v>6.1900000000000546</v>
      </c>
      <c r="I32" s="23">
        <f>SUMIFS('Data Drop'!$G:$G,'Data Drop'!$H:$H,$E32, 'Data Drop'!$D:$D,MONTH(I$3),'Data Drop'!$E:$E,YEAR(I$3))</f>
        <v>6.1599999999998536</v>
      </c>
      <c r="J32" s="23">
        <f>SUMIFS('Data Drop'!$G:$G,'Data Drop'!$H:$H,$E32, 'Data Drop'!$D:$D,MONTH(J$3),'Data Drop'!$E:$E,YEAR(J$3))</f>
        <v>6.17</v>
      </c>
      <c r="K32" s="23">
        <f>SUMIFS('Data Drop'!$G:$G,'Data Drop'!$H:$H,$E32, 'Data Drop'!$D:$D,MONTH(K$3),'Data Drop'!$E:$E,YEAR(K$3))</f>
        <v>3271.3</v>
      </c>
      <c r="L32" s="23">
        <f>SUMIFS('Data Drop'!$G:$G,'Data Drop'!$H:$H,$E32, 'Data Drop'!$D:$D,MONTH(L$3),'Data Drop'!$E:$E,YEAR(L$3))</f>
        <v>6.04</v>
      </c>
      <c r="M32" s="23">
        <f>SUMIFS('Data Drop'!$G:$G,'Data Drop'!$H:$H,$E32, 'Data Drop'!$D:$D,MONTH(M$3),'Data Drop'!$E:$E,YEAR(M$3))</f>
        <v>841.6</v>
      </c>
      <c r="N32" s="23">
        <f>SUMIFS('Data Drop'!$G:$G,'Data Drop'!$H:$H,$E32, 'Data Drop'!$D:$D,MONTH(N$3),'Data Drop'!$E:$E,YEAR(N$3))</f>
        <v>977.89</v>
      </c>
      <c r="O32" s="23">
        <f>SUMIFS('Data Drop'!$G:$G,'Data Drop'!$H:$H,$E32, 'Data Drop'!$D:$D,MONTH(O$3),'Data Drop'!$E:$E,YEAR(O$3))</f>
        <v>827.65</v>
      </c>
      <c r="P32" s="23">
        <f>SUMIFS('Data Drop'!$G:$G,'Data Drop'!$H:$H,$E32, 'Data Drop'!$D:$D,MONTH(P$3),'Data Drop'!$E:$E,YEAR(P$3))</f>
        <v>15.49</v>
      </c>
      <c r="Q32" s="23">
        <f>SUMIFS('Data Drop'!$G:$G,'Data Drop'!$H:$H,$E32, 'Data Drop'!$D:$D,MONTH(Q$3),'Data Drop'!$E:$E,YEAR(Q$3))</f>
        <v>1645.42</v>
      </c>
      <c r="R32" s="24"/>
      <c r="T32" s="25">
        <f t="shared" si="3"/>
        <v>10913.51</v>
      </c>
      <c r="V32" s="25">
        <f t="shared" si="2"/>
        <v>909.45916666666665</v>
      </c>
      <c r="X32" s="44" cm="1">
        <f t="array" ref="X32">IFERROR(AVERAGE(IF($F$2:$P$2&gt;0,$G32:$Q32/$F32:$P32-1)),"")</f>
        <v>118.24829782694651</v>
      </c>
      <c r="Z32" s="44" cm="1">
        <f t="array" ref="Z32">IFERROR(AVERAGE($O32:$Q32/$N32:$P32-1),"")</f>
        <v>34.696579933400457</v>
      </c>
      <c r="AB32" s="44">
        <f t="shared" si="9"/>
        <v>105.22466107165914</v>
      </c>
      <c r="AD32" s="44">
        <f t="shared" si="10"/>
        <v>263.96296296296299</v>
      </c>
      <c r="AF32" s="25">
        <f t="shared" si="4"/>
        <v>9954.24</v>
      </c>
      <c r="AH32" s="25"/>
      <c r="AL32" s="21" t="s">
        <v>31</v>
      </c>
    </row>
    <row r="33" spans="2:38" x14ac:dyDescent="0.3">
      <c r="B33" s="49"/>
      <c r="E33" s="21" t="s">
        <v>32</v>
      </c>
      <c r="F33" s="22">
        <f>SUMIFS('Data Drop'!$G:$G,'Data Drop'!$H:$H,$E33, 'Data Drop'!$D:$D,MONTH(F$3),'Data Drop'!$E:$E,YEAR(F$3))</f>
        <v>1427.85</v>
      </c>
      <c r="G33" s="22">
        <f>SUMIFS('Data Drop'!$G:$G,'Data Drop'!$H:$H,$E33, 'Data Drop'!$D:$D,MONTH(G$3),'Data Drop'!$E:$E,YEAR(G$3))</f>
        <v>1408.48</v>
      </c>
      <c r="H33" s="22">
        <f>SUMIFS('Data Drop'!$G:$G,'Data Drop'!$H:$H,$E33, 'Data Drop'!$D:$D,MONTH(H$3),'Data Drop'!$E:$E,YEAR(H$3))</f>
        <v>1439.5700000000002</v>
      </c>
      <c r="I33" s="22">
        <f>SUMIFS('Data Drop'!$G:$G,'Data Drop'!$H:$H,$E33, 'Data Drop'!$D:$D,MONTH(I$3),'Data Drop'!$E:$E,YEAR(I$3))</f>
        <v>1439.94</v>
      </c>
      <c r="J33" s="22">
        <f>SUMIFS('Data Drop'!$G:$G,'Data Drop'!$H:$H,$E33, 'Data Drop'!$D:$D,MONTH(J$3),'Data Drop'!$E:$E,YEAR(J$3))</f>
        <v>1463.1799999999998</v>
      </c>
      <c r="K33" s="22">
        <f>SUMIFS('Data Drop'!$G:$G,'Data Drop'!$H:$H,$E33, 'Data Drop'!$D:$D,MONTH(K$3),'Data Drop'!$E:$E,YEAR(K$3))</f>
        <v>1425.27</v>
      </c>
      <c r="L33" s="22">
        <f>SUMIFS('Data Drop'!$G:$G,'Data Drop'!$H:$H,$E33, 'Data Drop'!$D:$D,MONTH(L$3),'Data Drop'!$E:$E,YEAR(L$3))</f>
        <v>1453.01</v>
      </c>
      <c r="M33" s="22">
        <f>SUMIFS('Data Drop'!$G:$G,'Data Drop'!$H:$H,$E33, 'Data Drop'!$D:$D,MONTH(M$3),'Data Drop'!$E:$E,YEAR(M$3))</f>
        <v>1470.8799999999999</v>
      </c>
      <c r="N33" s="22">
        <f>SUMIFS('Data Drop'!$G:$G,'Data Drop'!$H:$H,$E33, 'Data Drop'!$D:$D,MONTH(N$3),'Data Drop'!$E:$E,YEAR(N$3))</f>
        <v>1447.97</v>
      </c>
      <c r="O33" s="22">
        <f>SUMIFS('Data Drop'!$G:$G,'Data Drop'!$H:$H,$E33, 'Data Drop'!$D:$D,MONTH(O$3),'Data Drop'!$E:$E,YEAR(O$3))</f>
        <v>1461.34</v>
      </c>
      <c r="P33" s="22">
        <f>SUMIFS('Data Drop'!$G:$G,'Data Drop'!$H:$H,$E33, 'Data Drop'!$D:$D,MONTH(P$3),'Data Drop'!$E:$E,YEAR(P$3))</f>
        <v>1454.02</v>
      </c>
      <c r="Q33" s="22">
        <f>SUMIFS('Data Drop'!$G:$G,'Data Drop'!$H:$H,$E33, 'Data Drop'!$D:$D,MONTH(Q$3),'Data Drop'!$E:$E,YEAR(Q$3))</f>
        <v>1408.6499999999999</v>
      </c>
      <c r="R33" s="24"/>
      <c r="T33" s="25">
        <f t="shared" si="3"/>
        <v>17300.16</v>
      </c>
      <c r="V33" s="25">
        <f t="shared" si="2"/>
        <v>1441.68</v>
      </c>
      <c r="X33" s="44" cm="1">
        <f t="array" ref="X33">IFERROR(AVERAGE(IF($F$2:$P$2&gt;0,$G33:$Q33/$F33:$P33-1)),"")</f>
        <v>-1.0725366257671074E-3</v>
      </c>
      <c r="Z33" s="44" cm="1">
        <f t="array" ref="Z33">IFERROR(AVERAGE($O33:$Q33/$N33:$P33-1),"")</f>
        <v>-8.9928772180590064E-3</v>
      </c>
      <c r="AB33" s="44">
        <f t="shared" si="9"/>
        <v>-3.1203147136903309E-2</v>
      </c>
      <c r="AD33" s="44">
        <f t="shared" si="10"/>
        <v>-1.3446790629267791E-2</v>
      </c>
      <c r="AF33" s="25">
        <f t="shared" si="4"/>
        <v>17296.039999999997</v>
      </c>
      <c r="AH33" s="25"/>
      <c r="AL33" s="21" t="s">
        <v>32</v>
      </c>
    </row>
    <row r="34" spans="2:38" x14ac:dyDescent="0.3">
      <c r="B34" s="49"/>
      <c r="E34" s="21" t="s">
        <v>81</v>
      </c>
      <c r="F34" s="22">
        <f>SUMIFS('Data Drop'!$G:$G,'Data Drop'!$H:$H,$E34, 'Data Drop'!$D:$D,MONTH(F$3),'Data Drop'!$E:$E,YEAR(F$3))</f>
        <v>0</v>
      </c>
      <c r="G34" s="23">
        <f>SUMIFS('Data Drop'!$G:$G,'Data Drop'!$H:$H,$E34, 'Data Drop'!$D:$D,MONTH(G$3),'Data Drop'!$E:$E,YEAR(G$3))</f>
        <v>0</v>
      </c>
      <c r="H34" s="23">
        <f>SUMIFS('Data Drop'!$G:$G,'Data Drop'!$H:$H,$E34, 'Data Drop'!$D:$D,MONTH(H$3),'Data Drop'!$E:$E,YEAR(H$3))</f>
        <v>0</v>
      </c>
      <c r="I34" s="23">
        <f>SUMIFS('Data Drop'!$G:$G,'Data Drop'!$H:$H,$E34, 'Data Drop'!$D:$D,MONTH(I$3),'Data Drop'!$E:$E,YEAR(I$3))</f>
        <v>0</v>
      </c>
      <c r="J34" s="23">
        <f>SUMIFS('Data Drop'!$G:$G,'Data Drop'!$H:$H,$E34, 'Data Drop'!$D:$D,MONTH(J$3),'Data Drop'!$E:$E,YEAR(J$3))</f>
        <v>0</v>
      </c>
      <c r="K34" s="23">
        <f>SUMIFS('Data Drop'!$G:$G,'Data Drop'!$H:$H,$E34, 'Data Drop'!$D:$D,MONTH(K$3),'Data Drop'!$E:$E,YEAR(K$3))</f>
        <v>0</v>
      </c>
      <c r="L34" s="23">
        <f>SUMIFS('Data Drop'!$G:$G,'Data Drop'!$H:$H,$E34, 'Data Drop'!$D:$D,MONTH(L$3),'Data Drop'!$E:$E,YEAR(L$3))</f>
        <v>0</v>
      </c>
      <c r="M34" s="23">
        <f>SUMIFS('Data Drop'!$G:$G,'Data Drop'!$H:$H,$E34, 'Data Drop'!$D:$D,MONTH(M$3),'Data Drop'!$E:$E,YEAR(M$3))</f>
        <v>0</v>
      </c>
      <c r="N34" s="23">
        <f>SUMIFS('Data Drop'!$G:$G,'Data Drop'!$H:$H,$E34, 'Data Drop'!$D:$D,MONTH(N$3),'Data Drop'!$E:$E,YEAR(N$3))</f>
        <v>0</v>
      </c>
      <c r="O34" s="23">
        <f>SUMIFS('Data Drop'!$G:$G,'Data Drop'!$H:$H,$E34, 'Data Drop'!$D:$D,MONTH(O$3),'Data Drop'!$E:$E,YEAR(O$3))</f>
        <v>0</v>
      </c>
      <c r="P34" s="23">
        <f>SUMIFS('Data Drop'!$G:$G,'Data Drop'!$H:$H,$E34, 'Data Drop'!$D:$D,MONTH(P$3),'Data Drop'!$E:$E,YEAR(P$3))</f>
        <v>0</v>
      </c>
      <c r="Q34" s="23">
        <f>SUMIFS('Data Drop'!$G:$G,'Data Drop'!$H:$H,$E34, 'Data Drop'!$D:$D,MONTH(Q$3),'Data Drop'!$E:$E,YEAR(Q$3))</f>
        <v>0</v>
      </c>
      <c r="R34" s="24"/>
      <c r="T34" s="25">
        <f t="shared" si="3"/>
        <v>0</v>
      </c>
      <c r="V34" s="25">
        <f t="shared" si="2"/>
        <v>0</v>
      </c>
      <c r="X34" s="44" t="str" cm="1">
        <f t="array" ref="X34">IFERROR(AVERAGE(IF($F$2:$P$2&gt;0,$G34:$Q34/$F34:$P34-1)),"")</f>
        <v/>
      </c>
      <c r="Z34" s="44" t="str" cm="1">
        <f t="array" ref="Z34">IFERROR(AVERAGE($O34:$Q34/$N34:$P34-1),"")</f>
        <v/>
      </c>
      <c r="AB34" s="44" t="str">
        <f t="shared" si="9"/>
        <v/>
      </c>
      <c r="AD34" s="44" t="str">
        <f t="shared" si="10"/>
        <v/>
      </c>
      <c r="AF34" s="25">
        <f t="shared" si="4"/>
        <v>0</v>
      </c>
      <c r="AH34" s="25"/>
      <c r="AL34" s="21" t="s">
        <v>81</v>
      </c>
    </row>
    <row r="35" spans="2:38" x14ac:dyDescent="0.3">
      <c r="B35" s="49"/>
      <c r="E35" s="21" t="s">
        <v>33</v>
      </c>
      <c r="F35" s="22">
        <f>SUMIFS('Data Drop'!$G:$G,'Data Drop'!$H:$H,$E35, 'Data Drop'!$D:$D,MONTH(F$3),'Data Drop'!$E:$E,YEAR(F$3))</f>
        <v>101.4</v>
      </c>
      <c r="G35" s="23">
        <f>SUMIFS('Data Drop'!$G:$G,'Data Drop'!$H:$H,$E35, 'Data Drop'!$D:$D,MONTH(G$3),'Data Drop'!$E:$E,YEAR(G$3))</f>
        <v>264.14999999999998</v>
      </c>
      <c r="H35" s="23">
        <f>SUMIFS('Data Drop'!$G:$G,'Data Drop'!$H:$H,$E35, 'Data Drop'!$D:$D,MONTH(H$3),'Data Drop'!$E:$E,YEAR(H$3))</f>
        <v>204.85999999999996</v>
      </c>
      <c r="I35" s="23">
        <f>SUMIFS('Data Drop'!$G:$G,'Data Drop'!$H:$H,$E35, 'Data Drop'!$D:$D,MONTH(I$3),'Data Drop'!$E:$E,YEAR(I$3))</f>
        <v>152.38</v>
      </c>
      <c r="J35" s="23">
        <f>SUMIFS('Data Drop'!$G:$G,'Data Drop'!$H:$H,$E35, 'Data Drop'!$D:$D,MONTH(J$3),'Data Drop'!$E:$E,YEAR(J$3))</f>
        <v>284.61</v>
      </c>
      <c r="K35" s="23">
        <f>SUMIFS('Data Drop'!$G:$G,'Data Drop'!$H:$H,$E35, 'Data Drop'!$D:$D,MONTH(K$3),'Data Drop'!$E:$E,YEAR(K$3))</f>
        <v>42.5</v>
      </c>
      <c r="L35" s="23">
        <f>SUMIFS('Data Drop'!$G:$G,'Data Drop'!$H:$H,$E35, 'Data Drop'!$D:$D,MONTH(L$3),'Data Drop'!$E:$E,YEAR(L$3))</f>
        <v>158</v>
      </c>
      <c r="M35" s="23">
        <f>SUMIFS('Data Drop'!$G:$G,'Data Drop'!$H:$H,$E35, 'Data Drop'!$D:$D,MONTH(M$3),'Data Drop'!$E:$E,YEAR(M$3))</f>
        <v>50.69</v>
      </c>
      <c r="N35" s="23">
        <f>SUMIFS('Data Drop'!$G:$G,'Data Drop'!$H:$H,$E35, 'Data Drop'!$D:$D,MONTH(N$3),'Data Drop'!$E:$E,YEAR(N$3))</f>
        <v>263.18</v>
      </c>
      <c r="O35" s="23">
        <f>SUMIFS('Data Drop'!$G:$G,'Data Drop'!$H:$H,$E35, 'Data Drop'!$D:$D,MONTH(O$3),'Data Drop'!$E:$E,YEAR(O$3))</f>
        <v>213.33</v>
      </c>
      <c r="P35" s="23">
        <f>SUMIFS('Data Drop'!$G:$G,'Data Drop'!$H:$H,$E35, 'Data Drop'!$D:$D,MONTH(P$3),'Data Drop'!$E:$E,YEAR(P$3))</f>
        <v>42.5</v>
      </c>
      <c r="Q35" s="23">
        <f>SUMIFS('Data Drop'!$G:$G,'Data Drop'!$H:$H,$E35, 'Data Drop'!$D:$D,MONTH(Q$3),'Data Drop'!$E:$E,YEAR(Q$3))</f>
        <v>163.16</v>
      </c>
      <c r="R35" s="24"/>
      <c r="T35" s="25">
        <f t="shared" si="3"/>
        <v>1940.76</v>
      </c>
      <c r="V35" s="25">
        <f t="shared" si="2"/>
        <v>161.72999999999999</v>
      </c>
      <c r="X35" s="44" cm="1">
        <f t="array" ref="X35">IFERROR(AVERAGE(IF($F$2:$P$2&gt;0,$G35:$Q35/$F35:$P35-1)),"")</f>
        <v>0.83825257266717645</v>
      </c>
      <c r="Z35" s="44" cm="1">
        <f t="array" ref="Z35">IFERROR(AVERAGE($O35:$Q35/$N35:$P35-1),"")</f>
        <v>0.61628886571817099</v>
      </c>
      <c r="AB35" s="44">
        <f t="shared" si="9"/>
        <v>2.8390588235294119</v>
      </c>
      <c r="AD35" s="44">
        <f t="shared" si="10"/>
        <v>0.6090729783037474</v>
      </c>
      <c r="AF35" s="25">
        <f t="shared" si="4"/>
        <v>1675.96</v>
      </c>
      <c r="AH35" s="25"/>
      <c r="AL35" s="21" t="s">
        <v>33</v>
      </c>
    </row>
    <row r="36" spans="2:38" x14ac:dyDescent="0.3">
      <c r="B36" s="49"/>
      <c r="E36" s="21" t="s">
        <v>34</v>
      </c>
      <c r="F36" s="22">
        <f>SUMIFS('Data Drop'!$G:$G,'Data Drop'!$H:$H,$E36, 'Data Drop'!$D:$D,MONTH(F$3),'Data Drop'!$E:$E,YEAR(F$3))</f>
        <v>835</v>
      </c>
      <c r="G36" s="23">
        <f>SUMIFS('Data Drop'!$G:$G,'Data Drop'!$H:$H,$E36, 'Data Drop'!$D:$D,MONTH(G$3),'Data Drop'!$E:$E,YEAR(G$3))</f>
        <v>0</v>
      </c>
      <c r="H36" s="23">
        <f>SUMIFS('Data Drop'!$G:$G,'Data Drop'!$H:$H,$E36, 'Data Drop'!$D:$D,MONTH(H$3),'Data Drop'!$E:$E,YEAR(H$3))</f>
        <v>0</v>
      </c>
      <c r="I36" s="23">
        <f>SUMIFS('Data Drop'!$G:$G,'Data Drop'!$H:$H,$E36, 'Data Drop'!$D:$D,MONTH(I$3),'Data Drop'!$E:$E,YEAR(I$3))</f>
        <v>0</v>
      </c>
      <c r="J36" s="23">
        <f>SUMIFS('Data Drop'!$G:$G,'Data Drop'!$H:$H,$E36, 'Data Drop'!$D:$D,MONTH(J$3),'Data Drop'!$E:$E,YEAR(J$3))</f>
        <v>0</v>
      </c>
      <c r="K36" s="23">
        <f>SUMIFS('Data Drop'!$G:$G,'Data Drop'!$H:$H,$E36, 'Data Drop'!$D:$D,MONTH(K$3),'Data Drop'!$E:$E,YEAR(K$3))</f>
        <v>9037.35</v>
      </c>
      <c r="L36" s="23">
        <f>SUMIFS('Data Drop'!$G:$G,'Data Drop'!$H:$H,$E36, 'Data Drop'!$D:$D,MONTH(L$3),'Data Drop'!$E:$E,YEAR(L$3))</f>
        <v>3057.52</v>
      </c>
      <c r="M36" s="23">
        <f>SUMIFS('Data Drop'!$G:$G,'Data Drop'!$H:$H,$E36, 'Data Drop'!$D:$D,MONTH(M$3),'Data Drop'!$E:$E,YEAR(M$3))</f>
        <v>3231.46</v>
      </c>
      <c r="N36" s="23">
        <f>SUMIFS('Data Drop'!$G:$G,'Data Drop'!$H:$H,$E36, 'Data Drop'!$D:$D,MONTH(N$3),'Data Drop'!$E:$E,YEAR(N$3))</f>
        <v>2923.3799999999997</v>
      </c>
      <c r="O36" s="23">
        <f>SUMIFS('Data Drop'!$G:$G,'Data Drop'!$H:$H,$E36, 'Data Drop'!$D:$D,MONTH(O$3),'Data Drop'!$E:$E,YEAR(O$3))</f>
        <v>2871.81</v>
      </c>
      <c r="P36" s="23">
        <f>SUMIFS('Data Drop'!$G:$G,'Data Drop'!$H:$H,$E36, 'Data Drop'!$D:$D,MONTH(P$3),'Data Drop'!$E:$E,YEAR(P$3))</f>
        <v>3218.15</v>
      </c>
      <c r="Q36" s="23">
        <f>SUMIFS('Data Drop'!$G:$G,'Data Drop'!$H:$H,$E36, 'Data Drop'!$D:$D,MONTH(Q$3),'Data Drop'!$E:$E,YEAR(Q$3))</f>
        <v>2948.17</v>
      </c>
      <c r="R36" s="24"/>
      <c r="T36" s="25">
        <f t="shared" si="3"/>
        <v>28122.840000000004</v>
      </c>
      <c r="V36" s="25">
        <f t="shared" si="2"/>
        <v>2343.5700000000002</v>
      </c>
      <c r="X36" s="44" t="str" cm="1">
        <f t="array" ref="X36">IFERROR(AVERAGE(IF($F$2:$P$2&gt;0,$G36:$Q36/$F36:$P36-1)),"")</f>
        <v/>
      </c>
      <c r="Z36" s="44" cm="1">
        <f t="array" ref="Z36">IFERROR(AVERAGE($O36:$Q36/$N36:$P36-1),"")</f>
        <v>6.355480396777395E-3</v>
      </c>
      <c r="AB36" s="44">
        <f t="shared" si="9"/>
        <v>-8.3892919845252711E-2</v>
      </c>
      <c r="AD36" s="44">
        <f t="shared" si="10"/>
        <v>2.53074251497006</v>
      </c>
      <c r="AF36" s="25">
        <f t="shared" si="4"/>
        <v>36152.520000000004</v>
      </c>
      <c r="AH36" s="25"/>
      <c r="AL36" s="21" t="s">
        <v>34</v>
      </c>
    </row>
    <row r="37" spans="2:38" x14ac:dyDescent="0.3">
      <c r="B37" s="49"/>
      <c r="E37" s="21" t="s">
        <v>35</v>
      </c>
      <c r="F37" s="22">
        <f>SUMIFS('Data Drop'!$G:$G,'Data Drop'!$H:$H,$E37, 'Data Drop'!$D:$D,MONTH(F$3),'Data Drop'!$E:$E,YEAR(F$3))</f>
        <v>0</v>
      </c>
      <c r="G37" s="23">
        <f>SUMIFS('Data Drop'!$G:$G,'Data Drop'!$H:$H,$E37, 'Data Drop'!$D:$D,MONTH(G$3),'Data Drop'!$E:$E,YEAR(G$3))</f>
        <v>0</v>
      </c>
      <c r="H37" s="23">
        <f>SUMIFS('Data Drop'!$G:$G,'Data Drop'!$H:$H,$E37, 'Data Drop'!$D:$D,MONTH(H$3),'Data Drop'!$E:$E,YEAR(H$3))</f>
        <v>0</v>
      </c>
      <c r="I37" s="23">
        <f>SUMIFS('Data Drop'!$G:$G,'Data Drop'!$H:$H,$E37, 'Data Drop'!$D:$D,MONTH(I$3),'Data Drop'!$E:$E,YEAR(I$3))</f>
        <v>0</v>
      </c>
      <c r="J37" s="23">
        <f>SUMIFS('Data Drop'!$G:$G,'Data Drop'!$H:$H,$E37, 'Data Drop'!$D:$D,MONTH(J$3),'Data Drop'!$E:$E,YEAR(J$3))</f>
        <v>0</v>
      </c>
      <c r="K37" s="23">
        <f>SUMIFS('Data Drop'!$G:$G,'Data Drop'!$H:$H,$E37, 'Data Drop'!$D:$D,MONTH(K$3),'Data Drop'!$E:$E,YEAR(K$3))</f>
        <v>0</v>
      </c>
      <c r="L37" s="23">
        <f>SUMIFS('Data Drop'!$G:$G,'Data Drop'!$H:$H,$E37, 'Data Drop'!$D:$D,MONTH(L$3),'Data Drop'!$E:$E,YEAR(L$3))</f>
        <v>0</v>
      </c>
      <c r="M37" s="23">
        <f>SUMIFS('Data Drop'!$G:$G,'Data Drop'!$H:$H,$E37, 'Data Drop'!$D:$D,MONTH(M$3),'Data Drop'!$E:$E,YEAR(M$3))</f>
        <v>0</v>
      </c>
      <c r="N37" s="23">
        <f>SUMIFS('Data Drop'!$G:$G,'Data Drop'!$H:$H,$E37, 'Data Drop'!$D:$D,MONTH(N$3),'Data Drop'!$E:$E,YEAR(N$3))</f>
        <v>0</v>
      </c>
      <c r="O37" s="23">
        <f>SUMIFS('Data Drop'!$G:$G,'Data Drop'!$H:$H,$E37, 'Data Drop'!$D:$D,MONTH(O$3),'Data Drop'!$E:$E,YEAR(O$3))</f>
        <v>0</v>
      </c>
      <c r="P37" s="23">
        <f>SUMIFS('Data Drop'!$G:$G,'Data Drop'!$H:$H,$E37, 'Data Drop'!$D:$D,MONTH(P$3),'Data Drop'!$E:$E,YEAR(P$3))</f>
        <v>0</v>
      </c>
      <c r="Q37" s="23">
        <f>SUMIFS('Data Drop'!$G:$G,'Data Drop'!$H:$H,$E37, 'Data Drop'!$D:$D,MONTH(Q$3),'Data Drop'!$E:$E,YEAR(Q$3))</f>
        <v>0</v>
      </c>
      <c r="R37" s="24"/>
      <c r="T37" s="25">
        <f t="shared" si="3"/>
        <v>0</v>
      </c>
      <c r="V37" s="25">
        <f t="shared" si="2"/>
        <v>0</v>
      </c>
      <c r="X37" s="44" t="str" cm="1">
        <f t="array" ref="X37">IFERROR(AVERAGE(IF($F$2:$P$2&gt;0,$G37:$Q37/$F37:$P37-1)),"")</f>
        <v/>
      </c>
      <c r="Z37" s="44" t="str" cm="1">
        <f t="array" ref="Z37">IFERROR(AVERAGE($O37:$Q37/$N37:$P37-1),"")</f>
        <v/>
      </c>
      <c r="AB37" s="44" t="str">
        <f t="shared" si="9"/>
        <v/>
      </c>
      <c r="AD37" s="44" t="str">
        <f t="shared" si="10"/>
        <v/>
      </c>
      <c r="AF37" s="25">
        <f t="shared" si="4"/>
        <v>0</v>
      </c>
      <c r="AH37" s="25"/>
      <c r="AL37" s="21" t="s">
        <v>35</v>
      </c>
    </row>
    <row r="38" spans="2:38" x14ac:dyDescent="0.3">
      <c r="B38" s="49"/>
      <c r="E38" s="21" t="s">
        <v>36</v>
      </c>
      <c r="F38" s="22">
        <f>SUMIFS('Data Drop'!$G:$G,'Data Drop'!$H:$H,$E38, 'Data Drop'!$D:$D,MONTH(F$3),'Data Drop'!$E:$E,YEAR(F$3))</f>
        <v>0</v>
      </c>
      <c r="G38" s="23">
        <f>SUMIFS('Data Drop'!$G:$G,'Data Drop'!$H:$H,$E38, 'Data Drop'!$D:$D,MONTH(G$3),'Data Drop'!$E:$E,YEAR(G$3))</f>
        <v>0</v>
      </c>
      <c r="H38" s="23">
        <f>SUMIFS('Data Drop'!$G:$G,'Data Drop'!$H:$H,$E38, 'Data Drop'!$D:$D,MONTH(H$3),'Data Drop'!$E:$E,YEAR(H$3))</f>
        <v>0</v>
      </c>
      <c r="I38" s="23">
        <f>SUMIFS('Data Drop'!$G:$G,'Data Drop'!$H:$H,$E38, 'Data Drop'!$D:$D,MONTH(I$3),'Data Drop'!$E:$E,YEAR(I$3))</f>
        <v>0</v>
      </c>
      <c r="J38" s="23">
        <f>SUMIFS('Data Drop'!$G:$G,'Data Drop'!$H:$H,$E38, 'Data Drop'!$D:$D,MONTH(J$3),'Data Drop'!$E:$E,YEAR(J$3))</f>
        <v>0</v>
      </c>
      <c r="K38" s="23">
        <f>SUMIFS('Data Drop'!$G:$G,'Data Drop'!$H:$H,$E38, 'Data Drop'!$D:$D,MONTH(K$3),'Data Drop'!$E:$E,YEAR(K$3))</f>
        <v>0</v>
      </c>
      <c r="L38" s="23">
        <f>SUMIFS('Data Drop'!$G:$G,'Data Drop'!$H:$H,$E38, 'Data Drop'!$D:$D,MONTH(L$3),'Data Drop'!$E:$E,YEAR(L$3))</f>
        <v>0</v>
      </c>
      <c r="M38" s="23">
        <f>SUMIFS('Data Drop'!$G:$G,'Data Drop'!$H:$H,$E38, 'Data Drop'!$D:$D,MONTH(M$3),'Data Drop'!$E:$E,YEAR(M$3))</f>
        <v>0</v>
      </c>
      <c r="N38" s="23">
        <f>SUMIFS('Data Drop'!$G:$G,'Data Drop'!$H:$H,$E38, 'Data Drop'!$D:$D,MONTH(N$3),'Data Drop'!$E:$E,YEAR(N$3))</f>
        <v>0</v>
      </c>
      <c r="O38" s="23">
        <f>SUMIFS('Data Drop'!$G:$G,'Data Drop'!$H:$H,$E38, 'Data Drop'!$D:$D,MONTH(O$3),'Data Drop'!$E:$E,YEAR(O$3))</f>
        <v>0</v>
      </c>
      <c r="P38" s="23">
        <f>SUMIFS('Data Drop'!$G:$G,'Data Drop'!$H:$H,$E38, 'Data Drop'!$D:$D,MONTH(P$3),'Data Drop'!$E:$E,YEAR(P$3))</f>
        <v>0</v>
      </c>
      <c r="Q38" s="23">
        <f>SUMIFS('Data Drop'!$G:$G,'Data Drop'!$H:$H,$E38, 'Data Drop'!$D:$D,MONTH(Q$3),'Data Drop'!$E:$E,YEAR(Q$3))</f>
        <v>0</v>
      </c>
      <c r="R38" s="24"/>
      <c r="T38" s="25">
        <f t="shared" ref="T38:T39" si="11">SUM(F38:Q38)</f>
        <v>0</v>
      </c>
      <c r="V38" s="25">
        <f t="shared" ref="V38:V39" si="12">IFERROR(AVERAGEIF($F$2:$Q$2,"&gt;0",F38:Q38),"")</f>
        <v>0</v>
      </c>
      <c r="X38" s="44" t="str" cm="1">
        <f t="array" ref="X38">IFERROR(AVERAGE(IF($F$2:$P$2&gt;0,$G38:$Q38/$F38:$P38-1)),"")</f>
        <v/>
      </c>
      <c r="Z38" s="44" t="str" cm="1">
        <f t="array" ref="Z38">IFERROR(AVERAGE($O38:$Q38/$N38:$P38-1),"")</f>
        <v/>
      </c>
      <c r="AB38" s="44" t="str">
        <f t="shared" ref="AB38:AB39" si="13">IFERROR(AVERAGE($Q38/$P38-1),"")</f>
        <v/>
      </c>
      <c r="AD38" s="44" t="str">
        <f t="shared" ref="AD38:AD39" si="14">IFERROR(AVERAGE($Q38/$F38-1),"")</f>
        <v/>
      </c>
      <c r="AF38" s="25">
        <f t="shared" ref="AF38:AF39" si="15">SUM(O38:Q38)*4</f>
        <v>0</v>
      </c>
      <c r="AH38" s="25"/>
      <c r="AL38" s="21"/>
    </row>
    <row r="39" spans="2:38" x14ac:dyDescent="0.3">
      <c r="B39" s="49"/>
      <c r="E39" s="21" t="s">
        <v>82</v>
      </c>
      <c r="F39" s="22">
        <f>SUMIFS('Data Drop'!$G:$G,'Data Drop'!$H:$H,$E39, 'Data Drop'!$D:$D,MONTH(F$3),'Data Drop'!$E:$E,YEAR(F$3))</f>
        <v>0</v>
      </c>
      <c r="G39" s="23">
        <f>SUMIFS('Data Drop'!$G:$G,'Data Drop'!$H:$H,$E39, 'Data Drop'!$D:$D,MONTH(G$3),'Data Drop'!$E:$E,YEAR(G$3))</f>
        <v>0</v>
      </c>
      <c r="H39" s="23">
        <f>SUMIFS('Data Drop'!$G:$G,'Data Drop'!$H:$H,$E39, 'Data Drop'!$D:$D,MONTH(H$3),'Data Drop'!$E:$E,YEAR(H$3))</f>
        <v>0</v>
      </c>
      <c r="I39" s="23">
        <f>SUMIFS('Data Drop'!$G:$G,'Data Drop'!$H:$H,$E39, 'Data Drop'!$D:$D,MONTH(I$3),'Data Drop'!$E:$E,YEAR(I$3))</f>
        <v>0</v>
      </c>
      <c r="J39" s="23">
        <f>SUMIFS('Data Drop'!$G:$G,'Data Drop'!$H:$H,$E39, 'Data Drop'!$D:$D,MONTH(J$3),'Data Drop'!$E:$E,YEAR(J$3))</f>
        <v>0</v>
      </c>
      <c r="K39" s="23">
        <f>SUMIFS('Data Drop'!$G:$G,'Data Drop'!$H:$H,$E39, 'Data Drop'!$D:$D,MONTH(K$3),'Data Drop'!$E:$E,YEAR(K$3))</f>
        <v>0</v>
      </c>
      <c r="L39" s="23">
        <f>SUMIFS('Data Drop'!$G:$G,'Data Drop'!$H:$H,$E39, 'Data Drop'!$D:$D,MONTH(L$3),'Data Drop'!$E:$E,YEAR(L$3))</f>
        <v>0</v>
      </c>
      <c r="M39" s="23">
        <f>SUMIFS('Data Drop'!$G:$G,'Data Drop'!$H:$H,$E39, 'Data Drop'!$D:$D,MONTH(M$3),'Data Drop'!$E:$E,YEAR(M$3))</f>
        <v>0</v>
      </c>
      <c r="N39" s="23">
        <f>SUMIFS('Data Drop'!$G:$G,'Data Drop'!$H:$H,$E39, 'Data Drop'!$D:$D,MONTH(N$3),'Data Drop'!$E:$E,YEAR(N$3))</f>
        <v>0</v>
      </c>
      <c r="O39" s="23">
        <f>SUMIFS('Data Drop'!$G:$G,'Data Drop'!$H:$H,$E39, 'Data Drop'!$D:$D,MONTH(O$3),'Data Drop'!$E:$E,YEAR(O$3))</f>
        <v>0</v>
      </c>
      <c r="P39" s="23">
        <f>SUMIFS('Data Drop'!$G:$G,'Data Drop'!$H:$H,$E39, 'Data Drop'!$D:$D,MONTH(P$3),'Data Drop'!$E:$E,YEAR(P$3))</f>
        <v>0</v>
      </c>
      <c r="Q39" s="23">
        <f>SUMIFS('Data Drop'!$G:$G,'Data Drop'!$H:$H,$E39, 'Data Drop'!$D:$D,MONTH(Q$3),'Data Drop'!$E:$E,YEAR(Q$3))</f>
        <v>0</v>
      </c>
      <c r="R39" s="24"/>
      <c r="T39" s="25">
        <f t="shared" si="11"/>
        <v>0</v>
      </c>
      <c r="V39" s="25">
        <f t="shared" si="12"/>
        <v>0</v>
      </c>
      <c r="X39" s="44" t="str" cm="1">
        <f t="array" ref="X39">IFERROR(AVERAGE(IF($F$2:$P$2&gt;0,$G39:$Q39/$F39:$P39-1)),"")</f>
        <v/>
      </c>
      <c r="Z39" s="44" t="str" cm="1">
        <f t="array" ref="Z39">IFERROR(AVERAGE($O39:$Q39/$N39:$P39-1),"")</f>
        <v/>
      </c>
      <c r="AB39" s="44" t="str">
        <f t="shared" si="13"/>
        <v/>
      </c>
      <c r="AD39" s="44" t="str">
        <f t="shared" si="14"/>
        <v/>
      </c>
      <c r="AF39" s="25">
        <f t="shared" si="15"/>
        <v>0</v>
      </c>
      <c r="AH39" s="25"/>
      <c r="AL39" s="21" t="s">
        <v>82</v>
      </c>
    </row>
    <row r="40" spans="2:38" x14ac:dyDescent="0.3">
      <c r="B40" s="49"/>
      <c r="E40" s="21"/>
      <c r="F40" s="22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4"/>
      <c r="T40" s="25">
        <f t="shared" si="3"/>
        <v>0</v>
      </c>
      <c r="V40" s="25" t="str">
        <f>IFERROR(AVERAGEIF($F$2:$Q$2,"&gt;0",F40:Q40),"")</f>
        <v/>
      </c>
      <c r="X40" s="44" t="str" cm="1">
        <f t="array" ref="X40">IFERROR(AVERAGE(IF($F$2:$P$2&gt;0,$G40:$Q40/$F40:$P40-1)),"")</f>
        <v/>
      </c>
      <c r="Z40" s="44" t="str" cm="1">
        <f t="array" ref="Z40">IFERROR(AVERAGE($O40:$Q40/$N40:$P40-1),"")</f>
        <v/>
      </c>
      <c r="AB40" s="44" t="str">
        <f>IFERROR(AVERAGE($Q40/$P40-1),"")</f>
        <v/>
      </c>
      <c r="AD40" s="44" t="str">
        <f>IFERROR(AVERAGE($Q40/$F40-1),"")</f>
        <v/>
      </c>
      <c r="AF40" s="25">
        <f t="shared" si="4"/>
        <v>0</v>
      </c>
      <c r="AH40" s="25"/>
      <c r="AL40" s="21"/>
    </row>
    <row r="41" spans="2:38" ht="17.399999999999999" x14ac:dyDescent="0.3">
      <c r="B41" s="48" t="s">
        <v>119</v>
      </c>
      <c r="E41" s="33" t="s">
        <v>37</v>
      </c>
      <c r="F41" s="27">
        <f t="shared" ref="F41:Q41" si="16">SUM(F20:F39)</f>
        <v>18839.05</v>
      </c>
      <c r="G41" s="28">
        <f t="shared" si="16"/>
        <v>21726.78</v>
      </c>
      <c r="H41" s="28">
        <f t="shared" si="16"/>
        <v>17677.270000000004</v>
      </c>
      <c r="I41" s="28">
        <f t="shared" si="16"/>
        <v>24117.51</v>
      </c>
      <c r="J41" s="28">
        <f t="shared" si="16"/>
        <v>22948.639999999999</v>
      </c>
      <c r="K41" s="28">
        <f t="shared" si="16"/>
        <v>33105.96</v>
      </c>
      <c r="L41" s="28">
        <f t="shared" si="16"/>
        <v>28472.7</v>
      </c>
      <c r="M41" s="28">
        <f t="shared" si="16"/>
        <v>28358.149999999998</v>
      </c>
      <c r="N41" s="28">
        <f t="shared" si="16"/>
        <v>21732.120000000003</v>
      </c>
      <c r="O41" s="28">
        <f t="shared" si="16"/>
        <v>22635.180000000004</v>
      </c>
      <c r="P41" s="28">
        <f t="shared" si="16"/>
        <v>24879.640000000003</v>
      </c>
      <c r="Q41" s="28">
        <f t="shared" si="16"/>
        <v>24338.47</v>
      </c>
      <c r="R41" s="24"/>
      <c r="T41" s="25">
        <f t="shared" si="3"/>
        <v>288831.46999999997</v>
      </c>
      <c r="V41" s="25">
        <f>IFERROR(AVERAGEIF($F$2:$Q$2,"&gt;0",F41:Q41),"")</f>
        <v>24069.289166666666</v>
      </c>
      <c r="X41" s="44" cm="1">
        <f t="array" ref="X41">IFERROR(AVERAGE(IF($F$2:$P$2&gt;0,$G41:$Q41/$F41:$P41-1)),"")</f>
        <v>4.24272144221109E-2</v>
      </c>
      <c r="Z41" s="44" cm="1">
        <f t="array" ref="Z41">IFERROR(AVERAGE($O41:$Q41/$N41:$P41-1),"")</f>
        <v>3.9653558720320357E-2</v>
      </c>
      <c r="AB41" s="44">
        <f>IFERROR(AVERAGE($Q41/$P41-1),"")</f>
        <v>-2.1751520520393419E-2</v>
      </c>
      <c r="AD41" s="44">
        <f>IFERROR(AVERAGE($Q41/$F41-1),"")</f>
        <v>0.2919159936408684</v>
      </c>
      <c r="AF41" s="25">
        <f t="shared" si="4"/>
        <v>287413.16000000003</v>
      </c>
      <c r="AH41" s="25"/>
      <c r="AL41" s="33" t="s">
        <v>37</v>
      </c>
    </row>
    <row r="42" spans="2:38" ht="15" thickBot="1" x14ac:dyDescent="0.35">
      <c r="B42" s="49"/>
      <c r="E42" s="21"/>
      <c r="F42" s="2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4"/>
      <c r="T42" s="25">
        <f t="shared" si="3"/>
        <v>0</v>
      </c>
      <c r="V42" s="25" t="str">
        <f>IFERROR(AVERAGEIF($F$2:$Q$2,"&gt;0",F42:Q42),"")</f>
        <v/>
      </c>
      <c r="X42" s="44" t="str" cm="1">
        <f t="array" ref="X42">IFERROR(AVERAGE(IF($F$2:$P$2&gt;0,$G42:$Q42/$F42:$P42-1)),"")</f>
        <v/>
      </c>
      <c r="Z42" s="44" t="str" cm="1">
        <f t="array" ref="Z42">IFERROR(AVERAGE($O42:$Q42/$N42:$P42-1),"")</f>
        <v/>
      </c>
      <c r="AB42" s="44" t="str">
        <f>IFERROR(AVERAGE($Q42/$P42-1),"")</f>
        <v/>
      </c>
      <c r="AD42" s="44" t="str">
        <f>IFERROR(AVERAGE($Q42/$F42-1),"")</f>
        <v/>
      </c>
      <c r="AF42" s="25">
        <f t="shared" si="4"/>
        <v>0</v>
      </c>
      <c r="AH42" s="25"/>
      <c r="AL42" s="21"/>
    </row>
    <row r="43" spans="2:38" ht="18.600000000000001" thickBot="1" x14ac:dyDescent="0.35">
      <c r="B43" s="48" t="s">
        <v>120</v>
      </c>
      <c r="E43" s="35" t="s">
        <v>38</v>
      </c>
      <c r="F43" s="27">
        <f t="shared" ref="F43:Q43" si="17">F17-F41</f>
        <v>28284.559999999994</v>
      </c>
      <c r="G43" s="28">
        <f t="shared" si="17"/>
        <v>33490.070000000014</v>
      </c>
      <c r="H43" s="28">
        <f t="shared" si="17"/>
        <v>43409.44999999999</v>
      </c>
      <c r="I43" s="28">
        <f t="shared" si="17"/>
        <v>44290.590000000011</v>
      </c>
      <c r="J43" s="28">
        <f t="shared" si="17"/>
        <v>49699.69</v>
      </c>
      <c r="K43" s="28">
        <f t="shared" si="17"/>
        <v>46149.19000000001</v>
      </c>
      <c r="L43" s="28">
        <f t="shared" si="17"/>
        <v>54830.19</v>
      </c>
      <c r="M43" s="28">
        <f t="shared" si="17"/>
        <v>55741.41</v>
      </c>
      <c r="N43" s="28">
        <f t="shared" si="17"/>
        <v>67844.109999999986</v>
      </c>
      <c r="O43" s="28">
        <f t="shared" si="17"/>
        <v>69155.939999999988</v>
      </c>
      <c r="P43" s="28">
        <f t="shared" si="17"/>
        <v>68290.199999999983</v>
      </c>
      <c r="Q43" s="28">
        <f t="shared" si="17"/>
        <v>73151.14</v>
      </c>
      <c r="R43" s="24"/>
      <c r="T43" s="25">
        <f t="shared" si="3"/>
        <v>634336.54</v>
      </c>
      <c r="V43" s="25">
        <f>IFERROR(AVERAGEIF($F$2:$Q$2,"&gt;0",F43:Q43),"")</f>
        <v>52861.378333333334</v>
      </c>
      <c r="X43" s="44" cm="1">
        <f t="array" ref="X43">IFERROR(AVERAGE(IF($F$2:$P$2&gt;0,$G43:$Q43/$F43:$P43-1)),"")</f>
        <v>9.5551144755677483E-2</v>
      </c>
      <c r="Z43" s="44" cm="1">
        <f t="array" ref="Z43">IFERROR(AVERAGE($O43:$Q43/$N43:$P43-1),"")</f>
        <v>2.5999306295318252E-2</v>
      </c>
      <c r="AB43" s="44">
        <f>IFERROR(AVERAGE($Q43/$P43-1),"")</f>
        <v>7.1180637924622037E-2</v>
      </c>
      <c r="AD43" s="44">
        <f>IFERROR(AVERAGE($Q43/$F43-1),"")</f>
        <v>1.5862569543241971</v>
      </c>
      <c r="AF43" s="25">
        <f t="shared" si="4"/>
        <v>842389.11999999988</v>
      </c>
      <c r="AH43" s="25"/>
      <c r="AL43" s="35" t="s">
        <v>38</v>
      </c>
    </row>
    <row r="44" spans="2:38" x14ac:dyDescent="0.3">
      <c r="B44" s="49"/>
      <c r="E44" s="36"/>
      <c r="F44" s="22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T44" s="25"/>
      <c r="V44" s="25"/>
      <c r="X44" s="44"/>
      <c r="Z44" s="44"/>
      <c r="AB44" s="44"/>
      <c r="AD44" s="44"/>
      <c r="AF44" s="25"/>
      <c r="AH44" s="25"/>
    </row>
    <row r="45" spans="2:38" x14ac:dyDescent="0.3">
      <c r="B45" s="49"/>
      <c r="E45" s="36"/>
      <c r="F45" s="22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4"/>
      <c r="T45" s="25"/>
      <c r="V45" s="25"/>
      <c r="X45" s="44"/>
      <c r="Z45" s="44"/>
      <c r="AB45" s="44"/>
      <c r="AD45" s="44"/>
      <c r="AF45" s="25"/>
      <c r="AH45" s="25"/>
    </row>
    <row r="46" spans="2:38" x14ac:dyDescent="0.3">
      <c r="B46" s="49"/>
      <c r="E46" s="36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4"/>
      <c r="T46" s="25"/>
      <c r="V46" s="25"/>
      <c r="X46" s="44"/>
      <c r="Z46" s="44"/>
      <c r="AB46" s="44"/>
      <c r="AD46" s="44"/>
      <c r="AF46" s="25"/>
      <c r="AH46" s="25"/>
    </row>
    <row r="47" spans="2:38" x14ac:dyDescent="0.3">
      <c r="B47" s="49"/>
      <c r="E47" s="36"/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4"/>
      <c r="T47" s="25"/>
      <c r="V47" s="25"/>
      <c r="X47" s="44"/>
      <c r="Z47" s="44"/>
      <c r="AB47" s="44"/>
      <c r="AD47" s="44"/>
      <c r="AF47" s="25"/>
      <c r="AH47" s="25"/>
    </row>
    <row r="48" spans="2:38" x14ac:dyDescent="0.3">
      <c r="B48" s="49"/>
      <c r="F48" s="22">
        <f t="shared" ref="F48:Q48" si="18">F36*1.02</f>
        <v>851.7</v>
      </c>
      <c r="G48" s="22">
        <f t="shared" si="18"/>
        <v>0</v>
      </c>
      <c r="H48" s="22">
        <f t="shared" si="18"/>
        <v>0</v>
      </c>
      <c r="I48" s="22">
        <f t="shared" si="18"/>
        <v>0</v>
      </c>
      <c r="J48" s="22">
        <f t="shared" si="18"/>
        <v>0</v>
      </c>
      <c r="K48" s="22">
        <f t="shared" si="18"/>
        <v>9218.0969999999998</v>
      </c>
      <c r="L48" s="22">
        <f t="shared" si="18"/>
        <v>3118.6704</v>
      </c>
      <c r="M48" s="22">
        <f t="shared" si="18"/>
        <v>3296.0891999999999</v>
      </c>
      <c r="N48" s="22">
        <f t="shared" si="18"/>
        <v>2981.8475999999996</v>
      </c>
      <c r="O48" s="22">
        <f t="shared" si="18"/>
        <v>2929.2462</v>
      </c>
      <c r="P48" s="22">
        <f t="shared" si="18"/>
        <v>3282.5130000000004</v>
      </c>
      <c r="Q48" s="22">
        <f t="shared" si="18"/>
        <v>3007.1334000000002</v>
      </c>
      <c r="R48" s="24"/>
      <c r="T48" s="25"/>
      <c r="V48" s="25"/>
      <c r="X48" s="44"/>
      <c r="Z48" s="44"/>
      <c r="AB48" s="44"/>
      <c r="AD48" s="44"/>
      <c r="AF48" s="25"/>
      <c r="AH48" s="25"/>
    </row>
    <row r="49" spans="1:34" x14ac:dyDescent="0.3">
      <c r="B49" s="49"/>
      <c r="E49" s="36" t="s">
        <v>121</v>
      </c>
      <c r="F49" s="22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4"/>
      <c r="T49" s="25"/>
      <c r="V49" s="25"/>
      <c r="X49" s="44"/>
      <c r="Z49" s="44"/>
      <c r="AB49" s="44"/>
      <c r="AD49" s="44"/>
      <c r="AF49" s="25"/>
      <c r="AH49" s="25"/>
    </row>
    <row r="50" spans="1:34" x14ac:dyDescent="0.3">
      <c r="B50" s="49"/>
      <c r="E50" s="36" t="s">
        <v>65</v>
      </c>
      <c r="F50" s="22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4"/>
      <c r="T50" s="25"/>
      <c r="V50" s="25"/>
      <c r="X50" s="44"/>
      <c r="Z50" s="44"/>
      <c r="AB50" s="44"/>
      <c r="AD50" s="44"/>
      <c r="AF50" s="25"/>
      <c r="AH50" s="25"/>
    </row>
    <row r="51" spans="1:34" x14ac:dyDescent="0.3">
      <c r="B51" s="40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9"/>
      <c r="T51" s="40"/>
      <c r="V51" s="40"/>
      <c r="X51" s="40"/>
      <c r="Z51" s="40"/>
      <c r="AB51" s="40"/>
      <c r="AD51" s="40"/>
      <c r="AF51" s="40"/>
      <c r="AH51" s="40"/>
    </row>
    <row r="53" spans="1:34" x14ac:dyDescent="0.3">
      <c r="E53" t="s">
        <v>123</v>
      </c>
      <c r="F53" s="52">
        <f>F25/F17</f>
        <v>6.4892948566546579E-2</v>
      </c>
      <c r="G53" s="52">
        <f t="shared" ref="G53:Q53" si="19">G25/G17</f>
        <v>6.4862265775755032E-2</v>
      </c>
      <c r="H53" s="52">
        <f t="shared" si="19"/>
        <v>4.9318902700947125E-2</v>
      </c>
      <c r="I53" s="52">
        <f t="shared" si="19"/>
        <v>5.4926682658924891E-2</v>
      </c>
      <c r="J53" s="52">
        <f t="shared" si="19"/>
        <v>4.9198515643786994E-2</v>
      </c>
      <c r="K53" s="52">
        <f t="shared" si="19"/>
        <v>4.8570471445704151E-2</v>
      </c>
      <c r="L53" s="52">
        <f t="shared" si="19"/>
        <v>4.873444366696042E-2</v>
      </c>
      <c r="M53" s="52">
        <f t="shared" si="19"/>
        <v>5.1237961292544223E-2</v>
      </c>
      <c r="N53" s="52">
        <f t="shared" si="19"/>
        <v>4.8176954980132566E-2</v>
      </c>
      <c r="O53" s="52">
        <f t="shared" si="19"/>
        <v>4.557782931507972E-2</v>
      </c>
      <c r="P53" s="52">
        <f t="shared" si="19"/>
        <v>4.962582312044328E-2</v>
      </c>
      <c r="Q53" s="52">
        <f t="shared" si="19"/>
        <v>4.7179181453285118E-2</v>
      </c>
    </row>
    <row r="54" spans="1:34" x14ac:dyDescent="0.3">
      <c r="E54" t="s">
        <v>110</v>
      </c>
      <c r="F54" s="115">
        <f>AVERAGE(G53:Q53)</f>
        <v>5.0673548368505787E-2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34" x14ac:dyDescent="0.3">
      <c r="E55" t="s">
        <v>124</v>
      </c>
      <c r="F55" s="52">
        <f>F21/F17</f>
        <v>1.4928610095873387E-2</v>
      </c>
      <c r="G55" s="52">
        <f t="shared" ref="F55:Q55" si="20">G21/G17</f>
        <v>1.370378788358988E-2</v>
      </c>
      <c r="H55" s="52">
        <f t="shared" si="20"/>
        <v>1.4437180454278768E-2</v>
      </c>
      <c r="I55" s="52">
        <f t="shared" si="20"/>
        <v>1.5169402453802985E-2</v>
      </c>
      <c r="J55" s="52">
        <f t="shared" si="20"/>
        <v>1.4205006501870036E-2</v>
      </c>
      <c r="K55" s="52">
        <f t="shared" si="20"/>
        <v>1.3738791737823974E-2</v>
      </c>
      <c r="L55" s="52">
        <f t="shared" si="20"/>
        <v>1.4280657009618752E-2</v>
      </c>
      <c r="M55" s="52">
        <f t="shared" si="20"/>
        <v>1.3710654372032387E-2</v>
      </c>
      <c r="N55" s="52">
        <f t="shared" si="20"/>
        <v>1.4516351045361031E-2</v>
      </c>
      <c r="O55" s="52">
        <f t="shared" si="20"/>
        <v>1.3480497895657011E-2</v>
      </c>
      <c r="P55" s="52">
        <f t="shared" si="20"/>
        <v>1.575745971013796E-2</v>
      </c>
      <c r="Q55" s="52">
        <f t="shared" si="20"/>
        <v>1.5228186880632716E-2</v>
      </c>
    </row>
    <row r="56" spans="1:34" x14ac:dyDescent="0.3">
      <c r="E56" t="s">
        <v>110</v>
      </c>
      <c r="F56" s="45">
        <f>AVERAGE(F55:Q55)</f>
        <v>1.4429715503389904E-2</v>
      </c>
    </row>
    <row r="58" spans="1:34" ht="23.4" x14ac:dyDescent="0.45">
      <c r="A58" s="13"/>
      <c r="B58" s="12" t="s">
        <v>125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60" spans="1:34" x14ac:dyDescent="0.3">
      <c r="B60" s="50" t="s">
        <v>38</v>
      </c>
      <c r="F60" s="23">
        <f>SUMIFS('Data Drop'!$G:$G,'Data Drop'!$I:$I,$B60, 'Data Drop'!$D:$D,MONTH(F$3),'Data Drop'!$E:$E,YEAR(F$3))</f>
        <v>28284.559999999994</v>
      </c>
      <c r="G60" s="23">
        <f>SUMIFS('Data Drop'!$G:$G,'Data Drop'!$I:$I,$B60, 'Data Drop'!$D:$D,MONTH(G$3),'Data Drop'!$E:$E,YEAR(G$3))</f>
        <v>33490.070000000007</v>
      </c>
      <c r="H60" s="23">
        <f>SUMIFS('Data Drop'!$G:$G,'Data Drop'!$I:$I,$B60, 'Data Drop'!$D:$D,MONTH(H$3),'Data Drop'!$E:$E,YEAR(H$3))</f>
        <v>43409.45</v>
      </c>
      <c r="I60" s="23">
        <f>SUMIFS('Data Drop'!$G:$G,'Data Drop'!$I:$I,$B60, 'Data Drop'!$D:$D,MONTH(I$3),'Data Drop'!$E:$E,YEAR(I$3))</f>
        <v>44290.59</v>
      </c>
      <c r="J60" s="23">
        <f>SUMIFS('Data Drop'!$G:$G,'Data Drop'!$I:$I,$B60, 'Data Drop'!$D:$D,MONTH(J$3),'Data Drop'!$E:$E,YEAR(J$3))</f>
        <v>49699.69</v>
      </c>
      <c r="K60" s="23">
        <f>SUMIFS('Data Drop'!$G:$G,'Data Drop'!$I:$I,$B60, 'Data Drop'!$D:$D,MONTH(K$3),'Data Drop'!$E:$E,YEAR(K$3))</f>
        <v>46149.190000000017</v>
      </c>
      <c r="L60" s="23">
        <f>SUMIFS('Data Drop'!$G:$G,'Data Drop'!$I:$I,$B60, 'Data Drop'!$D:$D,MONTH(L$3),'Data Drop'!$E:$E,YEAR(L$3))</f>
        <v>54830.19</v>
      </c>
      <c r="M60" s="23">
        <f>SUMIFS('Data Drop'!$G:$G,'Data Drop'!$I:$I,$B60, 'Data Drop'!$D:$D,MONTH(M$3),'Data Drop'!$E:$E,YEAR(M$3))</f>
        <v>55741.41</v>
      </c>
      <c r="N60" s="23">
        <f>SUMIFS('Data Drop'!$G:$G,'Data Drop'!$I:$I,$B60, 'Data Drop'!$D:$D,MONTH(N$3),'Data Drop'!$E:$E,YEAR(N$3))</f>
        <v>67844.109999999986</v>
      </c>
      <c r="O60" s="23">
        <f>SUMIFS('Data Drop'!$G:$G,'Data Drop'!$I:$I,$B60, 'Data Drop'!$D:$D,MONTH(O$3),'Data Drop'!$E:$E,YEAR(O$3))</f>
        <v>69155.94</v>
      </c>
      <c r="P60" s="23">
        <f>SUMIFS('Data Drop'!$G:$G,'Data Drop'!$I:$I,$B60, 'Data Drop'!$D:$D,MONTH(P$3),'Data Drop'!$E:$E,YEAR(P$3))</f>
        <v>68290.2</v>
      </c>
      <c r="Q60" s="23">
        <f>SUMIFS('Data Drop'!$G:$G,'Data Drop'!$I:$I,$B60, 'Data Drop'!$D:$D,MONTH(Q$3),'Data Drop'!$E:$E,YEAR(Q$3))</f>
        <v>73151.139999999985</v>
      </c>
    </row>
    <row r="61" spans="1:34" x14ac:dyDescent="0.3">
      <c r="B61" s="50" t="s">
        <v>126</v>
      </c>
      <c r="F61" s="41">
        <f>F43</f>
        <v>28284.559999999994</v>
      </c>
      <c r="G61" s="41">
        <f t="shared" ref="G61:Q61" si="21">G43</f>
        <v>33490.070000000014</v>
      </c>
      <c r="H61" s="41">
        <f t="shared" si="21"/>
        <v>43409.44999999999</v>
      </c>
      <c r="I61" s="41">
        <f t="shared" si="21"/>
        <v>44290.590000000011</v>
      </c>
      <c r="J61" s="41">
        <f t="shared" si="21"/>
        <v>49699.69</v>
      </c>
      <c r="K61" s="41">
        <f t="shared" si="21"/>
        <v>46149.19000000001</v>
      </c>
      <c r="L61" s="41">
        <f t="shared" si="21"/>
        <v>54830.19</v>
      </c>
      <c r="M61" s="41">
        <f t="shared" si="21"/>
        <v>55741.41</v>
      </c>
      <c r="N61" s="41">
        <f t="shared" si="21"/>
        <v>67844.109999999986</v>
      </c>
      <c r="O61" s="41">
        <f t="shared" si="21"/>
        <v>69155.939999999988</v>
      </c>
      <c r="P61" s="41">
        <f t="shared" si="21"/>
        <v>68290.199999999983</v>
      </c>
      <c r="Q61" s="41">
        <f t="shared" si="21"/>
        <v>73151.14</v>
      </c>
    </row>
    <row r="62" spans="1:34" x14ac:dyDescent="0.3">
      <c r="E62" t="s">
        <v>13</v>
      </c>
      <c r="F62" s="42">
        <f>F60-F61</f>
        <v>0</v>
      </c>
      <c r="G62" s="42">
        <f t="shared" ref="G62:Q62" si="22">G60-G61</f>
        <v>0</v>
      </c>
      <c r="H62" s="42">
        <f t="shared" si="22"/>
        <v>0</v>
      </c>
      <c r="I62" s="42">
        <f t="shared" si="22"/>
        <v>0</v>
      </c>
      <c r="J62" s="42">
        <f t="shared" si="22"/>
        <v>0</v>
      </c>
      <c r="K62" s="42">
        <f t="shared" si="22"/>
        <v>0</v>
      </c>
      <c r="L62" s="42">
        <f t="shared" si="22"/>
        <v>0</v>
      </c>
      <c r="M62" s="42">
        <f t="shared" si="22"/>
        <v>0</v>
      </c>
      <c r="N62" s="42">
        <f t="shared" si="22"/>
        <v>0</v>
      </c>
      <c r="O62" s="42">
        <f t="shared" si="22"/>
        <v>0</v>
      </c>
      <c r="P62" s="42">
        <f t="shared" si="22"/>
        <v>0</v>
      </c>
      <c r="Q62" s="42">
        <f t="shared" si="22"/>
        <v>0</v>
      </c>
    </row>
    <row r="65" spans="2:17" x14ac:dyDescent="0.3">
      <c r="B65" s="50" t="s">
        <v>10</v>
      </c>
      <c r="F65" s="23">
        <f>SUMIFS('Data Drop'!$G:$G,'Data Drop'!$I:$I,$B65, 'Data Drop'!$D:$D,MONTH(F$3),'Data Drop'!$E:$E,YEAR(F$3))</f>
        <v>41324.649999999994</v>
      </c>
      <c r="G65" s="23">
        <f>SUMIFS('Data Drop'!$G:$G,'Data Drop'!$I:$I,$B65, 'Data Drop'!$D:$D,MONTH(G$3),'Data Drop'!$E:$E,YEAR(G$3))</f>
        <v>48906.560000000005</v>
      </c>
      <c r="H65" s="23">
        <f>SUMIFS('Data Drop'!$G:$G,'Data Drop'!$I:$I,$B65, 'Data Drop'!$D:$D,MONTH(H$3),'Data Drop'!$E:$E,YEAR(H$3))</f>
        <v>54138.43</v>
      </c>
      <c r="I65" s="23">
        <f>SUMIFS('Data Drop'!$G:$G,'Data Drop'!$I:$I,$B65, 'Data Drop'!$D:$D,MONTH(I$3),'Data Drop'!$E:$E,YEAR(I$3))</f>
        <v>60857.869999999995</v>
      </c>
      <c r="J65" s="23">
        <f>SUMIFS('Data Drop'!$G:$G,'Data Drop'!$I:$I,$B65, 'Data Drop'!$D:$D,MONTH(J$3),'Data Drop'!$E:$E,YEAR(J$3))</f>
        <v>65220.380000000005</v>
      </c>
      <c r="K65" s="23">
        <f>SUMIFS('Data Drop'!$G:$G,'Data Drop'!$I:$I,$B65, 'Data Drop'!$D:$D,MONTH(K$3),'Data Drop'!$E:$E,YEAR(K$3))</f>
        <v>72813.540000000008</v>
      </c>
      <c r="L65" s="23">
        <f>SUMIFS('Data Drop'!$G:$G,'Data Drop'!$I:$I,$B65, 'Data Drop'!$D:$D,MONTH(L$3),'Data Drop'!$E:$E,YEAR(L$3))</f>
        <v>75484.5</v>
      </c>
      <c r="M65" s="23">
        <f>SUMIFS('Data Drop'!$G:$G,'Data Drop'!$I:$I,$B65, 'Data Drop'!$D:$D,MONTH(M$3),'Data Drop'!$E:$E,YEAR(M$3))</f>
        <v>77101.22</v>
      </c>
      <c r="N65" s="23">
        <f>SUMIFS('Data Drop'!$G:$G,'Data Drop'!$I:$I,$B65, 'Data Drop'!$D:$D,MONTH(N$3),'Data Drop'!$E:$E,YEAR(N$3))</f>
        <v>81508.509999999995</v>
      </c>
      <c r="O65" s="23">
        <f>SUMIFS('Data Drop'!$G:$G,'Data Drop'!$I:$I,$B65, 'Data Drop'!$D:$D,MONTH(O$3),'Data Drop'!$E:$E,YEAR(O$3))</f>
        <v>84146.790000000008</v>
      </c>
      <c r="P65" s="23">
        <f>SUMIFS('Data Drop'!$G:$G,'Data Drop'!$I:$I,$B65, 'Data Drop'!$D:$D,MONTH(P$3),'Data Drop'!$E:$E,YEAR(P$3))</f>
        <v>82848.56</v>
      </c>
      <c r="Q65" s="23">
        <f>SUMIFS('Data Drop'!$G:$G,'Data Drop'!$I:$I,$B65, 'Data Drop'!$D:$D,MONTH(Q$3),'Data Drop'!$E:$E,YEAR(Q$3))</f>
        <v>88458.819999999992</v>
      </c>
    </row>
    <row r="66" spans="2:17" x14ac:dyDescent="0.3">
      <c r="F66" s="42">
        <f t="shared" ref="F66:Q66" si="23">F65-F8</f>
        <v>0</v>
      </c>
      <c r="G66" s="42">
        <f t="shared" si="23"/>
        <v>0</v>
      </c>
      <c r="H66" s="42">
        <f t="shared" si="23"/>
        <v>0</v>
      </c>
      <c r="I66" s="42">
        <f t="shared" si="23"/>
        <v>0</v>
      </c>
      <c r="J66" s="42">
        <f t="shared" si="23"/>
        <v>0</v>
      </c>
      <c r="K66" s="42">
        <f t="shared" si="23"/>
        <v>0</v>
      </c>
      <c r="L66" s="42">
        <f t="shared" si="23"/>
        <v>0</v>
      </c>
      <c r="M66" s="42">
        <f t="shared" si="23"/>
        <v>0</v>
      </c>
      <c r="N66" s="42">
        <f t="shared" si="23"/>
        <v>0</v>
      </c>
      <c r="O66" s="42">
        <f t="shared" si="23"/>
        <v>0</v>
      </c>
      <c r="P66" s="42">
        <f t="shared" si="23"/>
        <v>0</v>
      </c>
      <c r="Q66" s="42">
        <f t="shared" si="23"/>
        <v>0</v>
      </c>
    </row>
    <row r="69" spans="2:17" x14ac:dyDescent="0.3">
      <c r="B69" s="50" t="s">
        <v>37</v>
      </c>
      <c r="F69" s="23">
        <f>SUMIFS('Data Drop'!$G:$G,'Data Drop'!$I:$I,$B69, 'Data Drop'!$D:$D,MONTH(F$3),'Data Drop'!$E:$E,YEAR(F$3))</f>
        <v>18839.05</v>
      </c>
      <c r="G69" s="23">
        <f>SUMIFS('Data Drop'!$G:$G,'Data Drop'!$I:$I,$B69, 'Data Drop'!$D:$D,MONTH(G$3),'Data Drop'!$E:$E,YEAR(G$3))</f>
        <v>21726.78</v>
      </c>
      <c r="H69" s="23">
        <f>SUMIFS('Data Drop'!$G:$G,'Data Drop'!$I:$I,$B69, 'Data Drop'!$D:$D,MONTH(H$3),'Data Drop'!$E:$E,YEAR(H$3))</f>
        <v>17677.270000000008</v>
      </c>
      <c r="I69" s="23">
        <f>SUMIFS('Data Drop'!$G:$G,'Data Drop'!$I:$I,$B69, 'Data Drop'!$D:$D,MONTH(I$3),'Data Drop'!$E:$E,YEAR(I$3))</f>
        <v>24117.509999999995</v>
      </c>
      <c r="J69" s="23">
        <f>SUMIFS('Data Drop'!$G:$G,'Data Drop'!$I:$I,$B69, 'Data Drop'!$D:$D,MONTH(J$3),'Data Drop'!$E:$E,YEAR(J$3))</f>
        <v>22948.639999999996</v>
      </c>
      <c r="K69" s="23">
        <f>SUMIFS('Data Drop'!$G:$G,'Data Drop'!$I:$I,$B69, 'Data Drop'!$D:$D,MONTH(K$3),'Data Drop'!$E:$E,YEAR(K$3))</f>
        <v>33105.959999999992</v>
      </c>
      <c r="L69" s="23">
        <f>SUMIFS('Data Drop'!$G:$G,'Data Drop'!$I:$I,$B69, 'Data Drop'!$D:$D,MONTH(L$3),'Data Drop'!$E:$E,YEAR(L$3))</f>
        <v>28472.7</v>
      </c>
      <c r="M69" s="23">
        <f>SUMIFS('Data Drop'!$G:$G,'Data Drop'!$I:$I,$B69, 'Data Drop'!$D:$D,MONTH(M$3),'Data Drop'!$E:$E,YEAR(M$3))</f>
        <v>28358.149999999994</v>
      </c>
      <c r="N69" s="23">
        <f>SUMIFS('Data Drop'!$G:$G,'Data Drop'!$I:$I,$B69, 'Data Drop'!$D:$D,MONTH(N$3),'Data Drop'!$E:$E,YEAR(N$3))</f>
        <v>21732.120000000003</v>
      </c>
      <c r="O69" s="23">
        <f>SUMIFS('Data Drop'!$G:$G,'Data Drop'!$I:$I,$B69, 'Data Drop'!$D:$D,MONTH(O$3),'Data Drop'!$E:$E,YEAR(O$3))</f>
        <v>22635.18</v>
      </c>
      <c r="P69" s="23">
        <f>SUMIFS('Data Drop'!$G:$G,'Data Drop'!$I:$I,$B69, 'Data Drop'!$D:$D,MONTH(P$3),'Data Drop'!$E:$E,YEAR(P$3))</f>
        <v>24879.64</v>
      </c>
      <c r="Q69" s="23">
        <f>SUMIFS('Data Drop'!$G:$G,'Data Drop'!$I:$I,$B69, 'Data Drop'!$D:$D,MONTH(Q$3),'Data Drop'!$E:$E,YEAR(Q$3))</f>
        <v>24338.47</v>
      </c>
    </row>
    <row r="70" spans="2:17" x14ac:dyDescent="0.3">
      <c r="B70" s="50" t="s">
        <v>127</v>
      </c>
      <c r="F70" s="41">
        <f>F41</f>
        <v>18839.05</v>
      </c>
      <c r="G70" s="41">
        <f t="shared" ref="G70:Q70" si="24">G41</f>
        <v>21726.78</v>
      </c>
      <c r="H70" s="41">
        <f t="shared" si="24"/>
        <v>17677.270000000004</v>
      </c>
      <c r="I70" s="41">
        <f t="shared" si="24"/>
        <v>24117.51</v>
      </c>
      <c r="J70" s="41">
        <f t="shared" si="24"/>
        <v>22948.639999999999</v>
      </c>
      <c r="K70" s="41">
        <f t="shared" si="24"/>
        <v>33105.96</v>
      </c>
      <c r="L70" s="41">
        <f t="shared" si="24"/>
        <v>28472.7</v>
      </c>
      <c r="M70" s="41">
        <f t="shared" si="24"/>
        <v>28358.149999999998</v>
      </c>
      <c r="N70" s="41">
        <f t="shared" si="24"/>
        <v>21732.120000000003</v>
      </c>
      <c r="O70" s="41">
        <f t="shared" si="24"/>
        <v>22635.180000000004</v>
      </c>
      <c r="P70" s="41">
        <f t="shared" si="24"/>
        <v>24879.640000000003</v>
      </c>
      <c r="Q70" s="41">
        <f t="shared" si="24"/>
        <v>24338.47</v>
      </c>
    </row>
    <row r="71" spans="2:17" x14ac:dyDescent="0.3">
      <c r="F71" s="42">
        <f>F69-F70</f>
        <v>0</v>
      </c>
      <c r="G71" s="42">
        <f t="shared" ref="G71" si="25">G69-G70</f>
        <v>0</v>
      </c>
      <c r="H71" s="42">
        <f t="shared" ref="H71" si="26">H69-H70</f>
        <v>0</v>
      </c>
      <c r="I71" s="42">
        <f t="shared" ref="I71" si="27">I69-I70</f>
        <v>0</v>
      </c>
      <c r="J71" s="42">
        <f t="shared" ref="J71" si="28">J69-J70</f>
        <v>0</v>
      </c>
      <c r="K71" s="42">
        <f t="shared" ref="K71" si="29">K69-K70</f>
        <v>0</v>
      </c>
      <c r="L71" s="42">
        <f t="shared" ref="L71" si="30">L69-L70</f>
        <v>0</v>
      </c>
      <c r="M71" s="42">
        <f t="shared" ref="M71" si="31">M69-M70</f>
        <v>0</v>
      </c>
      <c r="N71" s="42">
        <f t="shared" ref="N71" si="32">N69-N70</f>
        <v>0</v>
      </c>
      <c r="O71" s="42">
        <f t="shared" ref="O71" si="33">O69-O70</f>
        <v>0</v>
      </c>
      <c r="P71" s="42">
        <f t="shared" ref="P71" si="34">P69-P70</f>
        <v>0</v>
      </c>
      <c r="Q71" s="42">
        <f t="shared" ref="Q71" si="35">Q69-Q70</f>
        <v>0</v>
      </c>
    </row>
    <row r="76" spans="2:17" x14ac:dyDescent="0.3">
      <c r="E76" t="s">
        <v>128</v>
      </c>
    </row>
    <row r="77" spans="2:17" x14ac:dyDescent="0.3">
      <c r="E77" t="s">
        <v>7</v>
      </c>
      <c r="F77" s="114">
        <f t="shared" ref="F77:Q77" si="36">F8</f>
        <v>41324.649999999994</v>
      </c>
      <c r="G77" s="114">
        <f t="shared" si="36"/>
        <v>48906.560000000005</v>
      </c>
      <c r="H77" s="114">
        <f t="shared" si="36"/>
        <v>54138.43</v>
      </c>
      <c r="I77" s="114">
        <f t="shared" si="36"/>
        <v>60857.869999999995</v>
      </c>
      <c r="J77" s="114">
        <f t="shared" si="36"/>
        <v>65220.380000000005</v>
      </c>
      <c r="K77" s="114">
        <f t="shared" si="36"/>
        <v>72813.540000000008</v>
      </c>
      <c r="L77" s="114">
        <f t="shared" si="36"/>
        <v>75484.5</v>
      </c>
      <c r="M77" s="114">
        <f t="shared" si="36"/>
        <v>77101.22</v>
      </c>
      <c r="N77" s="114">
        <f t="shared" si="36"/>
        <v>81508.509999999995</v>
      </c>
      <c r="O77" s="114">
        <f t="shared" si="36"/>
        <v>84146.790000000008</v>
      </c>
      <c r="P77" s="114">
        <f t="shared" si="36"/>
        <v>82848.56</v>
      </c>
      <c r="Q77" s="114">
        <f t="shared" si="36"/>
        <v>88458.819999999992</v>
      </c>
    </row>
    <row r="78" spans="2:17" x14ac:dyDescent="0.3">
      <c r="E78" t="s">
        <v>129</v>
      </c>
      <c r="F78" s="114">
        <f t="shared" ref="F78:Q78" si="37">F11</f>
        <v>1216</v>
      </c>
      <c r="G78" s="114">
        <f t="shared" si="37"/>
        <v>1453.8000000000002</v>
      </c>
      <c r="H78" s="114">
        <f t="shared" si="37"/>
        <v>1681.4349999999999</v>
      </c>
      <c r="I78" s="114">
        <f t="shared" si="37"/>
        <v>1733.8000000000002</v>
      </c>
      <c r="J78" s="114">
        <f t="shared" si="37"/>
        <v>1742.1999999999998</v>
      </c>
      <c r="K78" s="114">
        <f t="shared" si="37"/>
        <v>1289.7</v>
      </c>
      <c r="L78" s="114">
        <f t="shared" si="37"/>
        <v>1791.2949999999998</v>
      </c>
      <c r="M78" s="114">
        <f t="shared" si="37"/>
        <v>1641.28</v>
      </c>
      <c r="N78" s="114">
        <f t="shared" si="37"/>
        <v>2143.4349999999999</v>
      </c>
      <c r="O78" s="114">
        <f t="shared" si="37"/>
        <v>1939.54</v>
      </c>
      <c r="P78" s="114">
        <f t="shared" si="37"/>
        <v>3040.15</v>
      </c>
      <c r="Q78" s="114">
        <f t="shared" si="37"/>
        <v>2492.4899999999998</v>
      </c>
    </row>
    <row r="79" spans="2:17" x14ac:dyDescent="0.3"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</row>
    <row r="80" spans="2:17" x14ac:dyDescent="0.3">
      <c r="E80" t="s">
        <v>130</v>
      </c>
      <c r="F80" s="114">
        <f>F78/0.2</f>
        <v>6080</v>
      </c>
      <c r="G80" s="114">
        <f t="shared" ref="G80:Q80" si="38">G78/0.2</f>
        <v>7269.0000000000009</v>
      </c>
      <c r="H80" s="114">
        <f t="shared" si="38"/>
        <v>8407.1749999999993</v>
      </c>
      <c r="I80" s="114">
        <f t="shared" si="38"/>
        <v>8669</v>
      </c>
      <c r="J80" s="114">
        <f t="shared" si="38"/>
        <v>8710.9999999999982</v>
      </c>
      <c r="K80" s="114">
        <f t="shared" si="38"/>
        <v>6448.5</v>
      </c>
      <c r="L80" s="114">
        <f t="shared" si="38"/>
        <v>8956.4749999999985</v>
      </c>
      <c r="M80" s="114">
        <f t="shared" si="38"/>
        <v>8206.4</v>
      </c>
      <c r="N80" s="114">
        <f t="shared" si="38"/>
        <v>10717.174999999999</v>
      </c>
      <c r="O80" s="114">
        <f t="shared" si="38"/>
        <v>9697.6999999999989</v>
      </c>
      <c r="P80" s="114">
        <f t="shared" si="38"/>
        <v>15200.75</v>
      </c>
      <c r="Q80" s="114">
        <f t="shared" si="38"/>
        <v>12462.449999999999</v>
      </c>
    </row>
    <row r="81" spans="5:17" x14ac:dyDescent="0.3">
      <c r="E81" t="s">
        <v>83</v>
      </c>
      <c r="F81" s="45">
        <f>F80/F77</f>
        <v>0.14712768287208727</v>
      </c>
      <c r="G81" s="45">
        <f t="shared" ref="G81:Q81" si="39">G80/G77</f>
        <v>0.14863036778706171</v>
      </c>
      <c r="H81" s="45">
        <f t="shared" si="39"/>
        <v>0.15529033627314273</v>
      </c>
      <c r="I81" s="45">
        <f t="shared" si="39"/>
        <v>0.14244665480405411</v>
      </c>
      <c r="J81" s="45">
        <f t="shared" si="39"/>
        <v>0.13356254594039466</v>
      </c>
      <c r="K81" s="45">
        <f t="shared" si="39"/>
        <v>8.8561825177020631E-2</v>
      </c>
      <c r="L81" s="45">
        <f t="shared" si="39"/>
        <v>0.11865316720651257</v>
      </c>
      <c r="M81" s="45">
        <f t="shared" si="39"/>
        <v>0.10643670748660007</v>
      </c>
      <c r="N81" s="45">
        <f t="shared" si="39"/>
        <v>0.13148535042537277</v>
      </c>
      <c r="O81" s="45">
        <f t="shared" si="39"/>
        <v>0.11524741466667948</v>
      </c>
      <c r="P81" s="45">
        <f t="shared" si="39"/>
        <v>0.18347633320361875</v>
      </c>
      <c r="Q81" s="45">
        <f t="shared" si="39"/>
        <v>0.14088419899790661</v>
      </c>
    </row>
    <row r="82" spans="5:17" x14ac:dyDescent="0.3">
      <c r="E82" t="s">
        <v>131</v>
      </c>
      <c r="F82" s="45">
        <f>IFERROR(AVERAGEIF($F$80:$Q$80,"&gt;0",F81:Q81),"")</f>
        <v>0.13431688207003761</v>
      </c>
    </row>
    <row r="86" spans="5:17" x14ac:dyDescent="0.3">
      <c r="E86" t="s">
        <v>132</v>
      </c>
      <c r="F86" s="43">
        <f t="shared" ref="F86:Q86" si="40">F10</f>
        <v>1216</v>
      </c>
      <c r="G86" s="43">
        <f t="shared" si="40"/>
        <v>1453.8000000000002</v>
      </c>
      <c r="H86" s="43">
        <f t="shared" si="40"/>
        <v>1681.4349999999999</v>
      </c>
      <c r="I86" s="43">
        <f t="shared" si="40"/>
        <v>1733.8000000000002</v>
      </c>
      <c r="J86" s="43">
        <f t="shared" si="40"/>
        <v>1742.1999999999998</v>
      </c>
      <c r="K86" s="43">
        <f t="shared" si="40"/>
        <v>1289.7</v>
      </c>
      <c r="L86" s="43">
        <f t="shared" si="40"/>
        <v>1791.2949999999998</v>
      </c>
      <c r="M86" s="43">
        <f t="shared" si="40"/>
        <v>1641.28</v>
      </c>
      <c r="N86" s="43">
        <f t="shared" si="40"/>
        <v>2143.4349999999999</v>
      </c>
      <c r="O86" s="43">
        <f t="shared" si="40"/>
        <v>1939.54</v>
      </c>
      <c r="P86" s="43">
        <f t="shared" si="40"/>
        <v>3040.15</v>
      </c>
      <c r="Q86" s="43">
        <f t="shared" si="40"/>
        <v>2492.4899999999998</v>
      </c>
    </row>
    <row r="87" spans="5:17" x14ac:dyDescent="0.3">
      <c r="E87" t="s">
        <v>133</v>
      </c>
      <c r="F87" s="43">
        <f>F86/29</f>
        <v>41.931034482758619</v>
      </c>
      <c r="G87" s="43">
        <f t="shared" ref="G87:Q87" si="41">G86/29</f>
        <v>50.131034482758629</v>
      </c>
      <c r="H87" s="43">
        <f t="shared" si="41"/>
        <v>57.98051724137931</v>
      </c>
      <c r="I87" s="43">
        <f t="shared" si="41"/>
        <v>59.786206896551732</v>
      </c>
      <c r="J87" s="43">
        <f t="shared" si="41"/>
        <v>60.075862068965513</v>
      </c>
      <c r="K87" s="43">
        <f t="shared" si="41"/>
        <v>44.472413793103449</v>
      </c>
      <c r="L87" s="43">
        <f t="shared" si="41"/>
        <v>61.768793103448267</v>
      </c>
      <c r="M87" s="43">
        <f t="shared" si="41"/>
        <v>56.595862068965516</v>
      </c>
      <c r="N87" s="43">
        <f t="shared" si="41"/>
        <v>73.911551724137922</v>
      </c>
      <c r="O87" s="43">
        <f t="shared" si="41"/>
        <v>66.880689655172418</v>
      </c>
      <c r="P87" s="43">
        <f t="shared" si="41"/>
        <v>104.83275862068966</v>
      </c>
      <c r="Q87" s="43">
        <f t="shared" si="41"/>
        <v>85.94793103448275</v>
      </c>
    </row>
    <row r="88" spans="5:17" x14ac:dyDescent="0.3">
      <c r="E88" t="s">
        <v>110</v>
      </c>
      <c r="F88" s="43">
        <f>AVERAGE(F87:Q87)</f>
        <v>63.692887931034484</v>
      </c>
    </row>
    <row r="91" spans="5:17" x14ac:dyDescent="0.3">
      <c r="E91" t="s">
        <v>7</v>
      </c>
      <c r="F91" s="43">
        <f t="shared" ref="F91:Q91" si="42">F5</f>
        <v>41324.649999999994</v>
      </c>
      <c r="G91" s="43">
        <f t="shared" si="42"/>
        <v>48906.560000000005</v>
      </c>
      <c r="H91" s="43">
        <f t="shared" si="42"/>
        <v>54138.43</v>
      </c>
      <c r="I91" s="43">
        <f t="shared" si="42"/>
        <v>60857.869999999995</v>
      </c>
      <c r="J91" s="43">
        <f t="shared" si="42"/>
        <v>65220.380000000005</v>
      </c>
      <c r="K91" s="43">
        <f t="shared" si="42"/>
        <v>72813.540000000008</v>
      </c>
      <c r="L91" s="43">
        <f t="shared" si="42"/>
        <v>75484.5</v>
      </c>
      <c r="M91" s="43">
        <f t="shared" si="42"/>
        <v>77101.22</v>
      </c>
      <c r="N91" s="43">
        <f t="shared" si="42"/>
        <v>81508.509999999995</v>
      </c>
      <c r="O91" s="43">
        <f t="shared" si="42"/>
        <v>84146.790000000008</v>
      </c>
      <c r="P91" s="43">
        <f t="shared" si="42"/>
        <v>82848.56</v>
      </c>
      <c r="Q91" s="43">
        <f t="shared" si="42"/>
        <v>88458.819999999992</v>
      </c>
    </row>
    <row r="92" spans="5:17" x14ac:dyDescent="0.3">
      <c r="E92" t="s">
        <v>9</v>
      </c>
      <c r="F92" s="43">
        <f t="shared" ref="F92:Q92" si="43">F6</f>
        <v>0</v>
      </c>
      <c r="G92" s="43">
        <f t="shared" si="43"/>
        <v>0</v>
      </c>
      <c r="H92" s="43">
        <f t="shared" si="43"/>
        <v>0</v>
      </c>
      <c r="I92" s="43">
        <f t="shared" si="43"/>
        <v>0</v>
      </c>
      <c r="J92" s="43">
        <f t="shared" si="43"/>
        <v>0</v>
      </c>
      <c r="K92" s="43">
        <f t="shared" si="43"/>
        <v>0</v>
      </c>
      <c r="L92" s="43">
        <f t="shared" si="43"/>
        <v>0</v>
      </c>
      <c r="M92" s="43">
        <f t="shared" si="43"/>
        <v>0</v>
      </c>
      <c r="N92" s="43">
        <f t="shared" si="43"/>
        <v>0</v>
      </c>
      <c r="O92" s="43">
        <f t="shared" si="43"/>
        <v>0</v>
      </c>
      <c r="P92" s="43">
        <f t="shared" si="43"/>
        <v>0</v>
      </c>
      <c r="Q92" s="43">
        <f t="shared" si="43"/>
        <v>0</v>
      </c>
    </row>
    <row r="94" spans="5:17" x14ac:dyDescent="0.3">
      <c r="E94" t="s">
        <v>134</v>
      </c>
      <c r="F94" s="45">
        <f>F92/F91</f>
        <v>0</v>
      </c>
      <c r="G94" s="45">
        <f t="shared" ref="G94:Q94" si="44">G92/G91</f>
        <v>0</v>
      </c>
      <c r="H94" s="45">
        <f t="shared" si="44"/>
        <v>0</v>
      </c>
      <c r="I94" s="45">
        <f t="shared" si="44"/>
        <v>0</v>
      </c>
      <c r="J94" s="45">
        <f t="shared" si="44"/>
        <v>0</v>
      </c>
      <c r="K94" s="45">
        <f t="shared" si="44"/>
        <v>0</v>
      </c>
      <c r="L94" s="45">
        <f t="shared" si="44"/>
        <v>0</v>
      </c>
      <c r="M94" s="45">
        <f t="shared" si="44"/>
        <v>0</v>
      </c>
      <c r="N94" s="45">
        <f t="shared" si="44"/>
        <v>0</v>
      </c>
      <c r="O94" s="45">
        <f t="shared" si="44"/>
        <v>0</v>
      </c>
      <c r="P94" s="45">
        <f t="shared" si="44"/>
        <v>0</v>
      </c>
      <c r="Q94" s="45">
        <f t="shared" si="44"/>
        <v>0</v>
      </c>
    </row>
    <row r="95" spans="5:17" x14ac:dyDescent="0.3">
      <c r="E95" t="s">
        <v>110</v>
      </c>
      <c r="F95" s="45">
        <f>AVERAGE(F94:Q94)</f>
        <v>0</v>
      </c>
    </row>
    <row r="96" spans="5:17" x14ac:dyDescent="0.3">
      <c r="E96" t="s">
        <v>135</v>
      </c>
      <c r="F96" s="45">
        <f>MEDIAN(F94:Q94)</f>
        <v>0</v>
      </c>
    </row>
    <row r="97" spans="5:6" x14ac:dyDescent="0.3">
      <c r="E97" t="s">
        <v>136</v>
      </c>
      <c r="F97" s="45">
        <f>MAX(F94:Q94)</f>
        <v>0</v>
      </c>
    </row>
    <row r="98" spans="5:6" x14ac:dyDescent="0.3">
      <c r="E98" t="s">
        <v>137</v>
      </c>
      <c r="F98" s="45">
        <f>MIN(F94:Q94)</f>
        <v>0</v>
      </c>
    </row>
  </sheetData>
  <mergeCells count="1">
    <mergeCell ref="X2:AD2"/>
  </mergeCells>
  <dataValidations count="2">
    <dataValidation type="list" allowBlank="1" showInputMessage="1" showErrorMessage="1" sqref="E5:E7 E10:E12 E14:E15 E20:E25 E27:E39" xr:uid="{3E8A370C-5453-4010-BA43-CF3355EF16DD}">
      <formula1>accountList</formula1>
    </dataValidation>
    <dataValidation type="list" allowBlank="1" showInputMessage="1" showErrorMessage="1" sqref="B8 B17 B43 B41" xr:uid="{E294783C-A5B2-46A0-A264-2E23762C788E}">
      <formula1>check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45B6-20D0-434C-838F-190BEE952224}">
  <sheetPr>
    <tabColor theme="5"/>
  </sheetPr>
  <dimension ref="A1:R1921"/>
  <sheetViews>
    <sheetView workbookViewId="0">
      <selection activeCell="E9" sqref="E9"/>
    </sheetView>
  </sheetViews>
  <sheetFormatPr defaultRowHeight="14.4" x14ac:dyDescent="0.3"/>
  <cols>
    <col min="3" max="3" width="26.44140625" customWidth="1"/>
    <col min="6" max="6" width="10.44140625" customWidth="1"/>
    <col min="7" max="7" width="13.109375" customWidth="1"/>
    <col min="15" max="15" width="35.109375" bestFit="1" customWidth="1"/>
    <col min="16" max="16" width="28.109375" bestFit="1" customWidth="1"/>
  </cols>
  <sheetData>
    <row r="1" spans="1:17" x14ac:dyDescent="0.3">
      <c r="A1" s="2" t="s">
        <v>138</v>
      </c>
      <c r="B1" s="3" t="s">
        <v>139</v>
      </c>
      <c r="C1" s="3" t="s">
        <v>140</v>
      </c>
      <c r="D1" s="4" t="s">
        <v>106</v>
      </c>
      <c r="E1" s="4" t="s">
        <v>87</v>
      </c>
      <c r="F1" s="5" t="s">
        <v>141</v>
      </c>
      <c r="G1" s="6" t="s">
        <v>142</v>
      </c>
      <c r="H1" s="5" t="s">
        <v>143</v>
      </c>
      <c r="I1" s="6" t="s">
        <v>144</v>
      </c>
      <c r="J1" s="6" t="s">
        <v>50</v>
      </c>
      <c r="O1" t="s">
        <v>140</v>
      </c>
    </row>
    <row r="2" spans="1:17" x14ac:dyDescent="0.3">
      <c r="A2" s="7" t="s">
        <v>145</v>
      </c>
      <c r="B2" s="8" t="s">
        <v>336</v>
      </c>
      <c r="C2" s="8" t="s">
        <v>7</v>
      </c>
      <c r="D2" s="9">
        <v>11</v>
      </c>
      <c r="E2" s="9">
        <v>2024</v>
      </c>
      <c r="F2" s="10">
        <v>45597</v>
      </c>
      <c r="G2" s="11">
        <v>24759.420000000009</v>
      </c>
      <c r="H2" t="str">
        <f>_xlfn.XLOOKUP(C2,'COA Translation'!A:A,'COA Translation'!B:B)</f>
        <v>Rental Income</v>
      </c>
      <c r="I2" t="str">
        <f>_xlfn.XLOOKUP(C2,'COA Translation'!A:A,'COA Translation'!C:C)</f>
        <v>Net Rental Income</v>
      </c>
      <c r="J2" t="str">
        <f>_xlfn.XLOOKUP(C2,'COA Translation'!A:A,'COA Translation'!E:E)</f>
        <v>Income</v>
      </c>
      <c r="N2" t="s">
        <v>7</v>
      </c>
      <c r="O2" t="s">
        <v>7</v>
      </c>
      <c r="P2" t="str">
        <f>_xlfn.XLOOKUP(O2,'COA Translation'!A:A,'COA Translation'!B:B)</f>
        <v>Rental Income</v>
      </c>
      <c r="Q2" t="str">
        <f>_xlfn.XLOOKUP(O2,'COA Translation'!A:A,'COA Translation'!C:C)</f>
        <v>Net Rental Income</v>
      </c>
    </row>
    <row r="3" spans="1:17" x14ac:dyDescent="0.3">
      <c r="A3" s="7" t="s">
        <v>145</v>
      </c>
      <c r="B3" s="8" t="s">
        <v>336</v>
      </c>
      <c r="C3" s="8" t="s">
        <v>337</v>
      </c>
      <c r="D3" s="9">
        <v>11</v>
      </c>
      <c r="E3" s="9">
        <v>2024</v>
      </c>
      <c r="F3" s="10">
        <v>45597</v>
      </c>
      <c r="G3" s="11">
        <v>1944</v>
      </c>
      <c r="H3" t="str">
        <f>_xlfn.XLOOKUP(C3,'COA Translation'!A:A,'COA Translation'!B:B)</f>
        <v>Current Tenant Protection Split</v>
      </c>
      <c r="I3">
        <f>_xlfn.XLOOKUP(C3,'COA Translation'!A:A,'COA Translation'!C:C)</f>
        <v>0</v>
      </c>
      <c r="J3" t="str">
        <f>_xlfn.XLOOKUP(C3,'COA Translation'!A:A,'COA Translation'!E:E)</f>
        <v>Income</v>
      </c>
      <c r="N3" t="s">
        <v>337</v>
      </c>
      <c r="O3" t="s">
        <v>337</v>
      </c>
      <c r="P3" t="str">
        <f>_xlfn.XLOOKUP(O3,'COA Translation'!A:A,'COA Translation'!B:B)</f>
        <v>Current Tenant Protection Split</v>
      </c>
      <c r="Q3">
        <f>_xlfn.XLOOKUP(O3,'COA Translation'!A:A,'COA Translation'!C:C)</f>
        <v>0</v>
      </c>
    </row>
    <row r="4" spans="1:17" x14ac:dyDescent="0.3">
      <c r="A4" s="7" t="s">
        <v>145</v>
      </c>
      <c r="B4" s="8" t="s">
        <v>336</v>
      </c>
      <c r="C4" s="8" t="s">
        <v>338</v>
      </c>
      <c r="D4" s="9">
        <v>11</v>
      </c>
      <c r="E4" s="9">
        <v>2024</v>
      </c>
      <c r="F4" s="10">
        <v>45597</v>
      </c>
      <c r="G4" s="11">
        <v>1433.1</v>
      </c>
      <c r="H4" t="str">
        <f>_xlfn.XLOOKUP(C4,'COA Translation'!A:A,'COA Translation'!B:B)</f>
        <v>Retail Sales Income</v>
      </c>
      <c r="I4">
        <f>_xlfn.XLOOKUP(C4,'COA Translation'!A:A,'COA Translation'!C:C)</f>
        <v>0</v>
      </c>
      <c r="J4" t="str">
        <f>_xlfn.XLOOKUP(C4,'COA Translation'!A:A,'COA Translation'!E:E)</f>
        <v>Income</v>
      </c>
      <c r="N4" t="s">
        <v>338</v>
      </c>
      <c r="O4" t="s">
        <v>338</v>
      </c>
      <c r="P4" t="str">
        <f>_xlfn.XLOOKUP(O4,'COA Translation'!A:A,'COA Translation'!B:B)</f>
        <v>Retail Sales Income</v>
      </c>
      <c r="Q4">
        <f>_xlfn.XLOOKUP(O4,'COA Translation'!A:A,'COA Translation'!C:C)</f>
        <v>0</v>
      </c>
    </row>
    <row r="5" spans="1:17" x14ac:dyDescent="0.3">
      <c r="A5" s="7" t="s">
        <v>145</v>
      </c>
      <c r="B5" s="8" t="s">
        <v>336</v>
      </c>
      <c r="C5" s="8" t="s">
        <v>339</v>
      </c>
      <c r="D5" s="9">
        <v>11</v>
      </c>
      <c r="E5" s="9">
        <v>2024</v>
      </c>
      <c r="F5" s="10">
        <v>45597</v>
      </c>
      <c r="G5" s="11">
        <v>2752.45</v>
      </c>
      <c r="H5" t="str">
        <f>_xlfn.XLOOKUP(C5,'COA Translation'!A:A,'COA Translation'!B:B)</f>
        <v>Admin Fee Income</v>
      </c>
      <c r="I5">
        <f>_xlfn.XLOOKUP(C5,'COA Translation'!A:A,'COA Translation'!C:C)</f>
        <v>0</v>
      </c>
      <c r="J5" t="str">
        <f>_xlfn.XLOOKUP(C5,'COA Translation'!A:A,'COA Translation'!E:E)</f>
        <v>Income</v>
      </c>
      <c r="N5" t="s">
        <v>339</v>
      </c>
      <c r="O5" t="s">
        <v>339</v>
      </c>
      <c r="P5" t="str">
        <f>_xlfn.XLOOKUP(O5,'COA Translation'!A:A,'COA Translation'!B:B)</f>
        <v>Admin Fee Income</v>
      </c>
      <c r="Q5">
        <f>_xlfn.XLOOKUP(O5,'COA Translation'!A:A,'COA Translation'!C:C)</f>
        <v>0</v>
      </c>
    </row>
    <row r="6" spans="1:17" x14ac:dyDescent="0.3">
      <c r="A6" s="7" t="s">
        <v>145</v>
      </c>
      <c r="B6" s="8" t="s">
        <v>336</v>
      </c>
      <c r="C6" s="8" t="s">
        <v>310</v>
      </c>
      <c r="D6" s="9">
        <v>11</v>
      </c>
      <c r="E6" s="9">
        <v>2024</v>
      </c>
      <c r="F6" s="10">
        <v>45597</v>
      </c>
      <c r="G6" s="11">
        <v>30888.970000000008</v>
      </c>
      <c r="H6">
        <f>_xlfn.XLOOKUP(C6,'COA Translation'!A:A,'COA Translation'!B:B)</f>
        <v>0</v>
      </c>
      <c r="I6" t="str">
        <f>_xlfn.XLOOKUP(C6,'COA Translation'!A:A,'COA Translation'!C:C)</f>
        <v>Total Revenue</v>
      </c>
      <c r="J6" t="str">
        <f>_xlfn.XLOOKUP(C6,'COA Translation'!A:A,'COA Translation'!E:E)</f>
        <v>TOTAL</v>
      </c>
      <c r="N6" t="s">
        <v>310</v>
      </c>
      <c r="O6" t="s">
        <v>310</v>
      </c>
      <c r="P6">
        <f>_xlfn.XLOOKUP(O6,'COA Translation'!A:A,'COA Translation'!B:B)</f>
        <v>0</v>
      </c>
      <c r="Q6" t="str">
        <f>_xlfn.XLOOKUP(O6,'COA Translation'!A:A,'COA Translation'!C:C)</f>
        <v>Total Revenue</v>
      </c>
    </row>
    <row r="7" spans="1:17" x14ac:dyDescent="0.3">
      <c r="A7" s="7" t="s">
        <v>145</v>
      </c>
      <c r="B7" s="8" t="s">
        <v>336</v>
      </c>
      <c r="C7" s="8" t="s">
        <v>340</v>
      </c>
      <c r="D7" s="9">
        <v>11</v>
      </c>
      <c r="E7" s="9">
        <v>2024</v>
      </c>
      <c r="F7" s="10">
        <v>45597</v>
      </c>
      <c r="G7" s="11">
        <v>299</v>
      </c>
      <c r="H7" t="str">
        <f>_xlfn.XLOOKUP(C7,'COA Translation'!A:A,'COA Translation'!B:B)</f>
        <v>Software</v>
      </c>
      <c r="I7">
        <f>_xlfn.XLOOKUP(C7,'COA Translation'!A:A,'COA Translation'!C:C)</f>
        <v>0</v>
      </c>
      <c r="J7" t="str">
        <f>_xlfn.XLOOKUP(C7,'COA Translation'!A:A,'COA Translation'!E:E)</f>
        <v>Expense</v>
      </c>
      <c r="N7" t="s">
        <v>340</v>
      </c>
      <c r="O7" t="s">
        <v>340</v>
      </c>
      <c r="P7" t="str">
        <f>_xlfn.XLOOKUP(O7,'COA Translation'!A:A,'COA Translation'!B:B)</f>
        <v>Software</v>
      </c>
      <c r="Q7">
        <f>_xlfn.XLOOKUP(O7,'COA Translation'!A:A,'COA Translation'!C:C)</f>
        <v>0</v>
      </c>
    </row>
    <row r="8" spans="1:17" x14ac:dyDescent="0.3">
      <c r="A8" s="7" t="s">
        <v>145</v>
      </c>
      <c r="B8" s="8" t="s">
        <v>336</v>
      </c>
      <c r="C8" s="8" t="s">
        <v>341</v>
      </c>
      <c r="D8" s="9">
        <v>11</v>
      </c>
      <c r="E8" s="9">
        <v>2024</v>
      </c>
      <c r="F8" s="10">
        <v>45597</v>
      </c>
      <c r="G8" s="11">
        <v>549</v>
      </c>
      <c r="H8" t="str">
        <f>_xlfn.XLOOKUP(C8,'COA Translation'!A:A,'COA Translation'!B:B)</f>
        <v>Software</v>
      </c>
      <c r="I8">
        <f>_xlfn.XLOOKUP(C8,'COA Translation'!A:A,'COA Translation'!C:C)</f>
        <v>0</v>
      </c>
      <c r="J8" t="str">
        <f>_xlfn.XLOOKUP(C8,'COA Translation'!A:A,'COA Translation'!E:E)</f>
        <v>Expense</v>
      </c>
      <c r="N8" t="s">
        <v>341</v>
      </c>
      <c r="O8" t="s">
        <v>341</v>
      </c>
      <c r="P8" t="str">
        <f>_xlfn.XLOOKUP(O8,'COA Translation'!A:A,'COA Translation'!B:B)</f>
        <v>Software</v>
      </c>
      <c r="Q8">
        <f>_xlfn.XLOOKUP(O8,'COA Translation'!A:A,'COA Translation'!C:C)</f>
        <v>0</v>
      </c>
    </row>
    <row r="9" spans="1:17" x14ac:dyDescent="0.3">
      <c r="A9" s="7" t="s">
        <v>145</v>
      </c>
      <c r="B9" s="8" t="s">
        <v>336</v>
      </c>
      <c r="C9" s="8" t="s">
        <v>146</v>
      </c>
      <c r="D9" s="9">
        <v>11</v>
      </c>
      <c r="E9" s="9">
        <v>2024</v>
      </c>
      <c r="F9" s="10">
        <v>45597</v>
      </c>
      <c r="G9" s="11">
        <v>1153.8599999999999</v>
      </c>
      <c r="H9" t="str">
        <f>_xlfn.XLOOKUP(C9,'COA Translation'!A:A,'COA Translation'!B:B)</f>
        <v>Current Mgmt. Fee</v>
      </c>
      <c r="I9">
        <f>_xlfn.XLOOKUP(C9,'COA Translation'!A:A,'COA Translation'!C:C)</f>
        <v>0</v>
      </c>
      <c r="J9" t="str">
        <f>_xlfn.XLOOKUP(C9,'COA Translation'!A:A,'COA Translation'!E:E)</f>
        <v>Expense</v>
      </c>
      <c r="N9" t="s">
        <v>146</v>
      </c>
      <c r="O9" t="s">
        <v>146</v>
      </c>
      <c r="P9" t="str">
        <f>_xlfn.XLOOKUP(O9,'COA Translation'!A:A,'COA Translation'!B:B)</f>
        <v>Current Mgmt. Fee</v>
      </c>
      <c r="Q9">
        <f>_xlfn.XLOOKUP(O9,'COA Translation'!A:A,'COA Translation'!C:C)</f>
        <v>0</v>
      </c>
    </row>
    <row r="10" spans="1:17" x14ac:dyDescent="0.3">
      <c r="A10" s="7" t="s">
        <v>145</v>
      </c>
      <c r="B10" s="8" t="s">
        <v>336</v>
      </c>
      <c r="C10" s="8" t="s">
        <v>342</v>
      </c>
      <c r="D10" s="9">
        <v>11</v>
      </c>
      <c r="E10" s="9">
        <v>2024</v>
      </c>
      <c r="F10" s="10">
        <v>45597</v>
      </c>
      <c r="G10" s="11">
        <v>2001.86</v>
      </c>
      <c r="H10">
        <f>_xlfn.XLOOKUP(C10,'COA Translation'!A:A,'COA Translation'!B:B)</f>
        <v>0</v>
      </c>
      <c r="I10">
        <f>_xlfn.XLOOKUP(C10,'COA Translation'!A:A,'COA Translation'!C:C)</f>
        <v>0</v>
      </c>
      <c r="J10" t="str">
        <f>_xlfn.XLOOKUP(C10,'COA Translation'!A:A,'COA Translation'!E:E)</f>
        <v>TOTAL</v>
      </c>
      <c r="N10" t="s">
        <v>342</v>
      </c>
      <c r="O10" t="s">
        <v>342</v>
      </c>
      <c r="P10">
        <f>_xlfn.XLOOKUP(O10,'COA Translation'!A:A,'COA Translation'!B:B)</f>
        <v>0</v>
      </c>
      <c r="Q10">
        <f>_xlfn.XLOOKUP(O10,'COA Translation'!A:A,'COA Translation'!C:C)</f>
        <v>0</v>
      </c>
    </row>
    <row r="11" spans="1:17" x14ac:dyDescent="0.3">
      <c r="A11" s="7" t="s">
        <v>145</v>
      </c>
      <c r="B11" s="8" t="s">
        <v>336</v>
      </c>
      <c r="C11" s="8" t="s">
        <v>343</v>
      </c>
      <c r="D11" s="9">
        <v>11</v>
      </c>
      <c r="E11" s="9">
        <v>2024</v>
      </c>
      <c r="F11" s="10">
        <v>45597</v>
      </c>
      <c r="G11" s="11">
        <v>334.55</v>
      </c>
      <c r="H11" t="str">
        <f>_xlfn.XLOOKUP(C11,'COA Translation'!A:A,'COA Translation'!B:B)</f>
        <v>Retail Products</v>
      </c>
      <c r="I11">
        <f>_xlfn.XLOOKUP(C11,'COA Translation'!A:A,'COA Translation'!C:C)</f>
        <v>0</v>
      </c>
      <c r="J11" t="str">
        <f>_xlfn.XLOOKUP(C11,'COA Translation'!A:A,'COA Translation'!E:E)</f>
        <v>Expense</v>
      </c>
      <c r="N11" t="s">
        <v>343</v>
      </c>
      <c r="O11" t="s">
        <v>343</v>
      </c>
      <c r="P11" t="str">
        <f>_xlfn.XLOOKUP(O11,'COA Translation'!A:A,'COA Translation'!B:B)</f>
        <v>Retail Products</v>
      </c>
      <c r="Q11">
        <f>_xlfn.XLOOKUP(O11,'COA Translation'!A:A,'COA Translation'!C:C)</f>
        <v>0</v>
      </c>
    </row>
    <row r="12" spans="1:17" x14ac:dyDescent="0.3">
      <c r="A12" s="7" t="s">
        <v>145</v>
      </c>
      <c r="B12" s="8" t="s">
        <v>336</v>
      </c>
      <c r="C12" s="8" t="s">
        <v>344</v>
      </c>
      <c r="D12" s="9">
        <v>11</v>
      </c>
      <c r="E12" s="9">
        <v>2024</v>
      </c>
      <c r="F12" s="10">
        <v>45597</v>
      </c>
      <c r="G12" s="11">
        <v>4668.9499999999989</v>
      </c>
      <c r="H12" t="str">
        <f>_xlfn.XLOOKUP(C12,'COA Translation'!A:A,'COA Translation'!B:B)</f>
        <v>Payroll</v>
      </c>
      <c r="I12">
        <f>_xlfn.XLOOKUP(C12,'COA Translation'!A:A,'COA Translation'!C:C)</f>
        <v>0</v>
      </c>
      <c r="J12" t="str">
        <f>_xlfn.XLOOKUP(C12,'COA Translation'!A:A,'COA Translation'!E:E)</f>
        <v>Expense</v>
      </c>
      <c r="N12" t="s">
        <v>344</v>
      </c>
      <c r="O12" t="s">
        <v>344</v>
      </c>
      <c r="P12" t="str">
        <f>_xlfn.XLOOKUP(O12,'COA Translation'!A:A,'COA Translation'!B:B)</f>
        <v>Payroll</v>
      </c>
      <c r="Q12">
        <f>_xlfn.XLOOKUP(O12,'COA Translation'!A:A,'COA Translation'!C:C)</f>
        <v>0</v>
      </c>
    </row>
    <row r="13" spans="1:17" x14ac:dyDescent="0.3">
      <c r="A13" s="7" t="s">
        <v>145</v>
      </c>
      <c r="B13" s="8" t="s">
        <v>336</v>
      </c>
      <c r="C13" s="8" t="s">
        <v>345</v>
      </c>
      <c r="D13" s="9">
        <v>11</v>
      </c>
      <c r="E13" s="9">
        <v>2024</v>
      </c>
      <c r="F13" s="10">
        <v>45597</v>
      </c>
      <c r="G13" s="11">
        <v>701.32000000000016</v>
      </c>
      <c r="H13" t="str">
        <f>_xlfn.XLOOKUP(C13,'COA Translation'!A:A,'COA Translation'!B:B)</f>
        <v>Current Mgmt. Fee</v>
      </c>
      <c r="I13">
        <f>_xlfn.XLOOKUP(C13,'COA Translation'!A:A,'COA Translation'!C:C)</f>
        <v>0</v>
      </c>
      <c r="J13" t="str">
        <f>_xlfn.XLOOKUP(C13,'COA Translation'!A:A,'COA Translation'!E:E)</f>
        <v>Expense</v>
      </c>
      <c r="N13" t="s">
        <v>345</v>
      </c>
      <c r="O13" t="s">
        <v>345</v>
      </c>
      <c r="P13" t="str">
        <f>_xlfn.XLOOKUP(O13,'COA Translation'!A:A,'COA Translation'!B:B)</f>
        <v>Current Mgmt. Fee</v>
      </c>
      <c r="Q13">
        <f>_xlfn.XLOOKUP(O13,'COA Translation'!A:A,'COA Translation'!C:C)</f>
        <v>0</v>
      </c>
    </row>
    <row r="14" spans="1:17" x14ac:dyDescent="0.3">
      <c r="A14" s="7" t="s">
        <v>145</v>
      </c>
      <c r="B14" s="8" t="s">
        <v>336</v>
      </c>
      <c r="C14" s="8" t="s">
        <v>34</v>
      </c>
      <c r="D14" s="9">
        <v>11</v>
      </c>
      <c r="E14" s="9">
        <v>2024</v>
      </c>
      <c r="F14" s="10">
        <v>45597</v>
      </c>
      <c r="G14" s="11">
        <v>0</v>
      </c>
      <c r="H14" t="str">
        <f>_xlfn.XLOOKUP(C14,'COA Translation'!A:A,'COA Translation'!B:B)</f>
        <v>Utilities</v>
      </c>
      <c r="I14">
        <f>_xlfn.XLOOKUP(C14,'COA Translation'!A:A,'COA Translation'!C:C)</f>
        <v>0</v>
      </c>
      <c r="J14" t="str">
        <f>_xlfn.XLOOKUP(C14,'COA Translation'!A:A,'COA Translation'!E:E)</f>
        <v>Expense</v>
      </c>
      <c r="N14" t="s">
        <v>34</v>
      </c>
      <c r="O14" t="s">
        <v>34</v>
      </c>
      <c r="P14" t="str">
        <f>_xlfn.XLOOKUP(O14,'COA Translation'!A:A,'COA Translation'!B:B)</f>
        <v>Utilities</v>
      </c>
      <c r="Q14">
        <f>_xlfn.XLOOKUP(O14,'COA Translation'!A:A,'COA Translation'!C:C)</f>
        <v>0</v>
      </c>
    </row>
    <row r="15" spans="1:17" x14ac:dyDescent="0.3">
      <c r="A15" s="7" t="s">
        <v>145</v>
      </c>
      <c r="B15" s="8" t="s">
        <v>336</v>
      </c>
      <c r="C15" s="8" t="s">
        <v>346</v>
      </c>
      <c r="D15" s="9">
        <v>11</v>
      </c>
      <c r="E15" s="9">
        <v>2024</v>
      </c>
      <c r="F15" s="10">
        <v>45597</v>
      </c>
      <c r="G15" s="11">
        <v>2375.87</v>
      </c>
      <c r="H15" t="str">
        <f>_xlfn.XLOOKUP(C15,'COA Translation'!A:A,'COA Translation'!B:B)</f>
        <v>Repairs &amp; Maintenance</v>
      </c>
      <c r="I15">
        <f>_xlfn.XLOOKUP(C15,'COA Translation'!A:A,'COA Translation'!C:C)</f>
        <v>0</v>
      </c>
      <c r="J15" t="str">
        <f>_xlfn.XLOOKUP(C15,'COA Translation'!A:A,'COA Translation'!E:E)</f>
        <v>Expense</v>
      </c>
      <c r="N15" t="s">
        <v>346</v>
      </c>
      <c r="O15" t="s">
        <v>346</v>
      </c>
      <c r="P15" t="str">
        <f>_xlfn.XLOOKUP(O15,'COA Translation'!A:A,'COA Translation'!B:B)</f>
        <v>Repairs &amp; Maintenance</v>
      </c>
      <c r="Q15">
        <f>_xlfn.XLOOKUP(O15,'COA Translation'!A:A,'COA Translation'!C:C)</f>
        <v>0</v>
      </c>
    </row>
    <row r="16" spans="1:17" x14ac:dyDescent="0.3">
      <c r="A16" s="7" t="s">
        <v>145</v>
      </c>
      <c r="B16" s="8" t="s">
        <v>336</v>
      </c>
      <c r="C16" s="8" t="s">
        <v>347</v>
      </c>
      <c r="D16" s="9">
        <v>11</v>
      </c>
      <c r="E16" s="9">
        <v>2024</v>
      </c>
      <c r="F16" s="10">
        <v>45597</v>
      </c>
      <c r="G16" s="11">
        <v>483.03000000000009</v>
      </c>
      <c r="H16" t="str">
        <f>_xlfn.XLOOKUP(C16,'COA Translation'!A:A,'COA Translation'!B:B)</f>
        <v>Current Credit Card Security Fees</v>
      </c>
      <c r="I16">
        <f>_xlfn.XLOOKUP(C16,'COA Translation'!A:A,'COA Translation'!C:C)</f>
        <v>0</v>
      </c>
      <c r="J16" t="str">
        <f>_xlfn.XLOOKUP(C16,'COA Translation'!A:A,'COA Translation'!E:E)</f>
        <v>Expense</v>
      </c>
      <c r="N16" t="s">
        <v>347</v>
      </c>
      <c r="O16" t="s">
        <v>347</v>
      </c>
      <c r="P16" t="str">
        <f>_xlfn.XLOOKUP(O16,'COA Translation'!A:A,'COA Translation'!B:B)</f>
        <v>Current Credit Card Security Fees</v>
      </c>
      <c r="Q16">
        <f>_xlfn.XLOOKUP(O16,'COA Translation'!A:A,'COA Translation'!C:C)</f>
        <v>0</v>
      </c>
    </row>
    <row r="17" spans="1:18" x14ac:dyDescent="0.3">
      <c r="A17" s="7" t="s">
        <v>145</v>
      </c>
      <c r="B17" s="8" t="s">
        <v>336</v>
      </c>
      <c r="C17" s="8" t="s">
        <v>348</v>
      </c>
      <c r="D17" s="9">
        <v>11</v>
      </c>
      <c r="E17" s="9">
        <v>2024</v>
      </c>
      <c r="F17" s="10">
        <v>45597</v>
      </c>
      <c r="G17" s="11">
        <v>3175.4100000000003</v>
      </c>
      <c r="H17" t="str">
        <f>_xlfn.XLOOKUP(C17,'COA Translation'!A:A,'COA Translation'!B:B)</f>
        <v>Advertising &amp; Marketing</v>
      </c>
      <c r="I17">
        <f>_xlfn.XLOOKUP(C17,'COA Translation'!A:A,'COA Translation'!C:C)</f>
        <v>0</v>
      </c>
      <c r="J17" t="str">
        <f>_xlfn.XLOOKUP(C17,'COA Translation'!A:A,'COA Translation'!E:E)</f>
        <v>Expense</v>
      </c>
      <c r="N17" t="s">
        <v>348</v>
      </c>
      <c r="O17" t="s">
        <v>348</v>
      </c>
      <c r="P17" t="str">
        <f>_xlfn.XLOOKUP(O17,'COA Translation'!A:A,'COA Translation'!B:B)</f>
        <v>Advertising &amp; Marketing</v>
      </c>
      <c r="Q17">
        <f>_xlfn.XLOOKUP(O17,'COA Translation'!A:A,'COA Translation'!C:C)</f>
        <v>0</v>
      </c>
    </row>
    <row r="18" spans="1:18" x14ac:dyDescent="0.3">
      <c r="A18" s="7" t="s">
        <v>145</v>
      </c>
      <c r="B18" s="8" t="s">
        <v>336</v>
      </c>
      <c r="C18" s="8" t="s">
        <v>349</v>
      </c>
      <c r="D18" s="9">
        <v>11</v>
      </c>
      <c r="E18" s="9">
        <v>2024</v>
      </c>
      <c r="F18" s="10">
        <v>45597</v>
      </c>
      <c r="G18" s="11">
        <v>260.75</v>
      </c>
      <c r="H18" t="str">
        <f>_xlfn.XLOOKUP(C18,'COA Translation'!A:A,'COA Translation'!B:B)</f>
        <v>Software</v>
      </c>
      <c r="I18">
        <f>_xlfn.XLOOKUP(C18,'COA Translation'!A:A,'COA Translation'!C:C)</f>
        <v>0</v>
      </c>
      <c r="J18" t="str">
        <f>_xlfn.XLOOKUP(C18,'COA Translation'!A:A,'COA Translation'!E:E)</f>
        <v>Expense</v>
      </c>
      <c r="N18" t="s">
        <v>349</v>
      </c>
      <c r="O18" t="s">
        <v>349</v>
      </c>
      <c r="P18" t="str">
        <f>_xlfn.XLOOKUP(O18,'COA Translation'!A:A,'COA Translation'!B:B)</f>
        <v>Software</v>
      </c>
      <c r="Q18">
        <f>_xlfn.XLOOKUP(O18,'COA Translation'!A:A,'COA Translation'!C:C)</f>
        <v>0</v>
      </c>
    </row>
    <row r="19" spans="1:18" x14ac:dyDescent="0.3">
      <c r="A19" s="7" t="s">
        <v>145</v>
      </c>
      <c r="B19" s="8" t="s">
        <v>336</v>
      </c>
      <c r="C19" s="8" t="s">
        <v>81</v>
      </c>
      <c r="D19" s="9">
        <v>11</v>
      </c>
      <c r="E19" s="9">
        <v>2024</v>
      </c>
      <c r="F19" s="10">
        <v>45597</v>
      </c>
      <c r="G19" s="11">
        <v>353.15999999999991</v>
      </c>
      <c r="H19" t="str">
        <f>_xlfn.XLOOKUP(C19,'COA Translation'!A:A,'COA Translation'!B:B)</f>
        <v>Software</v>
      </c>
      <c r="I19">
        <f>_xlfn.XLOOKUP(C19,'COA Translation'!A:A,'COA Translation'!C:C)</f>
        <v>0</v>
      </c>
      <c r="J19" t="str">
        <f>_xlfn.XLOOKUP(C19,'COA Translation'!A:A,'COA Translation'!E:E)</f>
        <v>Expense</v>
      </c>
      <c r="N19" t="s">
        <v>81</v>
      </c>
      <c r="O19" t="s">
        <v>81</v>
      </c>
      <c r="P19" t="str">
        <f>_xlfn.XLOOKUP(O19,'COA Translation'!A:A,'COA Translation'!B:B)</f>
        <v>Software</v>
      </c>
      <c r="Q19">
        <f>_xlfn.XLOOKUP(O19,'COA Translation'!A:A,'COA Translation'!C:C)</f>
        <v>0</v>
      </c>
    </row>
    <row r="20" spans="1:18" x14ac:dyDescent="0.3">
      <c r="A20" s="7" t="s">
        <v>145</v>
      </c>
      <c r="B20" s="8" t="s">
        <v>336</v>
      </c>
      <c r="C20" s="8" t="s">
        <v>350</v>
      </c>
      <c r="D20" s="9">
        <v>11</v>
      </c>
      <c r="E20" s="9">
        <v>2024</v>
      </c>
      <c r="F20" s="10">
        <v>45597</v>
      </c>
      <c r="G20" s="11">
        <v>9.9999999999910005E-3</v>
      </c>
      <c r="H20" t="str">
        <f>_xlfn.XLOOKUP(C20,'COA Translation'!A:A,'COA Translation'!B:B)</f>
        <v>Telephone &amp; Internet</v>
      </c>
      <c r="I20">
        <f>_xlfn.XLOOKUP(C20,'COA Translation'!A:A,'COA Translation'!C:C)</f>
        <v>0</v>
      </c>
      <c r="J20" t="str">
        <f>_xlfn.XLOOKUP(C20,'COA Translation'!A:A,'COA Translation'!E:E)</f>
        <v>Expense</v>
      </c>
      <c r="N20" t="s">
        <v>350</v>
      </c>
      <c r="O20" t="s">
        <v>350</v>
      </c>
      <c r="P20" t="str">
        <f>_xlfn.XLOOKUP(O20,'COA Translation'!A:A,'COA Translation'!B:B)</f>
        <v>Telephone &amp; Internet</v>
      </c>
      <c r="Q20">
        <f>_xlfn.XLOOKUP(O20,'COA Translation'!A:A,'COA Translation'!C:C)</f>
        <v>0</v>
      </c>
    </row>
    <row r="21" spans="1:18" x14ac:dyDescent="0.3">
      <c r="A21" s="7" t="s">
        <v>145</v>
      </c>
      <c r="B21" s="8" t="s">
        <v>336</v>
      </c>
      <c r="C21" s="8" t="s">
        <v>351</v>
      </c>
      <c r="D21" s="9">
        <v>11</v>
      </c>
      <c r="E21" s="9">
        <v>2024</v>
      </c>
      <c r="F21" s="10">
        <v>45597</v>
      </c>
      <c r="G21" s="11">
        <v>11.35</v>
      </c>
      <c r="H21" t="str">
        <f>_xlfn.XLOOKUP(C21,'COA Translation'!A:A,'COA Translation'!B:B)</f>
        <v>Payroll</v>
      </c>
      <c r="I21">
        <f>_xlfn.XLOOKUP(C21,'COA Translation'!A:A,'COA Translation'!C:C)</f>
        <v>0</v>
      </c>
      <c r="J21" t="str">
        <f>_xlfn.XLOOKUP(C21,'COA Translation'!A:A,'COA Translation'!E:E)</f>
        <v>Expense</v>
      </c>
      <c r="N21" t="s">
        <v>351</v>
      </c>
      <c r="O21" t="s">
        <v>351</v>
      </c>
      <c r="P21" t="str">
        <f>_xlfn.XLOOKUP(O21,'COA Translation'!A:A,'COA Translation'!B:B)</f>
        <v>Payroll</v>
      </c>
      <c r="Q21">
        <f>_xlfn.XLOOKUP(O21,'COA Translation'!A:A,'COA Translation'!C:C)</f>
        <v>0</v>
      </c>
      <c r="R21" t="s">
        <v>357</v>
      </c>
    </row>
    <row r="22" spans="1:18" x14ac:dyDescent="0.3">
      <c r="A22" s="7" t="s">
        <v>145</v>
      </c>
      <c r="B22" s="8" t="s">
        <v>336</v>
      </c>
      <c r="C22" s="8" t="s">
        <v>352</v>
      </c>
      <c r="D22" s="9">
        <v>11</v>
      </c>
      <c r="E22" s="9">
        <v>2024</v>
      </c>
      <c r="F22" s="10">
        <v>45597</v>
      </c>
      <c r="G22" s="11">
        <v>139.66</v>
      </c>
      <c r="H22" t="str">
        <f>_xlfn.XLOOKUP(C22,'COA Translation'!A:A,'COA Translation'!B:B)</f>
        <v>Office Supplies</v>
      </c>
      <c r="I22">
        <f>_xlfn.XLOOKUP(C22,'COA Translation'!A:A,'COA Translation'!C:C)</f>
        <v>0</v>
      </c>
      <c r="J22" t="str">
        <f>_xlfn.XLOOKUP(C22,'COA Translation'!A:A,'COA Translation'!E:E)</f>
        <v>Expense</v>
      </c>
      <c r="N22" t="s">
        <v>352</v>
      </c>
      <c r="O22" t="s">
        <v>352</v>
      </c>
      <c r="P22" t="str">
        <f>_xlfn.XLOOKUP(O22,'COA Translation'!A:A,'COA Translation'!B:B)</f>
        <v>Office Supplies</v>
      </c>
      <c r="Q22">
        <f>_xlfn.XLOOKUP(O22,'COA Translation'!A:A,'COA Translation'!C:C)</f>
        <v>0</v>
      </c>
    </row>
    <row r="23" spans="1:18" x14ac:dyDescent="0.3">
      <c r="A23" s="7" t="s">
        <v>145</v>
      </c>
      <c r="B23" s="8" t="s">
        <v>336</v>
      </c>
      <c r="C23" s="8" t="s">
        <v>353</v>
      </c>
      <c r="D23" s="9">
        <v>11</v>
      </c>
      <c r="E23" s="9">
        <v>2024</v>
      </c>
      <c r="F23" s="10">
        <v>45597</v>
      </c>
      <c r="G23" s="11">
        <v>0</v>
      </c>
      <c r="H23" t="str">
        <f>_xlfn.XLOOKUP(C23,'COA Translation'!A:A,'COA Translation'!B:B)</f>
        <v>Licenses &amp; Permits</v>
      </c>
      <c r="I23">
        <f>_xlfn.XLOOKUP(C23,'COA Translation'!A:A,'COA Translation'!C:C)</f>
        <v>0</v>
      </c>
      <c r="J23" t="str">
        <f>_xlfn.XLOOKUP(C23,'COA Translation'!A:A,'COA Translation'!E:E)</f>
        <v>Expense</v>
      </c>
      <c r="N23" t="s">
        <v>353</v>
      </c>
      <c r="O23" t="s">
        <v>353</v>
      </c>
      <c r="P23" t="str">
        <f>_xlfn.XLOOKUP(O23,'COA Translation'!A:A,'COA Translation'!B:B)</f>
        <v>Licenses &amp; Permits</v>
      </c>
      <c r="Q23">
        <f>_xlfn.XLOOKUP(O23,'COA Translation'!A:A,'COA Translation'!C:C)</f>
        <v>0</v>
      </c>
    </row>
    <row r="24" spans="1:18" x14ac:dyDescent="0.3">
      <c r="A24" s="7" t="s">
        <v>145</v>
      </c>
      <c r="B24" s="8" t="s">
        <v>336</v>
      </c>
      <c r="C24" s="8" t="s">
        <v>354</v>
      </c>
      <c r="D24" s="9">
        <v>11</v>
      </c>
      <c r="E24" s="9">
        <v>2024</v>
      </c>
      <c r="F24" s="10">
        <v>45597</v>
      </c>
      <c r="G24" s="11">
        <v>42.5</v>
      </c>
      <c r="H24" t="str">
        <f>_xlfn.XLOOKUP(C24,'COA Translation'!A:A,'COA Translation'!B:B)</f>
        <v>Prof Fees - Legal/Acctg</v>
      </c>
      <c r="I24">
        <f>_xlfn.XLOOKUP(C24,'COA Translation'!A:A,'COA Translation'!C:C)</f>
        <v>0</v>
      </c>
      <c r="J24" t="str">
        <f>_xlfn.XLOOKUP(C24,'COA Translation'!A:A,'COA Translation'!E:E)</f>
        <v>Expense</v>
      </c>
      <c r="N24" t="s">
        <v>354</v>
      </c>
      <c r="O24" t="s">
        <v>354</v>
      </c>
      <c r="P24" t="str">
        <f>_xlfn.XLOOKUP(O24,'COA Translation'!A:A,'COA Translation'!B:B)</f>
        <v>Prof Fees - Legal/Acctg</v>
      </c>
      <c r="Q24">
        <f>_xlfn.XLOOKUP(O24,'COA Translation'!A:A,'COA Translation'!C:C)</f>
        <v>0</v>
      </c>
    </row>
    <row r="25" spans="1:18" x14ac:dyDescent="0.3">
      <c r="A25" s="7" t="s">
        <v>145</v>
      </c>
      <c r="B25" s="8" t="s">
        <v>336</v>
      </c>
      <c r="C25" s="8" t="s">
        <v>355</v>
      </c>
      <c r="D25" s="9">
        <v>11</v>
      </c>
      <c r="E25" s="9">
        <v>2024</v>
      </c>
      <c r="F25" s="10">
        <v>45597</v>
      </c>
      <c r="G25" s="11">
        <v>12546.56</v>
      </c>
      <c r="H25">
        <f>_xlfn.XLOOKUP(C25,'COA Translation'!A:A,'COA Translation'!B:B)</f>
        <v>0</v>
      </c>
      <c r="I25">
        <f>_xlfn.XLOOKUP(C25,'COA Translation'!A:A,'COA Translation'!C:C)</f>
        <v>0</v>
      </c>
      <c r="J25" t="str">
        <f>_xlfn.XLOOKUP(C25,'COA Translation'!A:A,'COA Translation'!E:E)</f>
        <v>TOTAL</v>
      </c>
      <c r="N25" t="s">
        <v>355</v>
      </c>
      <c r="O25" t="s">
        <v>355</v>
      </c>
      <c r="P25">
        <f>_xlfn.XLOOKUP(O25,'COA Translation'!A:A,'COA Translation'!B:B)</f>
        <v>0</v>
      </c>
      <c r="Q25">
        <f>_xlfn.XLOOKUP(O25,'COA Translation'!A:A,'COA Translation'!C:C)</f>
        <v>0</v>
      </c>
    </row>
    <row r="26" spans="1:18" x14ac:dyDescent="0.3">
      <c r="A26" s="7" t="s">
        <v>145</v>
      </c>
      <c r="B26" s="8" t="s">
        <v>336</v>
      </c>
      <c r="C26" s="8" t="s">
        <v>356</v>
      </c>
      <c r="D26" s="9">
        <v>11</v>
      </c>
      <c r="E26" s="9">
        <v>2024</v>
      </c>
      <c r="F26" s="10">
        <v>45597</v>
      </c>
      <c r="G26" s="11">
        <v>14548.42</v>
      </c>
      <c r="H26">
        <f>_xlfn.XLOOKUP(C26,'COA Translation'!A:A,'COA Translation'!B:B)</f>
        <v>0</v>
      </c>
      <c r="I26" t="str">
        <f>_xlfn.XLOOKUP(C26,'COA Translation'!A:A,'COA Translation'!C:C)</f>
        <v>Total Operating Expense</v>
      </c>
      <c r="J26" t="str">
        <f>_xlfn.XLOOKUP(C26,'COA Translation'!A:A,'COA Translation'!E:E)</f>
        <v>TOTAL</v>
      </c>
      <c r="N26" t="s">
        <v>356</v>
      </c>
      <c r="O26" t="s">
        <v>356</v>
      </c>
      <c r="P26">
        <f>_xlfn.XLOOKUP(O26,'COA Translation'!A:A,'COA Translation'!B:B)</f>
        <v>0</v>
      </c>
      <c r="Q26" t="str">
        <f>_xlfn.XLOOKUP(O26,'COA Translation'!A:A,'COA Translation'!C:C)</f>
        <v>Total Operating Expense</v>
      </c>
    </row>
    <row r="27" spans="1:18" x14ac:dyDescent="0.3">
      <c r="A27" s="7" t="s">
        <v>145</v>
      </c>
      <c r="B27" s="8" t="s">
        <v>336</v>
      </c>
      <c r="C27" s="8" t="s">
        <v>38</v>
      </c>
      <c r="D27" s="9">
        <v>11</v>
      </c>
      <c r="E27" s="9">
        <v>2024</v>
      </c>
      <c r="F27" s="10">
        <v>45597</v>
      </c>
      <c r="G27" s="11">
        <v>16340.550000000008</v>
      </c>
      <c r="H27">
        <f>_xlfn.XLOOKUP(C27,'COA Translation'!A:A,'COA Translation'!B:B)</f>
        <v>0</v>
      </c>
      <c r="I27" t="str">
        <f>_xlfn.XLOOKUP(C27,'COA Translation'!A:A,'COA Translation'!C:C)</f>
        <v>Net Operating Income</v>
      </c>
      <c r="J27" t="str">
        <f>_xlfn.XLOOKUP(C27,'COA Translation'!A:A,'COA Translation'!E:E)</f>
        <v>TOTAL</v>
      </c>
      <c r="N27" t="s">
        <v>38</v>
      </c>
      <c r="O27" t="s">
        <v>38</v>
      </c>
      <c r="P27">
        <f>_xlfn.XLOOKUP(O27,'COA Translation'!A:A,'COA Translation'!B:B)</f>
        <v>0</v>
      </c>
      <c r="Q27" t="str">
        <f>_xlfn.XLOOKUP(O27,'COA Translation'!A:A,'COA Translation'!C:C)</f>
        <v>Net Operating Income</v>
      </c>
    </row>
    <row r="28" spans="1:18" x14ac:dyDescent="0.3">
      <c r="A28" s="7" t="s">
        <v>145</v>
      </c>
      <c r="B28" s="8" t="s">
        <v>336</v>
      </c>
      <c r="C28" s="8" t="s">
        <v>7</v>
      </c>
      <c r="D28" s="9">
        <v>12</v>
      </c>
      <c r="E28" s="9">
        <v>2024</v>
      </c>
      <c r="F28" s="10">
        <v>45627</v>
      </c>
      <c r="G28" s="11">
        <v>30443.359999999993</v>
      </c>
      <c r="H28" t="str">
        <f>_xlfn.XLOOKUP(C28,'COA Translation'!A:A,'COA Translation'!B:B)</f>
        <v>Rental Income</v>
      </c>
      <c r="I28" t="str">
        <f>_xlfn.XLOOKUP(C28,'COA Translation'!A:A,'COA Translation'!C:C)</f>
        <v>Net Rental Income</v>
      </c>
      <c r="J28" t="str">
        <f>_xlfn.XLOOKUP(C28,'COA Translation'!A:A,'COA Translation'!E:E)</f>
        <v>Income</v>
      </c>
    </row>
    <row r="29" spans="1:18" x14ac:dyDescent="0.3">
      <c r="A29" s="7" t="s">
        <v>145</v>
      </c>
      <c r="B29" s="8" t="s">
        <v>336</v>
      </c>
      <c r="C29" s="8" t="s">
        <v>337</v>
      </c>
      <c r="D29" s="9">
        <v>12</v>
      </c>
      <c r="E29" s="9">
        <v>2024</v>
      </c>
      <c r="F29" s="10">
        <v>45627</v>
      </c>
      <c r="G29" s="11">
        <v>2100</v>
      </c>
      <c r="H29" t="str">
        <f>_xlfn.XLOOKUP(C29,'COA Translation'!A:A,'COA Translation'!B:B)</f>
        <v>Current Tenant Protection Split</v>
      </c>
      <c r="I29">
        <f>_xlfn.XLOOKUP(C29,'COA Translation'!A:A,'COA Translation'!C:C)</f>
        <v>0</v>
      </c>
      <c r="J29" t="str">
        <f>_xlfn.XLOOKUP(C29,'COA Translation'!A:A,'COA Translation'!E:E)</f>
        <v>Income</v>
      </c>
    </row>
    <row r="30" spans="1:18" x14ac:dyDescent="0.3">
      <c r="A30" s="7" t="s">
        <v>145</v>
      </c>
      <c r="B30" s="8" t="s">
        <v>336</v>
      </c>
      <c r="C30" s="8" t="s">
        <v>338</v>
      </c>
      <c r="D30" s="9">
        <v>12</v>
      </c>
      <c r="E30" s="9">
        <v>2024</v>
      </c>
      <c r="F30" s="10">
        <v>45627</v>
      </c>
      <c r="G30" s="11">
        <v>1005.0299999999992</v>
      </c>
      <c r="H30" t="str">
        <f>_xlfn.XLOOKUP(C30,'COA Translation'!A:A,'COA Translation'!B:B)</f>
        <v>Retail Sales Income</v>
      </c>
      <c r="I30">
        <f>_xlfn.XLOOKUP(C30,'COA Translation'!A:A,'COA Translation'!C:C)</f>
        <v>0</v>
      </c>
      <c r="J30" t="str">
        <f>_xlfn.XLOOKUP(C30,'COA Translation'!A:A,'COA Translation'!E:E)</f>
        <v>Income</v>
      </c>
    </row>
    <row r="31" spans="1:18" x14ac:dyDescent="0.3">
      <c r="A31" s="7" t="s">
        <v>145</v>
      </c>
      <c r="B31" s="8" t="s">
        <v>336</v>
      </c>
      <c r="C31" s="8" t="s">
        <v>339</v>
      </c>
      <c r="D31" s="9">
        <v>12</v>
      </c>
      <c r="E31" s="9">
        <v>2024</v>
      </c>
      <c r="F31" s="10">
        <v>45627</v>
      </c>
      <c r="G31" s="11">
        <v>2929.6000000000004</v>
      </c>
      <c r="H31" t="str">
        <f>_xlfn.XLOOKUP(C31,'COA Translation'!A:A,'COA Translation'!B:B)</f>
        <v>Admin Fee Income</v>
      </c>
      <c r="I31">
        <f>_xlfn.XLOOKUP(C31,'COA Translation'!A:A,'COA Translation'!C:C)</f>
        <v>0</v>
      </c>
      <c r="J31" t="str">
        <f>_xlfn.XLOOKUP(C31,'COA Translation'!A:A,'COA Translation'!E:E)</f>
        <v>Income</v>
      </c>
    </row>
    <row r="32" spans="1:18" x14ac:dyDescent="0.3">
      <c r="A32" s="7" t="s">
        <v>145</v>
      </c>
      <c r="B32" s="8" t="s">
        <v>336</v>
      </c>
      <c r="C32" s="8" t="s">
        <v>310</v>
      </c>
      <c r="D32" s="9">
        <v>12</v>
      </c>
      <c r="E32" s="9">
        <v>2024</v>
      </c>
      <c r="F32" s="10">
        <v>45627</v>
      </c>
      <c r="G32" s="11">
        <v>36477.989999999991</v>
      </c>
      <c r="H32">
        <f>_xlfn.XLOOKUP(C32,'COA Translation'!A:A,'COA Translation'!B:B)</f>
        <v>0</v>
      </c>
      <c r="I32" t="str">
        <f>_xlfn.XLOOKUP(C32,'COA Translation'!A:A,'COA Translation'!C:C)</f>
        <v>Total Revenue</v>
      </c>
      <c r="J32" t="str">
        <f>_xlfn.XLOOKUP(C32,'COA Translation'!A:A,'COA Translation'!E:E)</f>
        <v>TOTAL</v>
      </c>
    </row>
    <row r="33" spans="1:10" x14ac:dyDescent="0.3">
      <c r="A33" s="7" t="s">
        <v>145</v>
      </c>
      <c r="B33" s="8" t="s">
        <v>336</v>
      </c>
      <c r="C33" s="8" t="s">
        <v>340</v>
      </c>
      <c r="D33" s="9">
        <v>12</v>
      </c>
      <c r="E33" s="9">
        <v>2024</v>
      </c>
      <c r="F33" s="10">
        <v>45627</v>
      </c>
      <c r="G33" s="11">
        <v>300.87000000000023</v>
      </c>
      <c r="H33" t="str">
        <f>_xlfn.XLOOKUP(C33,'COA Translation'!A:A,'COA Translation'!B:B)</f>
        <v>Software</v>
      </c>
      <c r="I33">
        <f>_xlfn.XLOOKUP(C33,'COA Translation'!A:A,'COA Translation'!C:C)</f>
        <v>0</v>
      </c>
      <c r="J33" t="str">
        <f>_xlfn.XLOOKUP(C33,'COA Translation'!A:A,'COA Translation'!E:E)</f>
        <v>Expense</v>
      </c>
    </row>
    <row r="34" spans="1:10" x14ac:dyDescent="0.3">
      <c r="A34" s="7" t="s">
        <v>145</v>
      </c>
      <c r="B34" s="8" t="s">
        <v>336</v>
      </c>
      <c r="C34" s="8" t="s">
        <v>341</v>
      </c>
      <c r="D34" s="9">
        <v>12</v>
      </c>
      <c r="E34" s="9">
        <v>2024</v>
      </c>
      <c r="F34" s="10">
        <v>45627</v>
      </c>
      <c r="G34" s="11">
        <v>549.00000000000045</v>
      </c>
      <c r="H34" t="str">
        <f>_xlfn.XLOOKUP(C34,'COA Translation'!A:A,'COA Translation'!B:B)</f>
        <v>Software</v>
      </c>
      <c r="I34">
        <f>_xlfn.XLOOKUP(C34,'COA Translation'!A:A,'COA Translation'!C:C)</f>
        <v>0</v>
      </c>
      <c r="J34" t="str">
        <f>_xlfn.XLOOKUP(C34,'COA Translation'!A:A,'COA Translation'!E:E)</f>
        <v>Expense</v>
      </c>
    </row>
    <row r="35" spans="1:10" x14ac:dyDescent="0.3">
      <c r="A35" s="7" t="s">
        <v>145</v>
      </c>
      <c r="B35" s="8" t="s">
        <v>336</v>
      </c>
      <c r="C35" s="8" t="s">
        <v>146</v>
      </c>
      <c r="D35" s="9">
        <v>12</v>
      </c>
      <c r="E35" s="9">
        <v>2024</v>
      </c>
      <c r="F35" s="10">
        <v>45627</v>
      </c>
      <c r="G35" s="11">
        <v>1334.95</v>
      </c>
      <c r="H35" t="str">
        <f>_xlfn.XLOOKUP(C35,'COA Translation'!A:A,'COA Translation'!B:B)</f>
        <v>Current Mgmt. Fee</v>
      </c>
      <c r="I35">
        <f>_xlfn.XLOOKUP(C35,'COA Translation'!A:A,'COA Translation'!C:C)</f>
        <v>0</v>
      </c>
      <c r="J35" t="str">
        <f>_xlfn.XLOOKUP(C35,'COA Translation'!A:A,'COA Translation'!E:E)</f>
        <v>Expense</v>
      </c>
    </row>
    <row r="36" spans="1:10" x14ac:dyDescent="0.3">
      <c r="A36" s="7" t="s">
        <v>145</v>
      </c>
      <c r="B36" s="8" t="s">
        <v>336</v>
      </c>
      <c r="C36" s="8" t="s">
        <v>342</v>
      </c>
      <c r="D36" s="9">
        <v>12</v>
      </c>
      <c r="E36" s="9">
        <v>2024</v>
      </c>
      <c r="F36" s="10">
        <v>45627</v>
      </c>
      <c r="G36" s="11">
        <v>2184.8200000000006</v>
      </c>
      <c r="H36">
        <f>_xlfn.XLOOKUP(C36,'COA Translation'!A:A,'COA Translation'!B:B)</f>
        <v>0</v>
      </c>
      <c r="I36">
        <f>_xlfn.XLOOKUP(C36,'COA Translation'!A:A,'COA Translation'!C:C)</f>
        <v>0</v>
      </c>
      <c r="J36" t="str">
        <f>_xlfn.XLOOKUP(C36,'COA Translation'!A:A,'COA Translation'!E:E)</f>
        <v>TOTAL</v>
      </c>
    </row>
    <row r="37" spans="1:10" x14ac:dyDescent="0.3">
      <c r="A37" s="7" t="s">
        <v>145</v>
      </c>
      <c r="B37" s="8" t="s">
        <v>336</v>
      </c>
      <c r="C37" s="8" t="s">
        <v>343</v>
      </c>
      <c r="D37" s="9">
        <v>12</v>
      </c>
      <c r="E37" s="9">
        <v>2024</v>
      </c>
      <c r="F37" s="10">
        <v>45627</v>
      </c>
      <c r="G37" s="11">
        <v>39.580000000000076</v>
      </c>
      <c r="H37" t="str">
        <f>_xlfn.XLOOKUP(C37,'COA Translation'!A:A,'COA Translation'!B:B)</f>
        <v>Retail Products</v>
      </c>
      <c r="I37">
        <f>_xlfn.XLOOKUP(C37,'COA Translation'!A:A,'COA Translation'!C:C)</f>
        <v>0</v>
      </c>
      <c r="J37" t="str">
        <f>_xlfn.XLOOKUP(C37,'COA Translation'!A:A,'COA Translation'!E:E)</f>
        <v>Expense</v>
      </c>
    </row>
    <row r="38" spans="1:10" x14ac:dyDescent="0.3">
      <c r="A38" s="7" t="s">
        <v>145</v>
      </c>
      <c r="B38" s="8" t="s">
        <v>336</v>
      </c>
      <c r="C38" s="8" t="s">
        <v>344</v>
      </c>
      <c r="D38" s="9">
        <v>12</v>
      </c>
      <c r="E38" s="9">
        <v>2024</v>
      </c>
      <c r="F38" s="10">
        <v>45627</v>
      </c>
      <c r="G38" s="11">
        <v>4666.4900000000007</v>
      </c>
      <c r="H38" t="str">
        <f>_xlfn.XLOOKUP(C38,'COA Translation'!A:A,'COA Translation'!B:B)</f>
        <v>Payroll</v>
      </c>
      <c r="I38">
        <f>_xlfn.XLOOKUP(C38,'COA Translation'!A:A,'COA Translation'!C:C)</f>
        <v>0</v>
      </c>
      <c r="J38" t="str">
        <f>_xlfn.XLOOKUP(C38,'COA Translation'!A:A,'COA Translation'!E:E)</f>
        <v>Expense</v>
      </c>
    </row>
    <row r="39" spans="1:10" x14ac:dyDescent="0.3">
      <c r="A39" s="7" t="s">
        <v>145</v>
      </c>
      <c r="B39" s="8" t="s">
        <v>336</v>
      </c>
      <c r="C39" s="8" t="s">
        <v>345</v>
      </c>
      <c r="D39" s="9">
        <v>12</v>
      </c>
      <c r="E39" s="9">
        <v>2024</v>
      </c>
      <c r="F39" s="10">
        <v>45627</v>
      </c>
      <c r="G39" s="11">
        <v>1743.7699999999995</v>
      </c>
      <c r="H39" t="str">
        <f>_xlfn.XLOOKUP(C39,'COA Translation'!A:A,'COA Translation'!B:B)</f>
        <v>Current Mgmt. Fee</v>
      </c>
      <c r="I39">
        <f>_xlfn.XLOOKUP(C39,'COA Translation'!A:A,'COA Translation'!C:C)</f>
        <v>0</v>
      </c>
      <c r="J39" t="str">
        <f>_xlfn.XLOOKUP(C39,'COA Translation'!A:A,'COA Translation'!E:E)</f>
        <v>Expense</v>
      </c>
    </row>
    <row r="40" spans="1:10" x14ac:dyDescent="0.3">
      <c r="A40" s="7" t="s">
        <v>145</v>
      </c>
      <c r="B40" s="8" t="s">
        <v>336</v>
      </c>
      <c r="C40" s="8" t="s">
        <v>34</v>
      </c>
      <c r="D40" s="9">
        <v>12</v>
      </c>
      <c r="E40" s="9">
        <v>2024</v>
      </c>
      <c r="F40" s="10">
        <v>45627</v>
      </c>
      <c r="G40" s="11">
        <v>0</v>
      </c>
      <c r="H40" t="str">
        <f>_xlfn.XLOOKUP(C40,'COA Translation'!A:A,'COA Translation'!B:B)</f>
        <v>Utilities</v>
      </c>
      <c r="I40">
        <f>_xlfn.XLOOKUP(C40,'COA Translation'!A:A,'COA Translation'!C:C)</f>
        <v>0</v>
      </c>
      <c r="J40" t="str">
        <f>_xlfn.XLOOKUP(C40,'COA Translation'!A:A,'COA Translation'!E:E)</f>
        <v>Expense</v>
      </c>
    </row>
    <row r="41" spans="1:10" x14ac:dyDescent="0.3">
      <c r="A41" s="7" t="s">
        <v>145</v>
      </c>
      <c r="B41" s="8" t="s">
        <v>336</v>
      </c>
      <c r="C41" s="8" t="s">
        <v>346</v>
      </c>
      <c r="D41" s="9">
        <v>12</v>
      </c>
      <c r="E41" s="9">
        <v>2024</v>
      </c>
      <c r="F41" s="10">
        <v>45627</v>
      </c>
      <c r="G41" s="11">
        <v>2539.2600000000002</v>
      </c>
      <c r="H41" t="str">
        <f>_xlfn.XLOOKUP(C41,'COA Translation'!A:A,'COA Translation'!B:B)</f>
        <v>Repairs &amp; Maintenance</v>
      </c>
      <c r="I41">
        <f>_xlfn.XLOOKUP(C41,'COA Translation'!A:A,'COA Translation'!C:C)</f>
        <v>0</v>
      </c>
      <c r="J41" t="str">
        <f>_xlfn.XLOOKUP(C41,'COA Translation'!A:A,'COA Translation'!E:E)</f>
        <v>Expense</v>
      </c>
    </row>
    <row r="42" spans="1:10" x14ac:dyDescent="0.3">
      <c r="A42" s="7" t="s">
        <v>145</v>
      </c>
      <c r="B42" s="8" t="s">
        <v>336</v>
      </c>
      <c r="C42" s="8" t="s">
        <v>347</v>
      </c>
      <c r="D42" s="9">
        <v>12</v>
      </c>
      <c r="E42" s="9">
        <v>2024</v>
      </c>
      <c r="F42" s="10">
        <v>45627</v>
      </c>
      <c r="G42" s="11">
        <v>509.10999999999984</v>
      </c>
      <c r="H42" t="str">
        <f>_xlfn.XLOOKUP(C42,'COA Translation'!A:A,'COA Translation'!B:B)</f>
        <v>Current Credit Card Security Fees</v>
      </c>
      <c r="I42">
        <f>_xlfn.XLOOKUP(C42,'COA Translation'!A:A,'COA Translation'!C:C)</f>
        <v>0</v>
      </c>
      <c r="J42" t="str">
        <f>_xlfn.XLOOKUP(C42,'COA Translation'!A:A,'COA Translation'!E:E)</f>
        <v>Expense</v>
      </c>
    </row>
    <row r="43" spans="1:10" x14ac:dyDescent="0.3">
      <c r="A43" s="7" t="s">
        <v>145</v>
      </c>
      <c r="B43" s="8" t="s">
        <v>336</v>
      </c>
      <c r="C43" s="8" t="s">
        <v>348</v>
      </c>
      <c r="D43" s="9">
        <v>12</v>
      </c>
      <c r="E43" s="9">
        <v>2024</v>
      </c>
      <c r="F43" s="10">
        <v>45627</v>
      </c>
      <c r="G43" s="11">
        <v>2534.840000000002</v>
      </c>
      <c r="H43" t="str">
        <f>_xlfn.XLOOKUP(C43,'COA Translation'!A:A,'COA Translation'!B:B)</f>
        <v>Advertising &amp; Marketing</v>
      </c>
      <c r="I43">
        <f>_xlfn.XLOOKUP(C43,'COA Translation'!A:A,'COA Translation'!C:C)</f>
        <v>0</v>
      </c>
      <c r="J43" t="str">
        <f>_xlfn.XLOOKUP(C43,'COA Translation'!A:A,'COA Translation'!E:E)</f>
        <v>Expense</v>
      </c>
    </row>
    <row r="44" spans="1:10" x14ac:dyDescent="0.3">
      <c r="A44" s="7" t="s">
        <v>145</v>
      </c>
      <c r="B44" s="8" t="s">
        <v>336</v>
      </c>
      <c r="C44" s="8" t="s">
        <v>349</v>
      </c>
      <c r="D44" s="9">
        <v>12</v>
      </c>
      <c r="E44" s="9">
        <v>2024</v>
      </c>
      <c r="F44" s="10">
        <v>45627</v>
      </c>
      <c r="G44" s="11">
        <v>260.75</v>
      </c>
      <c r="H44" t="str">
        <f>_xlfn.XLOOKUP(C44,'COA Translation'!A:A,'COA Translation'!B:B)</f>
        <v>Software</v>
      </c>
      <c r="I44">
        <f>_xlfn.XLOOKUP(C44,'COA Translation'!A:A,'COA Translation'!C:C)</f>
        <v>0</v>
      </c>
      <c r="J44" t="str">
        <f>_xlfn.XLOOKUP(C44,'COA Translation'!A:A,'COA Translation'!E:E)</f>
        <v>Expense</v>
      </c>
    </row>
    <row r="45" spans="1:10" x14ac:dyDescent="0.3">
      <c r="A45" s="7" t="s">
        <v>145</v>
      </c>
      <c r="B45" s="8" t="s">
        <v>336</v>
      </c>
      <c r="C45" s="8" t="s">
        <v>81</v>
      </c>
      <c r="D45" s="9">
        <v>12</v>
      </c>
      <c r="E45" s="9">
        <v>2024</v>
      </c>
      <c r="F45" s="10">
        <v>45627</v>
      </c>
      <c r="G45" s="11">
        <v>216.95000000000013</v>
      </c>
      <c r="H45" t="str">
        <f>_xlfn.XLOOKUP(C45,'COA Translation'!A:A,'COA Translation'!B:B)</f>
        <v>Software</v>
      </c>
      <c r="I45">
        <f>_xlfn.XLOOKUP(C45,'COA Translation'!A:A,'COA Translation'!C:C)</f>
        <v>0</v>
      </c>
      <c r="J45" t="str">
        <f>_xlfn.XLOOKUP(C45,'COA Translation'!A:A,'COA Translation'!E:E)</f>
        <v>Expense</v>
      </c>
    </row>
    <row r="46" spans="1:10" x14ac:dyDescent="0.3">
      <c r="A46" s="7" t="s">
        <v>145</v>
      </c>
      <c r="B46" s="8" t="s">
        <v>336</v>
      </c>
      <c r="C46" s="8" t="s">
        <v>350</v>
      </c>
      <c r="D46" s="9">
        <v>12</v>
      </c>
      <c r="E46" s="9">
        <v>2024</v>
      </c>
      <c r="F46" s="10">
        <v>45627</v>
      </c>
      <c r="G46" s="11">
        <v>2179.3000000000002</v>
      </c>
      <c r="H46" t="str">
        <f>_xlfn.XLOOKUP(C46,'COA Translation'!A:A,'COA Translation'!B:B)</f>
        <v>Telephone &amp; Internet</v>
      </c>
      <c r="I46">
        <f>_xlfn.XLOOKUP(C46,'COA Translation'!A:A,'COA Translation'!C:C)</f>
        <v>0</v>
      </c>
      <c r="J46" t="str">
        <f>_xlfn.XLOOKUP(C46,'COA Translation'!A:A,'COA Translation'!E:E)</f>
        <v>Expense</v>
      </c>
    </row>
    <row r="47" spans="1:10" x14ac:dyDescent="0.3">
      <c r="A47" s="7" t="s">
        <v>145</v>
      </c>
      <c r="B47" s="8" t="s">
        <v>336</v>
      </c>
      <c r="C47" s="8" t="s">
        <v>351</v>
      </c>
      <c r="D47" s="9">
        <v>12</v>
      </c>
      <c r="E47" s="9">
        <v>2024</v>
      </c>
      <c r="F47" s="10">
        <v>45627</v>
      </c>
      <c r="G47" s="11">
        <v>20.340000000000003</v>
      </c>
      <c r="H47" t="str">
        <f>_xlfn.XLOOKUP(C47,'COA Translation'!A:A,'COA Translation'!B:B)</f>
        <v>Payroll</v>
      </c>
      <c r="I47">
        <f>_xlfn.XLOOKUP(C47,'COA Translation'!A:A,'COA Translation'!C:C)</f>
        <v>0</v>
      </c>
      <c r="J47" t="str">
        <f>_xlfn.XLOOKUP(C47,'COA Translation'!A:A,'COA Translation'!E:E)</f>
        <v>Expense</v>
      </c>
    </row>
    <row r="48" spans="1:10" x14ac:dyDescent="0.3">
      <c r="A48" s="7" t="s">
        <v>145</v>
      </c>
      <c r="B48" s="8" t="s">
        <v>336</v>
      </c>
      <c r="C48" s="8" t="s">
        <v>352</v>
      </c>
      <c r="D48" s="9">
        <v>12</v>
      </c>
      <c r="E48" s="9">
        <v>2024</v>
      </c>
      <c r="F48" s="10">
        <v>45627</v>
      </c>
      <c r="G48" s="11">
        <v>-5.56</v>
      </c>
      <c r="H48" t="str">
        <f>_xlfn.XLOOKUP(C48,'COA Translation'!A:A,'COA Translation'!B:B)</f>
        <v>Office Supplies</v>
      </c>
      <c r="I48">
        <f>_xlfn.XLOOKUP(C48,'COA Translation'!A:A,'COA Translation'!C:C)</f>
        <v>0</v>
      </c>
      <c r="J48" t="str">
        <f>_xlfn.XLOOKUP(C48,'COA Translation'!A:A,'COA Translation'!E:E)</f>
        <v>Expense</v>
      </c>
    </row>
    <row r="49" spans="1:10" x14ac:dyDescent="0.3">
      <c r="A49" s="7" t="s">
        <v>145</v>
      </c>
      <c r="B49" s="8" t="s">
        <v>336</v>
      </c>
      <c r="C49" s="8" t="s">
        <v>353</v>
      </c>
      <c r="D49" s="9">
        <v>12</v>
      </c>
      <c r="E49" s="9">
        <v>2024</v>
      </c>
      <c r="F49" s="10">
        <v>45627</v>
      </c>
      <c r="G49" s="11">
        <v>0</v>
      </c>
      <c r="H49" t="str">
        <f>_xlfn.XLOOKUP(C49,'COA Translation'!A:A,'COA Translation'!B:B)</f>
        <v>Licenses &amp; Permits</v>
      </c>
      <c r="I49">
        <f>_xlfn.XLOOKUP(C49,'COA Translation'!A:A,'COA Translation'!C:C)</f>
        <v>0</v>
      </c>
      <c r="J49" t="str">
        <f>_xlfn.XLOOKUP(C49,'COA Translation'!A:A,'COA Translation'!E:E)</f>
        <v>Expense</v>
      </c>
    </row>
    <row r="50" spans="1:10" x14ac:dyDescent="0.3">
      <c r="A50" s="7" t="s">
        <v>145</v>
      </c>
      <c r="B50" s="8" t="s">
        <v>336</v>
      </c>
      <c r="C50" s="8" t="s">
        <v>354</v>
      </c>
      <c r="D50" s="9">
        <v>12</v>
      </c>
      <c r="E50" s="9">
        <v>2024</v>
      </c>
      <c r="F50" s="10">
        <v>45627</v>
      </c>
      <c r="G50" s="11">
        <v>42.5</v>
      </c>
      <c r="H50" t="str">
        <f>_xlfn.XLOOKUP(C50,'COA Translation'!A:A,'COA Translation'!B:B)</f>
        <v>Prof Fees - Legal/Acctg</v>
      </c>
      <c r="I50">
        <f>_xlfn.XLOOKUP(C50,'COA Translation'!A:A,'COA Translation'!C:C)</f>
        <v>0</v>
      </c>
      <c r="J50" t="str">
        <f>_xlfn.XLOOKUP(C50,'COA Translation'!A:A,'COA Translation'!E:E)</f>
        <v>Expense</v>
      </c>
    </row>
    <row r="51" spans="1:10" x14ac:dyDescent="0.3">
      <c r="A51" s="7" t="s">
        <v>145</v>
      </c>
      <c r="B51" s="8" t="s">
        <v>336</v>
      </c>
      <c r="C51" s="8" t="s">
        <v>355</v>
      </c>
      <c r="D51" s="9">
        <v>12</v>
      </c>
      <c r="E51" s="9">
        <v>2024</v>
      </c>
      <c r="F51" s="10">
        <v>45627</v>
      </c>
      <c r="G51" s="11">
        <v>14747.330000000004</v>
      </c>
      <c r="H51">
        <f>_xlfn.XLOOKUP(C51,'COA Translation'!A:A,'COA Translation'!B:B)</f>
        <v>0</v>
      </c>
      <c r="I51">
        <f>_xlfn.XLOOKUP(C51,'COA Translation'!A:A,'COA Translation'!C:C)</f>
        <v>0</v>
      </c>
      <c r="J51" t="str">
        <f>_xlfn.XLOOKUP(C51,'COA Translation'!A:A,'COA Translation'!E:E)</f>
        <v>TOTAL</v>
      </c>
    </row>
    <row r="52" spans="1:10" x14ac:dyDescent="0.3">
      <c r="A52" s="7" t="s">
        <v>145</v>
      </c>
      <c r="B52" s="8" t="s">
        <v>336</v>
      </c>
      <c r="C52" s="8" t="s">
        <v>356</v>
      </c>
      <c r="D52" s="9">
        <v>12</v>
      </c>
      <c r="E52" s="9">
        <v>2024</v>
      </c>
      <c r="F52" s="10">
        <v>45627</v>
      </c>
      <c r="G52" s="11">
        <v>16932.150000000005</v>
      </c>
      <c r="H52">
        <f>_xlfn.XLOOKUP(C52,'COA Translation'!A:A,'COA Translation'!B:B)</f>
        <v>0</v>
      </c>
      <c r="I52" t="str">
        <f>_xlfn.XLOOKUP(C52,'COA Translation'!A:A,'COA Translation'!C:C)</f>
        <v>Total Operating Expense</v>
      </c>
      <c r="J52" t="str">
        <f>_xlfn.XLOOKUP(C52,'COA Translation'!A:A,'COA Translation'!E:E)</f>
        <v>TOTAL</v>
      </c>
    </row>
    <row r="53" spans="1:10" x14ac:dyDescent="0.3">
      <c r="A53" s="7" t="s">
        <v>145</v>
      </c>
      <c r="B53" s="8" t="s">
        <v>336</v>
      </c>
      <c r="C53" s="8" t="s">
        <v>38</v>
      </c>
      <c r="D53" s="9">
        <v>12</v>
      </c>
      <c r="E53" s="9">
        <v>2024</v>
      </c>
      <c r="F53" s="10">
        <v>45627</v>
      </c>
      <c r="G53" s="11">
        <v>19545.839999999986</v>
      </c>
      <c r="H53">
        <f>_xlfn.XLOOKUP(C53,'COA Translation'!A:A,'COA Translation'!B:B)</f>
        <v>0</v>
      </c>
      <c r="I53" t="str">
        <f>_xlfn.XLOOKUP(C53,'COA Translation'!A:A,'COA Translation'!C:C)</f>
        <v>Net Operating Income</v>
      </c>
      <c r="J53" t="str">
        <f>_xlfn.XLOOKUP(C53,'COA Translation'!A:A,'COA Translation'!E:E)</f>
        <v>TOTAL</v>
      </c>
    </row>
    <row r="54" spans="1:10" x14ac:dyDescent="0.3">
      <c r="A54" s="7" t="s">
        <v>145</v>
      </c>
      <c r="B54" s="8" t="s">
        <v>336</v>
      </c>
      <c r="C54" s="8" t="s">
        <v>7</v>
      </c>
      <c r="D54" s="9">
        <v>1</v>
      </c>
      <c r="E54" s="9">
        <v>2025</v>
      </c>
      <c r="F54" s="10">
        <v>45658</v>
      </c>
      <c r="G54" s="11">
        <v>34544.200000000004</v>
      </c>
      <c r="H54" t="str">
        <f>_xlfn.XLOOKUP(C54,'COA Translation'!A:A,'COA Translation'!B:B)</f>
        <v>Rental Income</v>
      </c>
      <c r="I54" t="str">
        <f>_xlfn.XLOOKUP(C54,'COA Translation'!A:A,'COA Translation'!C:C)</f>
        <v>Net Rental Income</v>
      </c>
      <c r="J54" t="str">
        <f>_xlfn.XLOOKUP(C54,'COA Translation'!A:A,'COA Translation'!E:E)</f>
        <v>Income</v>
      </c>
    </row>
    <row r="55" spans="1:10" x14ac:dyDescent="0.3">
      <c r="A55" s="7" t="s">
        <v>145</v>
      </c>
      <c r="B55" s="8" t="s">
        <v>336</v>
      </c>
      <c r="C55" s="8" t="s">
        <v>337</v>
      </c>
      <c r="D55" s="9">
        <v>1</v>
      </c>
      <c r="E55" s="9">
        <v>2025</v>
      </c>
      <c r="F55" s="10">
        <v>45658</v>
      </c>
      <c r="G55" s="11">
        <v>2322</v>
      </c>
      <c r="H55" t="str">
        <f>_xlfn.XLOOKUP(C55,'COA Translation'!A:A,'COA Translation'!B:B)</f>
        <v>Current Tenant Protection Split</v>
      </c>
      <c r="I55">
        <f>_xlfn.XLOOKUP(C55,'COA Translation'!A:A,'COA Translation'!C:C)</f>
        <v>0</v>
      </c>
      <c r="J55" t="str">
        <f>_xlfn.XLOOKUP(C55,'COA Translation'!A:A,'COA Translation'!E:E)</f>
        <v>Income</v>
      </c>
    </row>
    <row r="56" spans="1:10" x14ac:dyDescent="0.3">
      <c r="A56" s="7" t="s">
        <v>145</v>
      </c>
      <c r="B56" s="8" t="s">
        <v>336</v>
      </c>
      <c r="C56" s="8" t="s">
        <v>338</v>
      </c>
      <c r="D56" s="9">
        <v>1</v>
      </c>
      <c r="E56" s="9">
        <v>2025</v>
      </c>
      <c r="F56" s="10">
        <v>45658</v>
      </c>
      <c r="G56" s="11">
        <v>967.88</v>
      </c>
      <c r="H56" t="str">
        <f>_xlfn.XLOOKUP(C56,'COA Translation'!A:A,'COA Translation'!B:B)</f>
        <v>Retail Sales Income</v>
      </c>
      <c r="I56">
        <f>_xlfn.XLOOKUP(C56,'COA Translation'!A:A,'COA Translation'!C:C)</f>
        <v>0</v>
      </c>
      <c r="J56" t="str">
        <f>_xlfn.XLOOKUP(C56,'COA Translation'!A:A,'COA Translation'!E:E)</f>
        <v>Income</v>
      </c>
    </row>
    <row r="57" spans="1:10" x14ac:dyDescent="0.3">
      <c r="A57" s="7" t="s">
        <v>145</v>
      </c>
      <c r="B57" s="8" t="s">
        <v>336</v>
      </c>
      <c r="C57" s="8" t="s">
        <v>339</v>
      </c>
      <c r="D57" s="9">
        <v>1</v>
      </c>
      <c r="E57" s="9">
        <v>2025</v>
      </c>
      <c r="F57" s="10">
        <v>45658</v>
      </c>
      <c r="G57" s="11">
        <v>3195.2</v>
      </c>
      <c r="H57" t="str">
        <f>_xlfn.XLOOKUP(C57,'COA Translation'!A:A,'COA Translation'!B:B)</f>
        <v>Admin Fee Income</v>
      </c>
      <c r="I57">
        <f>_xlfn.XLOOKUP(C57,'COA Translation'!A:A,'COA Translation'!C:C)</f>
        <v>0</v>
      </c>
      <c r="J57" t="str">
        <f>_xlfn.XLOOKUP(C57,'COA Translation'!A:A,'COA Translation'!E:E)</f>
        <v>Income</v>
      </c>
    </row>
    <row r="58" spans="1:10" x14ac:dyDescent="0.3">
      <c r="A58" s="7" t="s">
        <v>145</v>
      </c>
      <c r="B58" s="8" t="s">
        <v>336</v>
      </c>
      <c r="C58" s="8" t="s">
        <v>310</v>
      </c>
      <c r="D58" s="9">
        <v>1</v>
      </c>
      <c r="E58" s="9">
        <v>2025</v>
      </c>
      <c r="F58" s="10">
        <v>45658</v>
      </c>
      <c r="G58" s="11">
        <v>41029.279999999999</v>
      </c>
      <c r="H58">
        <f>_xlfn.XLOOKUP(C58,'COA Translation'!A:A,'COA Translation'!B:B)</f>
        <v>0</v>
      </c>
      <c r="I58" t="str">
        <f>_xlfn.XLOOKUP(C58,'COA Translation'!A:A,'COA Translation'!C:C)</f>
        <v>Total Revenue</v>
      </c>
      <c r="J58" t="str">
        <f>_xlfn.XLOOKUP(C58,'COA Translation'!A:A,'COA Translation'!E:E)</f>
        <v>TOTAL</v>
      </c>
    </row>
    <row r="59" spans="1:10" x14ac:dyDescent="0.3">
      <c r="A59" s="7" t="s">
        <v>145</v>
      </c>
      <c r="B59" s="8" t="s">
        <v>336</v>
      </c>
      <c r="C59" s="8" t="s">
        <v>340</v>
      </c>
      <c r="D59" s="9">
        <v>1</v>
      </c>
      <c r="E59" s="9">
        <v>2025</v>
      </c>
      <c r="F59" s="10">
        <v>45658</v>
      </c>
      <c r="G59" s="11">
        <v>299</v>
      </c>
      <c r="H59" t="str">
        <f>_xlfn.XLOOKUP(C59,'COA Translation'!A:A,'COA Translation'!B:B)</f>
        <v>Software</v>
      </c>
      <c r="I59">
        <f>_xlfn.XLOOKUP(C59,'COA Translation'!A:A,'COA Translation'!C:C)</f>
        <v>0</v>
      </c>
      <c r="J59" t="str">
        <f>_xlfn.XLOOKUP(C59,'COA Translation'!A:A,'COA Translation'!E:E)</f>
        <v>Expense</v>
      </c>
    </row>
    <row r="60" spans="1:10" x14ac:dyDescent="0.3">
      <c r="A60" s="7" t="s">
        <v>145</v>
      </c>
      <c r="B60" s="8" t="s">
        <v>336</v>
      </c>
      <c r="C60" s="8" t="s">
        <v>341</v>
      </c>
      <c r="D60" s="9">
        <v>1</v>
      </c>
      <c r="E60" s="9">
        <v>2025</v>
      </c>
      <c r="F60" s="10">
        <v>45658</v>
      </c>
      <c r="G60" s="11">
        <v>549</v>
      </c>
      <c r="H60" t="str">
        <f>_xlfn.XLOOKUP(C60,'COA Translation'!A:A,'COA Translation'!B:B)</f>
        <v>Software</v>
      </c>
      <c r="I60">
        <f>_xlfn.XLOOKUP(C60,'COA Translation'!A:A,'COA Translation'!C:C)</f>
        <v>0</v>
      </c>
      <c r="J60" t="str">
        <f>_xlfn.XLOOKUP(C60,'COA Translation'!A:A,'COA Translation'!E:E)</f>
        <v>Expense</v>
      </c>
    </row>
    <row r="61" spans="1:10" x14ac:dyDescent="0.3">
      <c r="A61" s="7" t="s">
        <v>145</v>
      </c>
      <c r="B61" s="8" t="s">
        <v>336</v>
      </c>
      <c r="C61" s="8" t="s">
        <v>146</v>
      </c>
      <c r="D61" s="9">
        <v>1</v>
      </c>
      <c r="E61" s="9">
        <v>2025</v>
      </c>
      <c r="F61" s="10">
        <v>45658</v>
      </c>
      <c r="G61" s="11">
        <v>1574.8</v>
      </c>
      <c r="H61" t="str">
        <f>_xlfn.XLOOKUP(C61,'COA Translation'!A:A,'COA Translation'!B:B)</f>
        <v>Current Mgmt. Fee</v>
      </c>
      <c r="I61">
        <f>_xlfn.XLOOKUP(C61,'COA Translation'!A:A,'COA Translation'!C:C)</f>
        <v>0</v>
      </c>
      <c r="J61" t="str">
        <f>_xlfn.XLOOKUP(C61,'COA Translation'!A:A,'COA Translation'!E:E)</f>
        <v>Expense</v>
      </c>
    </row>
    <row r="62" spans="1:10" x14ac:dyDescent="0.3">
      <c r="A62" s="7" t="s">
        <v>145</v>
      </c>
      <c r="B62" s="8" t="s">
        <v>336</v>
      </c>
      <c r="C62" s="8" t="s">
        <v>342</v>
      </c>
      <c r="D62" s="9">
        <v>1</v>
      </c>
      <c r="E62" s="9">
        <v>2025</v>
      </c>
      <c r="F62" s="10">
        <v>45658</v>
      </c>
      <c r="G62" s="11">
        <v>2422.8000000000002</v>
      </c>
      <c r="H62">
        <f>_xlfn.XLOOKUP(C62,'COA Translation'!A:A,'COA Translation'!B:B)</f>
        <v>0</v>
      </c>
      <c r="I62">
        <f>_xlfn.XLOOKUP(C62,'COA Translation'!A:A,'COA Translation'!C:C)</f>
        <v>0</v>
      </c>
      <c r="J62" t="str">
        <f>_xlfn.XLOOKUP(C62,'COA Translation'!A:A,'COA Translation'!E:E)</f>
        <v>TOTAL</v>
      </c>
    </row>
    <row r="63" spans="1:10" x14ac:dyDescent="0.3">
      <c r="A63" s="7" t="s">
        <v>145</v>
      </c>
      <c r="B63" s="8" t="s">
        <v>336</v>
      </c>
      <c r="C63" s="8" t="s">
        <v>343</v>
      </c>
      <c r="D63" s="9">
        <v>1</v>
      </c>
      <c r="E63" s="9">
        <v>2025</v>
      </c>
      <c r="F63" s="10">
        <v>45658</v>
      </c>
      <c r="G63" s="11">
        <v>499.4</v>
      </c>
      <c r="H63" t="str">
        <f>_xlfn.XLOOKUP(C63,'COA Translation'!A:A,'COA Translation'!B:B)</f>
        <v>Retail Products</v>
      </c>
      <c r="I63">
        <f>_xlfn.XLOOKUP(C63,'COA Translation'!A:A,'COA Translation'!C:C)</f>
        <v>0</v>
      </c>
      <c r="J63" t="str">
        <f>_xlfn.XLOOKUP(C63,'COA Translation'!A:A,'COA Translation'!E:E)</f>
        <v>Expense</v>
      </c>
    </row>
    <row r="64" spans="1:10" x14ac:dyDescent="0.3">
      <c r="A64" s="7" t="s">
        <v>145</v>
      </c>
      <c r="B64" s="8" t="s">
        <v>336</v>
      </c>
      <c r="C64" s="8" t="s">
        <v>344</v>
      </c>
      <c r="D64" s="9">
        <v>1</v>
      </c>
      <c r="E64" s="9">
        <v>2025</v>
      </c>
      <c r="F64" s="10">
        <v>45658</v>
      </c>
      <c r="G64" s="11">
        <v>4556.92</v>
      </c>
      <c r="H64" t="str">
        <f>_xlfn.XLOOKUP(C64,'COA Translation'!A:A,'COA Translation'!B:B)</f>
        <v>Payroll</v>
      </c>
      <c r="I64">
        <f>_xlfn.XLOOKUP(C64,'COA Translation'!A:A,'COA Translation'!C:C)</f>
        <v>0</v>
      </c>
      <c r="J64" t="str">
        <f>_xlfn.XLOOKUP(C64,'COA Translation'!A:A,'COA Translation'!E:E)</f>
        <v>Expense</v>
      </c>
    </row>
    <row r="65" spans="1:10" x14ac:dyDescent="0.3">
      <c r="A65" s="7" t="s">
        <v>145</v>
      </c>
      <c r="B65" s="8" t="s">
        <v>336</v>
      </c>
      <c r="C65" s="8" t="s">
        <v>345</v>
      </c>
      <c r="D65" s="9">
        <v>1</v>
      </c>
      <c r="E65" s="9">
        <v>2025</v>
      </c>
      <c r="F65" s="10">
        <v>45658</v>
      </c>
      <c r="G65" s="11">
        <v>1144.3399999999999</v>
      </c>
      <c r="H65" t="str">
        <f>_xlfn.XLOOKUP(C65,'COA Translation'!A:A,'COA Translation'!B:B)</f>
        <v>Current Mgmt. Fee</v>
      </c>
      <c r="I65">
        <f>_xlfn.XLOOKUP(C65,'COA Translation'!A:A,'COA Translation'!C:C)</f>
        <v>0</v>
      </c>
      <c r="J65" t="str">
        <f>_xlfn.XLOOKUP(C65,'COA Translation'!A:A,'COA Translation'!E:E)</f>
        <v>Expense</v>
      </c>
    </row>
    <row r="66" spans="1:10" x14ac:dyDescent="0.3">
      <c r="A66" s="7" t="s">
        <v>145</v>
      </c>
      <c r="B66" s="8" t="s">
        <v>336</v>
      </c>
      <c r="C66" s="8" t="s">
        <v>34</v>
      </c>
      <c r="D66" s="9">
        <v>1</v>
      </c>
      <c r="E66" s="9">
        <v>2025</v>
      </c>
      <c r="F66" s="10">
        <v>45658</v>
      </c>
      <c r="G66" s="11">
        <v>0</v>
      </c>
      <c r="H66" t="str">
        <f>_xlfn.XLOOKUP(C66,'COA Translation'!A:A,'COA Translation'!B:B)</f>
        <v>Utilities</v>
      </c>
      <c r="I66">
        <f>_xlfn.XLOOKUP(C66,'COA Translation'!A:A,'COA Translation'!C:C)</f>
        <v>0</v>
      </c>
      <c r="J66" t="str">
        <f>_xlfn.XLOOKUP(C66,'COA Translation'!A:A,'COA Translation'!E:E)</f>
        <v>Expense</v>
      </c>
    </row>
    <row r="67" spans="1:10" x14ac:dyDescent="0.3">
      <c r="A67" s="7" t="s">
        <v>145</v>
      </c>
      <c r="B67" s="8" t="s">
        <v>336</v>
      </c>
      <c r="C67" s="8" t="s">
        <v>346</v>
      </c>
      <c r="D67" s="9">
        <v>1</v>
      </c>
      <c r="E67" s="9">
        <v>2025</v>
      </c>
      <c r="F67" s="10">
        <v>45658</v>
      </c>
      <c r="G67" s="11">
        <v>2119.0500000000002</v>
      </c>
      <c r="H67" t="str">
        <f>_xlfn.XLOOKUP(C67,'COA Translation'!A:A,'COA Translation'!B:B)</f>
        <v>Repairs &amp; Maintenance</v>
      </c>
      <c r="I67">
        <f>_xlfn.XLOOKUP(C67,'COA Translation'!A:A,'COA Translation'!C:C)</f>
        <v>0</v>
      </c>
      <c r="J67" t="str">
        <f>_xlfn.XLOOKUP(C67,'COA Translation'!A:A,'COA Translation'!E:E)</f>
        <v>Expense</v>
      </c>
    </row>
    <row r="68" spans="1:10" x14ac:dyDescent="0.3">
      <c r="A68" s="7" t="s">
        <v>145</v>
      </c>
      <c r="B68" s="8" t="s">
        <v>336</v>
      </c>
      <c r="C68" s="8" t="s">
        <v>347</v>
      </c>
      <c r="D68" s="9">
        <v>1</v>
      </c>
      <c r="E68" s="9">
        <v>2025</v>
      </c>
      <c r="F68" s="10">
        <v>45658</v>
      </c>
      <c r="G68" s="11">
        <v>611.93999999999994</v>
      </c>
      <c r="H68" t="str">
        <f>_xlfn.XLOOKUP(C68,'COA Translation'!A:A,'COA Translation'!B:B)</f>
        <v>Current Credit Card Security Fees</v>
      </c>
      <c r="I68">
        <f>_xlfn.XLOOKUP(C68,'COA Translation'!A:A,'COA Translation'!C:C)</f>
        <v>0</v>
      </c>
      <c r="J68" t="str">
        <f>_xlfn.XLOOKUP(C68,'COA Translation'!A:A,'COA Translation'!E:E)</f>
        <v>Expense</v>
      </c>
    </row>
    <row r="69" spans="1:10" x14ac:dyDescent="0.3">
      <c r="A69" s="7" t="s">
        <v>145</v>
      </c>
      <c r="B69" s="8" t="s">
        <v>336</v>
      </c>
      <c r="C69" s="8" t="s">
        <v>348</v>
      </c>
      <c r="D69" s="9">
        <v>1</v>
      </c>
      <c r="E69" s="9">
        <v>2025</v>
      </c>
      <c r="F69" s="10">
        <v>45658</v>
      </c>
      <c r="G69" s="11">
        <v>3717.23</v>
      </c>
      <c r="H69" t="str">
        <f>_xlfn.XLOOKUP(C69,'COA Translation'!A:A,'COA Translation'!B:B)</f>
        <v>Advertising &amp; Marketing</v>
      </c>
      <c r="I69">
        <f>_xlfn.XLOOKUP(C69,'COA Translation'!A:A,'COA Translation'!C:C)</f>
        <v>0</v>
      </c>
      <c r="J69" t="str">
        <f>_xlfn.XLOOKUP(C69,'COA Translation'!A:A,'COA Translation'!E:E)</f>
        <v>Expense</v>
      </c>
    </row>
    <row r="70" spans="1:10" x14ac:dyDescent="0.3">
      <c r="A70" s="7" t="s">
        <v>145</v>
      </c>
      <c r="B70" s="8" t="s">
        <v>336</v>
      </c>
      <c r="C70" s="8" t="s">
        <v>349</v>
      </c>
      <c r="D70" s="9">
        <v>1</v>
      </c>
      <c r="E70" s="9">
        <v>2025</v>
      </c>
      <c r="F70" s="10">
        <v>45658</v>
      </c>
      <c r="G70" s="11">
        <v>261.8</v>
      </c>
      <c r="H70" t="str">
        <f>_xlfn.XLOOKUP(C70,'COA Translation'!A:A,'COA Translation'!B:B)</f>
        <v>Software</v>
      </c>
      <c r="I70">
        <f>_xlfn.XLOOKUP(C70,'COA Translation'!A:A,'COA Translation'!C:C)</f>
        <v>0</v>
      </c>
      <c r="J70" t="str">
        <f>_xlfn.XLOOKUP(C70,'COA Translation'!A:A,'COA Translation'!E:E)</f>
        <v>Expense</v>
      </c>
    </row>
    <row r="71" spans="1:10" x14ac:dyDescent="0.3">
      <c r="A71" s="7" t="s">
        <v>145</v>
      </c>
      <c r="B71" s="8" t="s">
        <v>336</v>
      </c>
      <c r="C71" s="8" t="s">
        <v>81</v>
      </c>
      <c r="D71" s="9">
        <v>1</v>
      </c>
      <c r="E71" s="9">
        <v>2025</v>
      </c>
      <c r="F71" s="10">
        <v>45658</v>
      </c>
      <c r="G71" s="11">
        <v>296.05</v>
      </c>
      <c r="H71" t="str">
        <f>_xlfn.XLOOKUP(C71,'COA Translation'!A:A,'COA Translation'!B:B)</f>
        <v>Software</v>
      </c>
      <c r="I71">
        <f>_xlfn.XLOOKUP(C71,'COA Translation'!A:A,'COA Translation'!C:C)</f>
        <v>0</v>
      </c>
      <c r="J71" t="str">
        <f>_xlfn.XLOOKUP(C71,'COA Translation'!A:A,'COA Translation'!E:E)</f>
        <v>Expense</v>
      </c>
    </row>
    <row r="72" spans="1:10" x14ac:dyDescent="0.3">
      <c r="A72" s="7" t="s">
        <v>145</v>
      </c>
      <c r="B72" s="8" t="s">
        <v>336</v>
      </c>
      <c r="C72" s="8" t="s">
        <v>350</v>
      </c>
      <c r="D72" s="9">
        <v>1</v>
      </c>
      <c r="E72" s="9">
        <v>2025</v>
      </c>
      <c r="F72" s="10">
        <v>45658</v>
      </c>
      <c r="G72" s="11">
        <v>6.24</v>
      </c>
      <c r="H72" t="str">
        <f>_xlfn.XLOOKUP(C72,'COA Translation'!A:A,'COA Translation'!B:B)</f>
        <v>Telephone &amp; Internet</v>
      </c>
      <c r="I72">
        <f>_xlfn.XLOOKUP(C72,'COA Translation'!A:A,'COA Translation'!C:C)</f>
        <v>0</v>
      </c>
      <c r="J72" t="str">
        <f>_xlfn.XLOOKUP(C72,'COA Translation'!A:A,'COA Translation'!E:E)</f>
        <v>Expense</v>
      </c>
    </row>
    <row r="73" spans="1:10" x14ac:dyDescent="0.3">
      <c r="A73" s="7" t="s">
        <v>145</v>
      </c>
      <c r="B73" s="8" t="s">
        <v>336</v>
      </c>
      <c r="C73" s="8" t="s">
        <v>351</v>
      </c>
      <c r="D73" s="9">
        <v>1</v>
      </c>
      <c r="E73" s="9">
        <v>2025</v>
      </c>
      <c r="F73" s="10">
        <v>45658</v>
      </c>
      <c r="G73" s="11">
        <v>13.71</v>
      </c>
      <c r="H73" t="str">
        <f>_xlfn.XLOOKUP(C73,'COA Translation'!A:A,'COA Translation'!B:B)</f>
        <v>Payroll</v>
      </c>
      <c r="I73">
        <f>_xlfn.XLOOKUP(C73,'COA Translation'!A:A,'COA Translation'!C:C)</f>
        <v>0</v>
      </c>
      <c r="J73" t="str">
        <f>_xlfn.XLOOKUP(C73,'COA Translation'!A:A,'COA Translation'!E:E)</f>
        <v>Expense</v>
      </c>
    </row>
    <row r="74" spans="1:10" x14ac:dyDescent="0.3">
      <c r="A74" s="7" t="s">
        <v>145</v>
      </c>
      <c r="B74" s="8" t="s">
        <v>336</v>
      </c>
      <c r="C74" s="8" t="s">
        <v>352</v>
      </c>
      <c r="D74" s="9">
        <v>1</v>
      </c>
      <c r="E74" s="9">
        <v>2025</v>
      </c>
      <c r="F74" s="10">
        <v>45658</v>
      </c>
      <c r="G74" s="11">
        <v>122.5</v>
      </c>
      <c r="H74" t="str">
        <f>_xlfn.XLOOKUP(C74,'COA Translation'!A:A,'COA Translation'!B:B)</f>
        <v>Office Supplies</v>
      </c>
      <c r="I74">
        <f>_xlfn.XLOOKUP(C74,'COA Translation'!A:A,'COA Translation'!C:C)</f>
        <v>0</v>
      </c>
      <c r="J74" t="str">
        <f>_xlfn.XLOOKUP(C74,'COA Translation'!A:A,'COA Translation'!E:E)</f>
        <v>Expense</v>
      </c>
    </row>
    <row r="75" spans="1:10" x14ac:dyDescent="0.3">
      <c r="A75" s="7" t="s">
        <v>145</v>
      </c>
      <c r="B75" s="8" t="s">
        <v>336</v>
      </c>
      <c r="C75" s="8" t="s">
        <v>353</v>
      </c>
      <c r="D75" s="9">
        <v>1</v>
      </c>
      <c r="E75" s="9">
        <v>2025</v>
      </c>
      <c r="F75" s="10">
        <v>45658</v>
      </c>
      <c r="G75" s="11">
        <v>0</v>
      </c>
      <c r="H75" t="str">
        <f>_xlfn.XLOOKUP(C75,'COA Translation'!A:A,'COA Translation'!B:B)</f>
        <v>Licenses &amp; Permits</v>
      </c>
      <c r="I75">
        <f>_xlfn.XLOOKUP(C75,'COA Translation'!A:A,'COA Translation'!C:C)</f>
        <v>0</v>
      </c>
      <c r="J75" t="str">
        <f>_xlfn.XLOOKUP(C75,'COA Translation'!A:A,'COA Translation'!E:E)</f>
        <v>Expense</v>
      </c>
    </row>
    <row r="76" spans="1:10" x14ac:dyDescent="0.3">
      <c r="A76" s="7" t="s">
        <v>145</v>
      </c>
      <c r="B76" s="8" t="s">
        <v>336</v>
      </c>
      <c r="C76" s="8" t="s">
        <v>354</v>
      </c>
      <c r="D76" s="9">
        <v>1</v>
      </c>
      <c r="E76" s="9">
        <v>2025</v>
      </c>
      <c r="F76" s="10">
        <v>45658</v>
      </c>
      <c r="G76" s="11">
        <v>42.5</v>
      </c>
      <c r="H76" t="str">
        <f>_xlfn.XLOOKUP(C76,'COA Translation'!A:A,'COA Translation'!B:B)</f>
        <v>Prof Fees - Legal/Acctg</v>
      </c>
      <c r="I76">
        <f>_xlfn.XLOOKUP(C76,'COA Translation'!A:A,'COA Translation'!C:C)</f>
        <v>0</v>
      </c>
      <c r="J76" t="str">
        <f>_xlfn.XLOOKUP(C76,'COA Translation'!A:A,'COA Translation'!E:E)</f>
        <v>Expense</v>
      </c>
    </row>
    <row r="77" spans="1:10" x14ac:dyDescent="0.3">
      <c r="A77" s="7" t="s">
        <v>145</v>
      </c>
      <c r="B77" s="8" t="s">
        <v>336</v>
      </c>
      <c r="C77" s="8" t="s">
        <v>355</v>
      </c>
      <c r="D77" s="9">
        <v>1</v>
      </c>
      <c r="E77" s="9">
        <v>2025</v>
      </c>
      <c r="F77" s="10">
        <v>45658</v>
      </c>
      <c r="G77" s="11">
        <v>13391.679999999997</v>
      </c>
      <c r="H77">
        <f>_xlfn.XLOOKUP(C77,'COA Translation'!A:A,'COA Translation'!B:B)</f>
        <v>0</v>
      </c>
      <c r="I77">
        <f>_xlfn.XLOOKUP(C77,'COA Translation'!A:A,'COA Translation'!C:C)</f>
        <v>0</v>
      </c>
      <c r="J77" t="str">
        <f>_xlfn.XLOOKUP(C77,'COA Translation'!A:A,'COA Translation'!E:E)</f>
        <v>TOTAL</v>
      </c>
    </row>
    <row r="78" spans="1:10" x14ac:dyDescent="0.3">
      <c r="A78" s="7" t="s">
        <v>145</v>
      </c>
      <c r="B78" s="8" t="s">
        <v>336</v>
      </c>
      <c r="C78" s="8" t="s">
        <v>356</v>
      </c>
      <c r="D78" s="9">
        <v>1</v>
      </c>
      <c r="E78" s="9">
        <v>2025</v>
      </c>
      <c r="F78" s="10">
        <v>45658</v>
      </c>
      <c r="G78" s="11">
        <v>15814.479999999996</v>
      </c>
      <c r="H78">
        <f>_xlfn.XLOOKUP(C78,'COA Translation'!A:A,'COA Translation'!B:B)</f>
        <v>0</v>
      </c>
      <c r="I78" t="str">
        <f>_xlfn.XLOOKUP(C78,'COA Translation'!A:A,'COA Translation'!C:C)</f>
        <v>Total Operating Expense</v>
      </c>
      <c r="J78" t="str">
        <f>_xlfn.XLOOKUP(C78,'COA Translation'!A:A,'COA Translation'!E:E)</f>
        <v>TOTAL</v>
      </c>
    </row>
    <row r="79" spans="1:10" x14ac:dyDescent="0.3">
      <c r="A79" s="7" t="s">
        <v>145</v>
      </c>
      <c r="B79" s="8" t="s">
        <v>336</v>
      </c>
      <c r="C79" s="8" t="s">
        <v>38</v>
      </c>
      <c r="D79" s="9">
        <v>1</v>
      </c>
      <c r="E79" s="9">
        <v>2025</v>
      </c>
      <c r="F79" s="10">
        <v>45658</v>
      </c>
      <c r="G79" s="11">
        <v>25214.800000000003</v>
      </c>
      <c r="H79">
        <f>_xlfn.XLOOKUP(C79,'COA Translation'!A:A,'COA Translation'!B:B)</f>
        <v>0</v>
      </c>
      <c r="I79" t="str">
        <f>_xlfn.XLOOKUP(C79,'COA Translation'!A:A,'COA Translation'!C:C)</f>
        <v>Net Operating Income</v>
      </c>
      <c r="J79" t="str">
        <f>_xlfn.XLOOKUP(C79,'COA Translation'!A:A,'COA Translation'!E:E)</f>
        <v>TOTAL</v>
      </c>
    </row>
    <row r="80" spans="1:10" x14ac:dyDescent="0.3">
      <c r="A80" s="7" t="s">
        <v>145</v>
      </c>
      <c r="B80" s="8" t="s">
        <v>336</v>
      </c>
      <c r="C80" s="8" t="s">
        <v>7</v>
      </c>
      <c r="D80" s="9">
        <v>2</v>
      </c>
      <c r="E80" s="9">
        <v>2025</v>
      </c>
      <c r="F80" s="10">
        <v>45689</v>
      </c>
      <c r="G80" s="11">
        <v>41324.649999999994</v>
      </c>
      <c r="H80" t="str">
        <f>_xlfn.XLOOKUP(C80,'COA Translation'!A:A,'COA Translation'!B:B)</f>
        <v>Rental Income</v>
      </c>
      <c r="I80" t="str">
        <f>_xlfn.XLOOKUP(C80,'COA Translation'!A:A,'COA Translation'!C:C)</f>
        <v>Net Rental Income</v>
      </c>
      <c r="J80" t="str">
        <f>_xlfn.XLOOKUP(C80,'COA Translation'!A:A,'COA Translation'!E:E)</f>
        <v>Income</v>
      </c>
    </row>
    <row r="81" spans="1:10" x14ac:dyDescent="0.3">
      <c r="A81" s="7" t="s">
        <v>145</v>
      </c>
      <c r="B81" s="8" t="s">
        <v>336</v>
      </c>
      <c r="C81" s="8" t="s">
        <v>7</v>
      </c>
      <c r="D81" s="9">
        <v>3</v>
      </c>
      <c r="E81" s="9">
        <v>2025</v>
      </c>
      <c r="F81" s="10">
        <v>45717</v>
      </c>
      <c r="G81" s="11">
        <v>48906.560000000005</v>
      </c>
      <c r="H81" t="str">
        <f>_xlfn.XLOOKUP(C81,'COA Translation'!A:A,'COA Translation'!B:B)</f>
        <v>Rental Income</v>
      </c>
      <c r="I81" t="str">
        <f>_xlfn.XLOOKUP(C81,'COA Translation'!A:A,'COA Translation'!C:C)</f>
        <v>Net Rental Income</v>
      </c>
      <c r="J81" t="str">
        <f>_xlfn.XLOOKUP(C81,'COA Translation'!A:A,'COA Translation'!E:E)</f>
        <v>Income</v>
      </c>
    </row>
    <row r="82" spans="1:10" x14ac:dyDescent="0.3">
      <c r="A82" s="7" t="s">
        <v>145</v>
      </c>
      <c r="B82" s="8" t="s">
        <v>336</v>
      </c>
      <c r="C82" s="8" t="s">
        <v>7</v>
      </c>
      <c r="D82" s="9">
        <v>4</v>
      </c>
      <c r="E82" s="9">
        <v>2025</v>
      </c>
      <c r="F82" s="10">
        <v>45748</v>
      </c>
      <c r="G82" s="11">
        <v>54138.43</v>
      </c>
      <c r="H82" t="str">
        <f>_xlfn.XLOOKUP(C82,'COA Translation'!A:A,'COA Translation'!B:B)</f>
        <v>Rental Income</v>
      </c>
      <c r="I82" t="str">
        <f>_xlfn.XLOOKUP(C82,'COA Translation'!A:A,'COA Translation'!C:C)</f>
        <v>Net Rental Income</v>
      </c>
      <c r="J82" t="str">
        <f>_xlfn.XLOOKUP(C82,'COA Translation'!A:A,'COA Translation'!E:E)</f>
        <v>Income</v>
      </c>
    </row>
    <row r="83" spans="1:10" x14ac:dyDescent="0.3">
      <c r="A83" s="7" t="s">
        <v>145</v>
      </c>
      <c r="B83" s="8" t="s">
        <v>336</v>
      </c>
      <c r="C83" s="8" t="s">
        <v>7</v>
      </c>
      <c r="D83" s="9">
        <v>5</v>
      </c>
      <c r="E83" s="9">
        <v>2025</v>
      </c>
      <c r="F83" s="10">
        <v>45778</v>
      </c>
      <c r="G83" s="11">
        <v>60857.869999999995</v>
      </c>
      <c r="H83" t="str">
        <f>_xlfn.XLOOKUP(C83,'COA Translation'!A:A,'COA Translation'!B:B)</f>
        <v>Rental Income</v>
      </c>
      <c r="I83" t="str">
        <f>_xlfn.XLOOKUP(C83,'COA Translation'!A:A,'COA Translation'!C:C)</f>
        <v>Net Rental Income</v>
      </c>
      <c r="J83" t="str">
        <f>_xlfn.XLOOKUP(C83,'COA Translation'!A:A,'COA Translation'!E:E)</f>
        <v>Income</v>
      </c>
    </row>
    <row r="84" spans="1:10" x14ac:dyDescent="0.3">
      <c r="A84" s="7" t="s">
        <v>145</v>
      </c>
      <c r="B84" s="8" t="s">
        <v>336</v>
      </c>
      <c r="C84" s="8" t="s">
        <v>7</v>
      </c>
      <c r="D84" s="9">
        <v>6</v>
      </c>
      <c r="E84" s="9">
        <v>2025</v>
      </c>
      <c r="F84" s="10">
        <v>45809</v>
      </c>
      <c r="G84" s="11">
        <v>65220.380000000005</v>
      </c>
      <c r="H84" t="str">
        <f>_xlfn.XLOOKUP(C84,'COA Translation'!A:A,'COA Translation'!B:B)</f>
        <v>Rental Income</v>
      </c>
      <c r="I84" t="str">
        <f>_xlfn.XLOOKUP(C84,'COA Translation'!A:A,'COA Translation'!C:C)</f>
        <v>Net Rental Income</v>
      </c>
      <c r="J84" t="str">
        <f>_xlfn.XLOOKUP(C84,'COA Translation'!A:A,'COA Translation'!E:E)</f>
        <v>Income</v>
      </c>
    </row>
    <row r="85" spans="1:10" x14ac:dyDescent="0.3">
      <c r="A85" s="7" t="s">
        <v>145</v>
      </c>
      <c r="B85" s="8" t="s">
        <v>336</v>
      </c>
      <c r="C85" s="8" t="s">
        <v>7</v>
      </c>
      <c r="D85" s="9">
        <v>7</v>
      </c>
      <c r="E85" s="9">
        <v>2025</v>
      </c>
      <c r="F85" s="10">
        <v>45839</v>
      </c>
      <c r="G85" s="11">
        <v>72813.540000000008</v>
      </c>
      <c r="H85" t="str">
        <f>_xlfn.XLOOKUP(C85,'COA Translation'!A:A,'COA Translation'!B:B)</f>
        <v>Rental Income</v>
      </c>
      <c r="I85" t="str">
        <f>_xlfn.XLOOKUP(C85,'COA Translation'!A:A,'COA Translation'!C:C)</f>
        <v>Net Rental Income</v>
      </c>
      <c r="J85" t="str">
        <f>_xlfn.XLOOKUP(C85,'COA Translation'!A:A,'COA Translation'!E:E)</f>
        <v>Income</v>
      </c>
    </row>
    <row r="86" spans="1:10" x14ac:dyDescent="0.3">
      <c r="A86" s="7" t="s">
        <v>145</v>
      </c>
      <c r="B86" s="8" t="s">
        <v>336</v>
      </c>
      <c r="C86" s="8" t="s">
        <v>7</v>
      </c>
      <c r="D86" s="9">
        <v>8</v>
      </c>
      <c r="E86" s="9">
        <v>2025</v>
      </c>
      <c r="F86" s="10">
        <v>45870</v>
      </c>
      <c r="G86" s="11">
        <v>75484.5</v>
      </c>
      <c r="H86" t="str">
        <f>_xlfn.XLOOKUP(C86,'COA Translation'!A:A,'COA Translation'!B:B)</f>
        <v>Rental Income</v>
      </c>
      <c r="I86" t="str">
        <f>_xlfn.XLOOKUP(C86,'COA Translation'!A:A,'COA Translation'!C:C)</f>
        <v>Net Rental Income</v>
      </c>
      <c r="J86" t="str">
        <f>_xlfn.XLOOKUP(C86,'COA Translation'!A:A,'COA Translation'!E:E)</f>
        <v>Income</v>
      </c>
    </row>
    <row r="87" spans="1:10" x14ac:dyDescent="0.3">
      <c r="A87" s="7" t="s">
        <v>145</v>
      </c>
      <c r="B87" s="8" t="s">
        <v>336</v>
      </c>
      <c r="C87" s="8" t="s">
        <v>7</v>
      </c>
      <c r="D87" s="9">
        <v>9</v>
      </c>
      <c r="E87" s="9">
        <v>2025</v>
      </c>
      <c r="F87" s="10">
        <v>45901</v>
      </c>
      <c r="G87" s="11">
        <v>77101.22</v>
      </c>
      <c r="H87" t="str">
        <f>_xlfn.XLOOKUP(C87,'COA Translation'!A:A,'COA Translation'!B:B)</f>
        <v>Rental Income</v>
      </c>
      <c r="I87" t="str">
        <f>_xlfn.XLOOKUP(C87,'COA Translation'!A:A,'COA Translation'!C:C)</f>
        <v>Net Rental Income</v>
      </c>
      <c r="J87" t="str">
        <f>_xlfn.XLOOKUP(C87,'COA Translation'!A:A,'COA Translation'!E:E)</f>
        <v>Income</v>
      </c>
    </row>
    <row r="88" spans="1:10" x14ac:dyDescent="0.3">
      <c r="A88" s="7" t="s">
        <v>145</v>
      </c>
      <c r="B88" s="8" t="s">
        <v>336</v>
      </c>
      <c r="C88" s="8" t="s">
        <v>7</v>
      </c>
      <c r="D88" s="9">
        <v>10</v>
      </c>
      <c r="E88" s="9">
        <v>2025</v>
      </c>
      <c r="F88" s="10">
        <v>45931</v>
      </c>
      <c r="G88" s="11">
        <v>81508.509999999995</v>
      </c>
      <c r="H88" t="str">
        <f>_xlfn.XLOOKUP(C88,'COA Translation'!A:A,'COA Translation'!B:B)</f>
        <v>Rental Income</v>
      </c>
      <c r="I88" t="str">
        <f>_xlfn.XLOOKUP(C88,'COA Translation'!A:A,'COA Translation'!C:C)</f>
        <v>Net Rental Income</v>
      </c>
      <c r="J88" t="str">
        <f>_xlfn.XLOOKUP(C88,'COA Translation'!A:A,'COA Translation'!E:E)</f>
        <v>Income</v>
      </c>
    </row>
    <row r="89" spans="1:10" x14ac:dyDescent="0.3">
      <c r="A89" s="7" t="s">
        <v>145</v>
      </c>
      <c r="B89" s="8" t="s">
        <v>336</v>
      </c>
      <c r="C89" s="8" t="s">
        <v>7</v>
      </c>
      <c r="D89" s="9">
        <v>11</v>
      </c>
      <c r="E89" s="9">
        <v>2025</v>
      </c>
      <c r="F89" s="10">
        <v>45962</v>
      </c>
      <c r="G89" s="11">
        <v>84146.790000000008</v>
      </c>
      <c r="H89" t="str">
        <f>_xlfn.XLOOKUP(C89,'COA Translation'!A:A,'COA Translation'!B:B)</f>
        <v>Rental Income</v>
      </c>
      <c r="I89" t="str">
        <f>_xlfn.XLOOKUP(C89,'COA Translation'!A:A,'COA Translation'!C:C)</f>
        <v>Net Rental Income</v>
      </c>
      <c r="J89" t="str">
        <f>_xlfn.XLOOKUP(C89,'COA Translation'!A:A,'COA Translation'!E:E)</f>
        <v>Income</v>
      </c>
    </row>
    <row r="90" spans="1:10" x14ac:dyDescent="0.3">
      <c r="A90" s="7" t="s">
        <v>145</v>
      </c>
      <c r="B90" s="8" t="s">
        <v>336</v>
      </c>
      <c r="C90" s="8" t="s">
        <v>7</v>
      </c>
      <c r="D90" s="9">
        <v>12</v>
      </c>
      <c r="E90" s="9">
        <v>2025</v>
      </c>
      <c r="F90" s="10">
        <v>45992</v>
      </c>
      <c r="G90" s="11">
        <v>82848.56</v>
      </c>
      <c r="H90" t="str">
        <f>_xlfn.XLOOKUP(C90,'COA Translation'!A:A,'COA Translation'!B:B)</f>
        <v>Rental Income</v>
      </c>
      <c r="I90" t="str">
        <f>_xlfn.XLOOKUP(C90,'COA Translation'!A:A,'COA Translation'!C:C)</f>
        <v>Net Rental Income</v>
      </c>
      <c r="J90" t="str">
        <f>_xlfn.XLOOKUP(C90,'COA Translation'!A:A,'COA Translation'!E:E)</f>
        <v>Income</v>
      </c>
    </row>
    <row r="91" spans="1:10" x14ac:dyDescent="0.3">
      <c r="A91" s="7" t="s">
        <v>145</v>
      </c>
      <c r="B91" s="8" t="s">
        <v>336</v>
      </c>
      <c r="C91" s="8" t="s">
        <v>7</v>
      </c>
      <c r="D91" s="9">
        <v>1</v>
      </c>
      <c r="E91" s="9">
        <v>2026</v>
      </c>
      <c r="F91" s="10">
        <v>46023</v>
      </c>
      <c r="G91" s="11">
        <v>88458.819999999992</v>
      </c>
      <c r="H91" t="str">
        <f>_xlfn.XLOOKUP(C91,'COA Translation'!A:A,'COA Translation'!B:B)</f>
        <v>Rental Income</v>
      </c>
      <c r="I91" t="str">
        <f>_xlfn.XLOOKUP(C91,'COA Translation'!A:A,'COA Translation'!C:C)</f>
        <v>Net Rental Income</v>
      </c>
      <c r="J91" t="str">
        <f>_xlfn.XLOOKUP(C91,'COA Translation'!A:A,'COA Translation'!E:E)</f>
        <v>Income</v>
      </c>
    </row>
    <row r="92" spans="1:10" x14ac:dyDescent="0.3">
      <c r="A92" s="7" t="s">
        <v>145</v>
      </c>
      <c r="B92" s="8" t="s">
        <v>336</v>
      </c>
      <c r="C92" s="8" t="s">
        <v>337</v>
      </c>
      <c r="D92" s="9">
        <v>2</v>
      </c>
      <c r="E92" s="9">
        <v>2025</v>
      </c>
      <c r="F92" s="10">
        <v>45689</v>
      </c>
      <c r="G92" s="11">
        <v>2454</v>
      </c>
      <c r="H92" t="str">
        <f>_xlfn.XLOOKUP(C92,'COA Translation'!A:A,'COA Translation'!B:B)</f>
        <v>Current Tenant Protection Split</v>
      </c>
      <c r="I92">
        <f>_xlfn.XLOOKUP(C92,'COA Translation'!A:A,'COA Translation'!C:C)</f>
        <v>0</v>
      </c>
      <c r="J92" t="str">
        <f>_xlfn.XLOOKUP(C92,'COA Translation'!A:A,'COA Translation'!E:E)</f>
        <v>Income</v>
      </c>
    </row>
    <row r="93" spans="1:10" x14ac:dyDescent="0.3">
      <c r="A93" s="7" t="s">
        <v>145</v>
      </c>
      <c r="B93" s="8" t="s">
        <v>336</v>
      </c>
      <c r="C93" s="8" t="s">
        <v>337</v>
      </c>
      <c r="D93" s="9">
        <v>3</v>
      </c>
      <c r="E93" s="9">
        <v>2025</v>
      </c>
      <c r="F93" s="10">
        <v>45717</v>
      </c>
      <c r="G93" s="11">
        <v>2646</v>
      </c>
      <c r="H93" t="str">
        <f>_xlfn.XLOOKUP(C93,'COA Translation'!A:A,'COA Translation'!B:B)</f>
        <v>Current Tenant Protection Split</v>
      </c>
      <c r="I93">
        <f>_xlfn.XLOOKUP(C93,'COA Translation'!A:A,'COA Translation'!C:C)</f>
        <v>0</v>
      </c>
      <c r="J93" t="str">
        <f>_xlfn.XLOOKUP(C93,'COA Translation'!A:A,'COA Translation'!E:E)</f>
        <v>Income</v>
      </c>
    </row>
    <row r="94" spans="1:10" x14ac:dyDescent="0.3">
      <c r="A94" s="7" t="s">
        <v>145</v>
      </c>
      <c r="B94" s="8" t="s">
        <v>336</v>
      </c>
      <c r="C94" s="8" t="s">
        <v>337</v>
      </c>
      <c r="D94" s="9">
        <v>4</v>
      </c>
      <c r="E94" s="9">
        <v>2025</v>
      </c>
      <c r="F94" s="10">
        <v>45748</v>
      </c>
      <c r="G94" s="11">
        <v>2742</v>
      </c>
      <c r="H94" t="str">
        <f>_xlfn.XLOOKUP(C94,'COA Translation'!A:A,'COA Translation'!B:B)</f>
        <v>Current Tenant Protection Split</v>
      </c>
      <c r="I94">
        <f>_xlfn.XLOOKUP(C94,'COA Translation'!A:A,'COA Translation'!C:C)</f>
        <v>0</v>
      </c>
      <c r="J94" t="str">
        <f>_xlfn.XLOOKUP(C94,'COA Translation'!A:A,'COA Translation'!E:E)</f>
        <v>Income</v>
      </c>
    </row>
    <row r="95" spans="1:10" x14ac:dyDescent="0.3">
      <c r="A95" s="7" t="s">
        <v>145</v>
      </c>
      <c r="B95" s="8" t="s">
        <v>336</v>
      </c>
      <c r="C95" s="8" t="s">
        <v>337</v>
      </c>
      <c r="D95" s="9">
        <v>5</v>
      </c>
      <c r="E95" s="9">
        <v>2025</v>
      </c>
      <c r="F95" s="10">
        <v>45778</v>
      </c>
      <c r="G95" s="11">
        <v>2964</v>
      </c>
      <c r="H95" t="str">
        <f>_xlfn.XLOOKUP(C95,'COA Translation'!A:A,'COA Translation'!B:B)</f>
        <v>Current Tenant Protection Split</v>
      </c>
      <c r="I95">
        <f>_xlfn.XLOOKUP(C95,'COA Translation'!A:A,'COA Translation'!C:C)</f>
        <v>0</v>
      </c>
      <c r="J95" t="str">
        <f>_xlfn.XLOOKUP(C95,'COA Translation'!A:A,'COA Translation'!E:E)</f>
        <v>Income</v>
      </c>
    </row>
    <row r="96" spans="1:10" x14ac:dyDescent="0.3">
      <c r="A96" s="7" t="s">
        <v>145</v>
      </c>
      <c r="B96" s="8" t="s">
        <v>336</v>
      </c>
      <c r="C96" s="8" t="s">
        <v>337</v>
      </c>
      <c r="D96" s="9">
        <v>6</v>
      </c>
      <c r="E96" s="9">
        <v>2025</v>
      </c>
      <c r="F96" s="10">
        <v>45809</v>
      </c>
      <c r="G96" s="11">
        <v>3054</v>
      </c>
      <c r="H96" t="str">
        <f>_xlfn.XLOOKUP(C96,'COA Translation'!A:A,'COA Translation'!B:B)</f>
        <v>Current Tenant Protection Split</v>
      </c>
      <c r="I96">
        <f>_xlfn.XLOOKUP(C96,'COA Translation'!A:A,'COA Translation'!C:C)</f>
        <v>0</v>
      </c>
      <c r="J96" t="str">
        <f>_xlfn.XLOOKUP(C96,'COA Translation'!A:A,'COA Translation'!E:E)</f>
        <v>Income</v>
      </c>
    </row>
    <row r="97" spans="1:10" x14ac:dyDescent="0.3">
      <c r="A97" s="7" t="s">
        <v>145</v>
      </c>
      <c r="B97" s="8" t="s">
        <v>336</v>
      </c>
      <c r="C97" s="8" t="s">
        <v>337</v>
      </c>
      <c r="D97" s="9">
        <v>7</v>
      </c>
      <c r="E97" s="9">
        <v>2025</v>
      </c>
      <c r="F97" s="10">
        <v>45839</v>
      </c>
      <c r="G97" s="11">
        <v>3102</v>
      </c>
      <c r="H97" t="str">
        <f>_xlfn.XLOOKUP(C97,'COA Translation'!A:A,'COA Translation'!B:B)</f>
        <v>Current Tenant Protection Split</v>
      </c>
      <c r="I97">
        <f>_xlfn.XLOOKUP(C97,'COA Translation'!A:A,'COA Translation'!C:C)</f>
        <v>0</v>
      </c>
      <c r="J97" t="str">
        <f>_xlfn.XLOOKUP(C97,'COA Translation'!A:A,'COA Translation'!E:E)</f>
        <v>Income</v>
      </c>
    </row>
    <row r="98" spans="1:10" x14ac:dyDescent="0.3">
      <c r="A98" s="7" t="s">
        <v>145</v>
      </c>
      <c r="B98" s="8" t="s">
        <v>336</v>
      </c>
      <c r="C98" s="8" t="s">
        <v>337</v>
      </c>
      <c r="D98" s="9">
        <v>8</v>
      </c>
      <c r="E98" s="9">
        <v>2025</v>
      </c>
      <c r="F98" s="10">
        <v>45870</v>
      </c>
      <c r="G98" s="11">
        <v>3144</v>
      </c>
      <c r="H98" t="str">
        <f>_xlfn.XLOOKUP(C98,'COA Translation'!A:A,'COA Translation'!B:B)</f>
        <v>Current Tenant Protection Split</v>
      </c>
      <c r="I98">
        <f>_xlfn.XLOOKUP(C98,'COA Translation'!A:A,'COA Translation'!C:C)</f>
        <v>0</v>
      </c>
      <c r="J98" t="str">
        <f>_xlfn.XLOOKUP(C98,'COA Translation'!A:A,'COA Translation'!E:E)</f>
        <v>Income</v>
      </c>
    </row>
    <row r="99" spans="1:10" x14ac:dyDescent="0.3">
      <c r="A99" s="7" t="s">
        <v>145</v>
      </c>
      <c r="B99" s="8" t="s">
        <v>336</v>
      </c>
      <c r="C99" s="8" t="s">
        <v>337</v>
      </c>
      <c r="D99" s="9">
        <v>9</v>
      </c>
      <c r="E99" s="9">
        <v>2025</v>
      </c>
      <c r="F99" s="10">
        <v>45901</v>
      </c>
      <c r="G99" s="11">
        <v>3096</v>
      </c>
      <c r="H99" t="str">
        <f>_xlfn.XLOOKUP(C99,'COA Translation'!A:A,'COA Translation'!B:B)</f>
        <v>Current Tenant Protection Split</v>
      </c>
      <c r="I99">
        <f>_xlfn.XLOOKUP(C99,'COA Translation'!A:A,'COA Translation'!C:C)</f>
        <v>0</v>
      </c>
      <c r="J99" t="str">
        <f>_xlfn.XLOOKUP(C99,'COA Translation'!A:A,'COA Translation'!E:E)</f>
        <v>Income</v>
      </c>
    </row>
    <row r="100" spans="1:10" x14ac:dyDescent="0.3">
      <c r="A100" s="7" t="s">
        <v>145</v>
      </c>
      <c r="B100" s="8" t="s">
        <v>336</v>
      </c>
      <c r="C100" s="8" t="s">
        <v>337</v>
      </c>
      <c r="D100" s="9">
        <v>10</v>
      </c>
      <c r="E100" s="9">
        <v>2025</v>
      </c>
      <c r="F100" s="10">
        <v>45931</v>
      </c>
      <c r="G100" s="11">
        <v>3084</v>
      </c>
      <c r="H100" t="str">
        <f>_xlfn.XLOOKUP(C100,'COA Translation'!A:A,'COA Translation'!B:B)</f>
        <v>Current Tenant Protection Split</v>
      </c>
      <c r="I100">
        <f>_xlfn.XLOOKUP(C100,'COA Translation'!A:A,'COA Translation'!C:C)</f>
        <v>0</v>
      </c>
      <c r="J100" t="str">
        <f>_xlfn.XLOOKUP(C100,'COA Translation'!A:A,'COA Translation'!E:E)</f>
        <v>Income</v>
      </c>
    </row>
    <row r="101" spans="1:10" x14ac:dyDescent="0.3">
      <c r="A101" s="7" t="s">
        <v>145</v>
      </c>
      <c r="B101" s="8" t="s">
        <v>336</v>
      </c>
      <c r="C101" s="8" t="s">
        <v>337</v>
      </c>
      <c r="D101" s="9">
        <v>11</v>
      </c>
      <c r="E101" s="9">
        <v>2025</v>
      </c>
      <c r="F101" s="10">
        <v>45962</v>
      </c>
      <c r="G101" s="11">
        <v>3078</v>
      </c>
      <c r="H101" t="str">
        <f>_xlfn.XLOOKUP(C101,'COA Translation'!A:A,'COA Translation'!B:B)</f>
        <v>Current Tenant Protection Split</v>
      </c>
      <c r="I101">
        <f>_xlfn.XLOOKUP(C101,'COA Translation'!A:A,'COA Translation'!C:C)</f>
        <v>0</v>
      </c>
      <c r="J101" t="str">
        <f>_xlfn.XLOOKUP(C101,'COA Translation'!A:A,'COA Translation'!E:E)</f>
        <v>Income</v>
      </c>
    </row>
    <row r="102" spans="1:10" x14ac:dyDescent="0.3">
      <c r="A102" s="7" t="s">
        <v>145</v>
      </c>
      <c r="B102" s="8" t="s">
        <v>336</v>
      </c>
      <c r="C102" s="8" t="s">
        <v>337</v>
      </c>
      <c r="D102" s="9">
        <v>12</v>
      </c>
      <c r="E102" s="9">
        <v>2025</v>
      </c>
      <c r="F102" s="10">
        <v>45992</v>
      </c>
      <c r="G102" s="11">
        <v>3174</v>
      </c>
      <c r="H102" t="str">
        <f>_xlfn.XLOOKUP(C102,'COA Translation'!A:A,'COA Translation'!B:B)</f>
        <v>Current Tenant Protection Split</v>
      </c>
      <c r="I102">
        <f>_xlfn.XLOOKUP(C102,'COA Translation'!A:A,'COA Translation'!C:C)</f>
        <v>0</v>
      </c>
      <c r="J102" t="str">
        <f>_xlfn.XLOOKUP(C102,'COA Translation'!A:A,'COA Translation'!E:E)</f>
        <v>Income</v>
      </c>
    </row>
    <row r="103" spans="1:10" x14ac:dyDescent="0.3">
      <c r="A103" s="7" t="s">
        <v>145</v>
      </c>
      <c r="B103" s="8" t="s">
        <v>336</v>
      </c>
      <c r="C103" s="8" t="s">
        <v>337</v>
      </c>
      <c r="D103" s="9">
        <v>1</v>
      </c>
      <c r="E103" s="9">
        <v>2026</v>
      </c>
      <c r="F103" s="10">
        <v>46023</v>
      </c>
      <c r="G103" s="11">
        <v>3258</v>
      </c>
      <c r="H103" t="str">
        <f>_xlfn.XLOOKUP(C103,'COA Translation'!A:A,'COA Translation'!B:B)</f>
        <v>Current Tenant Protection Split</v>
      </c>
      <c r="I103">
        <f>_xlfn.XLOOKUP(C103,'COA Translation'!A:A,'COA Translation'!C:C)</f>
        <v>0</v>
      </c>
      <c r="J103" t="str">
        <f>_xlfn.XLOOKUP(C103,'COA Translation'!A:A,'COA Translation'!E:E)</f>
        <v>Income</v>
      </c>
    </row>
    <row r="104" spans="1:10" x14ac:dyDescent="0.3">
      <c r="A104" s="7" t="s">
        <v>145</v>
      </c>
      <c r="B104" s="8" t="s">
        <v>336</v>
      </c>
      <c r="C104" s="8" t="s">
        <v>338</v>
      </c>
      <c r="D104" s="9">
        <v>2</v>
      </c>
      <c r="E104" s="9">
        <v>2025</v>
      </c>
      <c r="F104" s="10">
        <v>45689</v>
      </c>
      <c r="G104" s="11">
        <v>912.96000000000015</v>
      </c>
      <c r="H104" t="str">
        <f>_xlfn.XLOOKUP(C104,'COA Translation'!A:A,'COA Translation'!B:B)</f>
        <v>Retail Sales Income</v>
      </c>
      <c r="I104">
        <f>_xlfn.XLOOKUP(C104,'COA Translation'!A:A,'COA Translation'!C:C)</f>
        <v>0</v>
      </c>
      <c r="J104" t="str">
        <f>_xlfn.XLOOKUP(C104,'COA Translation'!A:A,'COA Translation'!E:E)</f>
        <v>Income</v>
      </c>
    </row>
    <row r="105" spans="1:10" x14ac:dyDescent="0.3">
      <c r="A105" s="7" t="s">
        <v>145</v>
      </c>
      <c r="B105" s="8" t="s">
        <v>336</v>
      </c>
      <c r="C105" s="8" t="s">
        <v>338</v>
      </c>
      <c r="D105" s="9">
        <v>3</v>
      </c>
      <c r="E105" s="9">
        <v>2025</v>
      </c>
      <c r="F105" s="10">
        <v>45717</v>
      </c>
      <c r="G105" s="11">
        <v>756.68999999999983</v>
      </c>
      <c r="H105" t="str">
        <f>_xlfn.XLOOKUP(C105,'COA Translation'!A:A,'COA Translation'!B:B)</f>
        <v>Retail Sales Income</v>
      </c>
      <c r="I105">
        <f>_xlfn.XLOOKUP(C105,'COA Translation'!A:A,'COA Translation'!C:C)</f>
        <v>0</v>
      </c>
      <c r="J105" t="str">
        <f>_xlfn.XLOOKUP(C105,'COA Translation'!A:A,'COA Translation'!E:E)</f>
        <v>Income</v>
      </c>
    </row>
    <row r="106" spans="1:10" x14ac:dyDescent="0.3">
      <c r="A106" s="7" t="s">
        <v>145</v>
      </c>
      <c r="B106" s="8" t="s">
        <v>336</v>
      </c>
      <c r="C106" s="8" t="s">
        <v>338</v>
      </c>
      <c r="D106" s="9">
        <v>4</v>
      </c>
      <c r="E106" s="9">
        <v>2025</v>
      </c>
      <c r="F106" s="10">
        <v>45748</v>
      </c>
      <c r="G106" s="11">
        <v>843.42000000000007</v>
      </c>
      <c r="H106" t="str">
        <f>_xlfn.XLOOKUP(C106,'COA Translation'!A:A,'COA Translation'!B:B)</f>
        <v>Retail Sales Income</v>
      </c>
      <c r="I106">
        <f>_xlfn.XLOOKUP(C106,'COA Translation'!A:A,'COA Translation'!C:C)</f>
        <v>0</v>
      </c>
      <c r="J106" t="str">
        <f>_xlfn.XLOOKUP(C106,'COA Translation'!A:A,'COA Translation'!E:E)</f>
        <v>Income</v>
      </c>
    </row>
    <row r="107" spans="1:10" x14ac:dyDescent="0.3">
      <c r="A107" s="7" t="s">
        <v>145</v>
      </c>
      <c r="B107" s="8" t="s">
        <v>336</v>
      </c>
      <c r="C107" s="8" t="s">
        <v>338</v>
      </c>
      <c r="D107" s="9">
        <v>5</v>
      </c>
      <c r="E107" s="9">
        <v>2025</v>
      </c>
      <c r="F107" s="10">
        <v>45778</v>
      </c>
      <c r="G107" s="11">
        <v>1118.6300000000003</v>
      </c>
      <c r="H107" t="str">
        <f>_xlfn.XLOOKUP(C107,'COA Translation'!A:A,'COA Translation'!B:B)</f>
        <v>Retail Sales Income</v>
      </c>
      <c r="I107">
        <f>_xlfn.XLOOKUP(C107,'COA Translation'!A:A,'COA Translation'!C:C)</f>
        <v>0</v>
      </c>
      <c r="J107" t="str">
        <f>_xlfn.XLOOKUP(C107,'COA Translation'!A:A,'COA Translation'!E:E)</f>
        <v>Income</v>
      </c>
    </row>
    <row r="108" spans="1:10" x14ac:dyDescent="0.3">
      <c r="A108" s="7" t="s">
        <v>145</v>
      </c>
      <c r="B108" s="8" t="s">
        <v>336</v>
      </c>
      <c r="C108" s="8" t="s">
        <v>338</v>
      </c>
      <c r="D108" s="9">
        <v>6</v>
      </c>
      <c r="E108" s="9">
        <v>2025</v>
      </c>
      <c r="F108" s="10">
        <v>45809</v>
      </c>
      <c r="G108" s="11">
        <v>889.55000000000007</v>
      </c>
      <c r="H108" t="str">
        <f>_xlfn.XLOOKUP(C108,'COA Translation'!A:A,'COA Translation'!B:B)</f>
        <v>Retail Sales Income</v>
      </c>
      <c r="I108">
        <f>_xlfn.XLOOKUP(C108,'COA Translation'!A:A,'COA Translation'!C:C)</f>
        <v>0</v>
      </c>
      <c r="J108" t="str">
        <f>_xlfn.XLOOKUP(C108,'COA Translation'!A:A,'COA Translation'!E:E)</f>
        <v>Income</v>
      </c>
    </row>
    <row r="109" spans="1:10" x14ac:dyDescent="0.3">
      <c r="A109" s="7" t="s">
        <v>145</v>
      </c>
      <c r="B109" s="8" t="s">
        <v>336</v>
      </c>
      <c r="C109" s="8" t="s">
        <v>338</v>
      </c>
      <c r="D109" s="9">
        <v>7</v>
      </c>
      <c r="E109" s="9">
        <v>2025</v>
      </c>
      <c r="F109" s="10">
        <v>45839</v>
      </c>
      <c r="G109" s="11">
        <v>760.21</v>
      </c>
      <c r="H109" t="str">
        <f>_xlfn.XLOOKUP(C109,'COA Translation'!A:A,'COA Translation'!B:B)</f>
        <v>Retail Sales Income</v>
      </c>
      <c r="I109">
        <f>_xlfn.XLOOKUP(C109,'COA Translation'!A:A,'COA Translation'!C:C)</f>
        <v>0</v>
      </c>
      <c r="J109" t="str">
        <f>_xlfn.XLOOKUP(C109,'COA Translation'!A:A,'COA Translation'!E:E)</f>
        <v>Income</v>
      </c>
    </row>
    <row r="110" spans="1:10" x14ac:dyDescent="0.3">
      <c r="A110" s="7" t="s">
        <v>145</v>
      </c>
      <c r="B110" s="8" t="s">
        <v>336</v>
      </c>
      <c r="C110" s="8" t="s">
        <v>338</v>
      </c>
      <c r="D110" s="9">
        <v>8</v>
      </c>
      <c r="E110" s="9">
        <v>2025</v>
      </c>
      <c r="F110" s="10">
        <v>45870</v>
      </c>
      <c r="G110" s="11">
        <v>1091.8</v>
      </c>
      <c r="H110" t="str">
        <f>_xlfn.XLOOKUP(C110,'COA Translation'!A:A,'COA Translation'!B:B)</f>
        <v>Retail Sales Income</v>
      </c>
      <c r="I110">
        <f>_xlfn.XLOOKUP(C110,'COA Translation'!A:A,'COA Translation'!C:C)</f>
        <v>0</v>
      </c>
      <c r="J110" t="str">
        <f>_xlfn.XLOOKUP(C110,'COA Translation'!A:A,'COA Translation'!E:E)</f>
        <v>Income</v>
      </c>
    </row>
    <row r="111" spans="1:10" x14ac:dyDescent="0.3">
      <c r="A111" s="7" t="s">
        <v>145</v>
      </c>
      <c r="B111" s="8" t="s">
        <v>336</v>
      </c>
      <c r="C111" s="8" t="s">
        <v>338</v>
      </c>
      <c r="D111" s="9">
        <v>9</v>
      </c>
      <c r="E111" s="9">
        <v>2025</v>
      </c>
      <c r="F111" s="10">
        <v>45901</v>
      </c>
      <c r="G111" s="11">
        <v>619.78</v>
      </c>
      <c r="H111" t="str">
        <f>_xlfn.XLOOKUP(C111,'COA Translation'!A:A,'COA Translation'!B:B)</f>
        <v>Retail Sales Income</v>
      </c>
      <c r="I111">
        <f>_xlfn.XLOOKUP(C111,'COA Translation'!A:A,'COA Translation'!C:C)</f>
        <v>0</v>
      </c>
      <c r="J111" t="str">
        <f>_xlfn.XLOOKUP(C111,'COA Translation'!A:A,'COA Translation'!E:E)</f>
        <v>Income</v>
      </c>
    </row>
    <row r="112" spans="1:10" x14ac:dyDescent="0.3">
      <c r="A112" s="7" t="s">
        <v>145</v>
      </c>
      <c r="B112" s="8" t="s">
        <v>336</v>
      </c>
      <c r="C112" s="8" t="s">
        <v>338</v>
      </c>
      <c r="D112" s="9">
        <v>10</v>
      </c>
      <c r="E112" s="9">
        <v>2025</v>
      </c>
      <c r="F112" s="10">
        <v>45931</v>
      </c>
      <c r="G112" s="11">
        <v>696.85000000000014</v>
      </c>
      <c r="H112" t="str">
        <f>_xlfn.XLOOKUP(C112,'COA Translation'!A:A,'COA Translation'!B:B)</f>
        <v>Retail Sales Income</v>
      </c>
      <c r="I112">
        <f>_xlfn.XLOOKUP(C112,'COA Translation'!A:A,'COA Translation'!C:C)</f>
        <v>0</v>
      </c>
      <c r="J112" t="str">
        <f>_xlfn.XLOOKUP(C112,'COA Translation'!A:A,'COA Translation'!E:E)</f>
        <v>Income</v>
      </c>
    </row>
    <row r="113" spans="1:10" x14ac:dyDescent="0.3">
      <c r="A113" s="7" t="s">
        <v>145</v>
      </c>
      <c r="B113" s="8" t="s">
        <v>336</v>
      </c>
      <c r="C113" s="8" t="s">
        <v>338</v>
      </c>
      <c r="D113" s="9">
        <v>11</v>
      </c>
      <c r="E113" s="9">
        <v>2025</v>
      </c>
      <c r="F113" s="10">
        <v>45962</v>
      </c>
      <c r="G113" s="11">
        <v>687.25000000000011</v>
      </c>
      <c r="H113" t="str">
        <f>_xlfn.XLOOKUP(C113,'COA Translation'!A:A,'COA Translation'!B:B)</f>
        <v>Retail Sales Income</v>
      </c>
      <c r="I113">
        <f>_xlfn.XLOOKUP(C113,'COA Translation'!A:A,'COA Translation'!C:C)</f>
        <v>0</v>
      </c>
      <c r="J113" t="str">
        <f>_xlfn.XLOOKUP(C113,'COA Translation'!A:A,'COA Translation'!E:E)</f>
        <v>Income</v>
      </c>
    </row>
    <row r="114" spans="1:10" x14ac:dyDescent="0.3">
      <c r="A114" s="7" t="s">
        <v>145</v>
      </c>
      <c r="B114" s="8" t="s">
        <v>336</v>
      </c>
      <c r="C114" s="8" t="s">
        <v>338</v>
      </c>
      <c r="D114" s="9">
        <v>12</v>
      </c>
      <c r="E114" s="9">
        <v>2025</v>
      </c>
      <c r="F114" s="10">
        <v>45992</v>
      </c>
      <c r="G114" s="11">
        <v>1066.98</v>
      </c>
      <c r="H114" t="str">
        <f>_xlfn.XLOOKUP(C114,'COA Translation'!A:A,'COA Translation'!B:B)</f>
        <v>Retail Sales Income</v>
      </c>
      <c r="I114">
        <f>_xlfn.XLOOKUP(C114,'COA Translation'!A:A,'COA Translation'!C:C)</f>
        <v>0</v>
      </c>
      <c r="J114" t="str">
        <f>_xlfn.XLOOKUP(C114,'COA Translation'!A:A,'COA Translation'!E:E)</f>
        <v>Income</v>
      </c>
    </row>
    <row r="115" spans="1:10" x14ac:dyDescent="0.3">
      <c r="A115" s="7" t="s">
        <v>145</v>
      </c>
      <c r="B115" s="8" t="s">
        <v>336</v>
      </c>
      <c r="C115" s="8" t="s">
        <v>338</v>
      </c>
      <c r="D115" s="9">
        <v>1</v>
      </c>
      <c r="E115" s="9">
        <v>2026</v>
      </c>
      <c r="F115" s="10">
        <v>46023</v>
      </c>
      <c r="G115" s="11">
        <v>787.81000000000006</v>
      </c>
      <c r="H115" t="str">
        <f>_xlfn.XLOOKUP(C115,'COA Translation'!A:A,'COA Translation'!B:B)</f>
        <v>Retail Sales Income</v>
      </c>
      <c r="I115">
        <f>_xlfn.XLOOKUP(C115,'COA Translation'!A:A,'COA Translation'!C:C)</f>
        <v>0</v>
      </c>
      <c r="J115" t="str">
        <f>_xlfn.XLOOKUP(C115,'COA Translation'!A:A,'COA Translation'!E:E)</f>
        <v>Income</v>
      </c>
    </row>
    <row r="116" spans="1:10" x14ac:dyDescent="0.3">
      <c r="A116" s="7" t="s">
        <v>145</v>
      </c>
      <c r="B116" s="8" t="s">
        <v>336</v>
      </c>
      <c r="C116" s="8" t="s">
        <v>339</v>
      </c>
      <c r="D116" s="9">
        <v>2</v>
      </c>
      <c r="E116" s="9">
        <v>2025</v>
      </c>
      <c r="F116" s="10">
        <v>45689</v>
      </c>
      <c r="G116" s="11">
        <v>2432</v>
      </c>
      <c r="H116" t="str">
        <f>_xlfn.XLOOKUP(C116,'COA Translation'!A:A,'COA Translation'!B:B)</f>
        <v>Admin Fee Income</v>
      </c>
      <c r="I116">
        <f>_xlfn.XLOOKUP(C116,'COA Translation'!A:A,'COA Translation'!C:C)</f>
        <v>0</v>
      </c>
      <c r="J116" t="str">
        <f>_xlfn.XLOOKUP(C116,'COA Translation'!A:A,'COA Translation'!E:E)</f>
        <v>Income</v>
      </c>
    </row>
    <row r="117" spans="1:10" x14ac:dyDescent="0.3">
      <c r="A117" s="7" t="s">
        <v>145</v>
      </c>
      <c r="B117" s="8" t="s">
        <v>336</v>
      </c>
      <c r="C117" s="8" t="s">
        <v>339</v>
      </c>
      <c r="D117" s="9">
        <v>3</v>
      </c>
      <c r="E117" s="9">
        <v>2025</v>
      </c>
      <c r="F117" s="10">
        <v>45717</v>
      </c>
      <c r="G117" s="11">
        <v>2907.6000000000004</v>
      </c>
      <c r="H117" t="str">
        <f>_xlfn.XLOOKUP(C117,'COA Translation'!A:A,'COA Translation'!B:B)</f>
        <v>Admin Fee Income</v>
      </c>
      <c r="I117">
        <f>_xlfn.XLOOKUP(C117,'COA Translation'!A:A,'COA Translation'!C:C)</f>
        <v>0</v>
      </c>
      <c r="J117" t="str">
        <f>_xlfn.XLOOKUP(C117,'COA Translation'!A:A,'COA Translation'!E:E)</f>
        <v>Income</v>
      </c>
    </row>
    <row r="118" spans="1:10" x14ac:dyDescent="0.3">
      <c r="A118" s="7" t="s">
        <v>145</v>
      </c>
      <c r="B118" s="8" t="s">
        <v>336</v>
      </c>
      <c r="C118" s="8" t="s">
        <v>339</v>
      </c>
      <c r="D118" s="9">
        <v>4</v>
      </c>
      <c r="E118" s="9">
        <v>2025</v>
      </c>
      <c r="F118" s="10">
        <v>45748</v>
      </c>
      <c r="G118" s="11">
        <v>3362.87</v>
      </c>
      <c r="H118" t="str">
        <f>_xlfn.XLOOKUP(C118,'COA Translation'!A:A,'COA Translation'!B:B)</f>
        <v>Admin Fee Income</v>
      </c>
      <c r="I118">
        <f>_xlfn.XLOOKUP(C118,'COA Translation'!A:A,'COA Translation'!C:C)</f>
        <v>0</v>
      </c>
      <c r="J118" t="str">
        <f>_xlfn.XLOOKUP(C118,'COA Translation'!A:A,'COA Translation'!E:E)</f>
        <v>Income</v>
      </c>
    </row>
    <row r="119" spans="1:10" x14ac:dyDescent="0.3">
      <c r="A119" s="7" t="s">
        <v>145</v>
      </c>
      <c r="B119" s="8" t="s">
        <v>336</v>
      </c>
      <c r="C119" s="8" t="s">
        <v>339</v>
      </c>
      <c r="D119" s="9">
        <v>5</v>
      </c>
      <c r="E119" s="9">
        <v>2025</v>
      </c>
      <c r="F119" s="10">
        <v>45778</v>
      </c>
      <c r="G119" s="11">
        <v>3467.6000000000004</v>
      </c>
      <c r="H119" t="str">
        <f>_xlfn.XLOOKUP(C119,'COA Translation'!A:A,'COA Translation'!B:B)</f>
        <v>Admin Fee Income</v>
      </c>
      <c r="I119">
        <f>_xlfn.XLOOKUP(C119,'COA Translation'!A:A,'COA Translation'!C:C)</f>
        <v>0</v>
      </c>
      <c r="J119" t="str">
        <f>_xlfn.XLOOKUP(C119,'COA Translation'!A:A,'COA Translation'!E:E)</f>
        <v>Income</v>
      </c>
    </row>
    <row r="120" spans="1:10" x14ac:dyDescent="0.3">
      <c r="A120" s="7" t="s">
        <v>145</v>
      </c>
      <c r="B120" s="8" t="s">
        <v>336</v>
      </c>
      <c r="C120" s="8" t="s">
        <v>339</v>
      </c>
      <c r="D120" s="9">
        <v>6</v>
      </c>
      <c r="E120" s="9">
        <v>2025</v>
      </c>
      <c r="F120" s="10">
        <v>45809</v>
      </c>
      <c r="G120" s="11">
        <v>3484.3999999999996</v>
      </c>
      <c r="H120" t="str">
        <f>_xlfn.XLOOKUP(C120,'COA Translation'!A:A,'COA Translation'!B:B)</f>
        <v>Admin Fee Income</v>
      </c>
      <c r="I120">
        <f>_xlfn.XLOOKUP(C120,'COA Translation'!A:A,'COA Translation'!C:C)</f>
        <v>0</v>
      </c>
      <c r="J120" t="str">
        <f>_xlfn.XLOOKUP(C120,'COA Translation'!A:A,'COA Translation'!E:E)</f>
        <v>Income</v>
      </c>
    </row>
    <row r="121" spans="1:10" x14ac:dyDescent="0.3">
      <c r="A121" s="7" t="s">
        <v>145</v>
      </c>
      <c r="B121" s="8" t="s">
        <v>336</v>
      </c>
      <c r="C121" s="8" t="s">
        <v>339</v>
      </c>
      <c r="D121" s="9">
        <v>7</v>
      </c>
      <c r="E121" s="9">
        <v>2025</v>
      </c>
      <c r="F121" s="10">
        <v>45839</v>
      </c>
      <c r="G121" s="11">
        <v>2579.4</v>
      </c>
      <c r="H121" t="str">
        <f>_xlfn.XLOOKUP(C121,'COA Translation'!A:A,'COA Translation'!B:B)</f>
        <v>Admin Fee Income</v>
      </c>
      <c r="I121">
        <f>_xlfn.XLOOKUP(C121,'COA Translation'!A:A,'COA Translation'!C:C)</f>
        <v>0</v>
      </c>
      <c r="J121" t="str">
        <f>_xlfn.XLOOKUP(C121,'COA Translation'!A:A,'COA Translation'!E:E)</f>
        <v>Income</v>
      </c>
    </row>
    <row r="122" spans="1:10" x14ac:dyDescent="0.3">
      <c r="A122" s="7" t="s">
        <v>145</v>
      </c>
      <c r="B122" s="8" t="s">
        <v>336</v>
      </c>
      <c r="C122" s="8" t="s">
        <v>339</v>
      </c>
      <c r="D122" s="9">
        <v>8</v>
      </c>
      <c r="E122" s="9">
        <v>2025</v>
      </c>
      <c r="F122" s="10">
        <v>45870</v>
      </c>
      <c r="G122" s="11">
        <v>3582.5899999999997</v>
      </c>
      <c r="H122" t="str">
        <f>_xlfn.XLOOKUP(C122,'COA Translation'!A:A,'COA Translation'!B:B)</f>
        <v>Admin Fee Income</v>
      </c>
      <c r="I122">
        <f>_xlfn.XLOOKUP(C122,'COA Translation'!A:A,'COA Translation'!C:C)</f>
        <v>0</v>
      </c>
      <c r="J122" t="str">
        <f>_xlfn.XLOOKUP(C122,'COA Translation'!A:A,'COA Translation'!E:E)</f>
        <v>Income</v>
      </c>
    </row>
    <row r="123" spans="1:10" x14ac:dyDescent="0.3">
      <c r="A123" s="7" t="s">
        <v>145</v>
      </c>
      <c r="B123" s="8" t="s">
        <v>336</v>
      </c>
      <c r="C123" s="8" t="s">
        <v>339</v>
      </c>
      <c r="D123" s="9">
        <v>9</v>
      </c>
      <c r="E123" s="9">
        <v>2025</v>
      </c>
      <c r="F123" s="10">
        <v>45901</v>
      </c>
      <c r="G123" s="11">
        <v>3282.56</v>
      </c>
      <c r="H123" t="str">
        <f>_xlfn.XLOOKUP(C123,'COA Translation'!A:A,'COA Translation'!B:B)</f>
        <v>Admin Fee Income</v>
      </c>
      <c r="I123">
        <f>_xlfn.XLOOKUP(C123,'COA Translation'!A:A,'COA Translation'!C:C)</f>
        <v>0</v>
      </c>
      <c r="J123" t="str">
        <f>_xlfn.XLOOKUP(C123,'COA Translation'!A:A,'COA Translation'!E:E)</f>
        <v>Income</v>
      </c>
    </row>
    <row r="124" spans="1:10" x14ac:dyDescent="0.3">
      <c r="A124" s="7" t="s">
        <v>145</v>
      </c>
      <c r="B124" s="8" t="s">
        <v>336</v>
      </c>
      <c r="C124" s="8" t="s">
        <v>339</v>
      </c>
      <c r="D124" s="9">
        <v>10</v>
      </c>
      <c r="E124" s="9">
        <v>2025</v>
      </c>
      <c r="F124" s="10">
        <v>45931</v>
      </c>
      <c r="G124" s="11">
        <v>4286.87</v>
      </c>
      <c r="H124" t="str">
        <f>_xlfn.XLOOKUP(C124,'COA Translation'!A:A,'COA Translation'!B:B)</f>
        <v>Admin Fee Income</v>
      </c>
      <c r="I124">
        <f>_xlfn.XLOOKUP(C124,'COA Translation'!A:A,'COA Translation'!C:C)</f>
        <v>0</v>
      </c>
      <c r="J124" t="str">
        <f>_xlfn.XLOOKUP(C124,'COA Translation'!A:A,'COA Translation'!E:E)</f>
        <v>Income</v>
      </c>
    </row>
    <row r="125" spans="1:10" x14ac:dyDescent="0.3">
      <c r="A125" s="7" t="s">
        <v>145</v>
      </c>
      <c r="B125" s="8" t="s">
        <v>336</v>
      </c>
      <c r="C125" s="8" t="s">
        <v>339</v>
      </c>
      <c r="D125" s="9">
        <v>11</v>
      </c>
      <c r="E125" s="9">
        <v>2025</v>
      </c>
      <c r="F125" s="10">
        <v>45962</v>
      </c>
      <c r="G125" s="11">
        <v>3879.08</v>
      </c>
      <c r="H125" t="str">
        <f>_xlfn.XLOOKUP(C125,'COA Translation'!A:A,'COA Translation'!B:B)</f>
        <v>Admin Fee Income</v>
      </c>
      <c r="I125">
        <f>_xlfn.XLOOKUP(C125,'COA Translation'!A:A,'COA Translation'!C:C)</f>
        <v>0</v>
      </c>
      <c r="J125" t="str">
        <f>_xlfn.XLOOKUP(C125,'COA Translation'!A:A,'COA Translation'!E:E)</f>
        <v>Income</v>
      </c>
    </row>
    <row r="126" spans="1:10" x14ac:dyDescent="0.3">
      <c r="A126" s="7" t="s">
        <v>145</v>
      </c>
      <c r="B126" s="8" t="s">
        <v>336</v>
      </c>
      <c r="C126" s="8" t="s">
        <v>339</v>
      </c>
      <c r="D126" s="9">
        <v>12</v>
      </c>
      <c r="E126" s="9">
        <v>2025</v>
      </c>
      <c r="F126" s="10">
        <v>45992</v>
      </c>
      <c r="G126" s="11">
        <v>6080.3</v>
      </c>
      <c r="H126" t="str">
        <f>_xlfn.XLOOKUP(C126,'COA Translation'!A:A,'COA Translation'!B:B)</f>
        <v>Admin Fee Income</v>
      </c>
      <c r="I126">
        <f>_xlfn.XLOOKUP(C126,'COA Translation'!A:A,'COA Translation'!C:C)</f>
        <v>0</v>
      </c>
      <c r="J126" t="str">
        <f>_xlfn.XLOOKUP(C126,'COA Translation'!A:A,'COA Translation'!E:E)</f>
        <v>Income</v>
      </c>
    </row>
    <row r="127" spans="1:10" x14ac:dyDescent="0.3">
      <c r="A127" s="7" t="s">
        <v>145</v>
      </c>
      <c r="B127" s="8" t="s">
        <v>336</v>
      </c>
      <c r="C127" s="8" t="s">
        <v>339</v>
      </c>
      <c r="D127" s="9">
        <v>1</v>
      </c>
      <c r="E127" s="9">
        <v>2026</v>
      </c>
      <c r="F127" s="10">
        <v>46023</v>
      </c>
      <c r="G127" s="11">
        <v>4984.9799999999996</v>
      </c>
      <c r="H127" t="str">
        <f>_xlfn.XLOOKUP(C127,'COA Translation'!A:A,'COA Translation'!B:B)</f>
        <v>Admin Fee Income</v>
      </c>
      <c r="I127">
        <f>_xlfn.XLOOKUP(C127,'COA Translation'!A:A,'COA Translation'!C:C)</f>
        <v>0</v>
      </c>
      <c r="J127" t="str">
        <f>_xlfn.XLOOKUP(C127,'COA Translation'!A:A,'COA Translation'!E:E)</f>
        <v>Income</v>
      </c>
    </row>
    <row r="128" spans="1:10" x14ac:dyDescent="0.3">
      <c r="A128" s="7" t="s">
        <v>145</v>
      </c>
      <c r="B128" s="8" t="s">
        <v>336</v>
      </c>
      <c r="C128" s="8" t="s">
        <v>310</v>
      </c>
      <c r="D128" s="9">
        <v>2</v>
      </c>
      <c r="E128" s="9">
        <v>2025</v>
      </c>
      <c r="F128" s="10">
        <v>45689</v>
      </c>
      <c r="G128" s="11">
        <v>47123.609999999993</v>
      </c>
      <c r="H128">
        <f>_xlfn.XLOOKUP(C128,'COA Translation'!A:A,'COA Translation'!B:B)</f>
        <v>0</v>
      </c>
      <c r="I128" t="str">
        <f>_xlfn.XLOOKUP(C128,'COA Translation'!A:A,'COA Translation'!C:C)</f>
        <v>Total Revenue</v>
      </c>
      <c r="J128" t="str">
        <f>_xlfn.XLOOKUP(C128,'COA Translation'!A:A,'COA Translation'!E:E)</f>
        <v>TOTAL</v>
      </c>
    </row>
    <row r="129" spans="1:10" x14ac:dyDescent="0.3">
      <c r="A129" s="7" t="s">
        <v>145</v>
      </c>
      <c r="B129" s="8" t="s">
        <v>336</v>
      </c>
      <c r="C129" s="8" t="s">
        <v>310</v>
      </c>
      <c r="D129" s="9">
        <v>3</v>
      </c>
      <c r="E129" s="9">
        <v>2025</v>
      </c>
      <c r="F129" s="10">
        <v>45717</v>
      </c>
      <c r="G129" s="11">
        <v>55216.850000000006</v>
      </c>
      <c r="H129">
        <f>_xlfn.XLOOKUP(C129,'COA Translation'!A:A,'COA Translation'!B:B)</f>
        <v>0</v>
      </c>
      <c r="I129" t="str">
        <f>_xlfn.XLOOKUP(C129,'COA Translation'!A:A,'COA Translation'!C:C)</f>
        <v>Total Revenue</v>
      </c>
      <c r="J129" t="str">
        <f>_xlfn.XLOOKUP(C129,'COA Translation'!A:A,'COA Translation'!E:E)</f>
        <v>TOTAL</v>
      </c>
    </row>
    <row r="130" spans="1:10" x14ac:dyDescent="0.3">
      <c r="A130" s="7" t="s">
        <v>145</v>
      </c>
      <c r="B130" s="8" t="s">
        <v>336</v>
      </c>
      <c r="C130" s="8" t="s">
        <v>310</v>
      </c>
      <c r="D130" s="9">
        <v>4</v>
      </c>
      <c r="E130" s="9">
        <v>2025</v>
      </c>
      <c r="F130" s="10">
        <v>45748</v>
      </c>
      <c r="G130" s="11">
        <v>61086.720000000001</v>
      </c>
      <c r="H130">
        <f>_xlfn.XLOOKUP(C130,'COA Translation'!A:A,'COA Translation'!B:B)</f>
        <v>0</v>
      </c>
      <c r="I130" t="str">
        <f>_xlfn.XLOOKUP(C130,'COA Translation'!A:A,'COA Translation'!C:C)</f>
        <v>Total Revenue</v>
      </c>
      <c r="J130" t="str">
        <f>_xlfn.XLOOKUP(C130,'COA Translation'!A:A,'COA Translation'!E:E)</f>
        <v>TOTAL</v>
      </c>
    </row>
    <row r="131" spans="1:10" x14ac:dyDescent="0.3">
      <c r="A131" s="7" t="s">
        <v>145</v>
      </c>
      <c r="B131" s="8" t="s">
        <v>336</v>
      </c>
      <c r="C131" s="8" t="s">
        <v>310</v>
      </c>
      <c r="D131" s="9">
        <v>5</v>
      </c>
      <c r="E131" s="9">
        <v>2025</v>
      </c>
      <c r="F131" s="10">
        <v>45778</v>
      </c>
      <c r="G131" s="11">
        <v>68408.099999999991</v>
      </c>
      <c r="H131">
        <f>_xlfn.XLOOKUP(C131,'COA Translation'!A:A,'COA Translation'!B:B)</f>
        <v>0</v>
      </c>
      <c r="I131" t="str">
        <f>_xlfn.XLOOKUP(C131,'COA Translation'!A:A,'COA Translation'!C:C)</f>
        <v>Total Revenue</v>
      </c>
      <c r="J131" t="str">
        <f>_xlfn.XLOOKUP(C131,'COA Translation'!A:A,'COA Translation'!E:E)</f>
        <v>TOTAL</v>
      </c>
    </row>
    <row r="132" spans="1:10" x14ac:dyDescent="0.3">
      <c r="A132" s="7" t="s">
        <v>145</v>
      </c>
      <c r="B132" s="8" t="s">
        <v>336</v>
      </c>
      <c r="C132" s="8" t="s">
        <v>310</v>
      </c>
      <c r="D132" s="9">
        <v>6</v>
      </c>
      <c r="E132" s="9">
        <v>2025</v>
      </c>
      <c r="F132" s="10">
        <v>45809</v>
      </c>
      <c r="G132" s="11">
        <v>72648.33</v>
      </c>
      <c r="H132">
        <f>_xlfn.XLOOKUP(C132,'COA Translation'!A:A,'COA Translation'!B:B)</f>
        <v>0</v>
      </c>
      <c r="I132" t="str">
        <f>_xlfn.XLOOKUP(C132,'COA Translation'!A:A,'COA Translation'!C:C)</f>
        <v>Total Revenue</v>
      </c>
      <c r="J132" t="str">
        <f>_xlfn.XLOOKUP(C132,'COA Translation'!A:A,'COA Translation'!E:E)</f>
        <v>TOTAL</v>
      </c>
    </row>
    <row r="133" spans="1:10" x14ac:dyDescent="0.3">
      <c r="A133" s="7" t="s">
        <v>145</v>
      </c>
      <c r="B133" s="8" t="s">
        <v>336</v>
      </c>
      <c r="C133" s="8" t="s">
        <v>310</v>
      </c>
      <c r="D133" s="9">
        <v>7</v>
      </c>
      <c r="E133" s="9">
        <v>2025</v>
      </c>
      <c r="F133" s="10">
        <v>45839</v>
      </c>
      <c r="G133" s="11">
        <v>79255.150000000009</v>
      </c>
      <c r="H133">
        <f>_xlfn.XLOOKUP(C133,'COA Translation'!A:A,'COA Translation'!B:B)</f>
        <v>0</v>
      </c>
      <c r="I133" t="str">
        <f>_xlfn.XLOOKUP(C133,'COA Translation'!A:A,'COA Translation'!C:C)</f>
        <v>Total Revenue</v>
      </c>
      <c r="J133" t="str">
        <f>_xlfn.XLOOKUP(C133,'COA Translation'!A:A,'COA Translation'!E:E)</f>
        <v>TOTAL</v>
      </c>
    </row>
    <row r="134" spans="1:10" x14ac:dyDescent="0.3">
      <c r="A134" s="7" t="s">
        <v>145</v>
      </c>
      <c r="B134" s="8" t="s">
        <v>336</v>
      </c>
      <c r="C134" s="8" t="s">
        <v>310</v>
      </c>
      <c r="D134" s="9">
        <v>8</v>
      </c>
      <c r="E134" s="9">
        <v>2025</v>
      </c>
      <c r="F134" s="10">
        <v>45870</v>
      </c>
      <c r="G134" s="11">
        <v>83302.89</v>
      </c>
      <c r="H134">
        <f>_xlfn.XLOOKUP(C134,'COA Translation'!A:A,'COA Translation'!B:B)</f>
        <v>0</v>
      </c>
      <c r="I134" t="str">
        <f>_xlfn.XLOOKUP(C134,'COA Translation'!A:A,'COA Translation'!C:C)</f>
        <v>Total Revenue</v>
      </c>
      <c r="J134" t="str">
        <f>_xlfn.XLOOKUP(C134,'COA Translation'!A:A,'COA Translation'!E:E)</f>
        <v>TOTAL</v>
      </c>
    </row>
    <row r="135" spans="1:10" x14ac:dyDescent="0.3">
      <c r="A135" s="7" t="s">
        <v>145</v>
      </c>
      <c r="B135" s="8" t="s">
        <v>336</v>
      </c>
      <c r="C135" s="8" t="s">
        <v>310</v>
      </c>
      <c r="D135" s="9">
        <v>9</v>
      </c>
      <c r="E135" s="9">
        <v>2025</v>
      </c>
      <c r="F135" s="10">
        <v>45901</v>
      </c>
      <c r="G135" s="11">
        <v>84099.56</v>
      </c>
      <c r="H135">
        <f>_xlfn.XLOOKUP(C135,'COA Translation'!A:A,'COA Translation'!B:B)</f>
        <v>0</v>
      </c>
      <c r="I135" t="str">
        <f>_xlfn.XLOOKUP(C135,'COA Translation'!A:A,'COA Translation'!C:C)</f>
        <v>Total Revenue</v>
      </c>
      <c r="J135" t="str">
        <f>_xlfn.XLOOKUP(C135,'COA Translation'!A:A,'COA Translation'!E:E)</f>
        <v>TOTAL</v>
      </c>
    </row>
    <row r="136" spans="1:10" x14ac:dyDescent="0.3">
      <c r="A136" s="7" t="s">
        <v>145</v>
      </c>
      <c r="B136" s="8" t="s">
        <v>336</v>
      </c>
      <c r="C136" s="8" t="s">
        <v>310</v>
      </c>
      <c r="D136" s="9">
        <v>10</v>
      </c>
      <c r="E136" s="9">
        <v>2025</v>
      </c>
      <c r="F136" s="10">
        <v>45931</v>
      </c>
      <c r="G136" s="11">
        <v>89576.23</v>
      </c>
      <c r="H136">
        <f>_xlfn.XLOOKUP(C136,'COA Translation'!A:A,'COA Translation'!B:B)</f>
        <v>0</v>
      </c>
      <c r="I136" t="str">
        <f>_xlfn.XLOOKUP(C136,'COA Translation'!A:A,'COA Translation'!C:C)</f>
        <v>Total Revenue</v>
      </c>
      <c r="J136" t="str">
        <f>_xlfn.XLOOKUP(C136,'COA Translation'!A:A,'COA Translation'!E:E)</f>
        <v>TOTAL</v>
      </c>
    </row>
    <row r="137" spans="1:10" x14ac:dyDescent="0.3">
      <c r="A137" s="7" t="s">
        <v>145</v>
      </c>
      <c r="B137" s="8" t="s">
        <v>336</v>
      </c>
      <c r="C137" s="8" t="s">
        <v>310</v>
      </c>
      <c r="D137" s="9">
        <v>11</v>
      </c>
      <c r="E137" s="9">
        <v>2025</v>
      </c>
      <c r="F137" s="10">
        <v>45962</v>
      </c>
      <c r="G137" s="11">
        <v>91791.12000000001</v>
      </c>
      <c r="H137">
        <f>_xlfn.XLOOKUP(C137,'COA Translation'!A:A,'COA Translation'!B:B)</f>
        <v>0</v>
      </c>
      <c r="I137" t="str">
        <f>_xlfn.XLOOKUP(C137,'COA Translation'!A:A,'COA Translation'!C:C)</f>
        <v>Total Revenue</v>
      </c>
      <c r="J137" t="str">
        <f>_xlfn.XLOOKUP(C137,'COA Translation'!A:A,'COA Translation'!E:E)</f>
        <v>TOTAL</v>
      </c>
    </row>
    <row r="138" spans="1:10" x14ac:dyDescent="0.3">
      <c r="A138" s="7" t="s">
        <v>145</v>
      </c>
      <c r="B138" s="8" t="s">
        <v>336</v>
      </c>
      <c r="C138" s="8" t="s">
        <v>310</v>
      </c>
      <c r="D138" s="9">
        <v>12</v>
      </c>
      <c r="E138" s="9">
        <v>2025</v>
      </c>
      <c r="F138" s="10">
        <v>45992</v>
      </c>
      <c r="G138" s="11">
        <v>93169.84</v>
      </c>
      <c r="H138">
        <f>_xlfn.XLOOKUP(C138,'COA Translation'!A:A,'COA Translation'!B:B)</f>
        <v>0</v>
      </c>
      <c r="I138" t="str">
        <f>_xlfn.XLOOKUP(C138,'COA Translation'!A:A,'COA Translation'!C:C)</f>
        <v>Total Revenue</v>
      </c>
      <c r="J138" t="str">
        <f>_xlfn.XLOOKUP(C138,'COA Translation'!A:A,'COA Translation'!E:E)</f>
        <v>TOTAL</v>
      </c>
    </row>
    <row r="139" spans="1:10" x14ac:dyDescent="0.3">
      <c r="A139" s="7" t="s">
        <v>145</v>
      </c>
      <c r="B139" s="8" t="s">
        <v>336</v>
      </c>
      <c r="C139" s="8" t="s">
        <v>310</v>
      </c>
      <c r="D139" s="9">
        <v>1</v>
      </c>
      <c r="E139" s="9">
        <v>2026</v>
      </c>
      <c r="F139" s="10">
        <v>46023</v>
      </c>
      <c r="G139" s="11">
        <v>97489.609999999986</v>
      </c>
      <c r="H139">
        <f>_xlfn.XLOOKUP(C139,'COA Translation'!A:A,'COA Translation'!B:B)</f>
        <v>0</v>
      </c>
      <c r="I139" t="str">
        <f>_xlfn.XLOOKUP(C139,'COA Translation'!A:A,'COA Translation'!C:C)</f>
        <v>Total Revenue</v>
      </c>
      <c r="J139" t="str">
        <f>_xlfn.XLOOKUP(C139,'COA Translation'!A:A,'COA Translation'!E:E)</f>
        <v>TOTAL</v>
      </c>
    </row>
    <row r="140" spans="1:10" x14ac:dyDescent="0.3">
      <c r="A140" s="7" t="s">
        <v>145</v>
      </c>
      <c r="B140" s="8" t="s">
        <v>336</v>
      </c>
      <c r="C140" s="8" t="s">
        <v>340</v>
      </c>
      <c r="D140" s="9">
        <v>2</v>
      </c>
      <c r="E140" s="9">
        <v>2025</v>
      </c>
      <c r="F140" s="10">
        <v>45689</v>
      </c>
      <c r="G140" s="11">
        <v>299</v>
      </c>
      <c r="H140" t="str">
        <f>_xlfn.XLOOKUP(C140,'COA Translation'!A:A,'COA Translation'!B:B)</f>
        <v>Software</v>
      </c>
      <c r="I140">
        <f>_xlfn.XLOOKUP(C140,'COA Translation'!A:A,'COA Translation'!C:C)</f>
        <v>0</v>
      </c>
      <c r="J140" t="str">
        <f>_xlfn.XLOOKUP(C140,'COA Translation'!A:A,'COA Translation'!E:E)</f>
        <v>Expense</v>
      </c>
    </row>
    <row r="141" spans="1:10" x14ac:dyDescent="0.3">
      <c r="A141" s="7" t="s">
        <v>145</v>
      </c>
      <c r="B141" s="8" t="s">
        <v>336</v>
      </c>
      <c r="C141" s="8" t="s">
        <v>340</v>
      </c>
      <c r="D141" s="9">
        <v>3</v>
      </c>
      <c r="E141" s="9">
        <v>2025</v>
      </c>
      <c r="F141" s="10">
        <v>45717</v>
      </c>
      <c r="G141" s="11">
        <v>299</v>
      </c>
      <c r="H141" t="str">
        <f>_xlfn.XLOOKUP(C141,'COA Translation'!A:A,'COA Translation'!B:B)</f>
        <v>Software</v>
      </c>
      <c r="I141">
        <f>_xlfn.XLOOKUP(C141,'COA Translation'!A:A,'COA Translation'!C:C)</f>
        <v>0</v>
      </c>
      <c r="J141" t="str">
        <f>_xlfn.XLOOKUP(C141,'COA Translation'!A:A,'COA Translation'!E:E)</f>
        <v>Expense</v>
      </c>
    </row>
    <row r="142" spans="1:10" x14ac:dyDescent="0.3">
      <c r="A142" s="7" t="s">
        <v>145</v>
      </c>
      <c r="B142" s="8" t="s">
        <v>336</v>
      </c>
      <c r="C142" s="8" t="s">
        <v>340</v>
      </c>
      <c r="D142" s="9">
        <v>4</v>
      </c>
      <c r="E142" s="9">
        <v>2025</v>
      </c>
      <c r="F142" s="10">
        <v>45748</v>
      </c>
      <c r="G142" s="11">
        <v>299</v>
      </c>
      <c r="H142" t="str">
        <f>_xlfn.XLOOKUP(C142,'COA Translation'!A:A,'COA Translation'!B:B)</f>
        <v>Software</v>
      </c>
      <c r="I142">
        <f>_xlfn.XLOOKUP(C142,'COA Translation'!A:A,'COA Translation'!C:C)</f>
        <v>0</v>
      </c>
      <c r="J142" t="str">
        <f>_xlfn.XLOOKUP(C142,'COA Translation'!A:A,'COA Translation'!E:E)</f>
        <v>Expense</v>
      </c>
    </row>
    <row r="143" spans="1:10" x14ac:dyDescent="0.3">
      <c r="A143" s="7" t="s">
        <v>145</v>
      </c>
      <c r="B143" s="8" t="s">
        <v>336</v>
      </c>
      <c r="C143" s="8" t="s">
        <v>340</v>
      </c>
      <c r="D143" s="9">
        <v>5</v>
      </c>
      <c r="E143" s="9">
        <v>2025</v>
      </c>
      <c r="F143" s="10">
        <v>45778</v>
      </c>
      <c r="G143" s="11">
        <v>299.55</v>
      </c>
      <c r="H143" t="str">
        <f>_xlfn.XLOOKUP(C143,'COA Translation'!A:A,'COA Translation'!B:B)</f>
        <v>Software</v>
      </c>
      <c r="I143">
        <f>_xlfn.XLOOKUP(C143,'COA Translation'!A:A,'COA Translation'!C:C)</f>
        <v>0</v>
      </c>
      <c r="J143" t="str">
        <f>_xlfn.XLOOKUP(C143,'COA Translation'!A:A,'COA Translation'!E:E)</f>
        <v>Expense</v>
      </c>
    </row>
    <row r="144" spans="1:10" x14ac:dyDescent="0.3">
      <c r="A144" s="7" t="s">
        <v>145</v>
      </c>
      <c r="B144" s="8" t="s">
        <v>336</v>
      </c>
      <c r="C144" s="8" t="s">
        <v>340</v>
      </c>
      <c r="D144" s="9">
        <v>6</v>
      </c>
      <c r="E144" s="9">
        <v>2025</v>
      </c>
      <c r="F144" s="10">
        <v>45809</v>
      </c>
      <c r="G144" s="11">
        <v>300.86</v>
      </c>
      <c r="H144" t="str">
        <f>_xlfn.XLOOKUP(C144,'COA Translation'!A:A,'COA Translation'!B:B)</f>
        <v>Software</v>
      </c>
      <c r="I144">
        <f>_xlfn.XLOOKUP(C144,'COA Translation'!A:A,'COA Translation'!C:C)</f>
        <v>0</v>
      </c>
      <c r="J144" t="str">
        <f>_xlfn.XLOOKUP(C144,'COA Translation'!A:A,'COA Translation'!E:E)</f>
        <v>Expense</v>
      </c>
    </row>
    <row r="145" spans="1:10" x14ac:dyDescent="0.3">
      <c r="A145" s="7" t="s">
        <v>145</v>
      </c>
      <c r="B145" s="8" t="s">
        <v>336</v>
      </c>
      <c r="C145" s="8" t="s">
        <v>340</v>
      </c>
      <c r="D145" s="9">
        <v>7</v>
      </c>
      <c r="E145" s="9">
        <v>2025</v>
      </c>
      <c r="F145" s="10">
        <v>45839</v>
      </c>
      <c r="G145" s="11">
        <v>299</v>
      </c>
      <c r="H145" t="str">
        <f>_xlfn.XLOOKUP(C145,'COA Translation'!A:A,'COA Translation'!B:B)</f>
        <v>Software</v>
      </c>
      <c r="I145">
        <f>_xlfn.XLOOKUP(C145,'COA Translation'!A:A,'COA Translation'!C:C)</f>
        <v>0</v>
      </c>
      <c r="J145" t="str">
        <f>_xlfn.XLOOKUP(C145,'COA Translation'!A:A,'COA Translation'!E:E)</f>
        <v>Expense</v>
      </c>
    </row>
    <row r="146" spans="1:10" x14ac:dyDescent="0.3">
      <c r="A146" s="7" t="s">
        <v>145</v>
      </c>
      <c r="B146" s="8" t="s">
        <v>336</v>
      </c>
      <c r="C146" s="8" t="s">
        <v>340</v>
      </c>
      <c r="D146" s="9">
        <v>8</v>
      </c>
      <c r="E146" s="9">
        <v>2025</v>
      </c>
      <c r="F146" s="10">
        <v>45870</v>
      </c>
      <c r="G146" s="11">
        <v>299</v>
      </c>
      <c r="H146" t="str">
        <f>_xlfn.XLOOKUP(C146,'COA Translation'!A:A,'COA Translation'!B:B)</f>
        <v>Software</v>
      </c>
      <c r="I146">
        <f>_xlfn.XLOOKUP(C146,'COA Translation'!A:A,'COA Translation'!C:C)</f>
        <v>0</v>
      </c>
      <c r="J146" t="str">
        <f>_xlfn.XLOOKUP(C146,'COA Translation'!A:A,'COA Translation'!E:E)</f>
        <v>Expense</v>
      </c>
    </row>
    <row r="147" spans="1:10" x14ac:dyDescent="0.3">
      <c r="A147" s="7" t="s">
        <v>145</v>
      </c>
      <c r="B147" s="8" t="s">
        <v>336</v>
      </c>
      <c r="C147" s="8" t="s">
        <v>340</v>
      </c>
      <c r="D147" s="9">
        <v>9</v>
      </c>
      <c r="E147" s="9">
        <v>2025</v>
      </c>
      <c r="F147" s="10">
        <v>45901</v>
      </c>
      <c r="G147" s="11">
        <v>300.83</v>
      </c>
      <c r="H147" t="str">
        <f>_xlfn.XLOOKUP(C147,'COA Translation'!A:A,'COA Translation'!B:B)</f>
        <v>Software</v>
      </c>
      <c r="I147">
        <f>_xlfn.XLOOKUP(C147,'COA Translation'!A:A,'COA Translation'!C:C)</f>
        <v>0</v>
      </c>
      <c r="J147" t="str">
        <f>_xlfn.XLOOKUP(C147,'COA Translation'!A:A,'COA Translation'!E:E)</f>
        <v>Expense</v>
      </c>
    </row>
    <row r="148" spans="1:10" x14ac:dyDescent="0.3">
      <c r="A148" s="7" t="s">
        <v>145</v>
      </c>
      <c r="B148" s="8" t="s">
        <v>336</v>
      </c>
      <c r="C148" s="8" t="s">
        <v>340</v>
      </c>
      <c r="D148" s="9">
        <v>10</v>
      </c>
      <c r="E148" s="9">
        <v>2025</v>
      </c>
      <c r="F148" s="10">
        <v>45931</v>
      </c>
      <c r="G148" s="11">
        <v>299</v>
      </c>
      <c r="H148" t="str">
        <f>_xlfn.XLOOKUP(C148,'COA Translation'!A:A,'COA Translation'!B:B)</f>
        <v>Software</v>
      </c>
      <c r="I148">
        <f>_xlfn.XLOOKUP(C148,'COA Translation'!A:A,'COA Translation'!C:C)</f>
        <v>0</v>
      </c>
      <c r="J148" t="str">
        <f>_xlfn.XLOOKUP(C148,'COA Translation'!A:A,'COA Translation'!E:E)</f>
        <v>Expense</v>
      </c>
    </row>
    <row r="149" spans="1:10" x14ac:dyDescent="0.3">
      <c r="A149" s="7" t="s">
        <v>145</v>
      </c>
      <c r="B149" s="8" t="s">
        <v>336</v>
      </c>
      <c r="C149" s="8" t="s">
        <v>340</v>
      </c>
      <c r="D149" s="9">
        <v>11</v>
      </c>
      <c r="E149" s="9">
        <v>2025</v>
      </c>
      <c r="F149" s="10">
        <v>45962</v>
      </c>
      <c r="G149" s="11">
        <v>299</v>
      </c>
      <c r="H149" t="str">
        <f>_xlfn.XLOOKUP(C149,'COA Translation'!A:A,'COA Translation'!B:B)</f>
        <v>Software</v>
      </c>
      <c r="I149">
        <f>_xlfn.XLOOKUP(C149,'COA Translation'!A:A,'COA Translation'!C:C)</f>
        <v>0</v>
      </c>
      <c r="J149" t="str">
        <f>_xlfn.XLOOKUP(C149,'COA Translation'!A:A,'COA Translation'!E:E)</f>
        <v>Expense</v>
      </c>
    </row>
    <row r="150" spans="1:10" x14ac:dyDescent="0.3">
      <c r="A150" s="7" t="s">
        <v>145</v>
      </c>
      <c r="B150" s="8" t="s">
        <v>336</v>
      </c>
      <c r="C150" s="8" t="s">
        <v>340</v>
      </c>
      <c r="D150" s="9">
        <v>12</v>
      </c>
      <c r="E150" s="9">
        <v>2025</v>
      </c>
      <c r="F150" s="10">
        <v>45992</v>
      </c>
      <c r="G150" s="11">
        <v>300.81</v>
      </c>
      <c r="H150" t="str">
        <f>_xlfn.XLOOKUP(C150,'COA Translation'!A:A,'COA Translation'!B:B)</f>
        <v>Software</v>
      </c>
      <c r="I150">
        <f>_xlfn.XLOOKUP(C150,'COA Translation'!A:A,'COA Translation'!C:C)</f>
        <v>0</v>
      </c>
      <c r="J150" t="str">
        <f>_xlfn.XLOOKUP(C150,'COA Translation'!A:A,'COA Translation'!E:E)</f>
        <v>Expense</v>
      </c>
    </row>
    <row r="151" spans="1:10" x14ac:dyDescent="0.3">
      <c r="A151" s="7" t="s">
        <v>145</v>
      </c>
      <c r="B151" s="8" t="s">
        <v>336</v>
      </c>
      <c r="C151" s="8" t="s">
        <v>340</v>
      </c>
      <c r="D151" s="9">
        <v>1</v>
      </c>
      <c r="E151" s="9">
        <v>2026</v>
      </c>
      <c r="F151" s="10">
        <v>46023</v>
      </c>
      <c r="G151" s="11">
        <v>299</v>
      </c>
      <c r="H151" t="str">
        <f>_xlfn.XLOOKUP(C151,'COA Translation'!A:A,'COA Translation'!B:B)</f>
        <v>Software</v>
      </c>
      <c r="I151">
        <f>_xlfn.XLOOKUP(C151,'COA Translation'!A:A,'COA Translation'!C:C)</f>
        <v>0</v>
      </c>
      <c r="J151" t="str">
        <f>_xlfn.XLOOKUP(C151,'COA Translation'!A:A,'COA Translation'!E:E)</f>
        <v>Expense</v>
      </c>
    </row>
    <row r="152" spans="1:10" x14ac:dyDescent="0.3">
      <c r="A152" s="7" t="s">
        <v>145</v>
      </c>
      <c r="B152" s="8" t="s">
        <v>336</v>
      </c>
      <c r="C152" s="8" t="s">
        <v>341</v>
      </c>
      <c r="D152" s="9">
        <v>2</v>
      </c>
      <c r="E152" s="9">
        <v>2025</v>
      </c>
      <c r="F152" s="10">
        <v>45689</v>
      </c>
      <c r="G152" s="11">
        <v>549</v>
      </c>
      <c r="H152" t="str">
        <f>_xlfn.XLOOKUP(C152,'COA Translation'!A:A,'COA Translation'!B:B)</f>
        <v>Software</v>
      </c>
      <c r="I152">
        <f>_xlfn.XLOOKUP(C152,'COA Translation'!A:A,'COA Translation'!C:C)</f>
        <v>0</v>
      </c>
      <c r="J152" t="str">
        <f>_xlfn.XLOOKUP(C152,'COA Translation'!A:A,'COA Translation'!E:E)</f>
        <v>Expense</v>
      </c>
    </row>
    <row r="153" spans="1:10" x14ac:dyDescent="0.3">
      <c r="A153" s="7" t="s">
        <v>145</v>
      </c>
      <c r="B153" s="8" t="s">
        <v>336</v>
      </c>
      <c r="C153" s="8" t="s">
        <v>341</v>
      </c>
      <c r="D153" s="9">
        <v>3</v>
      </c>
      <c r="E153" s="9">
        <v>2025</v>
      </c>
      <c r="F153" s="10">
        <v>45717</v>
      </c>
      <c r="G153" s="11">
        <v>549</v>
      </c>
      <c r="H153" t="str">
        <f>_xlfn.XLOOKUP(C153,'COA Translation'!A:A,'COA Translation'!B:B)</f>
        <v>Software</v>
      </c>
      <c r="I153">
        <f>_xlfn.XLOOKUP(C153,'COA Translation'!A:A,'COA Translation'!C:C)</f>
        <v>0</v>
      </c>
      <c r="J153" t="str">
        <f>_xlfn.XLOOKUP(C153,'COA Translation'!A:A,'COA Translation'!E:E)</f>
        <v>Expense</v>
      </c>
    </row>
    <row r="154" spans="1:10" x14ac:dyDescent="0.3">
      <c r="A154" s="7" t="s">
        <v>145</v>
      </c>
      <c r="B154" s="8" t="s">
        <v>336</v>
      </c>
      <c r="C154" s="8" t="s">
        <v>341</v>
      </c>
      <c r="D154" s="9">
        <v>4</v>
      </c>
      <c r="E154" s="9">
        <v>2025</v>
      </c>
      <c r="F154" s="10">
        <v>45748</v>
      </c>
      <c r="G154" s="11">
        <v>549</v>
      </c>
      <c r="H154" t="str">
        <f>_xlfn.XLOOKUP(C154,'COA Translation'!A:A,'COA Translation'!B:B)</f>
        <v>Software</v>
      </c>
      <c r="I154">
        <f>_xlfn.XLOOKUP(C154,'COA Translation'!A:A,'COA Translation'!C:C)</f>
        <v>0</v>
      </c>
      <c r="J154" t="str">
        <f>_xlfn.XLOOKUP(C154,'COA Translation'!A:A,'COA Translation'!E:E)</f>
        <v>Expense</v>
      </c>
    </row>
    <row r="155" spans="1:10" x14ac:dyDescent="0.3">
      <c r="A155" s="7" t="s">
        <v>145</v>
      </c>
      <c r="B155" s="8" t="s">
        <v>336</v>
      </c>
      <c r="C155" s="8" t="s">
        <v>341</v>
      </c>
      <c r="D155" s="9">
        <v>5</v>
      </c>
      <c r="E155" s="9">
        <v>2025</v>
      </c>
      <c r="F155" s="10">
        <v>45778</v>
      </c>
      <c r="G155" s="11">
        <v>549</v>
      </c>
      <c r="H155" t="str">
        <f>_xlfn.XLOOKUP(C155,'COA Translation'!A:A,'COA Translation'!B:B)</f>
        <v>Software</v>
      </c>
      <c r="I155">
        <f>_xlfn.XLOOKUP(C155,'COA Translation'!A:A,'COA Translation'!C:C)</f>
        <v>0</v>
      </c>
      <c r="J155" t="str">
        <f>_xlfn.XLOOKUP(C155,'COA Translation'!A:A,'COA Translation'!E:E)</f>
        <v>Expense</v>
      </c>
    </row>
    <row r="156" spans="1:10" x14ac:dyDescent="0.3">
      <c r="A156" s="7" t="s">
        <v>145</v>
      </c>
      <c r="B156" s="8" t="s">
        <v>336</v>
      </c>
      <c r="C156" s="8" t="s">
        <v>341</v>
      </c>
      <c r="D156" s="9">
        <v>6</v>
      </c>
      <c r="E156" s="9">
        <v>2025</v>
      </c>
      <c r="F156" s="10">
        <v>45809</v>
      </c>
      <c r="G156" s="11">
        <v>549</v>
      </c>
      <c r="H156" t="str">
        <f>_xlfn.XLOOKUP(C156,'COA Translation'!A:A,'COA Translation'!B:B)</f>
        <v>Software</v>
      </c>
      <c r="I156">
        <f>_xlfn.XLOOKUP(C156,'COA Translation'!A:A,'COA Translation'!C:C)</f>
        <v>0</v>
      </c>
      <c r="J156" t="str">
        <f>_xlfn.XLOOKUP(C156,'COA Translation'!A:A,'COA Translation'!E:E)</f>
        <v>Expense</v>
      </c>
    </row>
    <row r="157" spans="1:10" x14ac:dyDescent="0.3">
      <c r="A157" s="7" t="s">
        <v>145</v>
      </c>
      <c r="B157" s="8" t="s">
        <v>336</v>
      </c>
      <c r="C157" s="8" t="s">
        <v>341</v>
      </c>
      <c r="D157" s="9">
        <v>7</v>
      </c>
      <c r="E157" s="9">
        <v>2025</v>
      </c>
      <c r="F157" s="10">
        <v>45839</v>
      </c>
      <c r="G157" s="11">
        <v>549</v>
      </c>
      <c r="H157" t="str">
        <f>_xlfn.XLOOKUP(C157,'COA Translation'!A:A,'COA Translation'!B:B)</f>
        <v>Software</v>
      </c>
      <c r="I157">
        <f>_xlfn.XLOOKUP(C157,'COA Translation'!A:A,'COA Translation'!C:C)</f>
        <v>0</v>
      </c>
      <c r="J157" t="str">
        <f>_xlfn.XLOOKUP(C157,'COA Translation'!A:A,'COA Translation'!E:E)</f>
        <v>Expense</v>
      </c>
    </row>
    <row r="158" spans="1:10" x14ac:dyDescent="0.3">
      <c r="A158" s="7" t="s">
        <v>145</v>
      </c>
      <c r="B158" s="8" t="s">
        <v>336</v>
      </c>
      <c r="C158" s="8" t="s">
        <v>341</v>
      </c>
      <c r="D158" s="9">
        <v>8</v>
      </c>
      <c r="E158" s="9">
        <v>2025</v>
      </c>
      <c r="F158" s="10">
        <v>45870</v>
      </c>
      <c r="G158" s="11">
        <v>549</v>
      </c>
      <c r="H158" t="str">
        <f>_xlfn.XLOOKUP(C158,'COA Translation'!A:A,'COA Translation'!B:B)</f>
        <v>Software</v>
      </c>
      <c r="I158">
        <f>_xlfn.XLOOKUP(C158,'COA Translation'!A:A,'COA Translation'!C:C)</f>
        <v>0</v>
      </c>
      <c r="J158" t="str">
        <f>_xlfn.XLOOKUP(C158,'COA Translation'!A:A,'COA Translation'!E:E)</f>
        <v>Expense</v>
      </c>
    </row>
    <row r="159" spans="1:10" x14ac:dyDescent="0.3">
      <c r="A159" s="7" t="s">
        <v>145</v>
      </c>
      <c r="B159" s="8" t="s">
        <v>336</v>
      </c>
      <c r="C159" s="8" t="s">
        <v>341</v>
      </c>
      <c r="D159" s="9">
        <v>9</v>
      </c>
      <c r="E159" s="9">
        <v>2025</v>
      </c>
      <c r="F159" s="10">
        <v>45901</v>
      </c>
      <c r="G159" s="11">
        <v>549</v>
      </c>
      <c r="H159" t="str">
        <f>_xlfn.XLOOKUP(C159,'COA Translation'!A:A,'COA Translation'!B:B)</f>
        <v>Software</v>
      </c>
      <c r="I159">
        <f>_xlfn.XLOOKUP(C159,'COA Translation'!A:A,'COA Translation'!C:C)</f>
        <v>0</v>
      </c>
      <c r="J159" t="str">
        <f>_xlfn.XLOOKUP(C159,'COA Translation'!A:A,'COA Translation'!E:E)</f>
        <v>Expense</v>
      </c>
    </row>
    <row r="160" spans="1:10" x14ac:dyDescent="0.3">
      <c r="A160" s="7" t="s">
        <v>145</v>
      </c>
      <c r="B160" s="8" t="s">
        <v>336</v>
      </c>
      <c r="C160" s="8" t="s">
        <v>341</v>
      </c>
      <c r="D160" s="9">
        <v>10</v>
      </c>
      <c r="E160" s="9">
        <v>2025</v>
      </c>
      <c r="F160" s="10">
        <v>45931</v>
      </c>
      <c r="G160" s="11">
        <v>549</v>
      </c>
      <c r="H160" t="str">
        <f>_xlfn.XLOOKUP(C160,'COA Translation'!A:A,'COA Translation'!B:B)</f>
        <v>Software</v>
      </c>
      <c r="I160">
        <f>_xlfn.XLOOKUP(C160,'COA Translation'!A:A,'COA Translation'!C:C)</f>
        <v>0</v>
      </c>
      <c r="J160" t="str">
        <f>_xlfn.XLOOKUP(C160,'COA Translation'!A:A,'COA Translation'!E:E)</f>
        <v>Expense</v>
      </c>
    </row>
    <row r="161" spans="1:10" x14ac:dyDescent="0.3">
      <c r="A161" s="7" t="s">
        <v>145</v>
      </c>
      <c r="B161" s="8" t="s">
        <v>336</v>
      </c>
      <c r="C161" s="8" t="s">
        <v>341</v>
      </c>
      <c r="D161" s="9">
        <v>11</v>
      </c>
      <c r="E161" s="9">
        <v>2025</v>
      </c>
      <c r="F161" s="10">
        <v>45962</v>
      </c>
      <c r="G161" s="11">
        <v>549</v>
      </c>
      <c r="H161" t="str">
        <f>_xlfn.XLOOKUP(C161,'COA Translation'!A:A,'COA Translation'!B:B)</f>
        <v>Software</v>
      </c>
      <c r="I161">
        <f>_xlfn.XLOOKUP(C161,'COA Translation'!A:A,'COA Translation'!C:C)</f>
        <v>0</v>
      </c>
      <c r="J161" t="str">
        <f>_xlfn.XLOOKUP(C161,'COA Translation'!A:A,'COA Translation'!E:E)</f>
        <v>Expense</v>
      </c>
    </row>
    <row r="162" spans="1:10" x14ac:dyDescent="0.3">
      <c r="A162" s="7" t="s">
        <v>145</v>
      </c>
      <c r="B162" s="8" t="s">
        <v>336</v>
      </c>
      <c r="C162" s="8" t="s">
        <v>341</v>
      </c>
      <c r="D162" s="9">
        <v>12</v>
      </c>
      <c r="E162" s="9">
        <v>2025</v>
      </c>
      <c r="F162" s="10">
        <v>45992</v>
      </c>
      <c r="G162" s="11">
        <v>549</v>
      </c>
      <c r="H162" t="str">
        <f>_xlfn.XLOOKUP(C162,'COA Translation'!A:A,'COA Translation'!B:B)</f>
        <v>Software</v>
      </c>
      <c r="I162">
        <f>_xlfn.XLOOKUP(C162,'COA Translation'!A:A,'COA Translation'!C:C)</f>
        <v>0</v>
      </c>
      <c r="J162" t="str">
        <f>_xlfn.XLOOKUP(C162,'COA Translation'!A:A,'COA Translation'!E:E)</f>
        <v>Expense</v>
      </c>
    </row>
    <row r="163" spans="1:10" x14ac:dyDescent="0.3">
      <c r="A163" s="7" t="s">
        <v>145</v>
      </c>
      <c r="B163" s="8" t="s">
        <v>336</v>
      </c>
      <c r="C163" s="8" t="s">
        <v>341</v>
      </c>
      <c r="D163" s="9">
        <v>1</v>
      </c>
      <c r="E163" s="9">
        <v>2026</v>
      </c>
      <c r="F163" s="10">
        <v>46023</v>
      </c>
      <c r="G163" s="11">
        <v>549</v>
      </c>
      <c r="H163" t="str">
        <f>_xlfn.XLOOKUP(C163,'COA Translation'!A:A,'COA Translation'!B:B)</f>
        <v>Software</v>
      </c>
      <c r="I163">
        <f>_xlfn.XLOOKUP(C163,'COA Translation'!A:A,'COA Translation'!C:C)</f>
        <v>0</v>
      </c>
      <c r="J163" t="str">
        <f>_xlfn.XLOOKUP(C163,'COA Translation'!A:A,'COA Translation'!E:E)</f>
        <v>Expense</v>
      </c>
    </row>
    <row r="164" spans="1:10" x14ac:dyDescent="0.3">
      <c r="A164" s="7" t="s">
        <v>145</v>
      </c>
      <c r="B164" s="8" t="s">
        <v>336</v>
      </c>
      <c r="C164" s="8" t="s">
        <v>146</v>
      </c>
      <c r="D164" s="9">
        <v>2</v>
      </c>
      <c r="E164" s="9">
        <v>2025</v>
      </c>
      <c r="F164" s="10">
        <v>45689</v>
      </c>
      <c r="G164" s="11">
        <v>1754.77</v>
      </c>
      <c r="H164" t="str">
        <f>_xlfn.XLOOKUP(C164,'COA Translation'!A:A,'COA Translation'!B:B)</f>
        <v>Current Mgmt. Fee</v>
      </c>
      <c r="I164">
        <f>_xlfn.XLOOKUP(C164,'COA Translation'!A:A,'COA Translation'!C:C)</f>
        <v>0</v>
      </c>
      <c r="J164" t="str">
        <f>_xlfn.XLOOKUP(C164,'COA Translation'!A:A,'COA Translation'!E:E)</f>
        <v>Expense</v>
      </c>
    </row>
    <row r="165" spans="1:10" x14ac:dyDescent="0.3">
      <c r="A165" s="7" t="s">
        <v>145</v>
      </c>
      <c r="B165" s="8" t="s">
        <v>336</v>
      </c>
      <c r="C165" s="8" t="s">
        <v>146</v>
      </c>
      <c r="D165" s="9">
        <v>3</v>
      </c>
      <c r="E165" s="9">
        <v>2025</v>
      </c>
      <c r="F165" s="10">
        <v>45717</v>
      </c>
      <c r="G165" s="11">
        <v>2058.87</v>
      </c>
      <c r="H165" t="str">
        <f>_xlfn.XLOOKUP(C165,'COA Translation'!A:A,'COA Translation'!B:B)</f>
        <v>Current Mgmt. Fee</v>
      </c>
      <c r="I165">
        <f>_xlfn.XLOOKUP(C165,'COA Translation'!A:A,'COA Translation'!C:C)</f>
        <v>0</v>
      </c>
      <c r="J165" t="str">
        <f>_xlfn.XLOOKUP(C165,'COA Translation'!A:A,'COA Translation'!E:E)</f>
        <v>Expense</v>
      </c>
    </row>
    <row r="166" spans="1:10" x14ac:dyDescent="0.3">
      <c r="A166" s="7" t="s">
        <v>145</v>
      </c>
      <c r="B166" s="8" t="s">
        <v>336</v>
      </c>
      <c r="C166" s="8" t="s">
        <v>146</v>
      </c>
      <c r="D166" s="9">
        <v>4</v>
      </c>
      <c r="E166" s="9">
        <v>2025</v>
      </c>
      <c r="F166" s="10">
        <v>45748</v>
      </c>
      <c r="G166" s="11">
        <v>2286.1799999999998</v>
      </c>
      <c r="H166" t="str">
        <f>_xlfn.XLOOKUP(C166,'COA Translation'!A:A,'COA Translation'!B:B)</f>
        <v>Current Mgmt. Fee</v>
      </c>
      <c r="I166">
        <f>_xlfn.XLOOKUP(C166,'COA Translation'!A:A,'COA Translation'!C:C)</f>
        <v>0</v>
      </c>
      <c r="J166" t="str">
        <f>_xlfn.XLOOKUP(C166,'COA Translation'!A:A,'COA Translation'!E:E)</f>
        <v>Expense</v>
      </c>
    </row>
    <row r="167" spans="1:10" x14ac:dyDescent="0.3">
      <c r="A167" s="7" t="s">
        <v>145</v>
      </c>
      <c r="B167" s="8" t="s">
        <v>336</v>
      </c>
      <c r="C167" s="8" t="s">
        <v>146</v>
      </c>
      <c r="D167" s="9">
        <v>5</v>
      </c>
      <c r="E167" s="9">
        <v>2025</v>
      </c>
      <c r="F167" s="10">
        <v>45778</v>
      </c>
      <c r="G167" s="11">
        <v>2694.28</v>
      </c>
      <c r="H167" t="str">
        <f>_xlfn.XLOOKUP(C167,'COA Translation'!A:A,'COA Translation'!B:B)</f>
        <v>Current Mgmt. Fee</v>
      </c>
      <c r="I167">
        <f>_xlfn.XLOOKUP(C167,'COA Translation'!A:A,'COA Translation'!C:C)</f>
        <v>0</v>
      </c>
      <c r="J167" t="str">
        <f>_xlfn.XLOOKUP(C167,'COA Translation'!A:A,'COA Translation'!E:E)</f>
        <v>Expense</v>
      </c>
    </row>
    <row r="168" spans="1:10" x14ac:dyDescent="0.3">
      <c r="A168" s="7" t="s">
        <v>145</v>
      </c>
      <c r="B168" s="8" t="s">
        <v>336</v>
      </c>
      <c r="C168" s="8" t="s">
        <v>146</v>
      </c>
      <c r="D168" s="9">
        <v>6</v>
      </c>
      <c r="E168" s="9">
        <v>2025</v>
      </c>
      <c r="F168" s="10">
        <v>45809</v>
      </c>
      <c r="G168" s="11">
        <v>2709.73</v>
      </c>
      <c r="H168" t="str">
        <f>_xlfn.XLOOKUP(C168,'COA Translation'!A:A,'COA Translation'!B:B)</f>
        <v>Current Mgmt. Fee</v>
      </c>
      <c r="I168">
        <f>_xlfn.XLOOKUP(C168,'COA Translation'!A:A,'COA Translation'!C:C)</f>
        <v>0</v>
      </c>
      <c r="J168" t="str">
        <f>_xlfn.XLOOKUP(C168,'COA Translation'!A:A,'COA Translation'!E:E)</f>
        <v>Expense</v>
      </c>
    </row>
    <row r="169" spans="1:10" x14ac:dyDescent="0.3">
      <c r="A169" s="7" t="s">
        <v>145</v>
      </c>
      <c r="B169" s="8" t="s">
        <v>336</v>
      </c>
      <c r="C169" s="8" t="s">
        <v>146</v>
      </c>
      <c r="D169" s="9">
        <v>7</v>
      </c>
      <c r="E169" s="9">
        <v>2025</v>
      </c>
      <c r="F169" s="10">
        <v>45839</v>
      </c>
      <c r="G169" s="11">
        <v>2950.41</v>
      </c>
      <c r="H169" t="str">
        <f>_xlfn.XLOOKUP(C169,'COA Translation'!A:A,'COA Translation'!B:B)</f>
        <v>Current Mgmt. Fee</v>
      </c>
      <c r="I169">
        <f>_xlfn.XLOOKUP(C169,'COA Translation'!A:A,'COA Translation'!C:C)</f>
        <v>0</v>
      </c>
      <c r="J169" t="str">
        <f>_xlfn.XLOOKUP(C169,'COA Translation'!A:A,'COA Translation'!E:E)</f>
        <v>Expense</v>
      </c>
    </row>
    <row r="170" spans="1:10" x14ac:dyDescent="0.3">
      <c r="A170" s="7" t="s">
        <v>145</v>
      </c>
      <c r="B170" s="8" t="s">
        <v>336</v>
      </c>
      <c r="C170" s="8" t="s">
        <v>146</v>
      </c>
      <c r="D170" s="9">
        <v>8</v>
      </c>
      <c r="E170" s="9">
        <v>2025</v>
      </c>
      <c r="F170" s="10">
        <v>45870</v>
      </c>
      <c r="G170" s="11">
        <v>3144.77</v>
      </c>
      <c r="H170" t="str">
        <f>_xlfn.XLOOKUP(C170,'COA Translation'!A:A,'COA Translation'!B:B)</f>
        <v>Current Mgmt. Fee</v>
      </c>
      <c r="I170">
        <f>_xlfn.XLOOKUP(C170,'COA Translation'!A:A,'COA Translation'!C:C)</f>
        <v>0</v>
      </c>
      <c r="J170" t="str">
        <f>_xlfn.XLOOKUP(C170,'COA Translation'!A:A,'COA Translation'!E:E)</f>
        <v>Expense</v>
      </c>
    </row>
    <row r="171" spans="1:10" x14ac:dyDescent="0.3">
      <c r="A171" s="7" t="s">
        <v>145</v>
      </c>
      <c r="B171" s="8" t="s">
        <v>336</v>
      </c>
      <c r="C171" s="8" t="s">
        <v>146</v>
      </c>
      <c r="D171" s="9">
        <v>9</v>
      </c>
      <c r="E171" s="9">
        <v>2025</v>
      </c>
      <c r="F171" s="10">
        <v>45901</v>
      </c>
      <c r="G171" s="11">
        <v>3149.43</v>
      </c>
      <c r="H171" t="str">
        <f>_xlfn.XLOOKUP(C171,'COA Translation'!A:A,'COA Translation'!B:B)</f>
        <v>Current Mgmt. Fee</v>
      </c>
      <c r="I171">
        <f>_xlfn.XLOOKUP(C171,'COA Translation'!A:A,'COA Translation'!C:C)</f>
        <v>0</v>
      </c>
      <c r="J171" t="str">
        <f>_xlfn.XLOOKUP(C171,'COA Translation'!A:A,'COA Translation'!E:E)</f>
        <v>Expense</v>
      </c>
    </row>
    <row r="172" spans="1:10" x14ac:dyDescent="0.3">
      <c r="A172" s="7" t="s">
        <v>145</v>
      </c>
      <c r="B172" s="8" t="s">
        <v>336</v>
      </c>
      <c r="C172" s="8" t="s">
        <v>146</v>
      </c>
      <c r="D172" s="9">
        <v>10</v>
      </c>
      <c r="E172" s="9">
        <v>2025</v>
      </c>
      <c r="F172" s="10">
        <v>45931</v>
      </c>
      <c r="G172" s="11">
        <v>3536.17</v>
      </c>
      <c r="H172" t="str">
        <f>_xlfn.XLOOKUP(C172,'COA Translation'!A:A,'COA Translation'!B:B)</f>
        <v>Current Mgmt. Fee</v>
      </c>
      <c r="I172">
        <f>_xlfn.XLOOKUP(C172,'COA Translation'!A:A,'COA Translation'!C:C)</f>
        <v>0</v>
      </c>
      <c r="J172" t="str">
        <f>_xlfn.XLOOKUP(C172,'COA Translation'!A:A,'COA Translation'!E:E)</f>
        <v>Expense</v>
      </c>
    </row>
    <row r="173" spans="1:10" x14ac:dyDescent="0.3">
      <c r="A173" s="7" t="s">
        <v>145</v>
      </c>
      <c r="B173" s="8" t="s">
        <v>336</v>
      </c>
      <c r="C173" s="8" t="s">
        <v>146</v>
      </c>
      <c r="D173" s="9">
        <v>11</v>
      </c>
      <c r="E173" s="9">
        <v>2025</v>
      </c>
      <c r="F173" s="10">
        <v>45962</v>
      </c>
      <c r="G173" s="11">
        <v>3345.34</v>
      </c>
      <c r="H173" t="str">
        <f>_xlfn.XLOOKUP(C173,'COA Translation'!A:A,'COA Translation'!B:B)</f>
        <v>Current Mgmt. Fee</v>
      </c>
      <c r="I173">
        <f>_xlfn.XLOOKUP(C173,'COA Translation'!A:A,'COA Translation'!C:C)</f>
        <v>0</v>
      </c>
      <c r="J173" t="str">
        <f>_xlfn.XLOOKUP(C173,'COA Translation'!A:A,'COA Translation'!E:E)</f>
        <v>Expense</v>
      </c>
    </row>
    <row r="174" spans="1:10" x14ac:dyDescent="0.3">
      <c r="A174" s="7" t="s">
        <v>145</v>
      </c>
      <c r="B174" s="8" t="s">
        <v>336</v>
      </c>
      <c r="C174" s="8" t="s">
        <v>146</v>
      </c>
      <c r="D174" s="9">
        <v>12</v>
      </c>
      <c r="E174" s="9">
        <v>2025</v>
      </c>
      <c r="F174" s="10">
        <v>45992</v>
      </c>
      <c r="G174" s="11">
        <v>3636.85</v>
      </c>
      <c r="H174" t="str">
        <f>_xlfn.XLOOKUP(C174,'COA Translation'!A:A,'COA Translation'!B:B)</f>
        <v>Current Mgmt. Fee</v>
      </c>
      <c r="I174">
        <f>_xlfn.XLOOKUP(C174,'COA Translation'!A:A,'COA Translation'!C:C)</f>
        <v>0</v>
      </c>
      <c r="J174" t="str">
        <f>_xlfn.XLOOKUP(C174,'COA Translation'!A:A,'COA Translation'!E:E)</f>
        <v>Expense</v>
      </c>
    </row>
    <row r="175" spans="1:10" x14ac:dyDescent="0.3">
      <c r="A175" s="7" t="s">
        <v>145</v>
      </c>
      <c r="B175" s="8" t="s">
        <v>336</v>
      </c>
      <c r="C175" s="8" t="s">
        <v>146</v>
      </c>
      <c r="D175" s="9">
        <v>1</v>
      </c>
      <c r="E175" s="9">
        <v>2026</v>
      </c>
      <c r="F175" s="10">
        <v>46023</v>
      </c>
      <c r="G175" s="11">
        <v>3727.71</v>
      </c>
      <c r="H175" t="str">
        <f>_xlfn.XLOOKUP(C175,'COA Translation'!A:A,'COA Translation'!B:B)</f>
        <v>Current Mgmt. Fee</v>
      </c>
      <c r="I175">
        <f>_xlfn.XLOOKUP(C175,'COA Translation'!A:A,'COA Translation'!C:C)</f>
        <v>0</v>
      </c>
      <c r="J175" t="str">
        <f>_xlfn.XLOOKUP(C175,'COA Translation'!A:A,'COA Translation'!E:E)</f>
        <v>Expense</v>
      </c>
    </row>
    <row r="176" spans="1:10" x14ac:dyDescent="0.3">
      <c r="A176" s="7" t="s">
        <v>145</v>
      </c>
      <c r="B176" s="8" t="s">
        <v>336</v>
      </c>
      <c r="C176" s="8" t="s">
        <v>342</v>
      </c>
      <c r="D176" s="9">
        <v>2</v>
      </c>
      <c r="E176" s="9">
        <v>2025</v>
      </c>
      <c r="F176" s="10">
        <v>45689</v>
      </c>
      <c r="G176" s="11">
        <v>2602.77</v>
      </c>
      <c r="H176">
        <f>_xlfn.XLOOKUP(C176,'COA Translation'!A:A,'COA Translation'!B:B)</f>
        <v>0</v>
      </c>
      <c r="I176">
        <f>_xlfn.XLOOKUP(C176,'COA Translation'!A:A,'COA Translation'!C:C)</f>
        <v>0</v>
      </c>
      <c r="J176" t="str">
        <f>_xlfn.XLOOKUP(C176,'COA Translation'!A:A,'COA Translation'!E:E)</f>
        <v>TOTAL</v>
      </c>
    </row>
    <row r="177" spans="1:10" x14ac:dyDescent="0.3">
      <c r="A177" s="7" t="s">
        <v>145</v>
      </c>
      <c r="B177" s="8" t="s">
        <v>336</v>
      </c>
      <c r="C177" s="8" t="s">
        <v>342</v>
      </c>
      <c r="D177" s="9">
        <v>3</v>
      </c>
      <c r="E177" s="9">
        <v>2025</v>
      </c>
      <c r="F177" s="10">
        <v>45717</v>
      </c>
      <c r="G177" s="11">
        <v>2906.87</v>
      </c>
      <c r="H177">
        <f>_xlfn.XLOOKUP(C177,'COA Translation'!A:A,'COA Translation'!B:B)</f>
        <v>0</v>
      </c>
      <c r="I177">
        <f>_xlfn.XLOOKUP(C177,'COA Translation'!A:A,'COA Translation'!C:C)</f>
        <v>0</v>
      </c>
      <c r="J177" t="str">
        <f>_xlfn.XLOOKUP(C177,'COA Translation'!A:A,'COA Translation'!E:E)</f>
        <v>TOTAL</v>
      </c>
    </row>
    <row r="178" spans="1:10" x14ac:dyDescent="0.3">
      <c r="A178" s="7" t="s">
        <v>145</v>
      </c>
      <c r="B178" s="8" t="s">
        <v>336</v>
      </c>
      <c r="C178" s="8" t="s">
        <v>342</v>
      </c>
      <c r="D178" s="9">
        <v>4</v>
      </c>
      <c r="E178" s="9">
        <v>2025</v>
      </c>
      <c r="F178" s="10">
        <v>45748</v>
      </c>
      <c r="G178" s="11">
        <v>3134.18</v>
      </c>
      <c r="H178">
        <f>_xlfn.XLOOKUP(C178,'COA Translation'!A:A,'COA Translation'!B:B)</f>
        <v>0</v>
      </c>
      <c r="I178">
        <f>_xlfn.XLOOKUP(C178,'COA Translation'!A:A,'COA Translation'!C:C)</f>
        <v>0</v>
      </c>
      <c r="J178" t="str">
        <f>_xlfn.XLOOKUP(C178,'COA Translation'!A:A,'COA Translation'!E:E)</f>
        <v>TOTAL</v>
      </c>
    </row>
    <row r="179" spans="1:10" x14ac:dyDescent="0.3">
      <c r="A179" s="7" t="s">
        <v>145</v>
      </c>
      <c r="B179" s="8" t="s">
        <v>336</v>
      </c>
      <c r="C179" s="8" t="s">
        <v>342</v>
      </c>
      <c r="D179" s="9">
        <v>5</v>
      </c>
      <c r="E179" s="9">
        <v>2025</v>
      </c>
      <c r="F179" s="10">
        <v>45778</v>
      </c>
      <c r="G179" s="11">
        <v>3542.83</v>
      </c>
      <c r="H179">
        <f>_xlfn.XLOOKUP(C179,'COA Translation'!A:A,'COA Translation'!B:B)</f>
        <v>0</v>
      </c>
      <c r="I179">
        <f>_xlfn.XLOOKUP(C179,'COA Translation'!A:A,'COA Translation'!C:C)</f>
        <v>0</v>
      </c>
      <c r="J179" t="str">
        <f>_xlfn.XLOOKUP(C179,'COA Translation'!A:A,'COA Translation'!E:E)</f>
        <v>TOTAL</v>
      </c>
    </row>
    <row r="180" spans="1:10" x14ac:dyDescent="0.3">
      <c r="A180" s="7" t="s">
        <v>145</v>
      </c>
      <c r="B180" s="8" t="s">
        <v>336</v>
      </c>
      <c r="C180" s="8" t="s">
        <v>342</v>
      </c>
      <c r="D180" s="9">
        <v>6</v>
      </c>
      <c r="E180" s="9">
        <v>2025</v>
      </c>
      <c r="F180" s="10">
        <v>45809</v>
      </c>
      <c r="G180" s="11">
        <v>3559.59</v>
      </c>
      <c r="H180">
        <f>_xlfn.XLOOKUP(C180,'COA Translation'!A:A,'COA Translation'!B:B)</f>
        <v>0</v>
      </c>
      <c r="I180">
        <f>_xlfn.XLOOKUP(C180,'COA Translation'!A:A,'COA Translation'!C:C)</f>
        <v>0</v>
      </c>
      <c r="J180" t="str">
        <f>_xlfn.XLOOKUP(C180,'COA Translation'!A:A,'COA Translation'!E:E)</f>
        <v>TOTAL</v>
      </c>
    </row>
    <row r="181" spans="1:10" x14ac:dyDescent="0.3">
      <c r="A181" s="7" t="s">
        <v>145</v>
      </c>
      <c r="B181" s="8" t="s">
        <v>336</v>
      </c>
      <c r="C181" s="8" t="s">
        <v>342</v>
      </c>
      <c r="D181" s="9">
        <v>7</v>
      </c>
      <c r="E181" s="9">
        <v>2025</v>
      </c>
      <c r="F181" s="10">
        <v>45839</v>
      </c>
      <c r="G181" s="11">
        <v>3798.41</v>
      </c>
      <c r="H181">
        <f>_xlfn.XLOOKUP(C181,'COA Translation'!A:A,'COA Translation'!B:B)</f>
        <v>0</v>
      </c>
      <c r="I181">
        <f>_xlfn.XLOOKUP(C181,'COA Translation'!A:A,'COA Translation'!C:C)</f>
        <v>0</v>
      </c>
      <c r="J181" t="str">
        <f>_xlfn.XLOOKUP(C181,'COA Translation'!A:A,'COA Translation'!E:E)</f>
        <v>TOTAL</v>
      </c>
    </row>
    <row r="182" spans="1:10" x14ac:dyDescent="0.3">
      <c r="A182" s="7" t="s">
        <v>145</v>
      </c>
      <c r="B182" s="8" t="s">
        <v>336</v>
      </c>
      <c r="C182" s="8" t="s">
        <v>342</v>
      </c>
      <c r="D182" s="9">
        <v>8</v>
      </c>
      <c r="E182" s="9">
        <v>2025</v>
      </c>
      <c r="F182" s="10">
        <v>45870</v>
      </c>
      <c r="G182" s="11">
        <v>3992.77</v>
      </c>
      <c r="H182">
        <f>_xlfn.XLOOKUP(C182,'COA Translation'!A:A,'COA Translation'!B:B)</f>
        <v>0</v>
      </c>
      <c r="I182">
        <f>_xlfn.XLOOKUP(C182,'COA Translation'!A:A,'COA Translation'!C:C)</f>
        <v>0</v>
      </c>
      <c r="J182" t="str">
        <f>_xlfn.XLOOKUP(C182,'COA Translation'!A:A,'COA Translation'!E:E)</f>
        <v>TOTAL</v>
      </c>
    </row>
    <row r="183" spans="1:10" x14ac:dyDescent="0.3">
      <c r="A183" s="7" t="s">
        <v>145</v>
      </c>
      <c r="B183" s="8" t="s">
        <v>336</v>
      </c>
      <c r="C183" s="8" t="s">
        <v>342</v>
      </c>
      <c r="D183" s="9">
        <v>9</v>
      </c>
      <c r="E183" s="9">
        <v>2025</v>
      </c>
      <c r="F183" s="10">
        <v>45901</v>
      </c>
      <c r="G183" s="11">
        <v>3999.2599999999998</v>
      </c>
      <c r="H183">
        <f>_xlfn.XLOOKUP(C183,'COA Translation'!A:A,'COA Translation'!B:B)</f>
        <v>0</v>
      </c>
      <c r="I183">
        <f>_xlfn.XLOOKUP(C183,'COA Translation'!A:A,'COA Translation'!C:C)</f>
        <v>0</v>
      </c>
      <c r="J183" t="str">
        <f>_xlfn.XLOOKUP(C183,'COA Translation'!A:A,'COA Translation'!E:E)</f>
        <v>TOTAL</v>
      </c>
    </row>
    <row r="184" spans="1:10" x14ac:dyDescent="0.3">
      <c r="A184" s="7" t="s">
        <v>145</v>
      </c>
      <c r="B184" s="8" t="s">
        <v>336</v>
      </c>
      <c r="C184" s="8" t="s">
        <v>342</v>
      </c>
      <c r="D184" s="9">
        <v>10</v>
      </c>
      <c r="E184" s="9">
        <v>2025</v>
      </c>
      <c r="F184" s="10">
        <v>45931</v>
      </c>
      <c r="G184" s="11">
        <v>4384.17</v>
      </c>
      <c r="H184">
        <f>_xlfn.XLOOKUP(C184,'COA Translation'!A:A,'COA Translation'!B:B)</f>
        <v>0</v>
      </c>
      <c r="I184">
        <f>_xlfn.XLOOKUP(C184,'COA Translation'!A:A,'COA Translation'!C:C)</f>
        <v>0</v>
      </c>
      <c r="J184" t="str">
        <f>_xlfn.XLOOKUP(C184,'COA Translation'!A:A,'COA Translation'!E:E)</f>
        <v>TOTAL</v>
      </c>
    </row>
    <row r="185" spans="1:10" x14ac:dyDescent="0.3">
      <c r="A185" s="7" t="s">
        <v>145</v>
      </c>
      <c r="B185" s="8" t="s">
        <v>336</v>
      </c>
      <c r="C185" s="8" t="s">
        <v>342</v>
      </c>
      <c r="D185" s="9">
        <v>11</v>
      </c>
      <c r="E185" s="9">
        <v>2025</v>
      </c>
      <c r="F185" s="10">
        <v>45962</v>
      </c>
      <c r="G185" s="11">
        <v>4193.34</v>
      </c>
      <c r="H185">
        <f>_xlfn.XLOOKUP(C185,'COA Translation'!A:A,'COA Translation'!B:B)</f>
        <v>0</v>
      </c>
      <c r="I185">
        <f>_xlfn.XLOOKUP(C185,'COA Translation'!A:A,'COA Translation'!C:C)</f>
        <v>0</v>
      </c>
      <c r="J185" t="str">
        <f>_xlfn.XLOOKUP(C185,'COA Translation'!A:A,'COA Translation'!E:E)</f>
        <v>TOTAL</v>
      </c>
    </row>
    <row r="186" spans="1:10" x14ac:dyDescent="0.3">
      <c r="A186" s="7" t="s">
        <v>145</v>
      </c>
      <c r="B186" s="8" t="s">
        <v>336</v>
      </c>
      <c r="C186" s="8" t="s">
        <v>342</v>
      </c>
      <c r="D186" s="9">
        <v>12</v>
      </c>
      <c r="E186" s="9">
        <v>2025</v>
      </c>
      <c r="F186" s="10">
        <v>45992</v>
      </c>
      <c r="G186" s="11">
        <v>4486.66</v>
      </c>
      <c r="H186">
        <f>_xlfn.XLOOKUP(C186,'COA Translation'!A:A,'COA Translation'!B:B)</f>
        <v>0</v>
      </c>
      <c r="I186">
        <f>_xlfn.XLOOKUP(C186,'COA Translation'!A:A,'COA Translation'!C:C)</f>
        <v>0</v>
      </c>
      <c r="J186" t="str">
        <f>_xlfn.XLOOKUP(C186,'COA Translation'!A:A,'COA Translation'!E:E)</f>
        <v>TOTAL</v>
      </c>
    </row>
    <row r="187" spans="1:10" x14ac:dyDescent="0.3">
      <c r="A187" s="7" t="s">
        <v>145</v>
      </c>
      <c r="B187" s="8" t="s">
        <v>336</v>
      </c>
      <c r="C187" s="8" t="s">
        <v>342</v>
      </c>
      <c r="D187" s="9">
        <v>1</v>
      </c>
      <c r="E187" s="9">
        <v>2026</v>
      </c>
      <c r="F187" s="10">
        <v>46023</v>
      </c>
      <c r="G187" s="11">
        <v>4575.71</v>
      </c>
      <c r="H187">
        <f>_xlfn.XLOOKUP(C187,'COA Translation'!A:A,'COA Translation'!B:B)</f>
        <v>0</v>
      </c>
      <c r="I187">
        <f>_xlfn.XLOOKUP(C187,'COA Translation'!A:A,'COA Translation'!C:C)</f>
        <v>0</v>
      </c>
      <c r="J187" t="str">
        <f>_xlfn.XLOOKUP(C187,'COA Translation'!A:A,'COA Translation'!E:E)</f>
        <v>TOTAL</v>
      </c>
    </row>
    <row r="188" spans="1:10" x14ac:dyDescent="0.3">
      <c r="A188" s="7" t="s">
        <v>145</v>
      </c>
      <c r="B188" s="8" t="s">
        <v>336</v>
      </c>
      <c r="C188" s="8" t="s">
        <v>343</v>
      </c>
      <c r="D188" s="9">
        <v>2</v>
      </c>
      <c r="E188" s="9">
        <v>2025</v>
      </c>
      <c r="F188" s="10">
        <v>45689</v>
      </c>
      <c r="G188" s="11">
        <v>352.63</v>
      </c>
      <c r="H188" t="str">
        <f>_xlfn.XLOOKUP(C188,'COA Translation'!A:A,'COA Translation'!B:B)</f>
        <v>Retail Products</v>
      </c>
      <c r="I188">
        <f>_xlfn.XLOOKUP(C188,'COA Translation'!A:A,'COA Translation'!C:C)</f>
        <v>0</v>
      </c>
      <c r="J188" t="str">
        <f>_xlfn.XLOOKUP(C188,'COA Translation'!A:A,'COA Translation'!E:E)</f>
        <v>Expense</v>
      </c>
    </row>
    <row r="189" spans="1:10" x14ac:dyDescent="0.3">
      <c r="A189" s="7" t="s">
        <v>145</v>
      </c>
      <c r="B189" s="8" t="s">
        <v>336</v>
      </c>
      <c r="C189" s="8" t="s">
        <v>343</v>
      </c>
      <c r="D189" s="9">
        <v>3</v>
      </c>
      <c r="E189" s="9">
        <v>2025</v>
      </c>
      <c r="F189" s="10">
        <v>45717</v>
      </c>
      <c r="G189" s="11">
        <v>212.59000000000009</v>
      </c>
      <c r="H189" t="str">
        <f>_xlfn.XLOOKUP(C189,'COA Translation'!A:A,'COA Translation'!B:B)</f>
        <v>Retail Products</v>
      </c>
      <c r="I189">
        <f>_xlfn.XLOOKUP(C189,'COA Translation'!A:A,'COA Translation'!C:C)</f>
        <v>0</v>
      </c>
      <c r="J189" t="str">
        <f>_xlfn.XLOOKUP(C189,'COA Translation'!A:A,'COA Translation'!E:E)</f>
        <v>Expense</v>
      </c>
    </row>
    <row r="190" spans="1:10" x14ac:dyDescent="0.3">
      <c r="A190" s="7" t="s">
        <v>145</v>
      </c>
      <c r="B190" s="8" t="s">
        <v>336</v>
      </c>
      <c r="C190" s="8" t="s">
        <v>343</v>
      </c>
      <c r="D190" s="9">
        <v>4</v>
      </c>
      <c r="E190" s="9">
        <v>2025</v>
      </c>
      <c r="F190" s="10">
        <v>45748</v>
      </c>
      <c r="G190" s="11">
        <v>288.37999999999994</v>
      </c>
      <c r="H190" t="str">
        <f>_xlfn.XLOOKUP(C190,'COA Translation'!A:A,'COA Translation'!B:B)</f>
        <v>Retail Products</v>
      </c>
      <c r="I190">
        <f>_xlfn.XLOOKUP(C190,'COA Translation'!A:A,'COA Translation'!C:C)</f>
        <v>0</v>
      </c>
      <c r="J190" t="str">
        <f>_xlfn.XLOOKUP(C190,'COA Translation'!A:A,'COA Translation'!E:E)</f>
        <v>Expense</v>
      </c>
    </row>
    <row r="191" spans="1:10" x14ac:dyDescent="0.3">
      <c r="A191" s="7" t="s">
        <v>145</v>
      </c>
      <c r="B191" s="8" t="s">
        <v>336</v>
      </c>
      <c r="C191" s="8" t="s">
        <v>343</v>
      </c>
      <c r="D191" s="9">
        <v>5</v>
      </c>
      <c r="E191" s="9">
        <v>2025</v>
      </c>
      <c r="F191" s="10">
        <v>45778</v>
      </c>
      <c r="G191" s="11">
        <v>351.81999999999994</v>
      </c>
      <c r="H191" t="str">
        <f>_xlfn.XLOOKUP(C191,'COA Translation'!A:A,'COA Translation'!B:B)</f>
        <v>Retail Products</v>
      </c>
      <c r="I191">
        <f>_xlfn.XLOOKUP(C191,'COA Translation'!A:A,'COA Translation'!C:C)</f>
        <v>0</v>
      </c>
      <c r="J191" t="str">
        <f>_xlfn.XLOOKUP(C191,'COA Translation'!A:A,'COA Translation'!E:E)</f>
        <v>Expense</v>
      </c>
    </row>
    <row r="192" spans="1:10" x14ac:dyDescent="0.3">
      <c r="A192" s="7" t="s">
        <v>145</v>
      </c>
      <c r="B192" s="8" t="s">
        <v>336</v>
      </c>
      <c r="C192" s="8" t="s">
        <v>343</v>
      </c>
      <c r="D192" s="9">
        <v>6</v>
      </c>
      <c r="E192" s="9">
        <v>2025</v>
      </c>
      <c r="F192" s="10">
        <v>45809</v>
      </c>
      <c r="G192" s="11">
        <v>237.58</v>
      </c>
      <c r="H192" t="str">
        <f>_xlfn.XLOOKUP(C192,'COA Translation'!A:A,'COA Translation'!B:B)</f>
        <v>Retail Products</v>
      </c>
      <c r="I192">
        <f>_xlfn.XLOOKUP(C192,'COA Translation'!A:A,'COA Translation'!C:C)</f>
        <v>0</v>
      </c>
      <c r="J192" t="str">
        <f>_xlfn.XLOOKUP(C192,'COA Translation'!A:A,'COA Translation'!E:E)</f>
        <v>Expense</v>
      </c>
    </row>
    <row r="193" spans="1:10" x14ac:dyDescent="0.3">
      <c r="A193" s="7" t="s">
        <v>145</v>
      </c>
      <c r="B193" s="8" t="s">
        <v>336</v>
      </c>
      <c r="C193" s="8" t="s">
        <v>343</v>
      </c>
      <c r="D193" s="9">
        <v>7</v>
      </c>
      <c r="E193" s="9">
        <v>2025</v>
      </c>
      <c r="F193" s="10">
        <v>45839</v>
      </c>
      <c r="G193" s="11">
        <v>182.07</v>
      </c>
      <c r="H193" t="str">
        <f>_xlfn.XLOOKUP(C193,'COA Translation'!A:A,'COA Translation'!B:B)</f>
        <v>Retail Products</v>
      </c>
      <c r="I193">
        <f>_xlfn.XLOOKUP(C193,'COA Translation'!A:A,'COA Translation'!C:C)</f>
        <v>0</v>
      </c>
      <c r="J193" t="str">
        <f>_xlfn.XLOOKUP(C193,'COA Translation'!A:A,'COA Translation'!E:E)</f>
        <v>Expense</v>
      </c>
    </row>
    <row r="194" spans="1:10" x14ac:dyDescent="0.3">
      <c r="A194" s="7" t="s">
        <v>145</v>
      </c>
      <c r="B194" s="8" t="s">
        <v>336</v>
      </c>
      <c r="C194" s="8" t="s">
        <v>343</v>
      </c>
      <c r="D194" s="9">
        <v>8</v>
      </c>
      <c r="E194" s="9">
        <v>2025</v>
      </c>
      <c r="F194" s="10">
        <v>45870</v>
      </c>
      <c r="G194" s="11">
        <v>418.24999999999994</v>
      </c>
      <c r="H194" t="str">
        <f>_xlfn.XLOOKUP(C194,'COA Translation'!A:A,'COA Translation'!B:B)</f>
        <v>Retail Products</v>
      </c>
      <c r="I194">
        <f>_xlfn.XLOOKUP(C194,'COA Translation'!A:A,'COA Translation'!C:C)</f>
        <v>0</v>
      </c>
      <c r="J194" t="str">
        <f>_xlfn.XLOOKUP(C194,'COA Translation'!A:A,'COA Translation'!E:E)</f>
        <v>Expense</v>
      </c>
    </row>
    <row r="195" spans="1:10" x14ac:dyDescent="0.3">
      <c r="A195" s="7" t="s">
        <v>145</v>
      </c>
      <c r="B195" s="8" t="s">
        <v>336</v>
      </c>
      <c r="C195" s="8" t="s">
        <v>343</v>
      </c>
      <c r="D195" s="9">
        <v>9</v>
      </c>
      <c r="E195" s="9">
        <v>2025</v>
      </c>
      <c r="F195" s="10">
        <v>45901</v>
      </c>
      <c r="G195" s="11">
        <v>275.06</v>
      </c>
      <c r="H195" t="str">
        <f>_xlfn.XLOOKUP(C195,'COA Translation'!A:A,'COA Translation'!B:B)</f>
        <v>Retail Products</v>
      </c>
      <c r="I195">
        <f>_xlfn.XLOOKUP(C195,'COA Translation'!A:A,'COA Translation'!C:C)</f>
        <v>0</v>
      </c>
      <c r="J195" t="str">
        <f>_xlfn.XLOOKUP(C195,'COA Translation'!A:A,'COA Translation'!E:E)</f>
        <v>Expense</v>
      </c>
    </row>
    <row r="196" spans="1:10" x14ac:dyDescent="0.3">
      <c r="A196" s="7" t="s">
        <v>145</v>
      </c>
      <c r="B196" s="8" t="s">
        <v>336</v>
      </c>
      <c r="C196" s="8" t="s">
        <v>343</v>
      </c>
      <c r="D196" s="9">
        <v>10</v>
      </c>
      <c r="E196" s="9">
        <v>2025</v>
      </c>
      <c r="F196" s="10">
        <v>45931</v>
      </c>
      <c r="G196" s="11">
        <v>299.7</v>
      </c>
      <c r="H196" t="str">
        <f>_xlfn.XLOOKUP(C196,'COA Translation'!A:A,'COA Translation'!B:B)</f>
        <v>Retail Products</v>
      </c>
      <c r="I196">
        <f>_xlfn.XLOOKUP(C196,'COA Translation'!A:A,'COA Translation'!C:C)</f>
        <v>0</v>
      </c>
      <c r="J196" t="str">
        <f>_xlfn.XLOOKUP(C196,'COA Translation'!A:A,'COA Translation'!E:E)</f>
        <v>Expense</v>
      </c>
    </row>
    <row r="197" spans="1:10" x14ac:dyDescent="0.3">
      <c r="A197" s="7" t="s">
        <v>145</v>
      </c>
      <c r="B197" s="8" t="s">
        <v>336</v>
      </c>
      <c r="C197" s="8" t="s">
        <v>343</v>
      </c>
      <c r="D197" s="9">
        <v>11</v>
      </c>
      <c r="E197" s="9">
        <v>2025</v>
      </c>
      <c r="F197" s="10">
        <v>45962</v>
      </c>
      <c r="G197" s="11">
        <v>243.02</v>
      </c>
      <c r="H197" t="str">
        <f>_xlfn.XLOOKUP(C197,'COA Translation'!A:A,'COA Translation'!B:B)</f>
        <v>Retail Products</v>
      </c>
      <c r="I197">
        <f>_xlfn.XLOOKUP(C197,'COA Translation'!A:A,'COA Translation'!C:C)</f>
        <v>0</v>
      </c>
      <c r="J197" t="str">
        <f>_xlfn.XLOOKUP(C197,'COA Translation'!A:A,'COA Translation'!E:E)</f>
        <v>Expense</v>
      </c>
    </row>
    <row r="198" spans="1:10" x14ac:dyDescent="0.3">
      <c r="A198" s="7" t="s">
        <v>145</v>
      </c>
      <c r="B198" s="8" t="s">
        <v>336</v>
      </c>
      <c r="C198" s="8" t="s">
        <v>343</v>
      </c>
      <c r="D198" s="9">
        <v>12</v>
      </c>
      <c r="E198" s="9">
        <v>2025</v>
      </c>
      <c r="F198" s="10">
        <v>45992</v>
      </c>
      <c r="G198" s="11">
        <v>476.18999999999994</v>
      </c>
      <c r="H198" t="str">
        <f>_xlfn.XLOOKUP(C198,'COA Translation'!A:A,'COA Translation'!B:B)</f>
        <v>Retail Products</v>
      </c>
      <c r="I198">
        <f>_xlfn.XLOOKUP(C198,'COA Translation'!A:A,'COA Translation'!C:C)</f>
        <v>0</v>
      </c>
      <c r="J198" t="str">
        <f>_xlfn.XLOOKUP(C198,'COA Translation'!A:A,'COA Translation'!E:E)</f>
        <v>Expense</v>
      </c>
    </row>
    <row r="199" spans="1:10" x14ac:dyDescent="0.3">
      <c r="A199" s="7" t="s">
        <v>145</v>
      </c>
      <c r="B199" s="8" t="s">
        <v>336</v>
      </c>
      <c r="C199" s="8" t="s">
        <v>343</v>
      </c>
      <c r="D199" s="9">
        <v>1</v>
      </c>
      <c r="E199" s="9">
        <v>2026</v>
      </c>
      <c r="F199" s="10">
        <v>46023</v>
      </c>
      <c r="G199" s="11">
        <v>359.27999999999992</v>
      </c>
      <c r="H199" t="str">
        <f>_xlfn.XLOOKUP(C199,'COA Translation'!A:A,'COA Translation'!B:B)</f>
        <v>Retail Products</v>
      </c>
      <c r="I199">
        <f>_xlfn.XLOOKUP(C199,'COA Translation'!A:A,'COA Translation'!C:C)</f>
        <v>0</v>
      </c>
      <c r="J199" t="str">
        <f>_xlfn.XLOOKUP(C199,'COA Translation'!A:A,'COA Translation'!E:E)</f>
        <v>Expense</v>
      </c>
    </row>
    <row r="200" spans="1:10" x14ac:dyDescent="0.3">
      <c r="A200" s="7" t="s">
        <v>145</v>
      </c>
      <c r="B200" s="8" t="s">
        <v>336</v>
      </c>
      <c r="C200" s="8" t="s">
        <v>344</v>
      </c>
      <c r="D200" s="9">
        <v>2</v>
      </c>
      <c r="E200" s="9">
        <v>2025</v>
      </c>
      <c r="F200" s="10">
        <v>45689</v>
      </c>
      <c r="G200" s="11">
        <v>7395.5700000000015</v>
      </c>
      <c r="H200" t="str">
        <f>_xlfn.XLOOKUP(C200,'COA Translation'!A:A,'COA Translation'!B:B)</f>
        <v>Payroll</v>
      </c>
      <c r="I200">
        <f>_xlfn.XLOOKUP(C200,'COA Translation'!A:A,'COA Translation'!C:C)</f>
        <v>0</v>
      </c>
      <c r="J200" t="str">
        <f>_xlfn.XLOOKUP(C200,'COA Translation'!A:A,'COA Translation'!E:E)</f>
        <v>Expense</v>
      </c>
    </row>
    <row r="201" spans="1:10" x14ac:dyDescent="0.3">
      <c r="A201" s="7" t="s">
        <v>145</v>
      </c>
      <c r="B201" s="8" t="s">
        <v>336</v>
      </c>
      <c r="C201" s="8" t="s">
        <v>344</v>
      </c>
      <c r="D201" s="9">
        <v>3</v>
      </c>
      <c r="E201" s="9">
        <v>2025</v>
      </c>
      <c r="F201" s="10">
        <v>45717</v>
      </c>
      <c r="G201" s="11">
        <v>5933.7699999999995</v>
      </c>
      <c r="H201" t="str">
        <f>_xlfn.XLOOKUP(C201,'COA Translation'!A:A,'COA Translation'!B:B)</f>
        <v>Payroll</v>
      </c>
      <c r="I201">
        <f>_xlfn.XLOOKUP(C201,'COA Translation'!A:A,'COA Translation'!C:C)</f>
        <v>0</v>
      </c>
      <c r="J201" t="str">
        <f>_xlfn.XLOOKUP(C201,'COA Translation'!A:A,'COA Translation'!E:E)</f>
        <v>Expense</v>
      </c>
    </row>
    <row r="202" spans="1:10" x14ac:dyDescent="0.3">
      <c r="A202" s="7" t="s">
        <v>145</v>
      </c>
      <c r="B202" s="8" t="s">
        <v>336</v>
      </c>
      <c r="C202" s="8" t="s">
        <v>344</v>
      </c>
      <c r="D202" s="9">
        <v>4</v>
      </c>
      <c r="E202" s="9">
        <v>2025</v>
      </c>
      <c r="F202" s="10">
        <v>45748</v>
      </c>
      <c r="G202" s="11">
        <v>7055.4400000000014</v>
      </c>
      <c r="H202" t="str">
        <f>_xlfn.XLOOKUP(C202,'COA Translation'!A:A,'COA Translation'!B:B)</f>
        <v>Payroll</v>
      </c>
      <c r="I202">
        <f>_xlfn.XLOOKUP(C202,'COA Translation'!A:A,'COA Translation'!C:C)</f>
        <v>0</v>
      </c>
      <c r="J202" t="str">
        <f>_xlfn.XLOOKUP(C202,'COA Translation'!A:A,'COA Translation'!E:E)</f>
        <v>Expense</v>
      </c>
    </row>
    <row r="203" spans="1:10" x14ac:dyDescent="0.3">
      <c r="A203" s="7" t="s">
        <v>145</v>
      </c>
      <c r="B203" s="8" t="s">
        <v>336</v>
      </c>
      <c r="C203" s="8" t="s">
        <v>344</v>
      </c>
      <c r="D203" s="9">
        <v>5</v>
      </c>
      <c r="E203" s="9">
        <v>2025</v>
      </c>
      <c r="F203" s="10">
        <v>45778</v>
      </c>
      <c r="G203" s="11">
        <v>8709.83</v>
      </c>
      <c r="H203" t="str">
        <f>_xlfn.XLOOKUP(C203,'COA Translation'!A:A,'COA Translation'!B:B)</f>
        <v>Payroll</v>
      </c>
      <c r="I203">
        <f>_xlfn.XLOOKUP(C203,'COA Translation'!A:A,'COA Translation'!C:C)</f>
        <v>0</v>
      </c>
      <c r="J203" t="str">
        <f>_xlfn.XLOOKUP(C203,'COA Translation'!A:A,'COA Translation'!E:E)</f>
        <v>Expense</v>
      </c>
    </row>
    <row r="204" spans="1:10" x14ac:dyDescent="0.3">
      <c r="A204" s="7" t="s">
        <v>145</v>
      </c>
      <c r="B204" s="8" t="s">
        <v>336</v>
      </c>
      <c r="C204" s="8" t="s">
        <v>344</v>
      </c>
      <c r="D204" s="9">
        <v>6</v>
      </c>
      <c r="E204" s="9">
        <v>2025</v>
      </c>
      <c r="F204" s="10">
        <v>45809</v>
      </c>
      <c r="G204" s="11">
        <v>8544.9500000000007</v>
      </c>
      <c r="H204" t="str">
        <f>_xlfn.XLOOKUP(C204,'COA Translation'!A:A,'COA Translation'!B:B)</f>
        <v>Payroll</v>
      </c>
      <c r="I204">
        <f>_xlfn.XLOOKUP(C204,'COA Translation'!A:A,'COA Translation'!C:C)</f>
        <v>0</v>
      </c>
      <c r="J204" t="str">
        <f>_xlfn.XLOOKUP(C204,'COA Translation'!A:A,'COA Translation'!E:E)</f>
        <v>Expense</v>
      </c>
    </row>
    <row r="205" spans="1:10" x14ac:dyDescent="0.3">
      <c r="A205" s="7" t="s">
        <v>145</v>
      </c>
      <c r="B205" s="8" t="s">
        <v>336</v>
      </c>
      <c r="C205" s="8" t="s">
        <v>344</v>
      </c>
      <c r="D205" s="9">
        <v>7</v>
      </c>
      <c r="E205" s="9">
        <v>2025</v>
      </c>
      <c r="F205" s="10">
        <v>45839</v>
      </c>
      <c r="G205" s="11">
        <v>7756.3999999999987</v>
      </c>
      <c r="H205" t="str">
        <f>_xlfn.XLOOKUP(C205,'COA Translation'!A:A,'COA Translation'!B:B)</f>
        <v>Payroll</v>
      </c>
      <c r="I205">
        <f>_xlfn.XLOOKUP(C205,'COA Translation'!A:A,'COA Translation'!C:C)</f>
        <v>0</v>
      </c>
      <c r="J205" t="str">
        <f>_xlfn.XLOOKUP(C205,'COA Translation'!A:A,'COA Translation'!E:E)</f>
        <v>Expense</v>
      </c>
    </row>
    <row r="206" spans="1:10" x14ac:dyDescent="0.3">
      <c r="A206" s="7" t="s">
        <v>145</v>
      </c>
      <c r="B206" s="8" t="s">
        <v>336</v>
      </c>
      <c r="C206" s="8" t="s">
        <v>344</v>
      </c>
      <c r="D206" s="9">
        <v>8</v>
      </c>
      <c r="E206" s="9">
        <v>2025</v>
      </c>
      <c r="F206" s="10">
        <v>45870</v>
      </c>
      <c r="G206" s="11">
        <v>8621.5500000000011</v>
      </c>
      <c r="H206" t="str">
        <f>_xlfn.XLOOKUP(C206,'COA Translation'!A:A,'COA Translation'!B:B)</f>
        <v>Payroll</v>
      </c>
      <c r="I206">
        <f>_xlfn.XLOOKUP(C206,'COA Translation'!A:A,'COA Translation'!C:C)</f>
        <v>0</v>
      </c>
      <c r="J206" t="str">
        <f>_xlfn.XLOOKUP(C206,'COA Translation'!A:A,'COA Translation'!E:E)</f>
        <v>Expense</v>
      </c>
    </row>
    <row r="207" spans="1:10" x14ac:dyDescent="0.3">
      <c r="A207" s="7" t="s">
        <v>145</v>
      </c>
      <c r="B207" s="8" t="s">
        <v>336</v>
      </c>
      <c r="C207" s="8" t="s">
        <v>344</v>
      </c>
      <c r="D207" s="9">
        <v>9</v>
      </c>
      <c r="E207" s="9">
        <v>2025</v>
      </c>
      <c r="F207" s="10">
        <v>45901</v>
      </c>
      <c r="G207" s="11">
        <v>8103.48</v>
      </c>
      <c r="H207" t="str">
        <f>_xlfn.XLOOKUP(C207,'COA Translation'!A:A,'COA Translation'!B:B)</f>
        <v>Payroll</v>
      </c>
      <c r="I207">
        <f>_xlfn.XLOOKUP(C207,'COA Translation'!A:A,'COA Translation'!C:C)</f>
        <v>0</v>
      </c>
      <c r="J207" t="str">
        <f>_xlfn.XLOOKUP(C207,'COA Translation'!A:A,'COA Translation'!E:E)</f>
        <v>Expense</v>
      </c>
    </row>
    <row r="208" spans="1:10" x14ac:dyDescent="0.3">
      <c r="A208" s="7" t="s">
        <v>145</v>
      </c>
      <c r="B208" s="8" t="s">
        <v>336</v>
      </c>
      <c r="C208" s="8" t="s">
        <v>344</v>
      </c>
      <c r="D208" s="9">
        <v>10</v>
      </c>
      <c r="E208" s="9">
        <v>2025</v>
      </c>
      <c r="F208" s="10">
        <v>45931</v>
      </c>
      <c r="G208" s="11">
        <v>6491.0899999999983</v>
      </c>
      <c r="H208" t="str">
        <f>_xlfn.XLOOKUP(C208,'COA Translation'!A:A,'COA Translation'!B:B)</f>
        <v>Payroll</v>
      </c>
      <c r="I208">
        <f>_xlfn.XLOOKUP(C208,'COA Translation'!A:A,'COA Translation'!C:C)</f>
        <v>0</v>
      </c>
      <c r="J208" t="str">
        <f>_xlfn.XLOOKUP(C208,'COA Translation'!A:A,'COA Translation'!E:E)</f>
        <v>Expense</v>
      </c>
    </row>
    <row r="209" spans="1:10" x14ac:dyDescent="0.3">
      <c r="A209" s="7" t="s">
        <v>145</v>
      </c>
      <c r="B209" s="8" t="s">
        <v>336</v>
      </c>
      <c r="C209" s="8" t="s">
        <v>344</v>
      </c>
      <c r="D209" s="9">
        <v>11</v>
      </c>
      <c r="E209" s="9">
        <v>2025</v>
      </c>
      <c r="F209" s="10">
        <v>45962</v>
      </c>
      <c r="G209" s="11">
        <v>6675.98</v>
      </c>
      <c r="H209" t="str">
        <f>_xlfn.XLOOKUP(C209,'COA Translation'!A:A,'COA Translation'!B:B)</f>
        <v>Payroll</v>
      </c>
      <c r="I209">
        <f>_xlfn.XLOOKUP(C209,'COA Translation'!A:A,'COA Translation'!C:C)</f>
        <v>0</v>
      </c>
      <c r="J209" t="str">
        <f>_xlfn.XLOOKUP(C209,'COA Translation'!A:A,'COA Translation'!E:E)</f>
        <v>Expense</v>
      </c>
    </row>
    <row r="210" spans="1:10" x14ac:dyDescent="0.3">
      <c r="A210" s="7" t="s">
        <v>145</v>
      </c>
      <c r="B210" s="8" t="s">
        <v>336</v>
      </c>
      <c r="C210" s="8" t="s">
        <v>344</v>
      </c>
      <c r="D210" s="9">
        <v>12</v>
      </c>
      <c r="E210" s="9">
        <v>2025</v>
      </c>
      <c r="F210" s="10">
        <v>45992</v>
      </c>
      <c r="G210" s="11">
        <v>7406.7300000000014</v>
      </c>
      <c r="H210" t="str">
        <f>_xlfn.XLOOKUP(C210,'COA Translation'!A:A,'COA Translation'!B:B)</f>
        <v>Payroll</v>
      </c>
      <c r="I210">
        <f>_xlfn.XLOOKUP(C210,'COA Translation'!A:A,'COA Translation'!C:C)</f>
        <v>0</v>
      </c>
      <c r="J210" t="str">
        <f>_xlfn.XLOOKUP(C210,'COA Translation'!A:A,'COA Translation'!E:E)</f>
        <v>Expense</v>
      </c>
    </row>
    <row r="211" spans="1:10" x14ac:dyDescent="0.3">
      <c r="A211" s="7" t="s">
        <v>145</v>
      </c>
      <c r="B211" s="8" t="s">
        <v>336</v>
      </c>
      <c r="C211" s="8" t="s">
        <v>344</v>
      </c>
      <c r="D211" s="9">
        <v>1</v>
      </c>
      <c r="E211" s="9">
        <v>2026</v>
      </c>
      <c r="F211" s="10">
        <v>46023</v>
      </c>
      <c r="G211" s="11">
        <v>6871.5000000000009</v>
      </c>
      <c r="H211" t="str">
        <f>_xlfn.XLOOKUP(C211,'COA Translation'!A:A,'COA Translation'!B:B)</f>
        <v>Payroll</v>
      </c>
      <c r="I211">
        <f>_xlfn.XLOOKUP(C211,'COA Translation'!A:A,'COA Translation'!C:C)</f>
        <v>0</v>
      </c>
      <c r="J211" t="str">
        <f>_xlfn.XLOOKUP(C211,'COA Translation'!A:A,'COA Translation'!E:E)</f>
        <v>Expense</v>
      </c>
    </row>
    <row r="212" spans="1:10" x14ac:dyDescent="0.3">
      <c r="A212" s="7" t="s">
        <v>145</v>
      </c>
      <c r="B212" s="8" t="s">
        <v>336</v>
      </c>
      <c r="C212" s="8" t="s">
        <v>345</v>
      </c>
      <c r="D212" s="9">
        <v>2</v>
      </c>
      <c r="E212" s="9">
        <v>2025</v>
      </c>
      <c r="F212" s="10">
        <v>45689</v>
      </c>
      <c r="G212" s="11">
        <v>1303.22</v>
      </c>
      <c r="H212" t="str">
        <f>_xlfn.XLOOKUP(C212,'COA Translation'!A:A,'COA Translation'!B:B)</f>
        <v>Current Mgmt. Fee</v>
      </c>
      <c r="I212">
        <f>_xlfn.XLOOKUP(C212,'COA Translation'!A:A,'COA Translation'!C:C)</f>
        <v>0</v>
      </c>
      <c r="J212" t="str">
        <f>_xlfn.XLOOKUP(C212,'COA Translation'!A:A,'COA Translation'!E:E)</f>
        <v>Expense</v>
      </c>
    </row>
    <row r="213" spans="1:10" x14ac:dyDescent="0.3">
      <c r="A213" s="7" t="s">
        <v>145</v>
      </c>
      <c r="B213" s="8" t="s">
        <v>336</v>
      </c>
      <c r="C213" s="8" t="s">
        <v>345</v>
      </c>
      <c r="D213" s="9">
        <v>3</v>
      </c>
      <c r="E213" s="9">
        <v>2025</v>
      </c>
      <c r="F213" s="10">
        <v>45717</v>
      </c>
      <c r="G213" s="11">
        <v>1522.62</v>
      </c>
      <c r="H213" t="str">
        <f>_xlfn.XLOOKUP(C213,'COA Translation'!A:A,'COA Translation'!B:B)</f>
        <v>Current Mgmt. Fee</v>
      </c>
      <c r="I213">
        <f>_xlfn.XLOOKUP(C213,'COA Translation'!A:A,'COA Translation'!C:C)</f>
        <v>0</v>
      </c>
      <c r="J213" t="str">
        <f>_xlfn.XLOOKUP(C213,'COA Translation'!A:A,'COA Translation'!E:E)</f>
        <v>Expense</v>
      </c>
    </row>
    <row r="214" spans="1:10" x14ac:dyDescent="0.3">
      <c r="A214" s="7" t="s">
        <v>145</v>
      </c>
      <c r="B214" s="8" t="s">
        <v>336</v>
      </c>
      <c r="C214" s="8" t="s">
        <v>345</v>
      </c>
      <c r="D214" s="9">
        <v>4</v>
      </c>
      <c r="E214" s="9">
        <v>2025</v>
      </c>
      <c r="F214" s="10">
        <v>45748</v>
      </c>
      <c r="G214" s="11">
        <v>726.55000000000041</v>
      </c>
      <c r="H214" t="str">
        <f>_xlfn.XLOOKUP(C214,'COA Translation'!A:A,'COA Translation'!B:B)</f>
        <v>Current Mgmt. Fee</v>
      </c>
      <c r="I214">
        <f>_xlfn.XLOOKUP(C214,'COA Translation'!A:A,'COA Translation'!C:C)</f>
        <v>0</v>
      </c>
      <c r="J214" t="str">
        <f>_xlfn.XLOOKUP(C214,'COA Translation'!A:A,'COA Translation'!E:E)</f>
        <v>Expense</v>
      </c>
    </row>
    <row r="215" spans="1:10" x14ac:dyDescent="0.3">
      <c r="A215" s="7" t="s">
        <v>145</v>
      </c>
      <c r="B215" s="8" t="s">
        <v>336</v>
      </c>
      <c r="C215" s="8" t="s">
        <v>345</v>
      </c>
      <c r="D215" s="9">
        <v>5</v>
      </c>
      <c r="E215" s="9">
        <v>2025</v>
      </c>
      <c r="F215" s="10">
        <v>45778</v>
      </c>
      <c r="G215" s="11">
        <v>1063.1500000000001</v>
      </c>
      <c r="H215" t="str">
        <f>_xlfn.XLOOKUP(C215,'COA Translation'!A:A,'COA Translation'!B:B)</f>
        <v>Current Mgmt. Fee</v>
      </c>
      <c r="I215">
        <f>_xlfn.XLOOKUP(C215,'COA Translation'!A:A,'COA Translation'!C:C)</f>
        <v>0</v>
      </c>
      <c r="J215" t="str">
        <f>_xlfn.XLOOKUP(C215,'COA Translation'!A:A,'COA Translation'!E:E)</f>
        <v>Expense</v>
      </c>
    </row>
    <row r="216" spans="1:10" x14ac:dyDescent="0.3">
      <c r="A216" s="7" t="s">
        <v>145</v>
      </c>
      <c r="B216" s="8" t="s">
        <v>336</v>
      </c>
      <c r="C216" s="8" t="s">
        <v>345</v>
      </c>
      <c r="D216" s="9">
        <v>6</v>
      </c>
      <c r="E216" s="9">
        <v>2025</v>
      </c>
      <c r="F216" s="10">
        <v>45809</v>
      </c>
      <c r="G216" s="11">
        <v>864.46</v>
      </c>
      <c r="H216" t="str">
        <f>_xlfn.XLOOKUP(C216,'COA Translation'!A:A,'COA Translation'!B:B)</f>
        <v>Current Mgmt. Fee</v>
      </c>
      <c r="I216">
        <f>_xlfn.XLOOKUP(C216,'COA Translation'!A:A,'COA Translation'!C:C)</f>
        <v>0</v>
      </c>
      <c r="J216" t="str">
        <f>_xlfn.XLOOKUP(C216,'COA Translation'!A:A,'COA Translation'!E:E)</f>
        <v>Expense</v>
      </c>
    </row>
    <row r="217" spans="1:10" x14ac:dyDescent="0.3">
      <c r="A217" s="7" t="s">
        <v>145</v>
      </c>
      <c r="B217" s="8" t="s">
        <v>336</v>
      </c>
      <c r="C217" s="8" t="s">
        <v>345</v>
      </c>
      <c r="D217" s="9">
        <v>7</v>
      </c>
      <c r="E217" s="9">
        <v>2025</v>
      </c>
      <c r="F217" s="10">
        <v>45839</v>
      </c>
      <c r="G217" s="11">
        <v>899.05</v>
      </c>
      <c r="H217" t="str">
        <f>_xlfn.XLOOKUP(C217,'COA Translation'!A:A,'COA Translation'!B:B)</f>
        <v>Current Mgmt. Fee</v>
      </c>
      <c r="I217">
        <f>_xlfn.XLOOKUP(C217,'COA Translation'!A:A,'COA Translation'!C:C)</f>
        <v>0</v>
      </c>
      <c r="J217" t="str">
        <f>_xlfn.XLOOKUP(C217,'COA Translation'!A:A,'COA Translation'!E:E)</f>
        <v>Expense</v>
      </c>
    </row>
    <row r="218" spans="1:10" x14ac:dyDescent="0.3">
      <c r="A218" s="7" t="s">
        <v>145</v>
      </c>
      <c r="B218" s="8" t="s">
        <v>336</v>
      </c>
      <c r="C218" s="8" t="s">
        <v>345</v>
      </c>
      <c r="D218" s="9">
        <v>8</v>
      </c>
      <c r="E218" s="9">
        <v>2025</v>
      </c>
      <c r="F218" s="10">
        <v>45870</v>
      </c>
      <c r="G218" s="11">
        <v>914.95</v>
      </c>
      <c r="H218" t="str">
        <f>_xlfn.XLOOKUP(C218,'COA Translation'!A:A,'COA Translation'!B:B)</f>
        <v>Current Mgmt. Fee</v>
      </c>
      <c r="I218">
        <f>_xlfn.XLOOKUP(C218,'COA Translation'!A:A,'COA Translation'!C:C)</f>
        <v>0</v>
      </c>
      <c r="J218" t="str">
        <f>_xlfn.XLOOKUP(C218,'COA Translation'!A:A,'COA Translation'!E:E)</f>
        <v>Expense</v>
      </c>
    </row>
    <row r="219" spans="1:10" x14ac:dyDescent="0.3">
      <c r="A219" s="7" t="s">
        <v>145</v>
      </c>
      <c r="B219" s="8" t="s">
        <v>336</v>
      </c>
      <c r="C219" s="8" t="s">
        <v>345</v>
      </c>
      <c r="D219" s="9">
        <v>9</v>
      </c>
      <c r="E219" s="9">
        <v>2025</v>
      </c>
      <c r="F219" s="10">
        <v>45901</v>
      </c>
      <c r="G219" s="11">
        <v>1159.6600000000001</v>
      </c>
      <c r="H219" t="str">
        <f>_xlfn.XLOOKUP(C219,'COA Translation'!A:A,'COA Translation'!B:B)</f>
        <v>Current Mgmt. Fee</v>
      </c>
      <c r="I219">
        <f>_xlfn.XLOOKUP(C219,'COA Translation'!A:A,'COA Translation'!C:C)</f>
        <v>0</v>
      </c>
      <c r="J219" t="str">
        <f>_xlfn.XLOOKUP(C219,'COA Translation'!A:A,'COA Translation'!E:E)</f>
        <v>Expense</v>
      </c>
    </row>
    <row r="220" spans="1:10" x14ac:dyDescent="0.3">
      <c r="A220" s="7" t="s">
        <v>145</v>
      </c>
      <c r="B220" s="8" t="s">
        <v>336</v>
      </c>
      <c r="C220" s="8" t="s">
        <v>345</v>
      </c>
      <c r="D220" s="9">
        <v>10</v>
      </c>
      <c r="E220" s="9">
        <v>2025</v>
      </c>
      <c r="F220" s="10">
        <v>45931</v>
      </c>
      <c r="G220" s="11">
        <v>779.34</v>
      </c>
      <c r="H220" t="str">
        <f>_xlfn.XLOOKUP(C220,'COA Translation'!A:A,'COA Translation'!B:B)</f>
        <v>Current Mgmt. Fee</v>
      </c>
      <c r="I220">
        <f>_xlfn.XLOOKUP(C220,'COA Translation'!A:A,'COA Translation'!C:C)</f>
        <v>0</v>
      </c>
      <c r="J220" t="str">
        <f>_xlfn.XLOOKUP(C220,'COA Translation'!A:A,'COA Translation'!E:E)</f>
        <v>Expense</v>
      </c>
    </row>
    <row r="221" spans="1:10" x14ac:dyDescent="0.3">
      <c r="A221" s="7" t="s">
        <v>145</v>
      </c>
      <c r="B221" s="8" t="s">
        <v>336</v>
      </c>
      <c r="C221" s="8" t="s">
        <v>345</v>
      </c>
      <c r="D221" s="9">
        <v>11</v>
      </c>
      <c r="E221" s="9">
        <v>2025</v>
      </c>
      <c r="F221" s="10">
        <v>45962</v>
      </c>
      <c r="G221" s="11">
        <v>838.3</v>
      </c>
      <c r="H221" t="str">
        <f>_xlfn.XLOOKUP(C221,'COA Translation'!A:A,'COA Translation'!B:B)</f>
        <v>Current Mgmt. Fee</v>
      </c>
      <c r="I221">
        <f>_xlfn.XLOOKUP(C221,'COA Translation'!A:A,'COA Translation'!C:C)</f>
        <v>0</v>
      </c>
      <c r="J221" t="str">
        <f>_xlfn.XLOOKUP(C221,'COA Translation'!A:A,'COA Translation'!E:E)</f>
        <v>Expense</v>
      </c>
    </row>
    <row r="222" spans="1:10" x14ac:dyDescent="0.3">
      <c r="A222" s="7" t="s">
        <v>145</v>
      </c>
      <c r="B222" s="8" t="s">
        <v>336</v>
      </c>
      <c r="C222" s="8" t="s">
        <v>345</v>
      </c>
      <c r="D222" s="9">
        <v>12</v>
      </c>
      <c r="E222" s="9">
        <v>2025</v>
      </c>
      <c r="F222" s="10">
        <v>45992</v>
      </c>
      <c r="G222" s="11">
        <v>986.78</v>
      </c>
      <c r="H222" t="str">
        <f>_xlfn.XLOOKUP(C222,'COA Translation'!A:A,'COA Translation'!B:B)</f>
        <v>Current Mgmt. Fee</v>
      </c>
      <c r="I222">
        <f>_xlfn.XLOOKUP(C222,'COA Translation'!A:A,'COA Translation'!C:C)</f>
        <v>0</v>
      </c>
      <c r="J222" t="str">
        <f>_xlfn.XLOOKUP(C222,'COA Translation'!A:A,'COA Translation'!E:E)</f>
        <v>Expense</v>
      </c>
    </row>
    <row r="223" spans="1:10" x14ac:dyDescent="0.3">
      <c r="A223" s="7" t="s">
        <v>145</v>
      </c>
      <c r="B223" s="8" t="s">
        <v>336</v>
      </c>
      <c r="C223" s="8" t="s">
        <v>345</v>
      </c>
      <c r="D223" s="9">
        <v>1</v>
      </c>
      <c r="E223" s="9">
        <v>2026</v>
      </c>
      <c r="F223" s="10">
        <v>46023</v>
      </c>
      <c r="G223" s="11">
        <v>871.77</v>
      </c>
      <c r="H223" t="str">
        <f>_xlfn.XLOOKUP(C223,'COA Translation'!A:A,'COA Translation'!B:B)</f>
        <v>Current Mgmt. Fee</v>
      </c>
      <c r="I223">
        <f>_xlfn.XLOOKUP(C223,'COA Translation'!A:A,'COA Translation'!C:C)</f>
        <v>0</v>
      </c>
      <c r="J223" t="str">
        <f>_xlfn.XLOOKUP(C223,'COA Translation'!A:A,'COA Translation'!E:E)</f>
        <v>Expense</v>
      </c>
    </row>
    <row r="224" spans="1:10" x14ac:dyDescent="0.3">
      <c r="A224" s="7" t="s">
        <v>145</v>
      </c>
      <c r="B224" s="8" t="s">
        <v>336</v>
      </c>
      <c r="C224" s="8" t="s">
        <v>34</v>
      </c>
      <c r="D224" s="9">
        <v>2</v>
      </c>
      <c r="E224" s="9">
        <v>2025</v>
      </c>
      <c r="F224" s="10">
        <v>45689</v>
      </c>
      <c r="G224" s="11">
        <v>835</v>
      </c>
      <c r="H224" t="str">
        <f>_xlfn.XLOOKUP(C224,'COA Translation'!A:A,'COA Translation'!B:B)</f>
        <v>Utilities</v>
      </c>
      <c r="I224">
        <f>_xlfn.XLOOKUP(C224,'COA Translation'!A:A,'COA Translation'!C:C)</f>
        <v>0</v>
      </c>
      <c r="J224" t="str">
        <f>_xlfn.XLOOKUP(C224,'COA Translation'!A:A,'COA Translation'!E:E)</f>
        <v>Expense</v>
      </c>
    </row>
    <row r="225" spans="1:10" x14ac:dyDescent="0.3">
      <c r="A225" s="7" t="s">
        <v>145</v>
      </c>
      <c r="B225" s="8" t="s">
        <v>336</v>
      </c>
      <c r="C225" s="8" t="s">
        <v>34</v>
      </c>
      <c r="D225" s="9">
        <v>3</v>
      </c>
      <c r="E225" s="9">
        <v>2025</v>
      </c>
      <c r="F225" s="10">
        <v>45717</v>
      </c>
      <c r="G225" s="11">
        <v>0</v>
      </c>
      <c r="H225" t="str">
        <f>_xlfn.XLOOKUP(C225,'COA Translation'!A:A,'COA Translation'!B:B)</f>
        <v>Utilities</v>
      </c>
      <c r="I225">
        <f>_xlfn.XLOOKUP(C225,'COA Translation'!A:A,'COA Translation'!C:C)</f>
        <v>0</v>
      </c>
      <c r="J225" t="str">
        <f>_xlfn.XLOOKUP(C225,'COA Translation'!A:A,'COA Translation'!E:E)</f>
        <v>Expense</v>
      </c>
    </row>
    <row r="226" spans="1:10" x14ac:dyDescent="0.3">
      <c r="A226" s="7" t="s">
        <v>145</v>
      </c>
      <c r="B226" s="8" t="s">
        <v>336</v>
      </c>
      <c r="C226" s="8" t="s">
        <v>34</v>
      </c>
      <c r="D226" s="9">
        <v>4</v>
      </c>
      <c r="E226" s="9">
        <v>2025</v>
      </c>
      <c r="F226" s="10">
        <v>45748</v>
      </c>
      <c r="G226" s="11">
        <v>0</v>
      </c>
      <c r="H226" t="str">
        <f>_xlfn.XLOOKUP(C226,'COA Translation'!A:A,'COA Translation'!B:B)</f>
        <v>Utilities</v>
      </c>
      <c r="I226">
        <f>_xlfn.XLOOKUP(C226,'COA Translation'!A:A,'COA Translation'!C:C)</f>
        <v>0</v>
      </c>
      <c r="J226" t="str">
        <f>_xlfn.XLOOKUP(C226,'COA Translation'!A:A,'COA Translation'!E:E)</f>
        <v>Expense</v>
      </c>
    </row>
    <row r="227" spans="1:10" x14ac:dyDescent="0.3">
      <c r="A227" s="7" t="s">
        <v>145</v>
      </c>
      <c r="B227" s="8" t="s">
        <v>336</v>
      </c>
      <c r="C227" s="8" t="s">
        <v>34</v>
      </c>
      <c r="D227" s="9">
        <v>5</v>
      </c>
      <c r="E227" s="9">
        <v>2025</v>
      </c>
      <c r="F227" s="10">
        <v>45778</v>
      </c>
      <c r="G227" s="11">
        <v>0</v>
      </c>
      <c r="H227" t="str">
        <f>_xlfn.XLOOKUP(C227,'COA Translation'!A:A,'COA Translation'!B:B)</f>
        <v>Utilities</v>
      </c>
      <c r="I227">
        <f>_xlfn.XLOOKUP(C227,'COA Translation'!A:A,'COA Translation'!C:C)</f>
        <v>0</v>
      </c>
      <c r="J227" t="str">
        <f>_xlfn.XLOOKUP(C227,'COA Translation'!A:A,'COA Translation'!E:E)</f>
        <v>Expense</v>
      </c>
    </row>
    <row r="228" spans="1:10" x14ac:dyDescent="0.3">
      <c r="A228" s="7" t="s">
        <v>145</v>
      </c>
      <c r="B228" s="8" t="s">
        <v>336</v>
      </c>
      <c r="C228" s="8" t="s">
        <v>34</v>
      </c>
      <c r="D228" s="9">
        <v>6</v>
      </c>
      <c r="E228" s="9">
        <v>2025</v>
      </c>
      <c r="F228" s="10">
        <v>45809</v>
      </c>
      <c r="G228" s="11">
        <v>0</v>
      </c>
      <c r="H228" t="str">
        <f>_xlfn.XLOOKUP(C228,'COA Translation'!A:A,'COA Translation'!B:B)</f>
        <v>Utilities</v>
      </c>
      <c r="I228">
        <f>_xlfn.XLOOKUP(C228,'COA Translation'!A:A,'COA Translation'!C:C)</f>
        <v>0</v>
      </c>
      <c r="J228" t="str">
        <f>_xlfn.XLOOKUP(C228,'COA Translation'!A:A,'COA Translation'!E:E)</f>
        <v>Expense</v>
      </c>
    </row>
    <row r="229" spans="1:10" x14ac:dyDescent="0.3">
      <c r="A229" s="7" t="s">
        <v>145</v>
      </c>
      <c r="B229" s="8" t="s">
        <v>336</v>
      </c>
      <c r="C229" s="8" t="s">
        <v>34</v>
      </c>
      <c r="D229" s="9">
        <v>7</v>
      </c>
      <c r="E229" s="9">
        <v>2025</v>
      </c>
      <c r="F229" s="10">
        <v>45839</v>
      </c>
      <c r="G229" s="11">
        <v>9037.35</v>
      </c>
      <c r="H229" t="str">
        <f>_xlfn.XLOOKUP(C229,'COA Translation'!A:A,'COA Translation'!B:B)</f>
        <v>Utilities</v>
      </c>
      <c r="I229">
        <f>_xlfn.XLOOKUP(C229,'COA Translation'!A:A,'COA Translation'!C:C)</f>
        <v>0</v>
      </c>
      <c r="J229" t="str">
        <f>_xlfn.XLOOKUP(C229,'COA Translation'!A:A,'COA Translation'!E:E)</f>
        <v>Expense</v>
      </c>
    </row>
    <row r="230" spans="1:10" x14ac:dyDescent="0.3">
      <c r="A230" s="7" t="s">
        <v>145</v>
      </c>
      <c r="B230" s="8" t="s">
        <v>336</v>
      </c>
      <c r="C230" s="8" t="s">
        <v>34</v>
      </c>
      <c r="D230" s="9">
        <v>8</v>
      </c>
      <c r="E230" s="9">
        <v>2025</v>
      </c>
      <c r="F230" s="10">
        <v>45870</v>
      </c>
      <c r="G230" s="11">
        <v>3057.52</v>
      </c>
      <c r="H230" t="str">
        <f>_xlfn.XLOOKUP(C230,'COA Translation'!A:A,'COA Translation'!B:B)</f>
        <v>Utilities</v>
      </c>
      <c r="I230">
        <f>_xlfn.XLOOKUP(C230,'COA Translation'!A:A,'COA Translation'!C:C)</f>
        <v>0</v>
      </c>
      <c r="J230" t="str">
        <f>_xlfn.XLOOKUP(C230,'COA Translation'!A:A,'COA Translation'!E:E)</f>
        <v>Expense</v>
      </c>
    </row>
    <row r="231" spans="1:10" x14ac:dyDescent="0.3">
      <c r="A231" s="7" t="s">
        <v>145</v>
      </c>
      <c r="B231" s="8" t="s">
        <v>336</v>
      </c>
      <c r="C231" s="8" t="s">
        <v>34</v>
      </c>
      <c r="D231" s="9">
        <v>9</v>
      </c>
      <c r="E231" s="9">
        <v>2025</v>
      </c>
      <c r="F231" s="10">
        <v>45901</v>
      </c>
      <c r="G231" s="11">
        <v>3231.46</v>
      </c>
      <c r="H231" t="str">
        <f>_xlfn.XLOOKUP(C231,'COA Translation'!A:A,'COA Translation'!B:B)</f>
        <v>Utilities</v>
      </c>
      <c r="I231">
        <f>_xlfn.XLOOKUP(C231,'COA Translation'!A:A,'COA Translation'!C:C)</f>
        <v>0</v>
      </c>
      <c r="J231" t="str">
        <f>_xlfn.XLOOKUP(C231,'COA Translation'!A:A,'COA Translation'!E:E)</f>
        <v>Expense</v>
      </c>
    </row>
    <row r="232" spans="1:10" x14ac:dyDescent="0.3">
      <c r="A232" s="7" t="s">
        <v>145</v>
      </c>
      <c r="B232" s="8" t="s">
        <v>336</v>
      </c>
      <c r="C232" s="8" t="s">
        <v>34</v>
      </c>
      <c r="D232" s="9">
        <v>10</v>
      </c>
      <c r="E232" s="9">
        <v>2025</v>
      </c>
      <c r="F232" s="10">
        <v>45931</v>
      </c>
      <c r="G232" s="11">
        <v>2923.3799999999997</v>
      </c>
      <c r="H232" t="str">
        <f>_xlfn.XLOOKUP(C232,'COA Translation'!A:A,'COA Translation'!B:B)</f>
        <v>Utilities</v>
      </c>
      <c r="I232">
        <f>_xlfn.XLOOKUP(C232,'COA Translation'!A:A,'COA Translation'!C:C)</f>
        <v>0</v>
      </c>
      <c r="J232" t="str">
        <f>_xlfn.XLOOKUP(C232,'COA Translation'!A:A,'COA Translation'!E:E)</f>
        <v>Expense</v>
      </c>
    </row>
    <row r="233" spans="1:10" x14ac:dyDescent="0.3">
      <c r="A233" s="7" t="s">
        <v>145</v>
      </c>
      <c r="B233" s="8" t="s">
        <v>336</v>
      </c>
      <c r="C233" s="8" t="s">
        <v>34</v>
      </c>
      <c r="D233" s="9">
        <v>11</v>
      </c>
      <c r="E233" s="9">
        <v>2025</v>
      </c>
      <c r="F233" s="10">
        <v>45962</v>
      </c>
      <c r="G233" s="11">
        <v>2871.81</v>
      </c>
      <c r="H233" t="str">
        <f>_xlfn.XLOOKUP(C233,'COA Translation'!A:A,'COA Translation'!B:B)</f>
        <v>Utilities</v>
      </c>
      <c r="I233">
        <f>_xlfn.XLOOKUP(C233,'COA Translation'!A:A,'COA Translation'!C:C)</f>
        <v>0</v>
      </c>
      <c r="J233" t="str">
        <f>_xlfn.XLOOKUP(C233,'COA Translation'!A:A,'COA Translation'!E:E)</f>
        <v>Expense</v>
      </c>
    </row>
    <row r="234" spans="1:10" x14ac:dyDescent="0.3">
      <c r="A234" s="7" t="s">
        <v>145</v>
      </c>
      <c r="B234" s="8" t="s">
        <v>336</v>
      </c>
      <c r="C234" s="8" t="s">
        <v>34</v>
      </c>
      <c r="D234" s="9">
        <v>12</v>
      </c>
      <c r="E234" s="9">
        <v>2025</v>
      </c>
      <c r="F234" s="10">
        <v>45992</v>
      </c>
      <c r="G234" s="11">
        <v>3218.15</v>
      </c>
      <c r="H234" t="str">
        <f>_xlfn.XLOOKUP(C234,'COA Translation'!A:A,'COA Translation'!B:B)</f>
        <v>Utilities</v>
      </c>
      <c r="I234">
        <f>_xlfn.XLOOKUP(C234,'COA Translation'!A:A,'COA Translation'!C:C)</f>
        <v>0</v>
      </c>
      <c r="J234" t="str">
        <f>_xlfn.XLOOKUP(C234,'COA Translation'!A:A,'COA Translation'!E:E)</f>
        <v>Expense</v>
      </c>
    </row>
    <row r="235" spans="1:10" x14ac:dyDescent="0.3">
      <c r="A235" s="7" t="s">
        <v>145</v>
      </c>
      <c r="B235" s="8" t="s">
        <v>336</v>
      </c>
      <c r="C235" s="8" t="s">
        <v>34</v>
      </c>
      <c r="D235" s="9">
        <v>1</v>
      </c>
      <c r="E235" s="9">
        <v>2026</v>
      </c>
      <c r="F235" s="10">
        <v>46023</v>
      </c>
      <c r="G235" s="11">
        <v>2948.17</v>
      </c>
      <c r="H235" t="str">
        <f>_xlfn.XLOOKUP(C235,'COA Translation'!A:A,'COA Translation'!B:B)</f>
        <v>Utilities</v>
      </c>
      <c r="I235">
        <f>_xlfn.XLOOKUP(C235,'COA Translation'!A:A,'COA Translation'!C:C)</f>
        <v>0</v>
      </c>
      <c r="J235" t="str">
        <f>_xlfn.XLOOKUP(C235,'COA Translation'!A:A,'COA Translation'!E:E)</f>
        <v>Expense</v>
      </c>
    </row>
    <row r="236" spans="1:10" x14ac:dyDescent="0.3">
      <c r="A236" s="7" t="s">
        <v>145</v>
      </c>
      <c r="B236" s="8" t="s">
        <v>336</v>
      </c>
      <c r="C236" s="8" t="s">
        <v>346</v>
      </c>
      <c r="D236" s="9">
        <v>2</v>
      </c>
      <c r="E236" s="9">
        <v>2025</v>
      </c>
      <c r="F236" s="10">
        <v>45689</v>
      </c>
      <c r="G236" s="11">
        <v>1787.91</v>
      </c>
      <c r="H236" t="str">
        <f>_xlfn.XLOOKUP(C236,'COA Translation'!A:A,'COA Translation'!B:B)</f>
        <v>Repairs &amp; Maintenance</v>
      </c>
      <c r="I236">
        <f>_xlfn.XLOOKUP(C236,'COA Translation'!A:A,'COA Translation'!C:C)</f>
        <v>0</v>
      </c>
      <c r="J236" t="str">
        <f>_xlfn.XLOOKUP(C236,'COA Translation'!A:A,'COA Translation'!E:E)</f>
        <v>Expense</v>
      </c>
    </row>
    <row r="237" spans="1:10" x14ac:dyDescent="0.3">
      <c r="A237" s="7" t="s">
        <v>145</v>
      </c>
      <c r="B237" s="8" t="s">
        <v>336</v>
      </c>
      <c r="C237" s="8" t="s">
        <v>346</v>
      </c>
      <c r="D237" s="9">
        <v>3</v>
      </c>
      <c r="E237" s="9">
        <v>2025</v>
      </c>
      <c r="F237" s="10">
        <v>45717</v>
      </c>
      <c r="G237" s="11">
        <v>2478.2600000000002</v>
      </c>
      <c r="H237" t="str">
        <f>_xlfn.XLOOKUP(C237,'COA Translation'!A:A,'COA Translation'!B:B)</f>
        <v>Repairs &amp; Maintenance</v>
      </c>
      <c r="I237">
        <f>_xlfn.XLOOKUP(C237,'COA Translation'!A:A,'COA Translation'!C:C)</f>
        <v>0</v>
      </c>
      <c r="J237" t="str">
        <f>_xlfn.XLOOKUP(C237,'COA Translation'!A:A,'COA Translation'!E:E)</f>
        <v>Expense</v>
      </c>
    </row>
    <row r="238" spans="1:10" x14ac:dyDescent="0.3">
      <c r="A238" s="7" t="s">
        <v>145</v>
      </c>
      <c r="B238" s="8" t="s">
        <v>336</v>
      </c>
      <c r="C238" s="8" t="s">
        <v>346</v>
      </c>
      <c r="D238" s="9">
        <v>4</v>
      </c>
      <c r="E238" s="9">
        <v>2025</v>
      </c>
      <c r="F238" s="10">
        <v>45748</v>
      </c>
      <c r="G238" s="11">
        <v>1154.6600000000001</v>
      </c>
      <c r="H238" t="str">
        <f>_xlfn.XLOOKUP(C238,'COA Translation'!A:A,'COA Translation'!B:B)</f>
        <v>Repairs &amp; Maintenance</v>
      </c>
      <c r="I238">
        <f>_xlfn.XLOOKUP(C238,'COA Translation'!A:A,'COA Translation'!C:C)</f>
        <v>0</v>
      </c>
      <c r="J238" t="str">
        <f>_xlfn.XLOOKUP(C238,'COA Translation'!A:A,'COA Translation'!E:E)</f>
        <v>Expense</v>
      </c>
    </row>
    <row r="239" spans="1:10" x14ac:dyDescent="0.3">
      <c r="A239" s="7" t="s">
        <v>145</v>
      </c>
      <c r="B239" s="8" t="s">
        <v>336</v>
      </c>
      <c r="C239" s="8" t="s">
        <v>346</v>
      </c>
      <c r="D239" s="9">
        <v>5</v>
      </c>
      <c r="E239" s="9">
        <v>2025</v>
      </c>
      <c r="F239" s="10">
        <v>45778</v>
      </c>
      <c r="G239" s="11">
        <v>4197.6499999999996</v>
      </c>
      <c r="H239" t="str">
        <f>_xlfn.XLOOKUP(C239,'COA Translation'!A:A,'COA Translation'!B:B)</f>
        <v>Repairs &amp; Maintenance</v>
      </c>
      <c r="I239">
        <f>_xlfn.XLOOKUP(C239,'COA Translation'!A:A,'COA Translation'!C:C)</f>
        <v>0</v>
      </c>
      <c r="J239" t="str">
        <f>_xlfn.XLOOKUP(C239,'COA Translation'!A:A,'COA Translation'!E:E)</f>
        <v>Expense</v>
      </c>
    </row>
    <row r="240" spans="1:10" x14ac:dyDescent="0.3">
      <c r="A240" s="7" t="s">
        <v>145</v>
      </c>
      <c r="B240" s="8" t="s">
        <v>336</v>
      </c>
      <c r="C240" s="8" t="s">
        <v>346</v>
      </c>
      <c r="D240" s="9">
        <v>6</v>
      </c>
      <c r="E240" s="9">
        <v>2025</v>
      </c>
      <c r="F240" s="10">
        <v>45809</v>
      </c>
      <c r="G240" s="11">
        <v>4226.4699999999993</v>
      </c>
      <c r="H240" t="str">
        <f>_xlfn.XLOOKUP(C240,'COA Translation'!A:A,'COA Translation'!B:B)</f>
        <v>Repairs &amp; Maintenance</v>
      </c>
      <c r="I240">
        <f>_xlfn.XLOOKUP(C240,'COA Translation'!A:A,'COA Translation'!C:C)</f>
        <v>0</v>
      </c>
      <c r="J240" t="str">
        <f>_xlfn.XLOOKUP(C240,'COA Translation'!A:A,'COA Translation'!E:E)</f>
        <v>Expense</v>
      </c>
    </row>
    <row r="241" spans="1:10" x14ac:dyDescent="0.3">
      <c r="A241" s="7" t="s">
        <v>145</v>
      </c>
      <c r="B241" s="8" t="s">
        <v>336</v>
      </c>
      <c r="C241" s="8" t="s">
        <v>346</v>
      </c>
      <c r="D241" s="9">
        <v>7</v>
      </c>
      <c r="E241" s="9">
        <v>2025</v>
      </c>
      <c r="F241" s="10">
        <v>45839</v>
      </c>
      <c r="G241" s="11">
        <v>3614.1399999999994</v>
      </c>
      <c r="H241" t="str">
        <f>_xlfn.XLOOKUP(C241,'COA Translation'!A:A,'COA Translation'!B:B)</f>
        <v>Repairs &amp; Maintenance</v>
      </c>
      <c r="I241">
        <f>_xlfn.XLOOKUP(C241,'COA Translation'!A:A,'COA Translation'!C:C)</f>
        <v>0</v>
      </c>
      <c r="J241" t="str">
        <f>_xlfn.XLOOKUP(C241,'COA Translation'!A:A,'COA Translation'!E:E)</f>
        <v>Expense</v>
      </c>
    </row>
    <row r="242" spans="1:10" x14ac:dyDescent="0.3">
      <c r="A242" s="7" t="s">
        <v>145</v>
      </c>
      <c r="B242" s="8" t="s">
        <v>336</v>
      </c>
      <c r="C242" s="8" t="s">
        <v>346</v>
      </c>
      <c r="D242" s="9">
        <v>8</v>
      </c>
      <c r="E242" s="9">
        <v>2025</v>
      </c>
      <c r="F242" s="10">
        <v>45870</v>
      </c>
      <c r="G242" s="11">
        <v>5572.98</v>
      </c>
      <c r="H242" t="str">
        <f>_xlfn.XLOOKUP(C242,'COA Translation'!A:A,'COA Translation'!B:B)</f>
        <v>Repairs &amp; Maintenance</v>
      </c>
      <c r="I242">
        <f>_xlfn.XLOOKUP(C242,'COA Translation'!A:A,'COA Translation'!C:C)</f>
        <v>0</v>
      </c>
      <c r="J242" t="str">
        <f>_xlfn.XLOOKUP(C242,'COA Translation'!A:A,'COA Translation'!E:E)</f>
        <v>Expense</v>
      </c>
    </row>
    <row r="243" spans="1:10" x14ac:dyDescent="0.3">
      <c r="A243" s="7" t="s">
        <v>145</v>
      </c>
      <c r="B243" s="8" t="s">
        <v>336</v>
      </c>
      <c r="C243" s="8" t="s">
        <v>346</v>
      </c>
      <c r="D243" s="9">
        <v>9</v>
      </c>
      <c r="E243" s="9">
        <v>2025</v>
      </c>
      <c r="F243" s="10">
        <v>45901</v>
      </c>
      <c r="G243" s="11">
        <v>5344.8</v>
      </c>
      <c r="H243" t="str">
        <f>_xlfn.XLOOKUP(C243,'COA Translation'!A:A,'COA Translation'!B:B)</f>
        <v>Repairs &amp; Maintenance</v>
      </c>
      <c r="I243">
        <f>_xlfn.XLOOKUP(C243,'COA Translation'!A:A,'COA Translation'!C:C)</f>
        <v>0</v>
      </c>
      <c r="J243" t="str">
        <f>_xlfn.XLOOKUP(C243,'COA Translation'!A:A,'COA Translation'!E:E)</f>
        <v>Expense</v>
      </c>
    </row>
    <row r="244" spans="1:10" x14ac:dyDescent="0.3">
      <c r="A244" s="7" t="s">
        <v>145</v>
      </c>
      <c r="B244" s="8" t="s">
        <v>336</v>
      </c>
      <c r="C244" s="8" t="s">
        <v>346</v>
      </c>
      <c r="D244" s="9">
        <v>10</v>
      </c>
      <c r="E244" s="9">
        <v>2025</v>
      </c>
      <c r="F244" s="10">
        <v>45931</v>
      </c>
      <c r="G244" s="11">
        <v>1458.36</v>
      </c>
      <c r="H244" t="str">
        <f>_xlfn.XLOOKUP(C244,'COA Translation'!A:A,'COA Translation'!B:B)</f>
        <v>Repairs &amp; Maintenance</v>
      </c>
      <c r="I244">
        <f>_xlfn.XLOOKUP(C244,'COA Translation'!A:A,'COA Translation'!C:C)</f>
        <v>0</v>
      </c>
      <c r="J244" t="str">
        <f>_xlfn.XLOOKUP(C244,'COA Translation'!A:A,'COA Translation'!E:E)</f>
        <v>Expense</v>
      </c>
    </row>
    <row r="245" spans="1:10" x14ac:dyDescent="0.3">
      <c r="A245" s="7" t="s">
        <v>145</v>
      </c>
      <c r="B245" s="8" t="s">
        <v>336</v>
      </c>
      <c r="C245" s="8" t="s">
        <v>346</v>
      </c>
      <c r="D245" s="9">
        <v>11</v>
      </c>
      <c r="E245" s="9">
        <v>2025</v>
      </c>
      <c r="F245" s="10">
        <v>45962</v>
      </c>
      <c r="G245" s="11">
        <v>3092.95</v>
      </c>
      <c r="H245" t="str">
        <f>_xlfn.XLOOKUP(C245,'COA Translation'!A:A,'COA Translation'!B:B)</f>
        <v>Repairs &amp; Maintenance</v>
      </c>
      <c r="I245">
        <f>_xlfn.XLOOKUP(C245,'COA Translation'!A:A,'COA Translation'!C:C)</f>
        <v>0</v>
      </c>
      <c r="J245" t="str">
        <f>_xlfn.XLOOKUP(C245,'COA Translation'!A:A,'COA Translation'!E:E)</f>
        <v>Expense</v>
      </c>
    </row>
    <row r="246" spans="1:10" x14ac:dyDescent="0.3">
      <c r="A246" s="7" t="s">
        <v>145</v>
      </c>
      <c r="B246" s="8" t="s">
        <v>336</v>
      </c>
      <c r="C246" s="8" t="s">
        <v>346</v>
      </c>
      <c r="D246" s="9">
        <v>12</v>
      </c>
      <c r="E246" s="9">
        <v>2025</v>
      </c>
      <c r="F246" s="10">
        <v>45992</v>
      </c>
      <c r="G246" s="11">
        <v>4347.63</v>
      </c>
      <c r="H246" t="str">
        <f>_xlfn.XLOOKUP(C246,'COA Translation'!A:A,'COA Translation'!B:B)</f>
        <v>Repairs &amp; Maintenance</v>
      </c>
      <c r="I246">
        <f>_xlfn.XLOOKUP(C246,'COA Translation'!A:A,'COA Translation'!C:C)</f>
        <v>0</v>
      </c>
      <c r="J246" t="str">
        <f>_xlfn.XLOOKUP(C246,'COA Translation'!A:A,'COA Translation'!E:E)</f>
        <v>Expense</v>
      </c>
    </row>
    <row r="247" spans="1:10" x14ac:dyDescent="0.3">
      <c r="A247" s="7" t="s">
        <v>145</v>
      </c>
      <c r="B247" s="8" t="s">
        <v>336</v>
      </c>
      <c r="C247" s="8" t="s">
        <v>346</v>
      </c>
      <c r="D247" s="9">
        <v>1</v>
      </c>
      <c r="E247" s="9">
        <v>2026</v>
      </c>
      <c r="F247" s="10">
        <v>46023</v>
      </c>
      <c r="G247" s="11">
        <v>2511.8200000000002</v>
      </c>
      <c r="H247" t="str">
        <f>_xlfn.XLOOKUP(C247,'COA Translation'!A:A,'COA Translation'!B:B)</f>
        <v>Repairs &amp; Maintenance</v>
      </c>
      <c r="I247">
        <f>_xlfn.XLOOKUP(C247,'COA Translation'!A:A,'COA Translation'!C:C)</f>
        <v>0</v>
      </c>
      <c r="J247" t="str">
        <f>_xlfn.XLOOKUP(C247,'COA Translation'!A:A,'COA Translation'!E:E)</f>
        <v>Expense</v>
      </c>
    </row>
    <row r="248" spans="1:10" x14ac:dyDescent="0.3">
      <c r="A248" s="7" t="s">
        <v>145</v>
      </c>
      <c r="B248" s="8" t="s">
        <v>336</v>
      </c>
      <c r="C248" s="8" t="s">
        <v>347</v>
      </c>
      <c r="D248" s="9">
        <v>2</v>
      </c>
      <c r="E248" s="9">
        <v>2025</v>
      </c>
      <c r="F248" s="10">
        <v>45689</v>
      </c>
      <c r="G248" s="11">
        <v>703.49</v>
      </c>
      <c r="H248" t="str">
        <f>_xlfn.XLOOKUP(C248,'COA Translation'!A:A,'COA Translation'!B:B)</f>
        <v>Current Credit Card Security Fees</v>
      </c>
      <c r="I248">
        <f>_xlfn.XLOOKUP(C248,'COA Translation'!A:A,'COA Translation'!C:C)</f>
        <v>0</v>
      </c>
      <c r="J248" t="str">
        <f>_xlfn.XLOOKUP(C248,'COA Translation'!A:A,'COA Translation'!E:E)</f>
        <v>Expense</v>
      </c>
    </row>
    <row r="249" spans="1:10" x14ac:dyDescent="0.3">
      <c r="A249" s="7" t="s">
        <v>145</v>
      </c>
      <c r="B249" s="8" t="s">
        <v>336</v>
      </c>
      <c r="C249" s="8" t="s">
        <v>347</v>
      </c>
      <c r="D249" s="9">
        <v>3</v>
      </c>
      <c r="E249" s="9">
        <v>2025</v>
      </c>
      <c r="F249" s="10">
        <v>45717</v>
      </c>
      <c r="G249" s="11">
        <v>756.68000000000006</v>
      </c>
      <c r="H249" t="str">
        <f>_xlfn.XLOOKUP(C249,'COA Translation'!A:A,'COA Translation'!B:B)</f>
        <v>Current Credit Card Security Fees</v>
      </c>
      <c r="I249">
        <f>_xlfn.XLOOKUP(C249,'COA Translation'!A:A,'COA Translation'!C:C)</f>
        <v>0</v>
      </c>
      <c r="J249" t="str">
        <f>_xlfn.XLOOKUP(C249,'COA Translation'!A:A,'COA Translation'!E:E)</f>
        <v>Expense</v>
      </c>
    </row>
    <row r="250" spans="1:10" x14ac:dyDescent="0.3">
      <c r="A250" s="7" t="s">
        <v>145</v>
      </c>
      <c r="B250" s="8" t="s">
        <v>336</v>
      </c>
      <c r="C250" s="8" t="s">
        <v>347</v>
      </c>
      <c r="D250" s="9">
        <v>4</v>
      </c>
      <c r="E250" s="9">
        <v>2025</v>
      </c>
      <c r="F250" s="10">
        <v>45748</v>
      </c>
      <c r="G250" s="11">
        <v>881.91999999999985</v>
      </c>
      <c r="H250" t="str">
        <f>_xlfn.XLOOKUP(C250,'COA Translation'!A:A,'COA Translation'!B:B)</f>
        <v>Current Credit Card Security Fees</v>
      </c>
      <c r="I250">
        <f>_xlfn.XLOOKUP(C250,'COA Translation'!A:A,'COA Translation'!C:C)</f>
        <v>0</v>
      </c>
      <c r="J250" t="str">
        <f>_xlfn.XLOOKUP(C250,'COA Translation'!A:A,'COA Translation'!E:E)</f>
        <v>Expense</v>
      </c>
    </row>
    <row r="251" spans="1:10" x14ac:dyDescent="0.3">
      <c r="A251" s="7" t="s">
        <v>145</v>
      </c>
      <c r="B251" s="8" t="s">
        <v>336</v>
      </c>
      <c r="C251" s="8" t="s">
        <v>347</v>
      </c>
      <c r="D251" s="9">
        <v>5</v>
      </c>
      <c r="E251" s="9">
        <v>2025</v>
      </c>
      <c r="F251" s="10">
        <v>45778</v>
      </c>
      <c r="G251" s="11">
        <v>1037.71</v>
      </c>
      <c r="H251" t="str">
        <f>_xlfn.XLOOKUP(C251,'COA Translation'!A:A,'COA Translation'!B:B)</f>
        <v>Current Credit Card Security Fees</v>
      </c>
      <c r="I251">
        <f>_xlfn.XLOOKUP(C251,'COA Translation'!A:A,'COA Translation'!C:C)</f>
        <v>0</v>
      </c>
      <c r="J251" t="str">
        <f>_xlfn.XLOOKUP(C251,'COA Translation'!A:A,'COA Translation'!E:E)</f>
        <v>Expense</v>
      </c>
    </row>
    <row r="252" spans="1:10" x14ac:dyDescent="0.3">
      <c r="A252" s="7" t="s">
        <v>145</v>
      </c>
      <c r="B252" s="8" t="s">
        <v>336</v>
      </c>
      <c r="C252" s="8" t="s">
        <v>347</v>
      </c>
      <c r="D252" s="9">
        <v>6</v>
      </c>
      <c r="E252" s="9">
        <v>2025</v>
      </c>
      <c r="F252" s="10">
        <v>45809</v>
      </c>
      <c r="G252" s="11">
        <v>1031.97</v>
      </c>
      <c r="H252" t="str">
        <f>_xlfn.XLOOKUP(C252,'COA Translation'!A:A,'COA Translation'!B:B)</f>
        <v>Current Credit Card Security Fees</v>
      </c>
      <c r="I252">
        <f>_xlfn.XLOOKUP(C252,'COA Translation'!A:A,'COA Translation'!C:C)</f>
        <v>0</v>
      </c>
      <c r="J252" t="str">
        <f>_xlfn.XLOOKUP(C252,'COA Translation'!A:A,'COA Translation'!E:E)</f>
        <v>Expense</v>
      </c>
    </row>
    <row r="253" spans="1:10" x14ac:dyDescent="0.3">
      <c r="A253" s="7" t="s">
        <v>145</v>
      </c>
      <c r="B253" s="8" t="s">
        <v>336</v>
      </c>
      <c r="C253" s="8" t="s">
        <v>347</v>
      </c>
      <c r="D253" s="9">
        <v>7</v>
      </c>
      <c r="E253" s="9">
        <v>2025</v>
      </c>
      <c r="F253" s="10">
        <v>45839</v>
      </c>
      <c r="G253" s="11">
        <v>1088.8699999999999</v>
      </c>
      <c r="H253" t="str">
        <f>_xlfn.XLOOKUP(C253,'COA Translation'!A:A,'COA Translation'!B:B)</f>
        <v>Current Credit Card Security Fees</v>
      </c>
      <c r="I253">
        <f>_xlfn.XLOOKUP(C253,'COA Translation'!A:A,'COA Translation'!C:C)</f>
        <v>0</v>
      </c>
      <c r="J253" t="str">
        <f>_xlfn.XLOOKUP(C253,'COA Translation'!A:A,'COA Translation'!E:E)</f>
        <v>Expense</v>
      </c>
    </row>
    <row r="254" spans="1:10" x14ac:dyDescent="0.3">
      <c r="A254" s="7" t="s">
        <v>145</v>
      </c>
      <c r="B254" s="8" t="s">
        <v>336</v>
      </c>
      <c r="C254" s="8" t="s">
        <v>347</v>
      </c>
      <c r="D254" s="9">
        <v>8</v>
      </c>
      <c r="E254" s="9">
        <v>2025</v>
      </c>
      <c r="F254" s="10">
        <v>45870</v>
      </c>
      <c r="G254" s="11">
        <v>1189.6199999999999</v>
      </c>
      <c r="H254" t="str">
        <f>_xlfn.XLOOKUP(C254,'COA Translation'!A:A,'COA Translation'!B:B)</f>
        <v>Current Credit Card Security Fees</v>
      </c>
      <c r="I254">
        <f>_xlfn.XLOOKUP(C254,'COA Translation'!A:A,'COA Translation'!C:C)</f>
        <v>0</v>
      </c>
      <c r="J254" t="str">
        <f>_xlfn.XLOOKUP(C254,'COA Translation'!A:A,'COA Translation'!E:E)</f>
        <v>Expense</v>
      </c>
    </row>
    <row r="255" spans="1:10" x14ac:dyDescent="0.3">
      <c r="A255" s="7" t="s">
        <v>145</v>
      </c>
      <c r="B255" s="8" t="s">
        <v>336</v>
      </c>
      <c r="C255" s="8" t="s">
        <v>347</v>
      </c>
      <c r="D255" s="9">
        <v>9</v>
      </c>
      <c r="E255" s="9">
        <v>2025</v>
      </c>
      <c r="F255" s="10">
        <v>45901</v>
      </c>
      <c r="G255" s="11">
        <v>1153.06</v>
      </c>
      <c r="H255" t="str">
        <f>_xlfn.XLOOKUP(C255,'COA Translation'!A:A,'COA Translation'!B:B)</f>
        <v>Current Credit Card Security Fees</v>
      </c>
      <c r="I255">
        <f>_xlfn.XLOOKUP(C255,'COA Translation'!A:A,'COA Translation'!C:C)</f>
        <v>0</v>
      </c>
      <c r="J255" t="str">
        <f>_xlfn.XLOOKUP(C255,'COA Translation'!A:A,'COA Translation'!E:E)</f>
        <v>Expense</v>
      </c>
    </row>
    <row r="256" spans="1:10" x14ac:dyDescent="0.3">
      <c r="A256" s="7" t="s">
        <v>145</v>
      </c>
      <c r="B256" s="8" t="s">
        <v>336</v>
      </c>
      <c r="C256" s="8" t="s">
        <v>347</v>
      </c>
      <c r="D256" s="9">
        <v>10</v>
      </c>
      <c r="E256" s="9">
        <v>2025</v>
      </c>
      <c r="F256" s="10">
        <v>45931</v>
      </c>
      <c r="G256" s="11">
        <v>1300.3200000000002</v>
      </c>
      <c r="H256" t="str">
        <f>_xlfn.XLOOKUP(C256,'COA Translation'!A:A,'COA Translation'!B:B)</f>
        <v>Current Credit Card Security Fees</v>
      </c>
      <c r="I256">
        <f>_xlfn.XLOOKUP(C256,'COA Translation'!A:A,'COA Translation'!C:C)</f>
        <v>0</v>
      </c>
      <c r="J256" t="str">
        <f>_xlfn.XLOOKUP(C256,'COA Translation'!A:A,'COA Translation'!E:E)</f>
        <v>Expense</v>
      </c>
    </row>
    <row r="257" spans="1:10" x14ac:dyDescent="0.3">
      <c r="A257" s="7" t="s">
        <v>145</v>
      </c>
      <c r="B257" s="8" t="s">
        <v>336</v>
      </c>
      <c r="C257" s="8" t="s">
        <v>347</v>
      </c>
      <c r="D257" s="9">
        <v>11</v>
      </c>
      <c r="E257" s="9">
        <v>2025</v>
      </c>
      <c r="F257" s="10">
        <v>45962</v>
      </c>
      <c r="G257" s="11">
        <v>1237.3900000000001</v>
      </c>
      <c r="H257" t="str">
        <f>_xlfn.XLOOKUP(C257,'COA Translation'!A:A,'COA Translation'!B:B)</f>
        <v>Current Credit Card Security Fees</v>
      </c>
      <c r="I257">
        <f>_xlfn.XLOOKUP(C257,'COA Translation'!A:A,'COA Translation'!C:C)</f>
        <v>0</v>
      </c>
      <c r="J257" t="str">
        <f>_xlfn.XLOOKUP(C257,'COA Translation'!A:A,'COA Translation'!E:E)</f>
        <v>Expense</v>
      </c>
    </row>
    <row r="258" spans="1:10" x14ac:dyDescent="0.3">
      <c r="A258" s="7" t="s">
        <v>145</v>
      </c>
      <c r="B258" s="8" t="s">
        <v>336</v>
      </c>
      <c r="C258" s="8" t="s">
        <v>347</v>
      </c>
      <c r="D258" s="9">
        <v>12</v>
      </c>
      <c r="E258" s="9">
        <v>2025</v>
      </c>
      <c r="F258" s="10">
        <v>45992</v>
      </c>
      <c r="G258" s="11">
        <v>1468.12</v>
      </c>
      <c r="H258" t="str">
        <f>_xlfn.XLOOKUP(C258,'COA Translation'!A:A,'COA Translation'!B:B)</f>
        <v>Current Credit Card Security Fees</v>
      </c>
      <c r="I258">
        <f>_xlfn.XLOOKUP(C258,'COA Translation'!A:A,'COA Translation'!C:C)</f>
        <v>0</v>
      </c>
      <c r="J258" t="str">
        <f>_xlfn.XLOOKUP(C258,'COA Translation'!A:A,'COA Translation'!E:E)</f>
        <v>Expense</v>
      </c>
    </row>
    <row r="259" spans="1:10" x14ac:dyDescent="0.3">
      <c r="A259" s="7" t="s">
        <v>145</v>
      </c>
      <c r="B259" s="8" t="s">
        <v>336</v>
      </c>
      <c r="C259" s="8" t="s">
        <v>347</v>
      </c>
      <c r="D259" s="9">
        <v>1</v>
      </c>
      <c r="E259" s="9">
        <v>2026</v>
      </c>
      <c r="F259" s="10">
        <v>46023</v>
      </c>
      <c r="G259" s="11">
        <v>1484.59</v>
      </c>
      <c r="H259" t="str">
        <f>_xlfn.XLOOKUP(C259,'COA Translation'!A:A,'COA Translation'!B:B)</f>
        <v>Current Credit Card Security Fees</v>
      </c>
      <c r="I259">
        <f>_xlfn.XLOOKUP(C259,'COA Translation'!A:A,'COA Translation'!C:C)</f>
        <v>0</v>
      </c>
      <c r="J259" t="str">
        <f>_xlfn.XLOOKUP(C259,'COA Translation'!A:A,'COA Translation'!E:E)</f>
        <v>Expense</v>
      </c>
    </row>
    <row r="260" spans="1:10" x14ac:dyDescent="0.3">
      <c r="A260" s="7" t="s">
        <v>145</v>
      </c>
      <c r="B260" s="8" t="s">
        <v>336</v>
      </c>
      <c r="C260" s="8" t="s">
        <v>348</v>
      </c>
      <c r="D260" s="9">
        <v>2</v>
      </c>
      <c r="E260" s="9">
        <v>2025</v>
      </c>
      <c r="F260" s="10">
        <v>45689</v>
      </c>
      <c r="G260" s="11">
        <v>2690.57</v>
      </c>
      <c r="H260" t="str">
        <f>_xlfn.XLOOKUP(C260,'COA Translation'!A:A,'COA Translation'!B:B)</f>
        <v>Advertising &amp; Marketing</v>
      </c>
      <c r="I260">
        <f>_xlfn.XLOOKUP(C260,'COA Translation'!A:A,'COA Translation'!C:C)</f>
        <v>0</v>
      </c>
      <c r="J260" t="str">
        <f>_xlfn.XLOOKUP(C260,'COA Translation'!A:A,'COA Translation'!E:E)</f>
        <v>Expense</v>
      </c>
    </row>
    <row r="261" spans="1:10" x14ac:dyDescent="0.3">
      <c r="A261" s="7" t="s">
        <v>145</v>
      </c>
      <c r="B261" s="8" t="s">
        <v>336</v>
      </c>
      <c r="C261" s="8" t="s">
        <v>348</v>
      </c>
      <c r="D261" s="9">
        <v>3</v>
      </c>
      <c r="E261" s="9">
        <v>2025</v>
      </c>
      <c r="F261" s="10">
        <v>45717</v>
      </c>
      <c r="G261" s="11">
        <v>3766.329999999999</v>
      </c>
      <c r="H261" t="str">
        <f>_xlfn.XLOOKUP(C261,'COA Translation'!A:A,'COA Translation'!B:B)</f>
        <v>Advertising &amp; Marketing</v>
      </c>
      <c r="I261">
        <f>_xlfn.XLOOKUP(C261,'COA Translation'!A:A,'COA Translation'!C:C)</f>
        <v>0</v>
      </c>
      <c r="J261" t="str">
        <f>_xlfn.XLOOKUP(C261,'COA Translation'!A:A,'COA Translation'!E:E)</f>
        <v>Expense</v>
      </c>
    </row>
    <row r="262" spans="1:10" x14ac:dyDescent="0.3">
      <c r="A262" s="7" t="s">
        <v>145</v>
      </c>
      <c r="B262" s="8" t="s">
        <v>336</v>
      </c>
      <c r="C262" s="8" t="s">
        <v>348</v>
      </c>
      <c r="D262" s="9">
        <v>4</v>
      </c>
      <c r="E262" s="9">
        <v>2025</v>
      </c>
      <c r="F262" s="10">
        <v>45748</v>
      </c>
      <c r="G262" s="11">
        <v>3452.2200000000007</v>
      </c>
      <c r="H262" t="str">
        <f>_xlfn.XLOOKUP(C262,'COA Translation'!A:A,'COA Translation'!B:B)</f>
        <v>Advertising &amp; Marketing</v>
      </c>
      <c r="I262">
        <f>_xlfn.XLOOKUP(C262,'COA Translation'!A:A,'COA Translation'!C:C)</f>
        <v>0</v>
      </c>
      <c r="J262" t="str">
        <f>_xlfn.XLOOKUP(C262,'COA Translation'!A:A,'COA Translation'!E:E)</f>
        <v>Expense</v>
      </c>
    </row>
    <row r="263" spans="1:10" x14ac:dyDescent="0.3">
      <c r="A263" s="7" t="s">
        <v>145</v>
      </c>
      <c r="B263" s="8" t="s">
        <v>336</v>
      </c>
      <c r="C263" s="8" t="s">
        <v>348</v>
      </c>
      <c r="D263" s="9">
        <v>5</v>
      </c>
      <c r="E263" s="9">
        <v>2025</v>
      </c>
      <c r="F263" s="10">
        <v>45778</v>
      </c>
      <c r="G263" s="11">
        <v>4285.3999999999987</v>
      </c>
      <c r="H263" t="str">
        <f>_xlfn.XLOOKUP(C263,'COA Translation'!A:A,'COA Translation'!B:B)</f>
        <v>Advertising &amp; Marketing</v>
      </c>
      <c r="I263">
        <f>_xlfn.XLOOKUP(C263,'COA Translation'!A:A,'COA Translation'!C:C)</f>
        <v>0</v>
      </c>
      <c r="J263" t="str">
        <f>_xlfn.XLOOKUP(C263,'COA Translation'!A:A,'COA Translation'!E:E)</f>
        <v>Expense</v>
      </c>
    </row>
    <row r="264" spans="1:10" x14ac:dyDescent="0.3">
      <c r="A264" s="7" t="s">
        <v>145</v>
      </c>
      <c r="B264" s="8" t="s">
        <v>336</v>
      </c>
      <c r="C264" s="8" t="s">
        <v>348</v>
      </c>
      <c r="D264" s="9">
        <v>6</v>
      </c>
      <c r="E264" s="9">
        <v>2025</v>
      </c>
      <c r="F264" s="10">
        <v>45809</v>
      </c>
      <c r="G264" s="11">
        <v>3507.0499999999997</v>
      </c>
      <c r="H264" t="str">
        <f>_xlfn.XLOOKUP(C264,'COA Translation'!A:A,'COA Translation'!B:B)</f>
        <v>Advertising &amp; Marketing</v>
      </c>
      <c r="I264">
        <f>_xlfn.XLOOKUP(C264,'COA Translation'!A:A,'COA Translation'!C:C)</f>
        <v>0</v>
      </c>
      <c r="J264" t="str">
        <f>_xlfn.XLOOKUP(C264,'COA Translation'!A:A,'COA Translation'!E:E)</f>
        <v>Expense</v>
      </c>
    </row>
    <row r="265" spans="1:10" x14ac:dyDescent="0.3">
      <c r="A265" s="7" t="s">
        <v>145</v>
      </c>
      <c r="B265" s="8" t="s">
        <v>336</v>
      </c>
      <c r="C265" s="8" t="s">
        <v>348</v>
      </c>
      <c r="D265" s="9">
        <v>7</v>
      </c>
      <c r="E265" s="9">
        <v>2025</v>
      </c>
      <c r="F265" s="10">
        <v>45839</v>
      </c>
      <c r="G265" s="11">
        <v>2723.6</v>
      </c>
      <c r="H265" t="str">
        <f>_xlfn.XLOOKUP(C265,'COA Translation'!A:A,'COA Translation'!B:B)</f>
        <v>Advertising &amp; Marketing</v>
      </c>
      <c r="I265">
        <f>_xlfn.XLOOKUP(C265,'COA Translation'!A:A,'COA Translation'!C:C)</f>
        <v>0</v>
      </c>
      <c r="J265" t="str">
        <f>_xlfn.XLOOKUP(C265,'COA Translation'!A:A,'COA Translation'!E:E)</f>
        <v>Expense</v>
      </c>
    </row>
    <row r="266" spans="1:10" x14ac:dyDescent="0.3">
      <c r="A266" s="7" t="s">
        <v>145</v>
      </c>
      <c r="B266" s="8" t="s">
        <v>336</v>
      </c>
      <c r="C266" s="8" t="s">
        <v>348</v>
      </c>
      <c r="D266" s="9">
        <v>8</v>
      </c>
      <c r="E266" s="9">
        <v>2025</v>
      </c>
      <c r="F266" s="10">
        <v>45870</v>
      </c>
      <c r="G266" s="11">
        <v>3419.91</v>
      </c>
      <c r="H266" t="str">
        <f>_xlfn.XLOOKUP(C266,'COA Translation'!A:A,'COA Translation'!B:B)</f>
        <v>Advertising &amp; Marketing</v>
      </c>
      <c r="I266">
        <f>_xlfn.XLOOKUP(C266,'COA Translation'!A:A,'COA Translation'!C:C)</f>
        <v>0</v>
      </c>
      <c r="J266" t="str">
        <f>_xlfn.XLOOKUP(C266,'COA Translation'!A:A,'COA Translation'!E:E)</f>
        <v>Expense</v>
      </c>
    </row>
    <row r="267" spans="1:10" x14ac:dyDescent="0.3">
      <c r="A267" s="7" t="s">
        <v>145</v>
      </c>
      <c r="B267" s="8" t="s">
        <v>336</v>
      </c>
      <c r="C267" s="8" t="s">
        <v>348</v>
      </c>
      <c r="D267" s="9">
        <v>9</v>
      </c>
      <c r="E267" s="9">
        <v>2025</v>
      </c>
      <c r="F267" s="10">
        <v>45901</v>
      </c>
      <c r="G267" s="11">
        <v>3480.9100000000003</v>
      </c>
      <c r="H267" t="str">
        <f>_xlfn.XLOOKUP(C267,'COA Translation'!A:A,'COA Translation'!B:B)</f>
        <v>Advertising &amp; Marketing</v>
      </c>
      <c r="I267">
        <f>_xlfn.XLOOKUP(C267,'COA Translation'!A:A,'COA Translation'!C:C)</f>
        <v>0</v>
      </c>
      <c r="J267" t="str">
        <f>_xlfn.XLOOKUP(C267,'COA Translation'!A:A,'COA Translation'!E:E)</f>
        <v>Expense</v>
      </c>
    </row>
    <row r="268" spans="1:10" x14ac:dyDescent="0.3">
      <c r="A268" s="7" t="s">
        <v>145</v>
      </c>
      <c r="B268" s="8" t="s">
        <v>336</v>
      </c>
      <c r="C268" s="8" t="s">
        <v>348</v>
      </c>
      <c r="D268" s="9">
        <v>10</v>
      </c>
      <c r="E268" s="9">
        <v>2025</v>
      </c>
      <c r="F268" s="10">
        <v>45931</v>
      </c>
      <c r="G268" s="11">
        <v>1750.46</v>
      </c>
      <c r="H268" t="str">
        <f>_xlfn.XLOOKUP(C268,'COA Translation'!A:A,'COA Translation'!B:B)</f>
        <v>Advertising &amp; Marketing</v>
      </c>
      <c r="I268">
        <f>_xlfn.XLOOKUP(C268,'COA Translation'!A:A,'COA Translation'!C:C)</f>
        <v>0</v>
      </c>
      <c r="J268" t="str">
        <f>_xlfn.XLOOKUP(C268,'COA Translation'!A:A,'COA Translation'!E:E)</f>
        <v>Expense</v>
      </c>
    </row>
    <row r="269" spans="1:10" x14ac:dyDescent="0.3">
      <c r="A269" s="7" t="s">
        <v>145</v>
      </c>
      <c r="B269" s="8" t="s">
        <v>336</v>
      </c>
      <c r="C269" s="8" t="s">
        <v>348</v>
      </c>
      <c r="D269" s="9">
        <v>11</v>
      </c>
      <c r="E269" s="9">
        <v>2025</v>
      </c>
      <c r="F269" s="10">
        <v>45962</v>
      </c>
      <c r="G269" s="11">
        <v>1792.6</v>
      </c>
      <c r="H269" t="str">
        <f>_xlfn.XLOOKUP(C269,'COA Translation'!A:A,'COA Translation'!B:B)</f>
        <v>Advertising &amp; Marketing</v>
      </c>
      <c r="I269">
        <f>_xlfn.XLOOKUP(C269,'COA Translation'!A:A,'COA Translation'!C:C)</f>
        <v>0</v>
      </c>
      <c r="J269" t="str">
        <f>_xlfn.XLOOKUP(C269,'COA Translation'!A:A,'COA Translation'!E:E)</f>
        <v>Expense</v>
      </c>
    </row>
    <row r="270" spans="1:10" x14ac:dyDescent="0.3">
      <c r="A270" s="7" t="s">
        <v>145</v>
      </c>
      <c r="B270" s="8" t="s">
        <v>336</v>
      </c>
      <c r="C270" s="8" t="s">
        <v>348</v>
      </c>
      <c r="D270" s="9">
        <v>12</v>
      </c>
      <c r="E270" s="9">
        <v>2025</v>
      </c>
      <c r="F270" s="10">
        <v>45992</v>
      </c>
      <c r="G270" s="11">
        <v>1752.92</v>
      </c>
      <c r="H270" t="str">
        <f>_xlfn.XLOOKUP(C270,'COA Translation'!A:A,'COA Translation'!B:B)</f>
        <v>Advertising &amp; Marketing</v>
      </c>
      <c r="I270">
        <f>_xlfn.XLOOKUP(C270,'COA Translation'!A:A,'COA Translation'!C:C)</f>
        <v>0</v>
      </c>
      <c r="J270" t="str">
        <f>_xlfn.XLOOKUP(C270,'COA Translation'!A:A,'COA Translation'!E:E)</f>
        <v>Expense</v>
      </c>
    </row>
    <row r="271" spans="1:10" x14ac:dyDescent="0.3">
      <c r="A271" s="7" t="s">
        <v>145</v>
      </c>
      <c r="B271" s="8" t="s">
        <v>336</v>
      </c>
      <c r="C271" s="8" t="s">
        <v>348</v>
      </c>
      <c r="D271" s="9">
        <v>1</v>
      </c>
      <c r="E271" s="9">
        <v>2026</v>
      </c>
      <c r="F271" s="10">
        <v>46023</v>
      </c>
      <c r="G271" s="11">
        <v>2235.4499999999998</v>
      </c>
      <c r="H271" t="str">
        <f>_xlfn.XLOOKUP(C271,'COA Translation'!A:A,'COA Translation'!B:B)</f>
        <v>Advertising &amp; Marketing</v>
      </c>
      <c r="I271">
        <f>_xlfn.XLOOKUP(C271,'COA Translation'!A:A,'COA Translation'!C:C)</f>
        <v>0</v>
      </c>
      <c r="J271" t="str">
        <f>_xlfn.XLOOKUP(C271,'COA Translation'!A:A,'COA Translation'!E:E)</f>
        <v>Expense</v>
      </c>
    </row>
    <row r="272" spans="1:10" x14ac:dyDescent="0.3">
      <c r="A272" s="7" t="s">
        <v>145</v>
      </c>
      <c r="B272" s="8" t="s">
        <v>336</v>
      </c>
      <c r="C272" s="8" t="s">
        <v>349</v>
      </c>
      <c r="D272" s="9">
        <v>2</v>
      </c>
      <c r="E272" s="9">
        <v>2025</v>
      </c>
      <c r="F272" s="10">
        <v>45689</v>
      </c>
      <c r="G272" s="11">
        <v>260.69</v>
      </c>
      <c r="H272" t="str">
        <f>_xlfn.XLOOKUP(C272,'COA Translation'!A:A,'COA Translation'!B:B)</f>
        <v>Software</v>
      </c>
      <c r="I272">
        <f>_xlfn.XLOOKUP(C272,'COA Translation'!A:A,'COA Translation'!C:C)</f>
        <v>0</v>
      </c>
      <c r="J272" t="str">
        <f>_xlfn.XLOOKUP(C272,'COA Translation'!A:A,'COA Translation'!E:E)</f>
        <v>Expense</v>
      </c>
    </row>
    <row r="273" spans="1:10" x14ac:dyDescent="0.3">
      <c r="A273" s="7" t="s">
        <v>145</v>
      </c>
      <c r="B273" s="8" t="s">
        <v>336</v>
      </c>
      <c r="C273" s="8" t="s">
        <v>349</v>
      </c>
      <c r="D273" s="9">
        <v>3</v>
      </c>
      <c r="E273" s="9">
        <v>2025</v>
      </c>
      <c r="F273" s="10">
        <v>45717</v>
      </c>
      <c r="G273" s="11">
        <v>260.68999999999994</v>
      </c>
      <c r="H273" t="str">
        <f>_xlfn.XLOOKUP(C273,'COA Translation'!A:A,'COA Translation'!B:B)</f>
        <v>Software</v>
      </c>
      <c r="I273">
        <f>_xlfn.XLOOKUP(C273,'COA Translation'!A:A,'COA Translation'!C:C)</f>
        <v>0</v>
      </c>
      <c r="J273" t="str">
        <f>_xlfn.XLOOKUP(C273,'COA Translation'!A:A,'COA Translation'!E:E)</f>
        <v>Expense</v>
      </c>
    </row>
    <row r="274" spans="1:10" x14ac:dyDescent="0.3">
      <c r="A274" s="7" t="s">
        <v>145</v>
      </c>
      <c r="B274" s="8" t="s">
        <v>336</v>
      </c>
      <c r="C274" s="8" t="s">
        <v>349</v>
      </c>
      <c r="D274" s="9">
        <v>4</v>
      </c>
      <c r="E274" s="9">
        <v>2025</v>
      </c>
      <c r="F274" s="10">
        <v>45748</v>
      </c>
      <c r="G274" s="11">
        <v>260.68999999999994</v>
      </c>
      <c r="H274" t="str">
        <f>_xlfn.XLOOKUP(C274,'COA Translation'!A:A,'COA Translation'!B:B)</f>
        <v>Software</v>
      </c>
      <c r="I274">
        <f>_xlfn.XLOOKUP(C274,'COA Translation'!A:A,'COA Translation'!C:C)</f>
        <v>0</v>
      </c>
      <c r="J274" t="str">
        <f>_xlfn.XLOOKUP(C274,'COA Translation'!A:A,'COA Translation'!E:E)</f>
        <v>Expense</v>
      </c>
    </row>
    <row r="275" spans="1:10" x14ac:dyDescent="0.3">
      <c r="A275" s="7" t="s">
        <v>145</v>
      </c>
      <c r="B275" s="8" t="s">
        <v>336</v>
      </c>
      <c r="C275" s="8" t="s">
        <v>349</v>
      </c>
      <c r="D275" s="9">
        <v>5</v>
      </c>
      <c r="E275" s="9">
        <v>2025</v>
      </c>
      <c r="F275" s="10">
        <v>45778</v>
      </c>
      <c r="G275" s="11">
        <v>260.69000000000005</v>
      </c>
      <c r="H275" t="str">
        <f>_xlfn.XLOOKUP(C275,'COA Translation'!A:A,'COA Translation'!B:B)</f>
        <v>Software</v>
      </c>
      <c r="I275">
        <f>_xlfn.XLOOKUP(C275,'COA Translation'!A:A,'COA Translation'!C:C)</f>
        <v>0</v>
      </c>
      <c r="J275" t="str">
        <f>_xlfn.XLOOKUP(C275,'COA Translation'!A:A,'COA Translation'!E:E)</f>
        <v>Expense</v>
      </c>
    </row>
    <row r="276" spans="1:10" x14ac:dyDescent="0.3">
      <c r="A276" s="7" t="s">
        <v>145</v>
      </c>
      <c r="B276" s="8" t="s">
        <v>336</v>
      </c>
      <c r="C276" s="8" t="s">
        <v>349</v>
      </c>
      <c r="D276" s="9">
        <v>6</v>
      </c>
      <c r="E276" s="9">
        <v>2025</v>
      </c>
      <c r="F276" s="10">
        <v>45809</v>
      </c>
      <c r="G276" s="11">
        <v>260.69</v>
      </c>
      <c r="H276" t="str">
        <f>_xlfn.XLOOKUP(C276,'COA Translation'!A:A,'COA Translation'!B:B)</f>
        <v>Software</v>
      </c>
      <c r="I276">
        <f>_xlfn.XLOOKUP(C276,'COA Translation'!A:A,'COA Translation'!C:C)</f>
        <v>0</v>
      </c>
      <c r="J276" t="str">
        <f>_xlfn.XLOOKUP(C276,'COA Translation'!A:A,'COA Translation'!E:E)</f>
        <v>Expense</v>
      </c>
    </row>
    <row r="277" spans="1:10" x14ac:dyDescent="0.3">
      <c r="A277" s="7" t="s">
        <v>145</v>
      </c>
      <c r="B277" s="8" t="s">
        <v>336</v>
      </c>
      <c r="C277" s="8" t="s">
        <v>349</v>
      </c>
      <c r="D277" s="9">
        <v>7</v>
      </c>
      <c r="E277" s="9">
        <v>2025</v>
      </c>
      <c r="F277" s="10">
        <v>45839</v>
      </c>
      <c r="G277" s="11">
        <v>260.69</v>
      </c>
      <c r="H277" t="str">
        <f>_xlfn.XLOOKUP(C277,'COA Translation'!A:A,'COA Translation'!B:B)</f>
        <v>Software</v>
      </c>
      <c r="I277">
        <f>_xlfn.XLOOKUP(C277,'COA Translation'!A:A,'COA Translation'!C:C)</f>
        <v>0</v>
      </c>
      <c r="J277" t="str">
        <f>_xlfn.XLOOKUP(C277,'COA Translation'!A:A,'COA Translation'!E:E)</f>
        <v>Expense</v>
      </c>
    </row>
    <row r="278" spans="1:10" x14ac:dyDescent="0.3">
      <c r="A278" s="7" t="s">
        <v>145</v>
      </c>
      <c r="B278" s="8" t="s">
        <v>336</v>
      </c>
      <c r="C278" s="8" t="s">
        <v>349</v>
      </c>
      <c r="D278" s="9">
        <v>8</v>
      </c>
      <c r="E278" s="9">
        <v>2025</v>
      </c>
      <c r="F278" s="10">
        <v>45870</v>
      </c>
      <c r="G278" s="11">
        <v>260.77</v>
      </c>
      <c r="H278" t="str">
        <f>_xlfn.XLOOKUP(C278,'COA Translation'!A:A,'COA Translation'!B:B)</f>
        <v>Software</v>
      </c>
      <c r="I278">
        <f>_xlfn.XLOOKUP(C278,'COA Translation'!A:A,'COA Translation'!C:C)</f>
        <v>0</v>
      </c>
      <c r="J278" t="str">
        <f>_xlfn.XLOOKUP(C278,'COA Translation'!A:A,'COA Translation'!E:E)</f>
        <v>Expense</v>
      </c>
    </row>
    <row r="279" spans="1:10" x14ac:dyDescent="0.3">
      <c r="A279" s="7" t="s">
        <v>145</v>
      </c>
      <c r="B279" s="8" t="s">
        <v>336</v>
      </c>
      <c r="C279" s="8" t="s">
        <v>349</v>
      </c>
      <c r="D279" s="9">
        <v>9</v>
      </c>
      <c r="E279" s="9">
        <v>2025</v>
      </c>
      <c r="F279" s="10">
        <v>45901</v>
      </c>
      <c r="G279" s="11">
        <v>260.77</v>
      </c>
      <c r="H279" t="str">
        <f>_xlfn.XLOOKUP(C279,'COA Translation'!A:A,'COA Translation'!B:B)</f>
        <v>Software</v>
      </c>
      <c r="I279">
        <f>_xlfn.XLOOKUP(C279,'COA Translation'!A:A,'COA Translation'!C:C)</f>
        <v>0</v>
      </c>
      <c r="J279" t="str">
        <f>_xlfn.XLOOKUP(C279,'COA Translation'!A:A,'COA Translation'!E:E)</f>
        <v>Expense</v>
      </c>
    </row>
    <row r="280" spans="1:10" x14ac:dyDescent="0.3">
      <c r="A280" s="7" t="s">
        <v>145</v>
      </c>
      <c r="B280" s="8" t="s">
        <v>336</v>
      </c>
      <c r="C280" s="8" t="s">
        <v>349</v>
      </c>
      <c r="D280" s="9">
        <v>10</v>
      </c>
      <c r="E280" s="9">
        <v>2025</v>
      </c>
      <c r="F280" s="10">
        <v>45931</v>
      </c>
      <c r="G280" s="11">
        <v>260.77</v>
      </c>
      <c r="H280" t="str">
        <f>_xlfn.XLOOKUP(C280,'COA Translation'!A:A,'COA Translation'!B:B)</f>
        <v>Software</v>
      </c>
      <c r="I280">
        <f>_xlfn.XLOOKUP(C280,'COA Translation'!A:A,'COA Translation'!C:C)</f>
        <v>0</v>
      </c>
      <c r="J280" t="str">
        <f>_xlfn.XLOOKUP(C280,'COA Translation'!A:A,'COA Translation'!E:E)</f>
        <v>Expense</v>
      </c>
    </row>
    <row r="281" spans="1:10" x14ac:dyDescent="0.3">
      <c r="A281" s="7" t="s">
        <v>145</v>
      </c>
      <c r="B281" s="8" t="s">
        <v>336</v>
      </c>
      <c r="C281" s="8" t="s">
        <v>349</v>
      </c>
      <c r="D281" s="9">
        <v>11</v>
      </c>
      <c r="E281" s="9">
        <v>2025</v>
      </c>
      <c r="F281" s="10">
        <v>45962</v>
      </c>
      <c r="G281" s="11">
        <v>260.77</v>
      </c>
      <c r="H281" t="str">
        <f>_xlfn.XLOOKUP(C281,'COA Translation'!A:A,'COA Translation'!B:B)</f>
        <v>Software</v>
      </c>
      <c r="I281">
        <f>_xlfn.XLOOKUP(C281,'COA Translation'!A:A,'COA Translation'!C:C)</f>
        <v>0</v>
      </c>
      <c r="J281" t="str">
        <f>_xlfn.XLOOKUP(C281,'COA Translation'!A:A,'COA Translation'!E:E)</f>
        <v>Expense</v>
      </c>
    </row>
    <row r="282" spans="1:10" x14ac:dyDescent="0.3">
      <c r="A282" s="7" t="s">
        <v>145</v>
      </c>
      <c r="B282" s="8" t="s">
        <v>336</v>
      </c>
      <c r="C282" s="8" t="s">
        <v>349</v>
      </c>
      <c r="D282" s="9">
        <v>12</v>
      </c>
      <c r="E282" s="9">
        <v>2025</v>
      </c>
      <c r="F282" s="10">
        <v>45992</v>
      </c>
      <c r="G282" s="11">
        <v>260.77</v>
      </c>
      <c r="H282" t="str">
        <f>_xlfn.XLOOKUP(C282,'COA Translation'!A:A,'COA Translation'!B:B)</f>
        <v>Software</v>
      </c>
      <c r="I282">
        <f>_xlfn.XLOOKUP(C282,'COA Translation'!A:A,'COA Translation'!C:C)</f>
        <v>0</v>
      </c>
      <c r="J282" t="str">
        <f>_xlfn.XLOOKUP(C282,'COA Translation'!A:A,'COA Translation'!E:E)</f>
        <v>Expense</v>
      </c>
    </row>
    <row r="283" spans="1:10" x14ac:dyDescent="0.3">
      <c r="A283" s="7" t="s">
        <v>145</v>
      </c>
      <c r="B283" s="8" t="s">
        <v>336</v>
      </c>
      <c r="C283" s="8" t="s">
        <v>349</v>
      </c>
      <c r="D283" s="9">
        <v>1</v>
      </c>
      <c r="E283" s="9">
        <v>2026</v>
      </c>
      <c r="F283" s="10">
        <v>46023</v>
      </c>
      <c r="G283" s="11">
        <v>273.08999999999997</v>
      </c>
      <c r="H283" t="str">
        <f>_xlfn.XLOOKUP(C283,'COA Translation'!A:A,'COA Translation'!B:B)</f>
        <v>Software</v>
      </c>
      <c r="I283">
        <f>_xlfn.XLOOKUP(C283,'COA Translation'!A:A,'COA Translation'!C:C)</f>
        <v>0</v>
      </c>
      <c r="J283" t="str">
        <f>_xlfn.XLOOKUP(C283,'COA Translation'!A:A,'COA Translation'!E:E)</f>
        <v>Expense</v>
      </c>
    </row>
    <row r="284" spans="1:10" x14ac:dyDescent="0.3">
      <c r="A284" s="7" t="s">
        <v>145</v>
      </c>
      <c r="B284" s="8" t="s">
        <v>336</v>
      </c>
      <c r="C284" s="8" t="s">
        <v>81</v>
      </c>
      <c r="D284" s="9">
        <v>2</v>
      </c>
      <c r="E284" s="9">
        <v>2025</v>
      </c>
      <c r="F284" s="10">
        <v>45689</v>
      </c>
      <c r="G284" s="11">
        <v>319.15999999999997</v>
      </c>
      <c r="H284" t="str">
        <f>_xlfn.XLOOKUP(C284,'COA Translation'!A:A,'COA Translation'!B:B)</f>
        <v>Software</v>
      </c>
      <c r="I284">
        <f>_xlfn.XLOOKUP(C284,'COA Translation'!A:A,'COA Translation'!C:C)</f>
        <v>0</v>
      </c>
      <c r="J284" t="str">
        <f>_xlfn.XLOOKUP(C284,'COA Translation'!A:A,'COA Translation'!E:E)</f>
        <v>Expense</v>
      </c>
    </row>
    <row r="285" spans="1:10" x14ac:dyDescent="0.3">
      <c r="A285" s="7" t="s">
        <v>145</v>
      </c>
      <c r="B285" s="8" t="s">
        <v>336</v>
      </c>
      <c r="C285" s="8" t="s">
        <v>81</v>
      </c>
      <c r="D285" s="9">
        <v>3</v>
      </c>
      <c r="E285" s="9">
        <v>2025</v>
      </c>
      <c r="F285" s="10">
        <v>45717</v>
      </c>
      <c r="G285" s="11">
        <v>299.78999999999996</v>
      </c>
      <c r="H285" t="str">
        <f>_xlfn.XLOOKUP(C285,'COA Translation'!A:A,'COA Translation'!B:B)</f>
        <v>Software</v>
      </c>
      <c r="I285">
        <f>_xlfn.XLOOKUP(C285,'COA Translation'!A:A,'COA Translation'!C:C)</f>
        <v>0</v>
      </c>
      <c r="J285" t="str">
        <f>_xlfn.XLOOKUP(C285,'COA Translation'!A:A,'COA Translation'!E:E)</f>
        <v>Expense</v>
      </c>
    </row>
    <row r="286" spans="1:10" x14ac:dyDescent="0.3">
      <c r="A286" s="7" t="s">
        <v>145</v>
      </c>
      <c r="B286" s="8" t="s">
        <v>336</v>
      </c>
      <c r="C286" s="8" t="s">
        <v>81</v>
      </c>
      <c r="D286" s="9">
        <v>4</v>
      </c>
      <c r="E286" s="9">
        <v>2025</v>
      </c>
      <c r="F286" s="10">
        <v>45748</v>
      </c>
      <c r="G286" s="11">
        <v>330.88000000000011</v>
      </c>
      <c r="H286" t="str">
        <f>_xlfn.XLOOKUP(C286,'COA Translation'!A:A,'COA Translation'!B:B)</f>
        <v>Software</v>
      </c>
      <c r="I286">
        <f>_xlfn.XLOOKUP(C286,'COA Translation'!A:A,'COA Translation'!C:C)</f>
        <v>0</v>
      </c>
      <c r="J286" t="str">
        <f>_xlfn.XLOOKUP(C286,'COA Translation'!A:A,'COA Translation'!E:E)</f>
        <v>Expense</v>
      </c>
    </row>
    <row r="287" spans="1:10" x14ac:dyDescent="0.3">
      <c r="A287" s="7" t="s">
        <v>145</v>
      </c>
      <c r="B287" s="8" t="s">
        <v>336</v>
      </c>
      <c r="C287" s="8" t="s">
        <v>81</v>
      </c>
      <c r="D287" s="9">
        <v>5</v>
      </c>
      <c r="E287" s="9">
        <v>2025</v>
      </c>
      <c r="F287" s="10">
        <v>45778</v>
      </c>
      <c r="G287" s="11">
        <v>330.70000000000005</v>
      </c>
      <c r="H287" t="str">
        <f>_xlfn.XLOOKUP(C287,'COA Translation'!A:A,'COA Translation'!B:B)</f>
        <v>Software</v>
      </c>
      <c r="I287">
        <f>_xlfn.XLOOKUP(C287,'COA Translation'!A:A,'COA Translation'!C:C)</f>
        <v>0</v>
      </c>
      <c r="J287" t="str">
        <f>_xlfn.XLOOKUP(C287,'COA Translation'!A:A,'COA Translation'!E:E)</f>
        <v>Expense</v>
      </c>
    </row>
    <row r="288" spans="1:10" x14ac:dyDescent="0.3">
      <c r="A288" s="7" t="s">
        <v>145</v>
      </c>
      <c r="B288" s="8" t="s">
        <v>336</v>
      </c>
      <c r="C288" s="8" t="s">
        <v>81</v>
      </c>
      <c r="D288" s="9">
        <v>6</v>
      </c>
      <c r="E288" s="9">
        <v>2025</v>
      </c>
      <c r="F288" s="10">
        <v>45809</v>
      </c>
      <c r="G288" s="11">
        <v>352.63</v>
      </c>
      <c r="H288" t="str">
        <f>_xlfn.XLOOKUP(C288,'COA Translation'!A:A,'COA Translation'!B:B)</f>
        <v>Software</v>
      </c>
      <c r="I288">
        <f>_xlfn.XLOOKUP(C288,'COA Translation'!A:A,'COA Translation'!C:C)</f>
        <v>0</v>
      </c>
      <c r="J288" t="str">
        <f>_xlfn.XLOOKUP(C288,'COA Translation'!A:A,'COA Translation'!E:E)</f>
        <v>Expense</v>
      </c>
    </row>
    <row r="289" spans="1:10" x14ac:dyDescent="0.3">
      <c r="A289" s="7" t="s">
        <v>145</v>
      </c>
      <c r="B289" s="8" t="s">
        <v>336</v>
      </c>
      <c r="C289" s="8" t="s">
        <v>81</v>
      </c>
      <c r="D289" s="9">
        <v>7</v>
      </c>
      <c r="E289" s="9">
        <v>2025</v>
      </c>
      <c r="F289" s="10">
        <v>45839</v>
      </c>
      <c r="G289" s="11">
        <v>316.58</v>
      </c>
      <c r="H289" t="str">
        <f>_xlfn.XLOOKUP(C289,'COA Translation'!A:A,'COA Translation'!B:B)</f>
        <v>Software</v>
      </c>
      <c r="I289">
        <f>_xlfn.XLOOKUP(C289,'COA Translation'!A:A,'COA Translation'!C:C)</f>
        <v>0</v>
      </c>
      <c r="J289" t="str">
        <f>_xlfn.XLOOKUP(C289,'COA Translation'!A:A,'COA Translation'!E:E)</f>
        <v>Expense</v>
      </c>
    </row>
    <row r="290" spans="1:10" x14ac:dyDescent="0.3">
      <c r="A290" s="7" t="s">
        <v>145</v>
      </c>
      <c r="B290" s="8" t="s">
        <v>336</v>
      </c>
      <c r="C290" s="8" t="s">
        <v>81</v>
      </c>
      <c r="D290" s="9">
        <v>8</v>
      </c>
      <c r="E290" s="9">
        <v>2025</v>
      </c>
      <c r="F290" s="10">
        <v>45870</v>
      </c>
      <c r="G290" s="11">
        <v>344.24</v>
      </c>
      <c r="H290" t="str">
        <f>_xlfn.XLOOKUP(C290,'COA Translation'!A:A,'COA Translation'!B:B)</f>
        <v>Software</v>
      </c>
      <c r="I290">
        <f>_xlfn.XLOOKUP(C290,'COA Translation'!A:A,'COA Translation'!C:C)</f>
        <v>0</v>
      </c>
      <c r="J290" t="str">
        <f>_xlfn.XLOOKUP(C290,'COA Translation'!A:A,'COA Translation'!E:E)</f>
        <v>Expense</v>
      </c>
    </row>
    <row r="291" spans="1:10" x14ac:dyDescent="0.3">
      <c r="A291" s="7" t="s">
        <v>145</v>
      </c>
      <c r="B291" s="8" t="s">
        <v>336</v>
      </c>
      <c r="C291" s="8" t="s">
        <v>81</v>
      </c>
      <c r="D291" s="9">
        <v>9</v>
      </c>
      <c r="E291" s="9">
        <v>2025</v>
      </c>
      <c r="F291" s="10">
        <v>45901</v>
      </c>
      <c r="G291" s="11">
        <v>360.28000000000003</v>
      </c>
      <c r="H291" t="str">
        <f>_xlfn.XLOOKUP(C291,'COA Translation'!A:A,'COA Translation'!B:B)</f>
        <v>Software</v>
      </c>
      <c r="I291">
        <f>_xlfn.XLOOKUP(C291,'COA Translation'!A:A,'COA Translation'!C:C)</f>
        <v>0</v>
      </c>
      <c r="J291" t="str">
        <f>_xlfn.XLOOKUP(C291,'COA Translation'!A:A,'COA Translation'!E:E)</f>
        <v>Expense</v>
      </c>
    </row>
    <row r="292" spans="1:10" x14ac:dyDescent="0.3">
      <c r="A292" s="7" t="s">
        <v>145</v>
      </c>
      <c r="B292" s="8" t="s">
        <v>336</v>
      </c>
      <c r="C292" s="8" t="s">
        <v>81</v>
      </c>
      <c r="D292" s="9">
        <v>10</v>
      </c>
      <c r="E292" s="9">
        <v>2025</v>
      </c>
      <c r="F292" s="10">
        <v>45931</v>
      </c>
      <c r="G292" s="11">
        <v>339.20000000000005</v>
      </c>
      <c r="H292" t="str">
        <f>_xlfn.XLOOKUP(C292,'COA Translation'!A:A,'COA Translation'!B:B)</f>
        <v>Software</v>
      </c>
      <c r="I292">
        <f>_xlfn.XLOOKUP(C292,'COA Translation'!A:A,'COA Translation'!C:C)</f>
        <v>0</v>
      </c>
      <c r="J292" t="str">
        <f>_xlfn.XLOOKUP(C292,'COA Translation'!A:A,'COA Translation'!E:E)</f>
        <v>Expense</v>
      </c>
    </row>
    <row r="293" spans="1:10" x14ac:dyDescent="0.3">
      <c r="A293" s="7" t="s">
        <v>145</v>
      </c>
      <c r="B293" s="8" t="s">
        <v>336</v>
      </c>
      <c r="C293" s="8" t="s">
        <v>81</v>
      </c>
      <c r="D293" s="9">
        <v>11</v>
      </c>
      <c r="E293" s="9">
        <v>2025</v>
      </c>
      <c r="F293" s="10">
        <v>45962</v>
      </c>
      <c r="G293" s="11">
        <v>352.57</v>
      </c>
      <c r="H293" t="str">
        <f>_xlfn.XLOOKUP(C293,'COA Translation'!A:A,'COA Translation'!B:B)</f>
        <v>Software</v>
      </c>
      <c r="I293">
        <f>_xlfn.XLOOKUP(C293,'COA Translation'!A:A,'COA Translation'!C:C)</f>
        <v>0</v>
      </c>
      <c r="J293" t="str">
        <f>_xlfn.XLOOKUP(C293,'COA Translation'!A:A,'COA Translation'!E:E)</f>
        <v>Expense</v>
      </c>
    </row>
    <row r="294" spans="1:10" x14ac:dyDescent="0.3">
      <c r="A294" s="7" t="s">
        <v>145</v>
      </c>
      <c r="B294" s="8" t="s">
        <v>336</v>
      </c>
      <c r="C294" s="8" t="s">
        <v>81</v>
      </c>
      <c r="D294" s="9">
        <v>12</v>
      </c>
      <c r="E294" s="9">
        <v>2025</v>
      </c>
      <c r="F294" s="10">
        <v>45992</v>
      </c>
      <c r="G294" s="11">
        <v>343.44</v>
      </c>
      <c r="H294" t="str">
        <f>_xlfn.XLOOKUP(C294,'COA Translation'!A:A,'COA Translation'!B:B)</f>
        <v>Software</v>
      </c>
      <c r="I294">
        <f>_xlfn.XLOOKUP(C294,'COA Translation'!A:A,'COA Translation'!C:C)</f>
        <v>0</v>
      </c>
      <c r="J294" t="str">
        <f>_xlfn.XLOOKUP(C294,'COA Translation'!A:A,'COA Translation'!E:E)</f>
        <v>Expense</v>
      </c>
    </row>
    <row r="295" spans="1:10" x14ac:dyDescent="0.3">
      <c r="A295" s="7" t="s">
        <v>145</v>
      </c>
      <c r="B295" s="8" t="s">
        <v>336</v>
      </c>
      <c r="C295" s="8" t="s">
        <v>81</v>
      </c>
      <c r="D295" s="9">
        <v>1</v>
      </c>
      <c r="E295" s="9">
        <v>2026</v>
      </c>
      <c r="F295" s="10">
        <v>46023</v>
      </c>
      <c r="G295" s="11">
        <v>287.56</v>
      </c>
      <c r="H295" t="str">
        <f>_xlfn.XLOOKUP(C295,'COA Translation'!A:A,'COA Translation'!B:B)</f>
        <v>Software</v>
      </c>
      <c r="I295">
        <f>_xlfn.XLOOKUP(C295,'COA Translation'!A:A,'COA Translation'!C:C)</f>
        <v>0</v>
      </c>
      <c r="J295" t="str">
        <f>_xlfn.XLOOKUP(C295,'COA Translation'!A:A,'COA Translation'!E:E)</f>
        <v>Expense</v>
      </c>
    </row>
    <row r="296" spans="1:10" x14ac:dyDescent="0.3">
      <c r="A296" s="7" t="s">
        <v>145</v>
      </c>
      <c r="B296" s="8" t="s">
        <v>336</v>
      </c>
      <c r="C296" s="8" t="s">
        <v>350</v>
      </c>
      <c r="D296" s="9">
        <v>2</v>
      </c>
      <c r="E296" s="9">
        <v>2025</v>
      </c>
      <c r="F296" s="10">
        <v>45689</v>
      </c>
      <c r="G296" s="11">
        <v>6.2099999999999991</v>
      </c>
      <c r="H296" t="str">
        <f>_xlfn.XLOOKUP(C296,'COA Translation'!A:A,'COA Translation'!B:B)</f>
        <v>Telephone &amp; Internet</v>
      </c>
      <c r="I296">
        <f>_xlfn.XLOOKUP(C296,'COA Translation'!A:A,'COA Translation'!C:C)</f>
        <v>0</v>
      </c>
      <c r="J296" t="str">
        <f>_xlfn.XLOOKUP(C296,'COA Translation'!A:A,'COA Translation'!E:E)</f>
        <v>Expense</v>
      </c>
    </row>
    <row r="297" spans="1:10" x14ac:dyDescent="0.3">
      <c r="A297" s="7" t="s">
        <v>145</v>
      </c>
      <c r="B297" s="8" t="s">
        <v>336</v>
      </c>
      <c r="C297" s="8" t="s">
        <v>350</v>
      </c>
      <c r="D297" s="9">
        <v>3</v>
      </c>
      <c r="E297" s="9">
        <v>2025</v>
      </c>
      <c r="F297" s="10">
        <v>45717</v>
      </c>
      <c r="G297" s="11">
        <v>3303.3900000000003</v>
      </c>
      <c r="H297" t="str">
        <f>_xlfn.XLOOKUP(C297,'COA Translation'!A:A,'COA Translation'!B:B)</f>
        <v>Telephone &amp; Internet</v>
      </c>
      <c r="I297">
        <f>_xlfn.XLOOKUP(C297,'COA Translation'!A:A,'COA Translation'!C:C)</f>
        <v>0</v>
      </c>
      <c r="J297" t="str">
        <f>_xlfn.XLOOKUP(C297,'COA Translation'!A:A,'COA Translation'!E:E)</f>
        <v>Expense</v>
      </c>
    </row>
    <row r="298" spans="1:10" x14ac:dyDescent="0.3">
      <c r="A298" s="7" t="s">
        <v>145</v>
      </c>
      <c r="B298" s="8" t="s">
        <v>336</v>
      </c>
      <c r="C298" s="8" t="s">
        <v>350</v>
      </c>
      <c r="D298" s="9">
        <v>4</v>
      </c>
      <c r="E298" s="9">
        <v>2025</v>
      </c>
      <c r="F298" s="10">
        <v>45748</v>
      </c>
      <c r="G298" s="11">
        <v>6.1900000000000546</v>
      </c>
      <c r="H298" t="str">
        <f>_xlfn.XLOOKUP(C298,'COA Translation'!A:A,'COA Translation'!B:B)</f>
        <v>Telephone &amp; Internet</v>
      </c>
      <c r="I298">
        <f>_xlfn.XLOOKUP(C298,'COA Translation'!A:A,'COA Translation'!C:C)</f>
        <v>0</v>
      </c>
      <c r="J298" t="str">
        <f>_xlfn.XLOOKUP(C298,'COA Translation'!A:A,'COA Translation'!E:E)</f>
        <v>Expense</v>
      </c>
    </row>
    <row r="299" spans="1:10" x14ac:dyDescent="0.3">
      <c r="A299" s="7" t="s">
        <v>145</v>
      </c>
      <c r="B299" s="8" t="s">
        <v>336</v>
      </c>
      <c r="C299" s="8" t="s">
        <v>350</v>
      </c>
      <c r="D299" s="9">
        <v>5</v>
      </c>
      <c r="E299" s="9">
        <v>2025</v>
      </c>
      <c r="F299" s="10">
        <v>45778</v>
      </c>
      <c r="G299" s="11">
        <v>6.1599999999998536</v>
      </c>
      <c r="H299" t="str">
        <f>_xlfn.XLOOKUP(C299,'COA Translation'!A:A,'COA Translation'!B:B)</f>
        <v>Telephone &amp; Internet</v>
      </c>
      <c r="I299">
        <f>_xlfn.XLOOKUP(C299,'COA Translation'!A:A,'COA Translation'!C:C)</f>
        <v>0</v>
      </c>
      <c r="J299" t="str">
        <f>_xlfn.XLOOKUP(C299,'COA Translation'!A:A,'COA Translation'!E:E)</f>
        <v>Expense</v>
      </c>
    </row>
    <row r="300" spans="1:10" x14ac:dyDescent="0.3">
      <c r="A300" s="7" t="s">
        <v>145</v>
      </c>
      <c r="B300" s="8" t="s">
        <v>336</v>
      </c>
      <c r="C300" s="8" t="s">
        <v>350</v>
      </c>
      <c r="D300" s="9">
        <v>6</v>
      </c>
      <c r="E300" s="9">
        <v>2025</v>
      </c>
      <c r="F300" s="10">
        <v>45809</v>
      </c>
      <c r="G300" s="11">
        <v>6.17</v>
      </c>
      <c r="H300" t="str">
        <f>_xlfn.XLOOKUP(C300,'COA Translation'!A:A,'COA Translation'!B:B)</f>
        <v>Telephone &amp; Internet</v>
      </c>
      <c r="I300">
        <f>_xlfn.XLOOKUP(C300,'COA Translation'!A:A,'COA Translation'!C:C)</f>
        <v>0</v>
      </c>
      <c r="J300" t="str">
        <f>_xlfn.XLOOKUP(C300,'COA Translation'!A:A,'COA Translation'!E:E)</f>
        <v>Expense</v>
      </c>
    </row>
    <row r="301" spans="1:10" x14ac:dyDescent="0.3">
      <c r="A301" s="7" t="s">
        <v>145</v>
      </c>
      <c r="B301" s="8" t="s">
        <v>336</v>
      </c>
      <c r="C301" s="8" t="s">
        <v>350</v>
      </c>
      <c r="D301" s="9">
        <v>7</v>
      </c>
      <c r="E301" s="9">
        <v>2025</v>
      </c>
      <c r="F301" s="10">
        <v>45839</v>
      </c>
      <c r="G301" s="11">
        <v>3271.3</v>
      </c>
      <c r="H301" t="str">
        <f>_xlfn.XLOOKUP(C301,'COA Translation'!A:A,'COA Translation'!B:B)</f>
        <v>Telephone &amp; Internet</v>
      </c>
      <c r="I301">
        <f>_xlfn.XLOOKUP(C301,'COA Translation'!A:A,'COA Translation'!C:C)</f>
        <v>0</v>
      </c>
      <c r="J301" t="str">
        <f>_xlfn.XLOOKUP(C301,'COA Translation'!A:A,'COA Translation'!E:E)</f>
        <v>Expense</v>
      </c>
    </row>
    <row r="302" spans="1:10" x14ac:dyDescent="0.3">
      <c r="A302" s="7" t="s">
        <v>145</v>
      </c>
      <c r="B302" s="8" t="s">
        <v>336</v>
      </c>
      <c r="C302" s="8" t="s">
        <v>350</v>
      </c>
      <c r="D302" s="9">
        <v>8</v>
      </c>
      <c r="E302" s="9">
        <v>2025</v>
      </c>
      <c r="F302" s="10">
        <v>45870</v>
      </c>
      <c r="G302" s="11">
        <v>6.04</v>
      </c>
      <c r="H302" t="str">
        <f>_xlfn.XLOOKUP(C302,'COA Translation'!A:A,'COA Translation'!B:B)</f>
        <v>Telephone &amp; Internet</v>
      </c>
      <c r="I302">
        <f>_xlfn.XLOOKUP(C302,'COA Translation'!A:A,'COA Translation'!C:C)</f>
        <v>0</v>
      </c>
      <c r="J302" t="str">
        <f>_xlfn.XLOOKUP(C302,'COA Translation'!A:A,'COA Translation'!E:E)</f>
        <v>Expense</v>
      </c>
    </row>
    <row r="303" spans="1:10" x14ac:dyDescent="0.3">
      <c r="A303" s="7" t="s">
        <v>145</v>
      </c>
      <c r="B303" s="8" t="s">
        <v>336</v>
      </c>
      <c r="C303" s="8" t="s">
        <v>350</v>
      </c>
      <c r="D303" s="9">
        <v>9</v>
      </c>
      <c r="E303" s="9">
        <v>2025</v>
      </c>
      <c r="F303" s="10">
        <v>45901</v>
      </c>
      <c r="G303" s="11">
        <v>841.6</v>
      </c>
      <c r="H303" t="str">
        <f>_xlfn.XLOOKUP(C303,'COA Translation'!A:A,'COA Translation'!B:B)</f>
        <v>Telephone &amp; Internet</v>
      </c>
      <c r="I303">
        <f>_xlfn.XLOOKUP(C303,'COA Translation'!A:A,'COA Translation'!C:C)</f>
        <v>0</v>
      </c>
      <c r="J303" t="str">
        <f>_xlfn.XLOOKUP(C303,'COA Translation'!A:A,'COA Translation'!E:E)</f>
        <v>Expense</v>
      </c>
    </row>
    <row r="304" spans="1:10" x14ac:dyDescent="0.3">
      <c r="A304" s="7" t="s">
        <v>145</v>
      </c>
      <c r="B304" s="8" t="s">
        <v>336</v>
      </c>
      <c r="C304" s="8" t="s">
        <v>350</v>
      </c>
      <c r="D304" s="9">
        <v>10</v>
      </c>
      <c r="E304" s="9">
        <v>2025</v>
      </c>
      <c r="F304" s="10">
        <v>45931</v>
      </c>
      <c r="G304" s="11">
        <v>977.89</v>
      </c>
      <c r="H304" t="str">
        <f>_xlfn.XLOOKUP(C304,'COA Translation'!A:A,'COA Translation'!B:B)</f>
        <v>Telephone &amp; Internet</v>
      </c>
      <c r="I304">
        <f>_xlfn.XLOOKUP(C304,'COA Translation'!A:A,'COA Translation'!C:C)</f>
        <v>0</v>
      </c>
      <c r="J304" t="str">
        <f>_xlfn.XLOOKUP(C304,'COA Translation'!A:A,'COA Translation'!E:E)</f>
        <v>Expense</v>
      </c>
    </row>
    <row r="305" spans="1:10" x14ac:dyDescent="0.3">
      <c r="A305" s="7" t="s">
        <v>145</v>
      </c>
      <c r="B305" s="8" t="s">
        <v>336</v>
      </c>
      <c r="C305" s="8" t="s">
        <v>350</v>
      </c>
      <c r="D305" s="9">
        <v>11</v>
      </c>
      <c r="E305" s="9">
        <v>2025</v>
      </c>
      <c r="F305" s="10">
        <v>45962</v>
      </c>
      <c r="G305" s="11">
        <v>827.65</v>
      </c>
      <c r="H305" t="str">
        <f>_xlfn.XLOOKUP(C305,'COA Translation'!A:A,'COA Translation'!B:B)</f>
        <v>Telephone &amp; Internet</v>
      </c>
      <c r="I305">
        <f>_xlfn.XLOOKUP(C305,'COA Translation'!A:A,'COA Translation'!C:C)</f>
        <v>0</v>
      </c>
      <c r="J305" t="str">
        <f>_xlfn.XLOOKUP(C305,'COA Translation'!A:A,'COA Translation'!E:E)</f>
        <v>Expense</v>
      </c>
    </row>
    <row r="306" spans="1:10" x14ac:dyDescent="0.3">
      <c r="A306" s="7" t="s">
        <v>145</v>
      </c>
      <c r="B306" s="8" t="s">
        <v>336</v>
      </c>
      <c r="C306" s="8" t="s">
        <v>350</v>
      </c>
      <c r="D306" s="9">
        <v>12</v>
      </c>
      <c r="E306" s="9">
        <v>2025</v>
      </c>
      <c r="F306" s="10">
        <v>45992</v>
      </c>
      <c r="G306" s="11">
        <v>15.49</v>
      </c>
      <c r="H306" t="str">
        <f>_xlfn.XLOOKUP(C306,'COA Translation'!A:A,'COA Translation'!B:B)</f>
        <v>Telephone &amp; Internet</v>
      </c>
      <c r="I306">
        <f>_xlfn.XLOOKUP(C306,'COA Translation'!A:A,'COA Translation'!C:C)</f>
        <v>0</v>
      </c>
      <c r="J306" t="str">
        <f>_xlfn.XLOOKUP(C306,'COA Translation'!A:A,'COA Translation'!E:E)</f>
        <v>Expense</v>
      </c>
    </row>
    <row r="307" spans="1:10" x14ac:dyDescent="0.3">
      <c r="A307" s="7" t="s">
        <v>145</v>
      </c>
      <c r="B307" s="8" t="s">
        <v>336</v>
      </c>
      <c r="C307" s="8" t="s">
        <v>350</v>
      </c>
      <c r="D307" s="9">
        <v>1</v>
      </c>
      <c r="E307" s="9">
        <v>2026</v>
      </c>
      <c r="F307" s="10">
        <v>46023</v>
      </c>
      <c r="G307" s="11">
        <v>1645.42</v>
      </c>
      <c r="H307" t="str">
        <f>_xlfn.XLOOKUP(C307,'COA Translation'!A:A,'COA Translation'!B:B)</f>
        <v>Telephone &amp; Internet</v>
      </c>
      <c r="I307">
        <f>_xlfn.XLOOKUP(C307,'COA Translation'!A:A,'COA Translation'!C:C)</f>
        <v>0</v>
      </c>
      <c r="J307" t="str">
        <f>_xlfn.XLOOKUP(C307,'COA Translation'!A:A,'COA Translation'!E:E)</f>
        <v>Expense</v>
      </c>
    </row>
    <row r="308" spans="1:10" x14ac:dyDescent="0.3">
      <c r="A308" s="7" t="s">
        <v>145</v>
      </c>
      <c r="B308" s="8" t="s">
        <v>336</v>
      </c>
      <c r="C308" s="8" t="s">
        <v>351</v>
      </c>
      <c r="D308" s="9">
        <v>2</v>
      </c>
      <c r="E308" s="9">
        <v>2025</v>
      </c>
      <c r="F308" s="10">
        <v>45689</v>
      </c>
      <c r="G308" s="11">
        <v>16.04</v>
      </c>
      <c r="H308" t="str">
        <f>_xlfn.XLOOKUP(C308,'COA Translation'!A:A,'COA Translation'!B:B)</f>
        <v>Payroll</v>
      </c>
      <c r="I308">
        <f>_xlfn.XLOOKUP(C308,'COA Translation'!A:A,'COA Translation'!C:C)</f>
        <v>0</v>
      </c>
      <c r="J308" t="str">
        <f>_xlfn.XLOOKUP(C308,'COA Translation'!A:A,'COA Translation'!E:E)</f>
        <v>Expense</v>
      </c>
    </row>
    <row r="309" spans="1:10" x14ac:dyDescent="0.3">
      <c r="A309" s="7" t="s">
        <v>145</v>
      </c>
      <c r="B309" s="8" t="s">
        <v>336</v>
      </c>
      <c r="C309" s="8" t="s">
        <v>351</v>
      </c>
      <c r="D309" s="9">
        <v>3</v>
      </c>
      <c r="E309" s="9">
        <v>2025</v>
      </c>
      <c r="F309" s="10">
        <v>45717</v>
      </c>
      <c r="G309" s="11">
        <v>17.869999999999997</v>
      </c>
      <c r="H309" t="str">
        <f>_xlfn.XLOOKUP(C309,'COA Translation'!A:A,'COA Translation'!B:B)</f>
        <v>Payroll</v>
      </c>
      <c r="I309">
        <f>_xlfn.XLOOKUP(C309,'COA Translation'!A:A,'COA Translation'!C:C)</f>
        <v>0</v>
      </c>
      <c r="J309" t="str">
        <f>_xlfn.XLOOKUP(C309,'COA Translation'!A:A,'COA Translation'!E:E)</f>
        <v>Expense</v>
      </c>
    </row>
    <row r="310" spans="1:10" x14ac:dyDescent="0.3">
      <c r="A310" s="7" t="s">
        <v>145</v>
      </c>
      <c r="B310" s="8" t="s">
        <v>336</v>
      </c>
      <c r="C310" s="8" t="s">
        <v>351</v>
      </c>
      <c r="D310" s="9">
        <v>4</v>
      </c>
      <c r="E310" s="9">
        <v>2025</v>
      </c>
      <c r="F310" s="10">
        <v>45748</v>
      </c>
      <c r="G310" s="11">
        <v>18.610000000000007</v>
      </c>
      <c r="H310" t="str">
        <f>_xlfn.XLOOKUP(C310,'COA Translation'!A:A,'COA Translation'!B:B)</f>
        <v>Payroll</v>
      </c>
      <c r="I310">
        <f>_xlfn.XLOOKUP(C310,'COA Translation'!A:A,'COA Translation'!C:C)</f>
        <v>0</v>
      </c>
      <c r="J310" t="str">
        <f>_xlfn.XLOOKUP(C310,'COA Translation'!A:A,'COA Translation'!E:E)</f>
        <v>Expense</v>
      </c>
    </row>
    <row r="311" spans="1:10" x14ac:dyDescent="0.3">
      <c r="A311" s="7" t="s">
        <v>145</v>
      </c>
      <c r="B311" s="8" t="s">
        <v>336</v>
      </c>
      <c r="C311" s="8" t="s">
        <v>351</v>
      </c>
      <c r="D311" s="9">
        <v>5</v>
      </c>
      <c r="E311" s="9">
        <v>2025</v>
      </c>
      <c r="F311" s="10">
        <v>45778</v>
      </c>
      <c r="G311" s="11">
        <v>23.909999999999997</v>
      </c>
      <c r="H311" t="str">
        <f>_xlfn.XLOOKUP(C311,'COA Translation'!A:A,'COA Translation'!B:B)</f>
        <v>Payroll</v>
      </c>
      <c r="I311">
        <f>_xlfn.XLOOKUP(C311,'COA Translation'!A:A,'COA Translation'!C:C)</f>
        <v>0</v>
      </c>
      <c r="J311" t="str">
        <f>_xlfn.XLOOKUP(C311,'COA Translation'!A:A,'COA Translation'!E:E)</f>
        <v>Expense</v>
      </c>
    </row>
    <row r="312" spans="1:10" x14ac:dyDescent="0.3">
      <c r="A312" s="7" t="s">
        <v>145</v>
      </c>
      <c r="B312" s="8" t="s">
        <v>336</v>
      </c>
      <c r="C312" s="8" t="s">
        <v>351</v>
      </c>
      <c r="D312" s="9">
        <v>6</v>
      </c>
      <c r="E312" s="9">
        <v>2025</v>
      </c>
      <c r="F312" s="10">
        <v>45809</v>
      </c>
      <c r="G312" s="11">
        <v>17.03</v>
      </c>
      <c r="H312" t="str">
        <f>_xlfn.XLOOKUP(C312,'COA Translation'!A:A,'COA Translation'!B:B)</f>
        <v>Payroll</v>
      </c>
      <c r="I312">
        <f>_xlfn.XLOOKUP(C312,'COA Translation'!A:A,'COA Translation'!C:C)</f>
        <v>0</v>
      </c>
      <c r="J312" t="str">
        <f>_xlfn.XLOOKUP(C312,'COA Translation'!A:A,'COA Translation'!E:E)</f>
        <v>Expense</v>
      </c>
    </row>
    <row r="313" spans="1:10" x14ac:dyDescent="0.3">
      <c r="A313" s="7" t="s">
        <v>145</v>
      </c>
      <c r="B313" s="8" t="s">
        <v>336</v>
      </c>
      <c r="C313" s="8" t="s">
        <v>351</v>
      </c>
      <c r="D313" s="9">
        <v>7</v>
      </c>
      <c r="E313" s="9">
        <v>2025</v>
      </c>
      <c r="F313" s="10">
        <v>45839</v>
      </c>
      <c r="G313" s="11">
        <v>35.270000000000003</v>
      </c>
      <c r="H313" t="str">
        <f>_xlfn.XLOOKUP(C313,'COA Translation'!A:A,'COA Translation'!B:B)</f>
        <v>Payroll</v>
      </c>
      <c r="I313">
        <f>_xlfn.XLOOKUP(C313,'COA Translation'!A:A,'COA Translation'!C:C)</f>
        <v>0</v>
      </c>
      <c r="J313" t="str">
        <f>_xlfn.XLOOKUP(C313,'COA Translation'!A:A,'COA Translation'!E:E)</f>
        <v>Expense</v>
      </c>
    </row>
    <row r="314" spans="1:10" x14ac:dyDescent="0.3">
      <c r="A314" s="7" t="s">
        <v>145</v>
      </c>
      <c r="B314" s="8" t="s">
        <v>336</v>
      </c>
      <c r="C314" s="8" t="s">
        <v>351</v>
      </c>
      <c r="D314" s="9">
        <v>8</v>
      </c>
      <c r="E314" s="9">
        <v>2025</v>
      </c>
      <c r="F314" s="10">
        <v>45870</v>
      </c>
      <c r="G314" s="11">
        <v>38.71</v>
      </c>
      <c r="H314" t="str">
        <f>_xlfn.XLOOKUP(C314,'COA Translation'!A:A,'COA Translation'!B:B)</f>
        <v>Payroll</v>
      </c>
      <c r="I314">
        <f>_xlfn.XLOOKUP(C314,'COA Translation'!A:A,'COA Translation'!C:C)</f>
        <v>0</v>
      </c>
      <c r="J314" t="str">
        <f>_xlfn.XLOOKUP(C314,'COA Translation'!A:A,'COA Translation'!E:E)</f>
        <v>Expense</v>
      </c>
    </row>
    <row r="315" spans="1:10" x14ac:dyDescent="0.3">
      <c r="A315" s="7" t="s">
        <v>145</v>
      </c>
      <c r="B315" s="8" t="s">
        <v>336</v>
      </c>
      <c r="C315" s="8" t="s">
        <v>351</v>
      </c>
      <c r="D315" s="9">
        <v>9</v>
      </c>
      <c r="E315" s="9">
        <v>2025</v>
      </c>
      <c r="F315" s="10">
        <v>45901</v>
      </c>
      <c r="G315" s="11">
        <v>42.98</v>
      </c>
      <c r="H315" t="str">
        <f>_xlfn.XLOOKUP(C315,'COA Translation'!A:A,'COA Translation'!B:B)</f>
        <v>Payroll</v>
      </c>
      <c r="I315">
        <f>_xlfn.XLOOKUP(C315,'COA Translation'!A:A,'COA Translation'!C:C)</f>
        <v>0</v>
      </c>
      <c r="J315" t="str">
        <f>_xlfn.XLOOKUP(C315,'COA Translation'!A:A,'COA Translation'!E:E)</f>
        <v>Expense</v>
      </c>
    </row>
    <row r="316" spans="1:10" x14ac:dyDescent="0.3">
      <c r="A316" s="7" t="s">
        <v>145</v>
      </c>
      <c r="B316" s="8" t="s">
        <v>336</v>
      </c>
      <c r="C316" s="8" t="s">
        <v>351</v>
      </c>
      <c r="D316" s="9">
        <v>10</v>
      </c>
      <c r="E316" s="9">
        <v>2025</v>
      </c>
      <c r="F316" s="10">
        <v>45931</v>
      </c>
      <c r="G316" s="11">
        <v>26.43</v>
      </c>
      <c r="H316" t="str">
        <f>_xlfn.XLOOKUP(C316,'COA Translation'!A:A,'COA Translation'!B:B)</f>
        <v>Payroll</v>
      </c>
      <c r="I316">
        <f>_xlfn.XLOOKUP(C316,'COA Translation'!A:A,'COA Translation'!C:C)</f>
        <v>0</v>
      </c>
      <c r="J316" t="str">
        <f>_xlfn.XLOOKUP(C316,'COA Translation'!A:A,'COA Translation'!E:E)</f>
        <v>Expense</v>
      </c>
    </row>
    <row r="317" spans="1:10" x14ac:dyDescent="0.3">
      <c r="A317" s="7" t="s">
        <v>145</v>
      </c>
      <c r="B317" s="8" t="s">
        <v>336</v>
      </c>
      <c r="C317" s="8" t="s">
        <v>351</v>
      </c>
      <c r="D317" s="9">
        <v>11</v>
      </c>
      <c r="E317" s="9">
        <v>2025</v>
      </c>
      <c r="F317" s="10">
        <v>45962</v>
      </c>
      <c r="G317" s="11">
        <v>33.21</v>
      </c>
      <c r="H317" t="str">
        <f>_xlfn.XLOOKUP(C317,'COA Translation'!A:A,'COA Translation'!B:B)</f>
        <v>Payroll</v>
      </c>
      <c r="I317">
        <f>_xlfn.XLOOKUP(C317,'COA Translation'!A:A,'COA Translation'!C:C)</f>
        <v>0</v>
      </c>
      <c r="J317" t="str">
        <f>_xlfn.XLOOKUP(C317,'COA Translation'!A:A,'COA Translation'!E:E)</f>
        <v>Expense</v>
      </c>
    </row>
    <row r="318" spans="1:10" x14ac:dyDescent="0.3">
      <c r="A318" s="7" t="s">
        <v>145</v>
      </c>
      <c r="B318" s="8" t="s">
        <v>336</v>
      </c>
      <c r="C318" s="8" t="s">
        <v>351</v>
      </c>
      <c r="D318" s="9">
        <v>12</v>
      </c>
      <c r="E318" s="9">
        <v>2025</v>
      </c>
      <c r="F318" s="10">
        <v>45992</v>
      </c>
      <c r="G318" s="11">
        <v>31.24</v>
      </c>
      <c r="H318" t="str">
        <f>_xlfn.XLOOKUP(C318,'COA Translation'!A:A,'COA Translation'!B:B)</f>
        <v>Payroll</v>
      </c>
      <c r="I318">
        <f>_xlfn.XLOOKUP(C318,'COA Translation'!A:A,'COA Translation'!C:C)</f>
        <v>0</v>
      </c>
      <c r="J318" t="str">
        <f>_xlfn.XLOOKUP(C318,'COA Translation'!A:A,'COA Translation'!E:E)</f>
        <v>Expense</v>
      </c>
    </row>
    <row r="319" spans="1:10" x14ac:dyDescent="0.3">
      <c r="A319" s="7" t="s">
        <v>145</v>
      </c>
      <c r="B319" s="8" t="s">
        <v>336</v>
      </c>
      <c r="C319" s="8" t="s">
        <v>351</v>
      </c>
      <c r="D319" s="9">
        <v>1</v>
      </c>
      <c r="E319" s="9">
        <v>2026</v>
      </c>
      <c r="F319" s="10">
        <v>46023</v>
      </c>
      <c r="G319" s="11">
        <v>16.72</v>
      </c>
      <c r="H319" t="str">
        <f>_xlfn.XLOOKUP(C319,'COA Translation'!A:A,'COA Translation'!B:B)</f>
        <v>Payroll</v>
      </c>
      <c r="I319">
        <f>_xlfn.XLOOKUP(C319,'COA Translation'!A:A,'COA Translation'!C:C)</f>
        <v>0</v>
      </c>
      <c r="J319" t="str">
        <f>_xlfn.XLOOKUP(C319,'COA Translation'!A:A,'COA Translation'!E:E)</f>
        <v>Expense</v>
      </c>
    </row>
    <row r="320" spans="1:10" x14ac:dyDescent="0.3">
      <c r="A320" s="7" t="s">
        <v>145</v>
      </c>
      <c r="B320" s="8" t="s">
        <v>336</v>
      </c>
      <c r="C320" s="8" t="s">
        <v>352</v>
      </c>
      <c r="D320" s="9">
        <v>2</v>
      </c>
      <c r="E320" s="9">
        <v>2025</v>
      </c>
      <c r="F320" s="10">
        <v>45689</v>
      </c>
      <c r="G320" s="11">
        <v>464.39</v>
      </c>
      <c r="H320" t="str">
        <f>_xlfn.XLOOKUP(C320,'COA Translation'!A:A,'COA Translation'!B:B)</f>
        <v>Office Supplies</v>
      </c>
      <c r="I320">
        <f>_xlfn.XLOOKUP(C320,'COA Translation'!A:A,'COA Translation'!C:C)</f>
        <v>0</v>
      </c>
      <c r="J320" t="str">
        <f>_xlfn.XLOOKUP(C320,'COA Translation'!A:A,'COA Translation'!E:E)</f>
        <v>Expense</v>
      </c>
    </row>
    <row r="321" spans="1:10" x14ac:dyDescent="0.3">
      <c r="A321" s="7" t="s">
        <v>145</v>
      </c>
      <c r="B321" s="8" t="s">
        <v>336</v>
      </c>
      <c r="C321" s="8" t="s">
        <v>352</v>
      </c>
      <c r="D321" s="9">
        <v>3</v>
      </c>
      <c r="E321" s="9">
        <v>2025</v>
      </c>
      <c r="F321" s="10">
        <v>45717</v>
      </c>
      <c r="G321" s="11">
        <v>3.77</v>
      </c>
      <c r="H321" t="str">
        <f>_xlfn.XLOOKUP(C321,'COA Translation'!A:A,'COA Translation'!B:B)</f>
        <v>Office Supplies</v>
      </c>
      <c r="I321">
        <f>_xlfn.XLOOKUP(C321,'COA Translation'!A:A,'COA Translation'!C:C)</f>
        <v>0</v>
      </c>
      <c r="J321" t="str">
        <f>_xlfn.XLOOKUP(C321,'COA Translation'!A:A,'COA Translation'!E:E)</f>
        <v>Expense</v>
      </c>
    </row>
    <row r="322" spans="1:10" x14ac:dyDescent="0.3">
      <c r="A322" s="7" t="s">
        <v>145</v>
      </c>
      <c r="B322" s="8" t="s">
        <v>336</v>
      </c>
      <c r="C322" s="8" t="s">
        <v>352</v>
      </c>
      <c r="D322" s="9">
        <v>4</v>
      </c>
      <c r="E322" s="9">
        <v>2025</v>
      </c>
      <c r="F322" s="10">
        <v>45748</v>
      </c>
      <c r="G322" s="11">
        <v>162.69</v>
      </c>
      <c r="H322" t="str">
        <f>_xlfn.XLOOKUP(C322,'COA Translation'!A:A,'COA Translation'!B:B)</f>
        <v>Office Supplies</v>
      </c>
      <c r="I322">
        <f>_xlfn.XLOOKUP(C322,'COA Translation'!A:A,'COA Translation'!C:C)</f>
        <v>0</v>
      </c>
      <c r="J322" t="str">
        <f>_xlfn.XLOOKUP(C322,'COA Translation'!A:A,'COA Translation'!E:E)</f>
        <v>Expense</v>
      </c>
    </row>
    <row r="323" spans="1:10" x14ac:dyDescent="0.3">
      <c r="A323" s="7" t="s">
        <v>145</v>
      </c>
      <c r="B323" s="8" t="s">
        <v>336</v>
      </c>
      <c r="C323" s="8" t="s">
        <v>352</v>
      </c>
      <c r="D323" s="9">
        <v>5</v>
      </c>
      <c r="E323" s="9">
        <v>2025</v>
      </c>
      <c r="F323" s="10">
        <v>45778</v>
      </c>
      <c r="G323" s="11">
        <v>155.28</v>
      </c>
      <c r="H323" t="str">
        <f>_xlfn.XLOOKUP(C323,'COA Translation'!A:A,'COA Translation'!B:B)</f>
        <v>Office Supplies</v>
      </c>
      <c r="I323">
        <f>_xlfn.XLOOKUP(C323,'COA Translation'!A:A,'COA Translation'!C:C)</f>
        <v>0</v>
      </c>
      <c r="J323" t="str">
        <f>_xlfn.XLOOKUP(C323,'COA Translation'!A:A,'COA Translation'!E:E)</f>
        <v>Expense</v>
      </c>
    </row>
    <row r="324" spans="1:10" x14ac:dyDescent="0.3">
      <c r="A324" s="7" t="s">
        <v>145</v>
      </c>
      <c r="B324" s="8" t="s">
        <v>336</v>
      </c>
      <c r="C324" s="8" t="s">
        <v>352</v>
      </c>
      <c r="D324" s="9">
        <v>6</v>
      </c>
      <c r="E324" s="9">
        <v>2025</v>
      </c>
      <c r="F324" s="10">
        <v>45809</v>
      </c>
      <c r="G324" s="11">
        <v>55.44</v>
      </c>
      <c r="H324" t="str">
        <f>_xlfn.XLOOKUP(C324,'COA Translation'!A:A,'COA Translation'!B:B)</f>
        <v>Office Supplies</v>
      </c>
      <c r="I324">
        <f>_xlfn.XLOOKUP(C324,'COA Translation'!A:A,'COA Translation'!C:C)</f>
        <v>0</v>
      </c>
      <c r="J324" t="str">
        <f>_xlfn.XLOOKUP(C324,'COA Translation'!A:A,'COA Translation'!E:E)</f>
        <v>Expense</v>
      </c>
    </row>
    <row r="325" spans="1:10" x14ac:dyDescent="0.3">
      <c r="A325" s="7" t="s">
        <v>145</v>
      </c>
      <c r="B325" s="8" t="s">
        <v>336</v>
      </c>
      <c r="C325" s="8" t="s">
        <v>352</v>
      </c>
      <c r="D325" s="9">
        <v>7</v>
      </c>
      <c r="E325" s="9">
        <v>2025</v>
      </c>
      <c r="F325" s="10">
        <v>45839</v>
      </c>
      <c r="G325" s="11">
        <v>79.73</v>
      </c>
      <c r="H325" t="str">
        <f>_xlfn.XLOOKUP(C325,'COA Translation'!A:A,'COA Translation'!B:B)</f>
        <v>Office Supplies</v>
      </c>
      <c r="I325">
        <f>_xlfn.XLOOKUP(C325,'COA Translation'!A:A,'COA Translation'!C:C)</f>
        <v>0</v>
      </c>
      <c r="J325" t="str">
        <f>_xlfn.XLOOKUP(C325,'COA Translation'!A:A,'COA Translation'!E:E)</f>
        <v>Expense</v>
      </c>
    </row>
    <row r="326" spans="1:10" x14ac:dyDescent="0.3">
      <c r="A326" s="7" t="s">
        <v>145</v>
      </c>
      <c r="B326" s="8" t="s">
        <v>336</v>
      </c>
      <c r="C326" s="8" t="s">
        <v>352</v>
      </c>
      <c r="D326" s="9">
        <v>8</v>
      </c>
      <c r="E326" s="9">
        <v>2025</v>
      </c>
      <c r="F326" s="10">
        <v>45870</v>
      </c>
      <c r="G326" s="11">
        <v>477.39</v>
      </c>
      <c r="H326" t="str">
        <f>_xlfn.XLOOKUP(C326,'COA Translation'!A:A,'COA Translation'!B:B)</f>
        <v>Office Supplies</v>
      </c>
      <c r="I326">
        <f>_xlfn.XLOOKUP(C326,'COA Translation'!A:A,'COA Translation'!C:C)</f>
        <v>0</v>
      </c>
      <c r="J326" t="str">
        <f>_xlfn.XLOOKUP(C326,'COA Translation'!A:A,'COA Translation'!E:E)</f>
        <v>Expense</v>
      </c>
    </row>
    <row r="327" spans="1:10" x14ac:dyDescent="0.3">
      <c r="A327" s="7" t="s">
        <v>145</v>
      </c>
      <c r="B327" s="8" t="s">
        <v>336</v>
      </c>
      <c r="C327" s="8" t="s">
        <v>352</v>
      </c>
      <c r="D327" s="9">
        <v>9</v>
      </c>
      <c r="E327" s="9">
        <v>2025</v>
      </c>
      <c r="F327" s="10">
        <v>45901</v>
      </c>
      <c r="G327" s="11">
        <v>54.14</v>
      </c>
      <c r="H327" t="str">
        <f>_xlfn.XLOOKUP(C327,'COA Translation'!A:A,'COA Translation'!B:B)</f>
        <v>Office Supplies</v>
      </c>
      <c r="I327">
        <f>_xlfn.XLOOKUP(C327,'COA Translation'!A:A,'COA Translation'!C:C)</f>
        <v>0</v>
      </c>
      <c r="J327" t="str">
        <f>_xlfn.XLOOKUP(C327,'COA Translation'!A:A,'COA Translation'!E:E)</f>
        <v>Expense</v>
      </c>
    </row>
    <row r="328" spans="1:10" x14ac:dyDescent="0.3">
      <c r="A328" s="7" t="s">
        <v>145</v>
      </c>
      <c r="B328" s="8" t="s">
        <v>336</v>
      </c>
      <c r="C328" s="8" t="s">
        <v>352</v>
      </c>
      <c r="D328" s="9">
        <v>10</v>
      </c>
      <c r="E328" s="9">
        <v>2025</v>
      </c>
      <c r="F328" s="10">
        <v>45931</v>
      </c>
      <c r="G328" s="11">
        <v>67.58</v>
      </c>
      <c r="H328" t="str">
        <f>_xlfn.XLOOKUP(C328,'COA Translation'!A:A,'COA Translation'!B:B)</f>
        <v>Office Supplies</v>
      </c>
      <c r="I328">
        <f>_xlfn.XLOOKUP(C328,'COA Translation'!A:A,'COA Translation'!C:C)</f>
        <v>0</v>
      </c>
      <c r="J328" t="str">
        <f>_xlfn.XLOOKUP(C328,'COA Translation'!A:A,'COA Translation'!E:E)</f>
        <v>Expense</v>
      </c>
    </row>
    <row r="329" spans="1:10" x14ac:dyDescent="0.3">
      <c r="A329" s="7" t="s">
        <v>145</v>
      </c>
      <c r="B329" s="8" t="s">
        <v>336</v>
      </c>
      <c r="C329" s="8" t="s">
        <v>352</v>
      </c>
      <c r="D329" s="9">
        <v>11</v>
      </c>
      <c r="E329" s="9">
        <v>2025</v>
      </c>
      <c r="F329" s="10">
        <v>45962</v>
      </c>
      <c r="G329" s="11">
        <v>2.2599999999999998</v>
      </c>
      <c r="H329" t="str">
        <f>_xlfn.XLOOKUP(C329,'COA Translation'!A:A,'COA Translation'!B:B)</f>
        <v>Office Supplies</v>
      </c>
      <c r="I329">
        <f>_xlfn.XLOOKUP(C329,'COA Translation'!A:A,'COA Translation'!C:C)</f>
        <v>0</v>
      </c>
      <c r="J329" t="str">
        <f>_xlfn.XLOOKUP(C329,'COA Translation'!A:A,'COA Translation'!E:E)</f>
        <v>Expense</v>
      </c>
    </row>
    <row r="330" spans="1:10" x14ac:dyDescent="0.3">
      <c r="A330" s="7" t="s">
        <v>145</v>
      </c>
      <c r="B330" s="8" t="s">
        <v>336</v>
      </c>
      <c r="C330" s="8" t="s">
        <v>352</v>
      </c>
      <c r="D330" s="9">
        <v>12</v>
      </c>
      <c r="E330" s="9">
        <v>2025</v>
      </c>
      <c r="F330" s="10">
        <v>45992</v>
      </c>
      <c r="G330" s="11">
        <v>43.02</v>
      </c>
      <c r="H330" t="str">
        <f>_xlfn.XLOOKUP(C330,'COA Translation'!A:A,'COA Translation'!B:B)</f>
        <v>Office Supplies</v>
      </c>
      <c r="I330">
        <f>_xlfn.XLOOKUP(C330,'COA Translation'!A:A,'COA Translation'!C:C)</f>
        <v>0</v>
      </c>
      <c r="J330" t="str">
        <f>_xlfn.XLOOKUP(C330,'COA Translation'!A:A,'COA Translation'!E:E)</f>
        <v>Expense</v>
      </c>
    </row>
    <row r="331" spans="1:10" x14ac:dyDescent="0.3">
      <c r="A331" s="7" t="s">
        <v>145</v>
      </c>
      <c r="B331" s="8" t="s">
        <v>336</v>
      </c>
      <c r="C331" s="8" t="s">
        <v>352</v>
      </c>
      <c r="D331" s="9">
        <v>1</v>
      </c>
      <c r="E331" s="9">
        <v>2026</v>
      </c>
      <c r="F331" s="10">
        <v>46023</v>
      </c>
      <c r="G331" s="11">
        <v>94.23</v>
      </c>
      <c r="H331" t="str">
        <f>_xlfn.XLOOKUP(C331,'COA Translation'!A:A,'COA Translation'!B:B)</f>
        <v>Office Supplies</v>
      </c>
      <c r="I331">
        <f>_xlfn.XLOOKUP(C331,'COA Translation'!A:A,'COA Translation'!C:C)</f>
        <v>0</v>
      </c>
      <c r="J331" t="str">
        <f>_xlfn.XLOOKUP(C331,'COA Translation'!A:A,'COA Translation'!E:E)</f>
        <v>Expense</v>
      </c>
    </row>
    <row r="332" spans="1:10" x14ac:dyDescent="0.3">
      <c r="A332" s="7" t="s">
        <v>145</v>
      </c>
      <c r="B332" s="8" t="s">
        <v>336</v>
      </c>
      <c r="C332" s="8" t="s">
        <v>353</v>
      </c>
      <c r="D332" s="9">
        <v>2</v>
      </c>
      <c r="E332" s="9">
        <v>2025</v>
      </c>
      <c r="F332" s="10">
        <v>45689</v>
      </c>
      <c r="G332" s="11">
        <v>0</v>
      </c>
      <c r="H332" t="str">
        <f>_xlfn.XLOOKUP(C332,'COA Translation'!A:A,'COA Translation'!B:B)</f>
        <v>Licenses &amp; Permits</v>
      </c>
      <c r="I332">
        <f>_xlfn.XLOOKUP(C332,'COA Translation'!A:A,'COA Translation'!C:C)</f>
        <v>0</v>
      </c>
      <c r="J332" t="str">
        <f>_xlfn.XLOOKUP(C332,'COA Translation'!A:A,'COA Translation'!E:E)</f>
        <v>Expense</v>
      </c>
    </row>
    <row r="333" spans="1:10" x14ac:dyDescent="0.3">
      <c r="A333" s="7" t="s">
        <v>145</v>
      </c>
      <c r="B333" s="8" t="s">
        <v>336</v>
      </c>
      <c r="C333" s="8" t="s">
        <v>353</v>
      </c>
      <c r="D333" s="9">
        <v>3</v>
      </c>
      <c r="E333" s="9">
        <v>2025</v>
      </c>
      <c r="F333" s="10">
        <v>45717</v>
      </c>
      <c r="G333" s="11">
        <v>0</v>
      </c>
      <c r="H333" t="str">
        <f>_xlfn.XLOOKUP(C333,'COA Translation'!A:A,'COA Translation'!B:B)</f>
        <v>Licenses &amp; Permits</v>
      </c>
      <c r="I333">
        <f>_xlfn.XLOOKUP(C333,'COA Translation'!A:A,'COA Translation'!C:C)</f>
        <v>0</v>
      </c>
      <c r="J333" t="str">
        <f>_xlfn.XLOOKUP(C333,'COA Translation'!A:A,'COA Translation'!E:E)</f>
        <v>Expense</v>
      </c>
    </row>
    <row r="334" spans="1:10" x14ac:dyDescent="0.3">
      <c r="A334" s="7" t="s">
        <v>145</v>
      </c>
      <c r="B334" s="8" t="s">
        <v>336</v>
      </c>
      <c r="C334" s="8" t="s">
        <v>353</v>
      </c>
      <c r="D334" s="9">
        <v>4</v>
      </c>
      <c r="E334" s="9">
        <v>2025</v>
      </c>
      <c r="F334" s="10">
        <v>45748</v>
      </c>
      <c r="G334" s="11">
        <v>0</v>
      </c>
      <c r="H334" t="str">
        <f>_xlfn.XLOOKUP(C334,'COA Translation'!A:A,'COA Translation'!B:B)</f>
        <v>Licenses &amp; Permits</v>
      </c>
      <c r="I334">
        <f>_xlfn.XLOOKUP(C334,'COA Translation'!A:A,'COA Translation'!C:C)</f>
        <v>0</v>
      </c>
      <c r="J334" t="str">
        <f>_xlfn.XLOOKUP(C334,'COA Translation'!A:A,'COA Translation'!E:E)</f>
        <v>Expense</v>
      </c>
    </row>
    <row r="335" spans="1:10" x14ac:dyDescent="0.3">
      <c r="A335" s="7" t="s">
        <v>145</v>
      </c>
      <c r="B335" s="8" t="s">
        <v>336</v>
      </c>
      <c r="C335" s="8" t="s">
        <v>353</v>
      </c>
      <c r="D335" s="9">
        <v>5</v>
      </c>
      <c r="E335" s="9">
        <v>2025</v>
      </c>
      <c r="F335" s="10">
        <v>45778</v>
      </c>
      <c r="G335" s="11">
        <v>0</v>
      </c>
      <c r="H335" t="str">
        <f>_xlfn.XLOOKUP(C335,'COA Translation'!A:A,'COA Translation'!B:B)</f>
        <v>Licenses &amp; Permits</v>
      </c>
      <c r="I335">
        <f>_xlfn.XLOOKUP(C335,'COA Translation'!A:A,'COA Translation'!C:C)</f>
        <v>0</v>
      </c>
      <c r="J335" t="str">
        <f>_xlfn.XLOOKUP(C335,'COA Translation'!A:A,'COA Translation'!E:E)</f>
        <v>Expense</v>
      </c>
    </row>
    <row r="336" spans="1:10" x14ac:dyDescent="0.3">
      <c r="A336" s="7" t="s">
        <v>145</v>
      </c>
      <c r="B336" s="8" t="s">
        <v>336</v>
      </c>
      <c r="C336" s="8" t="s">
        <v>353</v>
      </c>
      <c r="D336" s="9">
        <v>6</v>
      </c>
      <c r="E336" s="9">
        <v>2025</v>
      </c>
      <c r="F336" s="10">
        <v>45809</v>
      </c>
      <c r="G336" s="11">
        <v>0</v>
      </c>
      <c r="H336" t="str">
        <f>_xlfn.XLOOKUP(C336,'COA Translation'!A:A,'COA Translation'!B:B)</f>
        <v>Licenses &amp; Permits</v>
      </c>
      <c r="I336">
        <f>_xlfn.XLOOKUP(C336,'COA Translation'!A:A,'COA Translation'!C:C)</f>
        <v>0</v>
      </c>
      <c r="J336" t="str">
        <f>_xlfn.XLOOKUP(C336,'COA Translation'!A:A,'COA Translation'!E:E)</f>
        <v>Expense</v>
      </c>
    </row>
    <row r="337" spans="1:10" x14ac:dyDescent="0.3">
      <c r="A337" s="7" t="s">
        <v>145</v>
      </c>
      <c r="B337" s="8" t="s">
        <v>336</v>
      </c>
      <c r="C337" s="8" t="s">
        <v>353</v>
      </c>
      <c r="D337" s="9">
        <v>7</v>
      </c>
      <c r="E337" s="9">
        <v>2025</v>
      </c>
      <c r="F337" s="10">
        <v>45839</v>
      </c>
      <c r="G337" s="11">
        <v>0</v>
      </c>
      <c r="H337" t="str">
        <f>_xlfn.XLOOKUP(C337,'COA Translation'!A:A,'COA Translation'!B:B)</f>
        <v>Licenses &amp; Permits</v>
      </c>
      <c r="I337">
        <f>_xlfn.XLOOKUP(C337,'COA Translation'!A:A,'COA Translation'!C:C)</f>
        <v>0</v>
      </c>
      <c r="J337" t="str">
        <f>_xlfn.XLOOKUP(C337,'COA Translation'!A:A,'COA Translation'!E:E)</f>
        <v>Expense</v>
      </c>
    </row>
    <row r="338" spans="1:10" x14ac:dyDescent="0.3">
      <c r="A338" s="7" t="s">
        <v>145</v>
      </c>
      <c r="B338" s="8" t="s">
        <v>336</v>
      </c>
      <c r="C338" s="8" t="s">
        <v>353</v>
      </c>
      <c r="D338" s="9">
        <v>8</v>
      </c>
      <c r="E338" s="9">
        <v>2025</v>
      </c>
      <c r="F338" s="10">
        <v>45870</v>
      </c>
      <c r="G338" s="11">
        <v>0</v>
      </c>
      <c r="H338" t="str">
        <f>_xlfn.XLOOKUP(C338,'COA Translation'!A:A,'COA Translation'!B:B)</f>
        <v>Licenses &amp; Permits</v>
      </c>
      <c r="I338">
        <f>_xlfn.XLOOKUP(C338,'COA Translation'!A:A,'COA Translation'!C:C)</f>
        <v>0</v>
      </c>
      <c r="J338" t="str">
        <f>_xlfn.XLOOKUP(C338,'COA Translation'!A:A,'COA Translation'!E:E)</f>
        <v>Expense</v>
      </c>
    </row>
    <row r="339" spans="1:10" x14ac:dyDescent="0.3">
      <c r="A339" s="7" t="s">
        <v>145</v>
      </c>
      <c r="B339" s="8" t="s">
        <v>336</v>
      </c>
      <c r="C339" s="8" t="s">
        <v>353</v>
      </c>
      <c r="D339" s="9">
        <v>9</v>
      </c>
      <c r="E339" s="9">
        <v>2025</v>
      </c>
      <c r="F339" s="10">
        <v>45901</v>
      </c>
      <c r="G339" s="11">
        <v>0</v>
      </c>
      <c r="H339" t="str">
        <f>_xlfn.XLOOKUP(C339,'COA Translation'!A:A,'COA Translation'!B:B)</f>
        <v>Licenses &amp; Permits</v>
      </c>
      <c r="I339">
        <f>_xlfn.XLOOKUP(C339,'COA Translation'!A:A,'COA Translation'!C:C)</f>
        <v>0</v>
      </c>
      <c r="J339" t="str">
        <f>_xlfn.XLOOKUP(C339,'COA Translation'!A:A,'COA Translation'!E:E)</f>
        <v>Expense</v>
      </c>
    </row>
    <row r="340" spans="1:10" x14ac:dyDescent="0.3">
      <c r="A340" s="7" t="s">
        <v>145</v>
      </c>
      <c r="B340" s="8" t="s">
        <v>336</v>
      </c>
      <c r="C340" s="8" t="s">
        <v>353</v>
      </c>
      <c r="D340" s="9">
        <v>10</v>
      </c>
      <c r="E340" s="9">
        <v>2025</v>
      </c>
      <c r="F340" s="10">
        <v>45931</v>
      </c>
      <c r="G340" s="11">
        <v>410.25</v>
      </c>
      <c r="H340" t="str">
        <f>_xlfn.XLOOKUP(C340,'COA Translation'!A:A,'COA Translation'!B:B)</f>
        <v>Licenses &amp; Permits</v>
      </c>
      <c r="I340">
        <f>_xlfn.XLOOKUP(C340,'COA Translation'!A:A,'COA Translation'!C:C)</f>
        <v>0</v>
      </c>
      <c r="J340" t="str">
        <f>_xlfn.XLOOKUP(C340,'COA Translation'!A:A,'COA Translation'!E:E)</f>
        <v>Expense</v>
      </c>
    </row>
    <row r="341" spans="1:10" x14ac:dyDescent="0.3">
      <c r="A341" s="7" t="s">
        <v>145</v>
      </c>
      <c r="B341" s="8" t="s">
        <v>336</v>
      </c>
      <c r="C341" s="8" t="s">
        <v>353</v>
      </c>
      <c r="D341" s="9">
        <v>11</v>
      </c>
      <c r="E341" s="9">
        <v>2025</v>
      </c>
      <c r="F341" s="10">
        <v>45962</v>
      </c>
      <c r="G341" s="11">
        <v>0</v>
      </c>
      <c r="H341" t="str">
        <f>_xlfn.XLOOKUP(C341,'COA Translation'!A:A,'COA Translation'!B:B)</f>
        <v>Licenses &amp; Permits</v>
      </c>
      <c r="I341">
        <f>_xlfn.XLOOKUP(C341,'COA Translation'!A:A,'COA Translation'!C:C)</f>
        <v>0</v>
      </c>
      <c r="J341" t="str">
        <f>_xlfn.XLOOKUP(C341,'COA Translation'!A:A,'COA Translation'!E:E)</f>
        <v>Expense</v>
      </c>
    </row>
    <row r="342" spans="1:10" x14ac:dyDescent="0.3">
      <c r="A342" s="7" t="s">
        <v>145</v>
      </c>
      <c r="B342" s="8" t="s">
        <v>336</v>
      </c>
      <c r="C342" s="8" t="s">
        <v>353</v>
      </c>
      <c r="D342" s="9">
        <v>12</v>
      </c>
      <c r="E342" s="9">
        <v>2025</v>
      </c>
      <c r="F342" s="10">
        <v>45992</v>
      </c>
      <c r="G342" s="11">
        <v>0</v>
      </c>
      <c r="H342" t="str">
        <f>_xlfn.XLOOKUP(C342,'COA Translation'!A:A,'COA Translation'!B:B)</f>
        <v>Licenses &amp; Permits</v>
      </c>
      <c r="I342">
        <f>_xlfn.XLOOKUP(C342,'COA Translation'!A:A,'COA Translation'!C:C)</f>
        <v>0</v>
      </c>
      <c r="J342" t="str">
        <f>_xlfn.XLOOKUP(C342,'COA Translation'!A:A,'COA Translation'!E:E)</f>
        <v>Expense</v>
      </c>
    </row>
    <row r="343" spans="1:10" x14ac:dyDescent="0.3">
      <c r="A343" s="7" t="s">
        <v>145</v>
      </c>
      <c r="B343" s="8" t="s">
        <v>336</v>
      </c>
      <c r="C343" s="8" t="s">
        <v>353</v>
      </c>
      <c r="D343" s="9">
        <v>1</v>
      </c>
      <c r="E343" s="9">
        <v>2026</v>
      </c>
      <c r="F343" s="10">
        <v>46023</v>
      </c>
      <c r="G343" s="11">
        <v>0</v>
      </c>
      <c r="H343" t="str">
        <f>_xlfn.XLOOKUP(C343,'COA Translation'!A:A,'COA Translation'!B:B)</f>
        <v>Licenses &amp; Permits</v>
      </c>
      <c r="I343">
        <f>_xlfn.XLOOKUP(C343,'COA Translation'!A:A,'COA Translation'!C:C)</f>
        <v>0</v>
      </c>
      <c r="J343" t="str">
        <f>_xlfn.XLOOKUP(C343,'COA Translation'!A:A,'COA Translation'!E:E)</f>
        <v>Expense</v>
      </c>
    </row>
    <row r="344" spans="1:10" x14ac:dyDescent="0.3">
      <c r="A344" s="7" t="s">
        <v>145</v>
      </c>
      <c r="B344" s="8" t="s">
        <v>336</v>
      </c>
      <c r="C344" s="8" t="s">
        <v>354</v>
      </c>
      <c r="D344" s="9">
        <v>2</v>
      </c>
      <c r="E344" s="9">
        <v>2025</v>
      </c>
      <c r="F344" s="10">
        <v>45689</v>
      </c>
      <c r="G344" s="11">
        <v>101.4</v>
      </c>
      <c r="H344" t="str">
        <f>_xlfn.XLOOKUP(C344,'COA Translation'!A:A,'COA Translation'!B:B)</f>
        <v>Prof Fees - Legal/Acctg</v>
      </c>
      <c r="I344">
        <f>_xlfn.XLOOKUP(C344,'COA Translation'!A:A,'COA Translation'!C:C)</f>
        <v>0</v>
      </c>
      <c r="J344" t="str">
        <f>_xlfn.XLOOKUP(C344,'COA Translation'!A:A,'COA Translation'!E:E)</f>
        <v>Expense</v>
      </c>
    </row>
    <row r="345" spans="1:10" x14ac:dyDescent="0.3">
      <c r="A345" s="7" t="s">
        <v>145</v>
      </c>
      <c r="B345" s="8" t="s">
        <v>336</v>
      </c>
      <c r="C345" s="8" t="s">
        <v>354</v>
      </c>
      <c r="D345" s="9">
        <v>3</v>
      </c>
      <c r="E345" s="9">
        <v>2025</v>
      </c>
      <c r="F345" s="10">
        <v>45717</v>
      </c>
      <c r="G345" s="11">
        <v>264.14999999999998</v>
      </c>
      <c r="H345" t="str">
        <f>_xlfn.XLOOKUP(C345,'COA Translation'!A:A,'COA Translation'!B:B)</f>
        <v>Prof Fees - Legal/Acctg</v>
      </c>
      <c r="I345">
        <f>_xlfn.XLOOKUP(C345,'COA Translation'!A:A,'COA Translation'!C:C)</f>
        <v>0</v>
      </c>
      <c r="J345" t="str">
        <f>_xlfn.XLOOKUP(C345,'COA Translation'!A:A,'COA Translation'!E:E)</f>
        <v>Expense</v>
      </c>
    </row>
    <row r="346" spans="1:10" x14ac:dyDescent="0.3">
      <c r="A346" s="7" t="s">
        <v>145</v>
      </c>
      <c r="B346" s="8" t="s">
        <v>336</v>
      </c>
      <c r="C346" s="8" t="s">
        <v>354</v>
      </c>
      <c r="D346" s="9">
        <v>4</v>
      </c>
      <c r="E346" s="9">
        <v>2025</v>
      </c>
      <c r="F346" s="10">
        <v>45748</v>
      </c>
      <c r="G346" s="11">
        <v>204.85999999999996</v>
      </c>
      <c r="H346" t="str">
        <f>_xlfn.XLOOKUP(C346,'COA Translation'!A:A,'COA Translation'!B:B)</f>
        <v>Prof Fees - Legal/Acctg</v>
      </c>
      <c r="I346">
        <f>_xlfn.XLOOKUP(C346,'COA Translation'!A:A,'COA Translation'!C:C)</f>
        <v>0</v>
      </c>
      <c r="J346" t="str">
        <f>_xlfn.XLOOKUP(C346,'COA Translation'!A:A,'COA Translation'!E:E)</f>
        <v>Expense</v>
      </c>
    </row>
    <row r="347" spans="1:10" x14ac:dyDescent="0.3">
      <c r="A347" s="7" t="s">
        <v>145</v>
      </c>
      <c r="B347" s="8" t="s">
        <v>336</v>
      </c>
      <c r="C347" s="8" t="s">
        <v>354</v>
      </c>
      <c r="D347" s="9">
        <v>5</v>
      </c>
      <c r="E347" s="9">
        <v>2025</v>
      </c>
      <c r="F347" s="10">
        <v>45778</v>
      </c>
      <c r="G347" s="11">
        <v>152.38</v>
      </c>
      <c r="H347" t="str">
        <f>_xlfn.XLOOKUP(C347,'COA Translation'!A:A,'COA Translation'!B:B)</f>
        <v>Prof Fees - Legal/Acctg</v>
      </c>
      <c r="I347">
        <f>_xlfn.XLOOKUP(C347,'COA Translation'!A:A,'COA Translation'!C:C)</f>
        <v>0</v>
      </c>
      <c r="J347" t="str">
        <f>_xlfn.XLOOKUP(C347,'COA Translation'!A:A,'COA Translation'!E:E)</f>
        <v>Expense</v>
      </c>
    </row>
    <row r="348" spans="1:10" x14ac:dyDescent="0.3">
      <c r="A348" s="7" t="s">
        <v>145</v>
      </c>
      <c r="B348" s="8" t="s">
        <v>336</v>
      </c>
      <c r="C348" s="8" t="s">
        <v>354</v>
      </c>
      <c r="D348" s="9">
        <v>6</v>
      </c>
      <c r="E348" s="9">
        <v>2025</v>
      </c>
      <c r="F348" s="10">
        <v>45809</v>
      </c>
      <c r="G348" s="11">
        <v>284.61</v>
      </c>
      <c r="H348" t="str">
        <f>_xlfn.XLOOKUP(C348,'COA Translation'!A:A,'COA Translation'!B:B)</f>
        <v>Prof Fees - Legal/Acctg</v>
      </c>
      <c r="I348">
        <f>_xlfn.XLOOKUP(C348,'COA Translation'!A:A,'COA Translation'!C:C)</f>
        <v>0</v>
      </c>
      <c r="J348" t="str">
        <f>_xlfn.XLOOKUP(C348,'COA Translation'!A:A,'COA Translation'!E:E)</f>
        <v>Expense</v>
      </c>
    </row>
    <row r="349" spans="1:10" x14ac:dyDescent="0.3">
      <c r="A349" s="7" t="s">
        <v>145</v>
      </c>
      <c r="B349" s="8" t="s">
        <v>336</v>
      </c>
      <c r="C349" s="8" t="s">
        <v>354</v>
      </c>
      <c r="D349" s="9">
        <v>7</v>
      </c>
      <c r="E349" s="9">
        <v>2025</v>
      </c>
      <c r="F349" s="10">
        <v>45839</v>
      </c>
      <c r="G349" s="11">
        <v>42.5</v>
      </c>
      <c r="H349" t="str">
        <f>_xlfn.XLOOKUP(C349,'COA Translation'!A:A,'COA Translation'!B:B)</f>
        <v>Prof Fees - Legal/Acctg</v>
      </c>
      <c r="I349">
        <f>_xlfn.XLOOKUP(C349,'COA Translation'!A:A,'COA Translation'!C:C)</f>
        <v>0</v>
      </c>
      <c r="J349" t="str">
        <f>_xlfn.XLOOKUP(C349,'COA Translation'!A:A,'COA Translation'!E:E)</f>
        <v>Expense</v>
      </c>
    </row>
    <row r="350" spans="1:10" x14ac:dyDescent="0.3">
      <c r="A350" s="7" t="s">
        <v>145</v>
      </c>
      <c r="B350" s="8" t="s">
        <v>336</v>
      </c>
      <c r="C350" s="8" t="s">
        <v>354</v>
      </c>
      <c r="D350" s="9">
        <v>8</v>
      </c>
      <c r="E350" s="9">
        <v>2025</v>
      </c>
      <c r="F350" s="10">
        <v>45870</v>
      </c>
      <c r="G350" s="11">
        <v>158</v>
      </c>
      <c r="H350" t="str">
        <f>_xlfn.XLOOKUP(C350,'COA Translation'!A:A,'COA Translation'!B:B)</f>
        <v>Prof Fees - Legal/Acctg</v>
      </c>
      <c r="I350">
        <f>_xlfn.XLOOKUP(C350,'COA Translation'!A:A,'COA Translation'!C:C)</f>
        <v>0</v>
      </c>
      <c r="J350" t="str">
        <f>_xlfn.XLOOKUP(C350,'COA Translation'!A:A,'COA Translation'!E:E)</f>
        <v>Expense</v>
      </c>
    </row>
    <row r="351" spans="1:10" x14ac:dyDescent="0.3">
      <c r="A351" s="7" t="s">
        <v>145</v>
      </c>
      <c r="B351" s="8" t="s">
        <v>336</v>
      </c>
      <c r="C351" s="8" t="s">
        <v>354</v>
      </c>
      <c r="D351" s="9">
        <v>9</v>
      </c>
      <c r="E351" s="9">
        <v>2025</v>
      </c>
      <c r="F351" s="10">
        <v>45901</v>
      </c>
      <c r="G351" s="11">
        <v>50.69</v>
      </c>
      <c r="H351" t="str">
        <f>_xlfn.XLOOKUP(C351,'COA Translation'!A:A,'COA Translation'!B:B)</f>
        <v>Prof Fees - Legal/Acctg</v>
      </c>
      <c r="I351">
        <f>_xlfn.XLOOKUP(C351,'COA Translation'!A:A,'COA Translation'!C:C)</f>
        <v>0</v>
      </c>
      <c r="J351" t="str">
        <f>_xlfn.XLOOKUP(C351,'COA Translation'!A:A,'COA Translation'!E:E)</f>
        <v>Expense</v>
      </c>
    </row>
    <row r="352" spans="1:10" x14ac:dyDescent="0.3">
      <c r="A352" s="7" t="s">
        <v>145</v>
      </c>
      <c r="B352" s="8" t="s">
        <v>336</v>
      </c>
      <c r="C352" s="8" t="s">
        <v>354</v>
      </c>
      <c r="D352" s="9">
        <v>10</v>
      </c>
      <c r="E352" s="9">
        <v>2025</v>
      </c>
      <c r="F352" s="10">
        <v>45931</v>
      </c>
      <c r="G352" s="11">
        <v>263.18</v>
      </c>
      <c r="H352" t="str">
        <f>_xlfn.XLOOKUP(C352,'COA Translation'!A:A,'COA Translation'!B:B)</f>
        <v>Prof Fees - Legal/Acctg</v>
      </c>
      <c r="I352">
        <f>_xlfn.XLOOKUP(C352,'COA Translation'!A:A,'COA Translation'!C:C)</f>
        <v>0</v>
      </c>
      <c r="J352" t="str">
        <f>_xlfn.XLOOKUP(C352,'COA Translation'!A:A,'COA Translation'!E:E)</f>
        <v>Expense</v>
      </c>
    </row>
    <row r="353" spans="1:10" x14ac:dyDescent="0.3">
      <c r="A353" s="7" t="s">
        <v>145</v>
      </c>
      <c r="B353" s="8" t="s">
        <v>336</v>
      </c>
      <c r="C353" s="8" t="s">
        <v>354</v>
      </c>
      <c r="D353" s="9">
        <v>11</v>
      </c>
      <c r="E353" s="9">
        <v>2025</v>
      </c>
      <c r="F353" s="10">
        <v>45962</v>
      </c>
      <c r="G353" s="11">
        <v>213.33</v>
      </c>
      <c r="H353" t="str">
        <f>_xlfn.XLOOKUP(C353,'COA Translation'!A:A,'COA Translation'!B:B)</f>
        <v>Prof Fees - Legal/Acctg</v>
      </c>
      <c r="I353">
        <f>_xlfn.XLOOKUP(C353,'COA Translation'!A:A,'COA Translation'!C:C)</f>
        <v>0</v>
      </c>
      <c r="J353" t="str">
        <f>_xlfn.XLOOKUP(C353,'COA Translation'!A:A,'COA Translation'!E:E)</f>
        <v>Expense</v>
      </c>
    </row>
    <row r="354" spans="1:10" x14ac:dyDescent="0.3">
      <c r="A354" s="7" t="s">
        <v>145</v>
      </c>
      <c r="B354" s="8" t="s">
        <v>336</v>
      </c>
      <c r="C354" s="8" t="s">
        <v>354</v>
      </c>
      <c r="D354" s="9">
        <v>12</v>
      </c>
      <c r="E354" s="9">
        <v>2025</v>
      </c>
      <c r="F354" s="10">
        <v>45992</v>
      </c>
      <c r="G354" s="11">
        <v>42.5</v>
      </c>
      <c r="H354" t="str">
        <f>_xlfn.XLOOKUP(C354,'COA Translation'!A:A,'COA Translation'!B:B)</f>
        <v>Prof Fees - Legal/Acctg</v>
      </c>
      <c r="I354">
        <f>_xlfn.XLOOKUP(C354,'COA Translation'!A:A,'COA Translation'!C:C)</f>
        <v>0</v>
      </c>
      <c r="J354" t="str">
        <f>_xlfn.XLOOKUP(C354,'COA Translation'!A:A,'COA Translation'!E:E)</f>
        <v>Expense</v>
      </c>
    </row>
    <row r="355" spans="1:10" x14ac:dyDescent="0.3">
      <c r="A355" s="7" t="s">
        <v>145</v>
      </c>
      <c r="B355" s="8" t="s">
        <v>336</v>
      </c>
      <c r="C355" s="8" t="s">
        <v>354</v>
      </c>
      <c r="D355" s="9">
        <v>1</v>
      </c>
      <c r="E355" s="9">
        <v>2026</v>
      </c>
      <c r="F355" s="10">
        <v>46023</v>
      </c>
      <c r="G355" s="11">
        <v>163.16</v>
      </c>
      <c r="H355" t="str">
        <f>_xlfn.XLOOKUP(C355,'COA Translation'!A:A,'COA Translation'!B:B)</f>
        <v>Prof Fees - Legal/Acctg</v>
      </c>
      <c r="I355">
        <f>_xlfn.XLOOKUP(C355,'COA Translation'!A:A,'COA Translation'!C:C)</f>
        <v>0</v>
      </c>
      <c r="J355" t="str">
        <f>_xlfn.XLOOKUP(C355,'COA Translation'!A:A,'COA Translation'!E:E)</f>
        <v>Expense</v>
      </c>
    </row>
    <row r="356" spans="1:10" x14ac:dyDescent="0.3">
      <c r="A356" s="7" t="s">
        <v>145</v>
      </c>
      <c r="B356" s="8" t="s">
        <v>336</v>
      </c>
      <c r="C356" s="8" t="s">
        <v>355</v>
      </c>
      <c r="D356" s="9">
        <v>2</v>
      </c>
      <c r="E356" s="9">
        <v>2025</v>
      </c>
      <c r="F356" s="10">
        <v>45689</v>
      </c>
      <c r="G356" s="11">
        <v>16236.28</v>
      </c>
      <c r="H356">
        <f>_xlfn.XLOOKUP(C356,'COA Translation'!A:A,'COA Translation'!B:B)</f>
        <v>0</v>
      </c>
      <c r="I356">
        <f>_xlfn.XLOOKUP(C356,'COA Translation'!A:A,'COA Translation'!C:C)</f>
        <v>0</v>
      </c>
      <c r="J356" t="str">
        <f>_xlfn.XLOOKUP(C356,'COA Translation'!A:A,'COA Translation'!E:E)</f>
        <v>TOTAL</v>
      </c>
    </row>
    <row r="357" spans="1:10" x14ac:dyDescent="0.3">
      <c r="A357" s="7" t="s">
        <v>145</v>
      </c>
      <c r="B357" s="8" t="s">
        <v>336</v>
      </c>
      <c r="C357" s="8" t="s">
        <v>355</v>
      </c>
      <c r="D357" s="9">
        <v>3</v>
      </c>
      <c r="E357" s="9">
        <v>2025</v>
      </c>
      <c r="F357" s="10">
        <v>45717</v>
      </c>
      <c r="G357" s="11">
        <v>18819.91</v>
      </c>
      <c r="H357">
        <f>_xlfn.XLOOKUP(C357,'COA Translation'!A:A,'COA Translation'!B:B)</f>
        <v>0</v>
      </c>
      <c r="I357">
        <f>_xlfn.XLOOKUP(C357,'COA Translation'!A:A,'COA Translation'!C:C)</f>
        <v>0</v>
      </c>
      <c r="J357" t="str">
        <f>_xlfn.XLOOKUP(C357,'COA Translation'!A:A,'COA Translation'!E:E)</f>
        <v>TOTAL</v>
      </c>
    </row>
    <row r="358" spans="1:10" x14ac:dyDescent="0.3">
      <c r="A358" s="7" t="s">
        <v>145</v>
      </c>
      <c r="B358" s="8" t="s">
        <v>336</v>
      </c>
      <c r="C358" s="8" t="s">
        <v>355</v>
      </c>
      <c r="D358" s="9">
        <v>4</v>
      </c>
      <c r="E358" s="9">
        <v>2025</v>
      </c>
      <c r="F358" s="10">
        <v>45748</v>
      </c>
      <c r="G358" s="11">
        <v>14543.090000000007</v>
      </c>
      <c r="H358">
        <f>_xlfn.XLOOKUP(C358,'COA Translation'!A:A,'COA Translation'!B:B)</f>
        <v>0</v>
      </c>
      <c r="I358">
        <f>_xlfn.XLOOKUP(C358,'COA Translation'!A:A,'COA Translation'!C:C)</f>
        <v>0</v>
      </c>
      <c r="J358" t="str">
        <f>_xlfn.XLOOKUP(C358,'COA Translation'!A:A,'COA Translation'!E:E)</f>
        <v>TOTAL</v>
      </c>
    </row>
    <row r="359" spans="1:10" x14ac:dyDescent="0.3">
      <c r="A359" s="7" t="s">
        <v>145</v>
      </c>
      <c r="B359" s="8" t="s">
        <v>336</v>
      </c>
      <c r="C359" s="8" t="s">
        <v>355</v>
      </c>
      <c r="D359" s="9">
        <v>5</v>
      </c>
      <c r="E359" s="9">
        <v>2025</v>
      </c>
      <c r="F359" s="10">
        <v>45778</v>
      </c>
      <c r="G359" s="11">
        <v>20574.679999999997</v>
      </c>
      <c r="H359">
        <f>_xlfn.XLOOKUP(C359,'COA Translation'!A:A,'COA Translation'!B:B)</f>
        <v>0</v>
      </c>
      <c r="I359">
        <f>_xlfn.XLOOKUP(C359,'COA Translation'!A:A,'COA Translation'!C:C)</f>
        <v>0</v>
      </c>
      <c r="J359" t="str">
        <f>_xlfn.XLOOKUP(C359,'COA Translation'!A:A,'COA Translation'!E:E)</f>
        <v>TOTAL</v>
      </c>
    </row>
    <row r="360" spans="1:10" x14ac:dyDescent="0.3">
      <c r="A360" s="7" t="s">
        <v>145</v>
      </c>
      <c r="B360" s="8" t="s">
        <v>336</v>
      </c>
      <c r="C360" s="8" t="s">
        <v>355</v>
      </c>
      <c r="D360" s="9">
        <v>6</v>
      </c>
      <c r="E360" s="9">
        <v>2025</v>
      </c>
      <c r="F360" s="10">
        <v>45809</v>
      </c>
      <c r="G360" s="11">
        <v>19389.049999999996</v>
      </c>
      <c r="H360">
        <f>_xlfn.XLOOKUP(C360,'COA Translation'!A:A,'COA Translation'!B:B)</f>
        <v>0</v>
      </c>
      <c r="I360">
        <f>_xlfn.XLOOKUP(C360,'COA Translation'!A:A,'COA Translation'!C:C)</f>
        <v>0</v>
      </c>
      <c r="J360" t="str">
        <f>_xlfn.XLOOKUP(C360,'COA Translation'!A:A,'COA Translation'!E:E)</f>
        <v>TOTAL</v>
      </c>
    </row>
    <row r="361" spans="1:10" x14ac:dyDescent="0.3">
      <c r="A361" s="7" t="s">
        <v>145</v>
      </c>
      <c r="B361" s="8" t="s">
        <v>336</v>
      </c>
      <c r="C361" s="8" t="s">
        <v>355</v>
      </c>
      <c r="D361" s="9">
        <v>7</v>
      </c>
      <c r="E361" s="9">
        <v>2025</v>
      </c>
      <c r="F361" s="10">
        <v>45839</v>
      </c>
      <c r="G361" s="11">
        <v>29307.549999999996</v>
      </c>
      <c r="H361">
        <f>_xlfn.XLOOKUP(C361,'COA Translation'!A:A,'COA Translation'!B:B)</f>
        <v>0</v>
      </c>
      <c r="I361">
        <f>_xlfn.XLOOKUP(C361,'COA Translation'!A:A,'COA Translation'!C:C)</f>
        <v>0</v>
      </c>
      <c r="J361" t="str">
        <f>_xlfn.XLOOKUP(C361,'COA Translation'!A:A,'COA Translation'!E:E)</f>
        <v>TOTAL</v>
      </c>
    </row>
    <row r="362" spans="1:10" x14ac:dyDescent="0.3">
      <c r="A362" s="7" t="s">
        <v>145</v>
      </c>
      <c r="B362" s="8" t="s">
        <v>336</v>
      </c>
      <c r="C362" s="8" t="s">
        <v>355</v>
      </c>
      <c r="D362" s="9">
        <v>8</v>
      </c>
      <c r="E362" s="9">
        <v>2025</v>
      </c>
      <c r="F362" s="10">
        <v>45870</v>
      </c>
      <c r="G362" s="11">
        <v>24479.93</v>
      </c>
      <c r="H362">
        <f>_xlfn.XLOOKUP(C362,'COA Translation'!A:A,'COA Translation'!B:B)</f>
        <v>0</v>
      </c>
      <c r="I362">
        <f>_xlfn.XLOOKUP(C362,'COA Translation'!A:A,'COA Translation'!C:C)</f>
        <v>0</v>
      </c>
      <c r="J362" t="str">
        <f>_xlfn.XLOOKUP(C362,'COA Translation'!A:A,'COA Translation'!E:E)</f>
        <v>TOTAL</v>
      </c>
    </row>
    <row r="363" spans="1:10" x14ac:dyDescent="0.3">
      <c r="A363" s="7" t="s">
        <v>145</v>
      </c>
      <c r="B363" s="8" t="s">
        <v>336</v>
      </c>
      <c r="C363" s="8" t="s">
        <v>355</v>
      </c>
      <c r="D363" s="9">
        <v>9</v>
      </c>
      <c r="E363" s="9">
        <v>2025</v>
      </c>
      <c r="F363" s="10">
        <v>45901</v>
      </c>
      <c r="G363" s="11">
        <v>24358.889999999996</v>
      </c>
      <c r="H363">
        <f>_xlfn.XLOOKUP(C363,'COA Translation'!A:A,'COA Translation'!B:B)</f>
        <v>0</v>
      </c>
      <c r="I363">
        <f>_xlfn.XLOOKUP(C363,'COA Translation'!A:A,'COA Translation'!C:C)</f>
        <v>0</v>
      </c>
      <c r="J363" t="str">
        <f>_xlfn.XLOOKUP(C363,'COA Translation'!A:A,'COA Translation'!E:E)</f>
        <v>TOTAL</v>
      </c>
    </row>
    <row r="364" spans="1:10" x14ac:dyDescent="0.3">
      <c r="A364" s="7" t="s">
        <v>145</v>
      </c>
      <c r="B364" s="8" t="s">
        <v>336</v>
      </c>
      <c r="C364" s="8" t="s">
        <v>355</v>
      </c>
      <c r="D364" s="9">
        <v>10</v>
      </c>
      <c r="E364" s="9">
        <v>2025</v>
      </c>
      <c r="F364" s="10">
        <v>45931</v>
      </c>
      <c r="G364" s="11">
        <v>17347.95</v>
      </c>
      <c r="H364">
        <f>_xlfn.XLOOKUP(C364,'COA Translation'!A:A,'COA Translation'!B:B)</f>
        <v>0</v>
      </c>
      <c r="I364">
        <f>_xlfn.XLOOKUP(C364,'COA Translation'!A:A,'COA Translation'!C:C)</f>
        <v>0</v>
      </c>
      <c r="J364" t="str">
        <f>_xlfn.XLOOKUP(C364,'COA Translation'!A:A,'COA Translation'!E:E)</f>
        <v>TOTAL</v>
      </c>
    </row>
    <row r="365" spans="1:10" x14ac:dyDescent="0.3">
      <c r="A365" s="7" t="s">
        <v>145</v>
      </c>
      <c r="B365" s="8" t="s">
        <v>336</v>
      </c>
      <c r="C365" s="8" t="s">
        <v>355</v>
      </c>
      <c r="D365" s="9">
        <v>11</v>
      </c>
      <c r="E365" s="9">
        <v>2025</v>
      </c>
      <c r="F365" s="10">
        <v>45962</v>
      </c>
      <c r="G365" s="11">
        <v>18441.84</v>
      </c>
      <c r="H365">
        <f>_xlfn.XLOOKUP(C365,'COA Translation'!A:A,'COA Translation'!B:B)</f>
        <v>0</v>
      </c>
      <c r="I365">
        <f>_xlfn.XLOOKUP(C365,'COA Translation'!A:A,'COA Translation'!C:C)</f>
        <v>0</v>
      </c>
      <c r="J365" t="str">
        <f>_xlfn.XLOOKUP(C365,'COA Translation'!A:A,'COA Translation'!E:E)</f>
        <v>TOTAL</v>
      </c>
    </row>
    <row r="366" spans="1:10" x14ac:dyDescent="0.3">
      <c r="A366" s="7" t="s">
        <v>145</v>
      </c>
      <c r="B366" s="8" t="s">
        <v>336</v>
      </c>
      <c r="C366" s="8" t="s">
        <v>355</v>
      </c>
      <c r="D366" s="9">
        <v>12</v>
      </c>
      <c r="E366" s="9">
        <v>2025</v>
      </c>
      <c r="F366" s="10">
        <v>45992</v>
      </c>
      <c r="G366" s="11">
        <v>20392.98</v>
      </c>
      <c r="H366">
        <f>_xlfn.XLOOKUP(C366,'COA Translation'!A:A,'COA Translation'!B:B)</f>
        <v>0</v>
      </c>
      <c r="I366">
        <f>_xlfn.XLOOKUP(C366,'COA Translation'!A:A,'COA Translation'!C:C)</f>
        <v>0</v>
      </c>
      <c r="J366" t="str">
        <f>_xlfn.XLOOKUP(C366,'COA Translation'!A:A,'COA Translation'!E:E)</f>
        <v>TOTAL</v>
      </c>
    </row>
    <row r="367" spans="1:10" x14ac:dyDescent="0.3">
      <c r="A367" s="7" t="s">
        <v>145</v>
      </c>
      <c r="B367" s="8" t="s">
        <v>336</v>
      </c>
      <c r="C367" s="8" t="s">
        <v>355</v>
      </c>
      <c r="D367" s="9">
        <v>1</v>
      </c>
      <c r="E367" s="9">
        <v>2026</v>
      </c>
      <c r="F367" s="10">
        <v>46023</v>
      </c>
      <c r="G367" s="11">
        <v>19762.760000000002</v>
      </c>
      <c r="H367">
        <f>_xlfn.XLOOKUP(C367,'COA Translation'!A:A,'COA Translation'!B:B)</f>
        <v>0</v>
      </c>
      <c r="I367">
        <f>_xlfn.XLOOKUP(C367,'COA Translation'!A:A,'COA Translation'!C:C)</f>
        <v>0</v>
      </c>
      <c r="J367" t="str">
        <f>_xlfn.XLOOKUP(C367,'COA Translation'!A:A,'COA Translation'!E:E)</f>
        <v>TOTAL</v>
      </c>
    </row>
    <row r="368" spans="1:10" x14ac:dyDescent="0.3">
      <c r="A368" s="7" t="s">
        <v>145</v>
      </c>
      <c r="B368" s="8" t="s">
        <v>336</v>
      </c>
      <c r="C368" s="8" t="s">
        <v>356</v>
      </c>
      <c r="D368" s="9">
        <v>2</v>
      </c>
      <c r="E368" s="9">
        <v>2025</v>
      </c>
      <c r="F368" s="10">
        <v>45689</v>
      </c>
      <c r="G368" s="11">
        <v>18839.05</v>
      </c>
      <c r="H368">
        <f>_xlfn.XLOOKUP(C368,'COA Translation'!A:A,'COA Translation'!B:B)</f>
        <v>0</v>
      </c>
      <c r="I368" t="str">
        <f>_xlfn.XLOOKUP(C368,'COA Translation'!A:A,'COA Translation'!C:C)</f>
        <v>Total Operating Expense</v>
      </c>
      <c r="J368" t="str">
        <f>_xlfn.XLOOKUP(C368,'COA Translation'!A:A,'COA Translation'!E:E)</f>
        <v>TOTAL</v>
      </c>
    </row>
    <row r="369" spans="1:10" x14ac:dyDescent="0.3">
      <c r="A369" s="7" t="s">
        <v>145</v>
      </c>
      <c r="B369" s="8" t="s">
        <v>336</v>
      </c>
      <c r="C369" s="8" t="s">
        <v>356</v>
      </c>
      <c r="D369" s="9">
        <v>3</v>
      </c>
      <c r="E369" s="9">
        <v>2025</v>
      </c>
      <c r="F369" s="10">
        <v>45717</v>
      </c>
      <c r="G369" s="11">
        <v>21726.78</v>
      </c>
      <c r="H369">
        <f>_xlfn.XLOOKUP(C369,'COA Translation'!A:A,'COA Translation'!B:B)</f>
        <v>0</v>
      </c>
      <c r="I369" t="str">
        <f>_xlfn.XLOOKUP(C369,'COA Translation'!A:A,'COA Translation'!C:C)</f>
        <v>Total Operating Expense</v>
      </c>
      <c r="J369" t="str">
        <f>_xlfn.XLOOKUP(C369,'COA Translation'!A:A,'COA Translation'!E:E)</f>
        <v>TOTAL</v>
      </c>
    </row>
    <row r="370" spans="1:10" x14ac:dyDescent="0.3">
      <c r="A370" s="7" t="s">
        <v>145</v>
      </c>
      <c r="B370" s="8" t="s">
        <v>336</v>
      </c>
      <c r="C370" s="8" t="s">
        <v>356</v>
      </c>
      <c r="D370" s="9">
        <v>4</v>
      </c>
      <c r="E370" s="9">
        <v>2025</v>
      </c>
      <c r="F370" s="10">
        <v>45748</v>
      </c>
      <c r="G370" s="11">
        <v>17677.270000000008</v>
      </c>
      <c r="H370">
        <f>_xlfn.XLOOKUP(C370,'COA Translation'!A:A,'COA Translation'!B:B)</f>
        <v>0</v>
      </c>
      <c r="I370" t="str">
        <f>_xlfn.XLOOKUP(C370,'COA Translation'!A:A,'COA Translation'!C:C)</f>
        <v>Total Operating Expense</v>
      </c>
      <c r="J370" t="str">
        <f>_xlfn.XLOOKUP(C370,'COA Translation'!A:A,'COA Translation'!E:E)</f>
        <v>TOTAL</v>
      </c>
    </row>
    <row r="371" spans="1:10" x14ac:dyDescent="0.3">
      <c r="A371" s="7" t="s">
        <v>145</v>
      </c>
      <c r="B371" s="8" t="s">
        <v>336</v>
      </c>
      <c r="C371" s="8" t="s">
        <v>356</v>
      </c>
      <c r="D371" s="9">
        <v>5</v>
      </c>
      <c r="E371" s="9">
        <v>2025</v>
      </c>
      <c r="F371" s="10">
        <v>45778</v>
      </c>
      <c r="G371" s="11">
        <v>24117.509999999995</v>
      </c>
      <c r="H371">
        <f>_xlfn.XLOOKUP(C371,'COA Translation'!A:A,'COA Translation'!B:B)</f>
        <v>0</v>
      </c>
      <c r="I371" t="str">
        <f>_xlfn.XLOOKUP(C371,'COA Translation'!A:A,'COA Translation'!C:C)</f>
        <v>Total Operating Expense</v>
      </c>
      <c r="J371" t="str">
        <f>_xlfn.XLOOKUP(C371,'COA Translation'!A:A,'COA Translation'!E:E)</f>
        <v>TOTAL</v>
      </c>
    </row>
    <row r="372" spans="1:10" x14ac:dyDescent="0.3">
      <c r="A372" s="7" t="s">
        <v>145</v>
      </c>
      <c r="B372" s="8" t="s">
        <v>336</v>
      </c>
      <c r="C372" s="8" t="s">
        <v>356</v>
      </c>
      <c r="D372" s="9">
        <v>6</v>
      </c>
      <c r="E372" s="9">
        <v>2025</v>
      </c>
      <c r="F372" s="10">
        <v>45809</v>
      </c>
      <c r="G372" s="11">
        <v>22948.639999999996</v>
      </c>
      <c r="H372">
        <f>_xlfn.XLOOKUP(C372,'COA Translation'!A:A,'COA Translation'!B:B)</f>
        <v>0</v>
      </c>
      <c r="I372" t="str">
        <f>_xlfn.XLOOKUP(C372,'COA Translation'!A:A,'COA Translation'!C:C)</f>
        <v>Total Operating Expense</v>
      </c>
      <c r="J372" t="str">
        <f>_xlfn.XLOOKUP(C372,'COA Translation'!A:A,'COA Translation'!E:E)</f>
        <v>TOTAL</v>
      </c>
    </row>
    <row r="373" spans="1:10" x14ac:dyDescent="0.3">
      <c r="A373" s="7" t="s">
        <v>145</v>
      </c>
      <c r="B373" s="8" t="s">
        <v>336</v>
      </c>
      <c r="C373" s="8" t="s">
        <v>356</v>
      </c>
      <c r="D373" s="9">
        <v>7</v>
      </c>
      <c r="E373" s="9">
        <v>2025</v>
      </c>
      <c r="F373" s="10">
        <v>45839</v>
      </c>
      <c r="G373" s="11">
        <v>33105.959999999992</v>
      </c>
      <c r="H373">
        <f>_xlfn.XLOOKUP(C373,'COA Translation'!A:A,'COA Translation'!B:B)</f>
        <v>0</v>
      </c>
      <c r="I373" t="str">
        <f>_xlfn.XLOOKUP(C373,'COA Translation'!A:A,'COA Translation'!C:C)</f>
        <v>Total Operating Expense</v>
      </c>
      <c r="J373" t="str">
        <f>_xlfn.XLOOKUP(C373,'COA Translation'!A:A,'COA Translation'!E:E)</f>
        <v>TOTAL</v>
      </c>
    </row>
    <row r="374" spans="1:10" x14ac:dyDescent="0.3">
      <c r="A374" s="7" t="s">
        <v>145</v>
      </c>
      <c r="B374" s="8" t="s">
        <v>336</v>
      </c>
      <c r="C374" s="8" t="s">
        <v>356</v>
      </c>
      <c r="D374" s="9">
        <v>8</v>
      </c>
      <c r="E374" s="9">
        <v>2025</v>
      </c>
      <c r="F374" s="10">
        <v>45870</v>
      </c>
      <c r="G374" s="11">
        <v>28472.7</v>
      </c>
      <c r="H374">
        <f>_xlfn.XLOOKUP(C374,'COA Translation'!A:A,'COA Translation'!B:B)</f>
        <v>0</v>
      </c>
      <c r="I374" t="str">
        <f>_xlfn.XLOOKUP(C374,'COA Translation'!A:A,'COA Translation'!C:C)</f>
        <v>Total Operating Expense</v>
      </c>
      <c r="J374" t="str">
        <f>_xlfn.XLOOKUP(C374,'COA Translation'!A:A,'COA Translation'!E:E)</f>
        <v>TOTAL</v>
      </c>
    </row>
    <row r="375" spans="1:10" x14ac:dyDescent="0.3">
      <c r="A375" s="7" t="s">
        <v>145</v>
      </c>
      <c r="B375" s="8" t="s">
        <v>336</v>
      </c>
      <c r="C375" s="8" t="s">
        <v>356</v>
      </c>
      <c r="D375" s="9">
        <v>9</v>
      </c>
      <c r="E375" s="9">
        <v>2025</v>
      </c>
      <c r="F375" s="10">
        <v>45901</v>
      </c>
      <c r="G375" s="11">
        <v>28358.149999999994</v>
      </c>
      <c r="H375">
        <f>_xlfn.XLOOKUP(C375,'COA Translation'!A:A,'COA Translation'!B:B)</f>
        <v>0</v>
      </c>
      <c r="I375" t="str">
        <f>_xlfn.XLOOKUP(C375,'COA Translation'!A:A,'COA Translation'!C:C)</f>
        <v>Total Operating Expense</v>
      </c>
      <c r="J375" t="str">
        <f>_xlfn.XLOOKUP(C375,'COA Translation'!A:A,'COA Translation'!E:E)</f>
        <v>TOTAL</v>
      </c>
    </row>
    <row r="376" spans="1:10" x14ac:dyDescent="0.3">
      <c r="A376" s="7" t="s">
        <v>145</v>
      </c>
      <c r="B376" s="8" t="s">
        <v>336</v>
      </c>
      <c r="C376" s="8" t="s">
        <v>356</v>
      </c>
      <c r="D376" s="9">
        <v>10</v>
      </c>
      <c r="E376" s="9">
        <v>2025</v>
      </c>
      <c r="F376" s="10">
        <v>45931</v>
      </c>
      <c r="G376" s="11">
        <v>21732.120000000003</v>
      </c>
      <c r="H376">
        <f>_xlfn.XLOOKUP(C376,'COA Translation'!A:A,'COA Translation'!B:B)</f>
        <v>0</v>
      </c>
      <c r="I376" t="str">
        <f>_xlfn.XLOOKUP(C376,'COA Translation'!A:A,'COA Translation'!C:C)</f>
        <v>Total Operating Expense</v>
      </c>
      <c r="J376" t="str">
        <f>_xlfn.XLOOKUP(C376,'COA Translation'!A:A,'COA Translation'!E:E)</f>
        <v>TOTAL</v>
      </c>
    </row>
    <row r="377" spans="1:10" x14ac:dyDescent="0.3">
      <c r="A377" s="7" t="s">
        <v>145</v>
      </c>
      <c r="B377" s="8" t="s">
        <v>336</v>
      </c>
      <c r="C377" s="8" t="s">
        <v>356</v>
      </c>
      <c r="D377" s="9">
        <v>11</v>
      </c>
      <c r="E377" s="9">
        <v>2025</v>
      </c>
      <c r="F377" s="10">
        <v>45962</v>
      </c>
      <c r="G377" s="11">
        <v>22635.18</v>
      </c>
      <c r="H377">
        <f>_xlfn.XLOOKUP(C377,'COA Translation'!A:A,'COA Translation'!B:B)</f>
        <v>0</v>
      </c>
      <c r="I377" t="str">
        <f>_xlfn.XLOOKUP(C377,'COA Translation'!A:A,'COA Translation'!C:C)</f>
        <v>Total Operating Expense</v>
      </c>
      <c r="J377" t="str">
        <f>_xlfn.XLOOKUP(C377,'COA Translation'!A:A,'COA Translation'!E:E)</f>
        <v>TOTAL</v>
      </c>
    </row>
    <row r="378" spans="1:10" x14ac:dyDescent="0.3">
      <c r="A378" s="7" t="s">
        <v>145</v>
      </c>
      <c r="B378" s="8" t="s">
        <v>336</v>
      </c>
      <c r="C378" s="8" t="s">
        <v>356</v>
      </c>
      <c r="D378" s="9">
        <v>12</v>
      </c>
      <c r="E378" s="9">
        <v>2025</v>
      </c>
      <c r="F378" s="10">
        <v>45992</v>
      </c>
      <c r="G378" s="11">
        <v>24879.64</v>
      </c>
      <c r="H378">
        <f>_xlfn.XLOOKUP(C378,'COA Translation'!A:A,'COA Translation'!B:B)</f>
        <v>0</v>
      </c>
      <c r="I378" t="str">
        <f>_xlfn.XLOOKUP(C378,'COA Translation'!A:A,'COA Translation'!C:C)</f>
        <v>Total Operating Expense</v>
      </c>
      <c r="J378" t="str">
        <f>_xlfn.XLOOKUP(C378,'COA Translation'!A:A,'COA Translation'!E:E)</f>
        <v>TOTAL</v>
      </c>
    </row>
    <row r="379" spans="1:10" x14ac:dyDescent="0.3">
      <c r="A379" s="7" t="s">
        <v>145</v>
      </c>
      <c r="B379" s="8" t="s">
        <v>336</v>
      </c>
      <c r="C379" s="8" t="s">
        <v>356</v>
      </c>
      <c r="D379" s="9">
        <v>1</v>
      </c>
      <c r="E379" s="9">
        <v>2026</v>
      </c>
      <c r="F379" s="10">
        <v>46023</v>
      </c>
      <c r="G379" s="11">
        <v>24338.47</v>
      </c>
      <c r="H379">
        <f>_xlfn.XLOOKUP(C379,'COA Translation'!A:A,'COA Translation'!B:B)</f>
        <v>0</v>
      </c>
      <c r="I379" t="str">
        <f>_xlfn.XLOOKUP(C379,'COA Translation'!A:A,'COA Translation'!C:C)</f>
        <v>Total Operating Expense</v>
      </c>
      <c r="J379" t="str">
        <f>_xlfn.XLOOKUP(C379,'COA Translation'!A:A,'COA Translation'!E:E)</f>
        <v>TOTAL</v>
      </c>
    </row>
    <row r="380" spans="1:10" x14ac:dyDescent="0.3">
      <c r="A380" s="7" t="s">
        <v>145</v>
      </c>
      <c r="B380" s="8" t="s">
        <v>336</v>
      </c>
      <c r="C380" s="8" t="s">
        <v>38</v>
      </c>
      <c r="D380" s="9">
        <v>2</v>
      </c>
      <c r="E380" s="9">
        <v>2025</v>
      </c>
      <c r="F380" s="10">
        <v>45689</v>
      </c>
      <c r="G380" s="11">
        <v>28284.559999999994</v>
      </c>
      <c r="H380">
        <f>_xlfn.XLOOKUP(C380,'COA Translation'!A:A,'COA Translation'!B:B)</f>
        <v>0</v>
      </c>
      <c r="I380" t="str">
        <f>_xlfn.XLOOKUP(C380,'COA Translation'!A:A,'COA Translation'!C:C)</f>
        <v>Net Operating Income</v>
      </c>
      <c r="J380" t="str">
        <f>_xlfn.XLOOKUP(C380,'COA Translation'!A:A,'COA Translation'!E:E)</f>
        <v>TOTAL</v>
      </c>
    </row>
    <row r="381" spans="1:10" x14ac:dyDescent="0.3">
      <c r="A381" s="7" t="s">
        <v>145</v>
      </c>
      <c r="B381" s="8" t="s">
        <v>336</v>
      </c>
      <c r="C381" s="8" t="s">
        <v>38</v>
      </c>
      <c r="D381" s="9">
        <v>3</v>
      </c>
      <c r="E381" s="9">
        <v>2025</v>
      </c>
      <c r="F381" s="10">
        <v>45717</v>
      </c>
      <c r="G381" s="11">
        <v>33490.070000000007</v>
      </c>
      <c r="H381">
        <f>_xlfn.XLOOKUP(C381,'COA Translation'!A:A,'COA Translation'!B:B)</f>
        <v>0</v>
      </c>
      <c r="I381" t="str">
        <f>_xlfn.XLOOKUP(C381,'COA Translation'!A:A,'COA Translation'!C:C)</f>
        <v>Net Operating Income</v>
      </c>
      <c r="J381" t="str">
        <f>_xlfn.XLOOKUP(C381,'COA Translation'!A:A,'COA Translation'!E:E)</f>
        <v>TOTAL</v>
      </c>
    </row>
    <row r="382" spans="1:10" x14ac:dyDescent="0.3">
      <c r="A382" s="7" t="s">
        <v>145</v>
      </c>
      <c r="B382" s="8" t="s">
        <v>336</v>
      </c>
      <c r="C382" s="8" t="s">
        <v>38</v>
      </c>
      <c r="D382" s="9">
        <v>4</v>
      </c>
      <c r="E382" s="9">
        <v>2025</v>
      </c>
      <c r="F382" s="10">
        <v>45748</v>
      </c>
      <c r="G382" s="11">
        <v>43409.45</v>
      </c>
      <c r="H382">
        <f>_xlfn.XLOOKUP(C382,'COA Translation'!A:A,'COA Translation'!B:B)</f>
        <v>0</v>
      </c>
      <c r="I382" t="str">
        <f>_xlfn.XLOOKUP(C382,'COA Translation'!A:A,'COA Translation'!C:C)</f>
        <v>Net Operating Income</v>
      </c>
      <c r="J382" t="str">
        <f>_xlfn.XLOOKUP(C382,'COA Translation'!A:A,'COA Translation'!E:E)</f>
        <v>TOTAL</v>
      </c>
    </row>
    <row r="383" spans="1:10" x14ac:dyDescent="0.3">
      <c r="A383" s="7" t="s">
        <v>145</v>
      </c>
      <c r="B383" s="8" t="s">
        <v>336</v>
      </c>
      <c r="C383" s="8" t="s">
        <v>38</v>
      </c>
      <c r="D383" s="9">
        <v>5</v>
      </c>
      <c r="E383" s="9">
        <v>2025</v>
      </c>
      <c r="F383" s="10">
        <v>45778</v>
      </c>
      <c r="G383" s="11">
        <v>44290.59</v>
      </c>
      <c r="H383">
        <f>_xlfn.XLOOKUP(C383,'COA Translation'!A:A,'COA Translation'!B:B)</f>
        <v>0</v>
      </c>
      <c r="I383" t="str">
        <f>_xlfn.XLOOKUP(C383,'COA Translation'!A:A,'COA Translation'!C:C)</f>
        <v>Net Operating Income</v>
      </c>
      <c r="J383" t="str">
        <f>_xlfn.XLOOKUP(C383,'COA Translation'!A:A,'COA Translation'!E:E)</f>
        <v>TOTAL</v>
      </c>
    </row>
    <row r="384" spans="1:10" x14ac:dyDescent="0.3">
      <c r="A384" s="7" t="s">
        <v>145</v>
      </c>
      <c r="B384" s="8" t="s">
        <v>336</v>
      </c>
      <c r="C384" s="8" t="s">
        <v>38</v>
      </c>
      <c r="D384" s="9">
        <v>6</v>
      </c>
      <c r="E384" s="9">
        <v>2025</v>
      </c>
      <c r="F384" s="10">
        <v>45809</v>
      </c>
      <c r="G384" s="11">
        <v>49699.69</v>
      </c>
      <c r="H384">
        <f>_xlfn.XLOOKUP(C384,'COA Translation'!A:A,'COA Translation'!B:B)</f>
        <v>0</v>
      </c>
      <c r="I384" t="str">
        <f>_xlfn.XLOOKUP(C384,'COA Translation'!A:A,'COA Translation'!C:C)</f>
        <v>Net Operating Income</v>
      </c>
      <c r="J384" t="str">
        <f>_xlfn.XLOOKUP(C384,'COA Translation'!A:A,'COA Translation'!E:E)</f>
        <v>TOTAL</v>
      </c>
    </row>
    <row r="385" spans="1:10" x14ac:dyDescent="0.3">
      <c r="A385" s="7" t="s">
        <v>145</v>
      </c>
      <c r="B385" s="8" t="s">
        <v>336</v>
      </c>
      <c r="C385" s="8" t="s">
        <v>38</v>
      </c>
      <c r="D385" s="9">
        <v>7</v>
      </c>
      <c r="E385" s="9">
        <v>2025</v>
      </c>
      <c r="F385" s="10">
        <v>45839</v>
      </c>
      <c r="G385" s="11">
        <v>46149.190000000017</v>
      </c>
      <c r="H385">
        <f>_xlfn.XLOOKUP(C385,'COA Translation'!A:A,'COA Translation'!B:B)</f>
        <v>0</v>
      </c>
      <c r="I385" t="str">
        <f>_xlfn.XLOOKUP(C385,'COA Translation'!A:A,'COA Translation'!C:C)</f>
        <v>Net Operating Income</v>
      </c>
      <c r="J385" t="str">
        <f>_xlfn.XLOOKUP(C385,'COA Translation'!A:A,'COA Translation'!E:E)</f>
        <v>TOTAL</v>
      </c>
    </row>
    <row r="386" spans="1:10" x14ac:dyDescent="0.3">
      <c r="A386" s="7" t="s">
        <v>145</v>
      </c>
      <c r="B386" s="8" t="s">
        <v>336</v>
      </c>
      <c r="C386" s="8" t="s">
        <v>38</v>
      </c>
      <c r="D386" s="9">
        <v>8</v>
      </c>
      <c r="E386" s="9">
        <v>2025</v>
      </c>
      <c r="F386" s="10">
        <v>45870</v>
      </c>
      <c r="G386" s="11">
        <v>54830.19</v>
      </c>
      <c r="H386">
        <f>_xlfn.XLOOKUP(C386,'COA Translation'!A:A,'COA Translation'!B:B)</f>
        <v>0</v>
      </c>
      <c r="I386" t="str">
        <f>_xlfn.XLOOKUP(C386,'COA Translation'!A:A,'COA Translation'!C:C)</f>
        <v>Net Operating Income</v>
      </c>
      <c r="J386" t="str">
        <f>_xlfn.XLOOKUP(C386,'COA Translation'!A:A,'COA Translation'!E:E)</f>
        <v>TOTAL</v>
      </c>
    </row>
    <row r="387" spans="1:10" x14ac:dyDescent="0.3">
      <c r="A387" s="7" t="s">
        <v>145</v>
      </c>
      <c r="B387" s="8" t="s">
        <v>336</v>
      </c>
      <c r="C387" s="8" t="s">
        <v>38</v>
      </c>
      <c r="D387" s="9">
        <v>9</v>
      </c>
      <c r="E387" s="9">
        <v>2025</v>
      </c>
      <c r="F387" s="10">
        <v>45901</v>
      </c>
      <c r="G387" s="11">
        <v>55741.41</v>
      </c>
      <c r="H387">
        <f>_xlfn.XLOOKUP(C387,'COA Translation'!A:A,'COA Translation'!B:B)</f>
        <v>0</v>
      </c>
      <c r="I387" t="str">
        <f>_xlfn.XLOOKUP(C387,'COA Translation'!A:A,'COA Translation'!C:C)</f>
        <v>Net Operating Income</v>
      </c>
      <c r="J387" t="str">
        <f>_xlfn.XLOOKUP(C387,'COA Translation'!A:A,'COA Translation'!E:E)</f>
        <v>TOTAL</v>
      </c>
    </row>
    <row r="388" spans="1:10" x14ac:dyDescent="0.3">
      <c r="A388" s="7" t="s">
        <v>145</v>
      </c>
      <c r="B388" s="8" t="s">
        <v>336</v>
      </c>
      <c r="C388" s="8" t="s">
        <v>38</v>
      </c>
      <c r="D388" s="9">
        <v>10</v>
      </c>
      <c r="E388" s="9">
        <v>2025</v>
      </c>
      <c r="F388" s="10">
        <v>45931</v>
      </c>
      <c r="G388" s="11">
        <v>67844.109999999986</v>
      </c>
      <c r="H388">
        <f>_xlfn.XLOOKUP(C388,'COA Translation'!A:A,'COA Translation'!B:B)</f>
        <v>0</v>
      </c>
      <c r="I388" t="str">
        <f>_xlfn.XLOOKUP(C388,'COA Translation'!A:A,'COA Translation'!C:C)</f>
        <v>Net Operating Income</v>
      </c>
      <c r="J388" t="str">
        <f>_xlfn.XLOOKUP(C388,'COA Translation'!A:A,'COA Translation'!E:E)</f>
        <v>TOTAL</v>
      </c>
    </row>
    <row r="389" spans="1:10" x14ac:dyDescent="0.3">
      <c r="A389" s="7" t="s">
        <v>145</v>
      </c>
      <c r="B389" s="8" t="s">
        <v>336</v>
      </c>
      <c r="C389" s="8" t="s">
        <v>38</v>
      </c>
      <c r="D389" s="9">
        <v>11</v>
      </c>
      <c r="E389" s="9">
        <v>2025</v>
      </c>
      <c r="F389" s="10">
        <v>45962</v>
      </c>
      <c r="G389" s="11">
        <v>69155.94</v>
      </c>
      <c r="H389">
        <f>_xlfn.XLOOKUP(C389,'COA Translation'!A:A,'COA Translation'!B:B)</f>
        <v>0</v>
      </c>
      <c r="I389" t="str">
        <f>_xlfn.XLOOKUP(C389,'COA Translation'!A:A,'COA Translation'!C:C)</f>
        <v>Net Operating Income</v>
      </c>
      <c r="J389" t="str">
        <f>_xlfn.XLOOKUP(C389,'COA Translation'!A:A,'COA Translation'!E:E)</f>
        <v>TOTAL</v>
      </c>
    </row>
    <row r="390" spans="1:10" x14ac:dyDescent="0.3">
      <c r="A390" s="7" t="s">
        <v>145</v>
      </c>
      <c r="B390" s="8" t="s">
        <v>336</v>
      </c>
      <c r="C390" s="8" t="s">
        <v>38</v>
      </c>
      <c r="D390" s="9">
        <v>12</v>
      </c>
      <c r="E390" s="9">
        <v>2025</v>
      </c>
      <c r="F390" s="10">
        <v>45992</v>
      </c>
      <c r="G390" s="11">
        <v>68290.2</v>
      </c>
      <c r="H390">
        <f>_xlfn.XLOOKUP(C390,'COA Translation'!A:A,'COA Translation'!B:B)</f>
        <v>0</v>
      </c>
      <c r="I390" t="str">
        <f>_xlfn.XLOOKUP(C390,'COA Translation'!A:A,'COA Translation'!C:C)</f>
        <v>Net Operating Income</v>
      </c>
      <c r="J390" t="str">
        <f>_xlfn.XLOOKUP(C390,'COA Translation'!A:A,'COA Translation'!E:E)</f>
        <v>TOTAL</v>
      </c>
    </row>
    <row r="391" spans="1:10" x14ac:dyDescent="0.3">
      <c r="A391" s="7" t="s">
        <v>145</v>
      </c>
      <c r="B391" s="8" t="s">
        <v>336</v>
      </c>
      <c r="C391" s="8" t="s">
        <v>38</v>
      </c>
      <c r="D391" s="9">
        <v>1</v>
      </c>
      <c r="E391" s="9">
        <v>2026</v>
      </c>
      <c r="F391" s="10">
        <v>46023</v>
      </c>
      <c r="G391" s="11">
        <v>73151.139999999985</v>
      </c>
      <c r="H391">
        <f>_xlfn.XLOOKUP(C391,'COA Translation'!A:A,'COA Translation'!B:B)</f>
        <v>0</v>
      </c>
      <c r="I391" t="str">
        <f>_xlfn.XLOOKUP(C391,'COA Translation'!A:A,'COA Translation'!C:C)</f>
        <v>Net Operating Income</v>
      </c>
      <c r="J391" t="str">
        <f>_xlfn.XLOOKUP(C391,'COA Translation'!A:A,'COA Translation'!E:E)</f>
        <v>TOTAL</v>
      </c>
    </row>
    <row r="392" spans="1:10" x14ac:dyDescent="0.3">
      <c r="A392" s="7"/>
      <c r="B392" s="8"/>
      <c r="C392" s="8"/>
      <c r="D392" s="9"/>
      <c r="E392" s="9"/>
      <c r="F392" s="10"/>
      <c r="G392" s="11"/>
    </row>
    <row r="393" spans="1:10" x14ac:dyDescent="0.3">
      <c r="A393" s="7"/>
      <c r="B393" s="8"/>
      <c r="C393" s="8"/>
      <c r="D393" s="9"/>
      <c r="E393" s="9"/>
      <c r="F393" s="10"/>
      <c r="G393" s="11"/>
    </row>
    <row r="394" spans="1:10" x14ac:dyDescent="0.3">
      <c r="A394" s="7"/>
      <c r="B394" s="8"/>
      <c r="C394" s="8"/>
      <c r="D394" s="9"/>
      <c r="E394" s="9"/>
      <c r="F394" s="10"/>
      <c r="G394" s="11"/>
    </row>
    <row r="395" spans="1:10" x14ac:dyDescent="0.3">
      <c r="A395" s="7"/>
      <c r="B395" s="8"/>
      <c r="C395" s="8"/>
      <c r="D395" s="9"/>
      <c r="E395" s="9"/>
      <c r="F395" s="10"/>
      <c r="G395" s="11"/>
    </row>
    <row r="396" spans="1:10" x14ac:dyDescent="0.3">
      <c r="A396" s="7"/>
      <c r="B396" s="8"/>
      <c r="C396" s="8"/>
      <c r="D396" s="9"/>
      <c r="E396" s="9"/>
      <c r="F396" s="10"/>
      <c r="G396" s="11"/>
    </row>
    <row r="397" spans="1:10" x14ac:dyDescent="0.3">
      <c r="A397" s="7"/>
      <c r="B397" s="8"/>
      <c r="C397" s="8"/>
      <c r="D397" s="9"/>
      <c r="E397" s="9"/>
      <c r="F397" s="10"/>
      <c r="G397" s="11"/>
    </row>
    <row r="398" spans="1:10" x14ac:dyDescent="0.3">
      <c r="A398" s="7"/>
      <c r="B398" s="8"/>
      <c r="C398" s="8"/>
      <c r="D398" s="9"/>
      <c r="E398" s="9"/>
      <c r="F398" s="10"/>
      <c r="G398" s="11"/>
    </row>
    <row r="399" spans="1:10" x14ac:dyDescent="0.3">
      <c r="A399" s="7"/>
      <c r="B399" s="8"/>
      <c r="C399" s="8"/>
      <c r="D399" s="9"/>
      <c r="E399" s="9"/>
      <c r="F399" s="10"/>
      <c r="G399" s="11"/>
    </row>
    <row r="400" spans="1:10" x14ac:dyDescent="0.3">
      <c r="A400" s="7"/>
      <c r="B400" s="8"/>
      <c r="C400" s="8"/>
      <c r="D400" s="9"/>
      <c r="E400" s="9"/>
      <c r="F400" s="10"/>
      <c r="G400" s="11"/>
    </row>
    <row r="401" spans="1:7" x14ac:dyDescent="0.3">
      <c r="A401" s="7"/>
      <c r="B401" s="8"/>
      <c r="C401" s="8"/>
      <c r="D401" s="9"/>
      <c r="E401" s="9"/>
      <c r="F401" s="10"/>
      <c r="G401" s="11"/>
    </row>
    <row r="402" spans="1:7" x14ac:dyDescent="0.3">
      <c r="A402" s="7"/>
      <c r="B402" s="8"/>
      <c r="C402" s="8"/>
      <c r="D402" s="9"/>
      <c r="E402" s="9"/>
      <c r="F402" s="10"/>
      <c r="G402" s="11"/>
    </row>
    <row r="403" spans="1:7" x14ac:dyDescent="0.3">
      <c r="A403" s="7"/>
      <c r="B403" s="8"/>
      <c r="C403" s="8"/>
      <c r="D403" s="9"/>
      <c r="E403" s="9"/>
      <c r="F403" s="10"/>
      <c r="G403" s="11"/>
    </row>
    <row r="404" spans="1:7" x14ac:dyDescent="0.3">
      <c r="A404" s="7"/>
      <c r="B404" s="8"/>
      <c r="C404" s="8"/>
      <c r="D404" s="9"/>
      <c r="E404" s="9"/>
      <c r="F404" s="10"/>
      <c r="G404" s="11"/>
    </row>
    <row r="405" spans="1:7" x14ac:dyDescent="0.3">
      <c r="A405" s="7"/>
      <c r="B405" s="8"/>
      <c r="C405" s="8"/>
      <c r="D405" s="9"/>
      <c r="E405" s="9"/>
      <c r="F405" s="10"/>
      <c r="G405" s="11"/>
    </row>
    <row r="406" spans="1:7" x14ac:dyDescent="0.3">
      <c r="A406" s="7"/>
      <c r="B406" s="8"/>
      <c r="C406" s="8"/>
      <c r="D406" s="9"/>
      <c r="E406" s="9"/>
      <c r="F406" s="10"/>
      <c r="G406" s="11"/>
    </row>
    <row r="407" spans="1:7" x14ac:dyDescent="0.3">
      <c r="A407" s="7"/>
      <c r="B407" s="8"/>
      <c r="C407" s="8"/>
      <c r="D407" s="9"/>
      <c r="E407" s="9"/>
      <c r="F407" s="10"/>
      <c r="G407" s="11"/>
    </row>
    <row r="408" spans="1:7" x14ac:dyDescent="0.3">
      <c r="A408" s="7"/>
      <c r="B408" s="8"/>
      <c r="C408" s="8"/>
      <c r="D408" s="9"/>
      <c r="E408" s="9"/>
      <c r="F408" s="10"/>
      <c r="G408" s="11"/>
    </row>
    <row r="409" spans="1:7" x14ac:dyDescent="0.3">
      <c r="A409" s="7"/>
      <c r="B409" s="8"/>
      <c r="C409" s="8"/>
      <c r="D409" s="9"/>
      <c r="E409" s="9"/>
      <c r="F409" s="10"/>
      <c r="G409" s="11"/>
    </row>
    <row r="410" spans="1:7" x14ac:dyDescent="0.3">
      <c r="A410" s="7"/>
      <c r="B410" s="8"/>
      <c r="C410" s="8"/>
      <c r="D410" s="9"/>
      <c r="E410" s="9"/>
      <c r="F410" s="10"/>
      <c r="G410" s="11"/>
    </row>
    <row r="411" spans="1:7" x14ac:dyDescent="0.3">
      <c r="A411" s="7"/>
      <c r="B411" s="8"/>
      <c r="C411" s="8"/>
      <c r="D411" s="9"/>
      <c r="E411" s="9"/>
      <c r="F411" s="10"/>
      <c r="G411" s="11"/>
    </row>
    <row r="412" spans="1:7" x14ac:dyDescent="0.3">
      <c r="A412" s="7"/>
      <c r="B412" s="8"/>
      <c r="C412" s="8"/>
      <c r="D412" s="9"/>
      <c r="E412" s="9"/>
      <c r="F412" s="10"/>
      <c r="G412" s="11"/>
    </row>
    <row r="413" spans="1:7" x14ac:dyDescent="0.3">
      <c r="A413" s="7"/>
      <c r="B413" s="8"/>
      <c r="C413" s="8"/>
      <c r="D413" s="9"/>
      <c r="E413" s="9"/>
      <c r="F413" s="10"/>
      <c r="G413" s="11"/>
    </row>
    <row r="414" spans="1:7" x14ac:dyDescent="0.3">
      <c r="A414" s="7"/>
      <c r="B414" s="8"/>
      <c r="C414" s="8"/>
      <c r="D414" s="9"/>
      <c r="E414" s="9"/>
      <c r="F414" s="10"/>
      <c r="G414" s="11"/>
    </row>
    <row r="415" spans="1:7" x14ac:dyDescent="0.3">
      <c r="A415" s="7"/>
      <c r="B415" s="8"/>
      <c r="C415" s="8"/>
      <c r="D415" s="9"/>
      <c r="E415" s="9"/>
      <c r="F415" s="10"/>
      <c r="G415" s="11"/>
    </row>
    <row r="416" spans="1:7" x14ac:dyDescent="0.3">
      <c r="A416" s="7"/>
      <c r="B416" s="8"/>
      <c r="C416" s="8"/>
      <c r="D416" s="9"/>
      <c r="E416" s="9"/>
      <c r="F416" s="10"/>
      <c r="G416" s="11"/>
    </row>
    <row r="417" spans="1:7" x14ac:dyDescent="0.3">
      <c r="A417" s="7"/>
      <c r="B417" s="8"/>
      <c r="C417" s="8"/>
      <c r="D417" s="9"/>
      <c r="E417" s="9"/>
      <c r="F417" s="10"/>
      <c r="G417" s="11"/>
    </row>
    <row r="418" spans="1:7" x14ac:dyDescent="0.3">
      <c r="A418" s="7"/>
      <c r="B418" s="8"/>
      <c r="C418" s="8"/>
      <c r="D418" s="9"/>
      <c r="E418" s="9"/>
      <c r="F418" s="10"/>
      <c r="G418" s="11"/>
    </row>
    <row r="419" spans="1:7" x14ac:dyDescent="0.3">
      <c r="A419" s="7"/>
      <c r="B419" s="8"/>
      <c r="C419" s="8"/>
      <c r="D419" s="9"/>
      <c r="E419" s="9"/>
      <c r="F419" s="10"/>
      <c r="G419" s="11"/>
    </row>
    <row r="420" spans="1:7" x14ac:dyDescent="0.3">
      <c r="A420" s="7"/>
      <c r="B420" s="8"/>
      <c r="C420" s="8"/>
      <c r="D420" s="9"/>
      <c r="E420" s="9"/>
      <c r="F420" s="10"/>
      <c r="G420" s="11"/>
    </row>
    <row r="421" spans="1:7" x14ac:dyDescent="0.3">
      <c r="A421" s="7"/>
      <c r="B421" s="8"/>
      <c r="C421" s="8"/>
      <c r="D421" s="9"/>
      <c r="E421" s="9"/>
      <c r="F421" s="10"/>
      <c r="G421" s="11"/>
    </row>
    <row r="422" spans="1:7" x14ac:dyDescent="0.3">
      <c r="A422" s="7"/>
      <c r="B422" s="8"/>
      <c r="C422" s="8"/>
      <c r="D422" s="9"/>
      <c r="E422" s="9"/>
      <c r="F422" s="10"/>
      <c r="G422" s="11"/>
    </row>
    <row r="423" spans="1:7" x14ac:dyDescent="0.3">
      <c r="A423" s="7"/>
      <c r="B423" s="8"/>
      <c r="C423" s="8"/>
      <c r="D423" s="9"/>
      <c r="E423" s="9"/>
      <c r="F423" s="10"/>
      <c r="G423" s="11"/>
    </row>
    <row r="424" spans="1:7" x14ac:dyDescent="0.3">
      <c r="A424" s="7"/>
      <c r="B424" s="8"/>
      <c r="C424" s="8"/>
      <c r="D424" s="9"/>
      <c r="E424" s="9"/>
      <c r="F424" s="10"/>
      <c r="G424" s="11"/>
    </row>
    <row r="425" spans="1:7" x14ac:dyDescent="0.3">
      <c r="A425" s="7"/>
      <c r="B425" s="8"/>
      <c r="C425" s="8"/>
      <c r="D425" s="9"/>
      <c r="E425" s="9"/>
      <c r="F425" s="10"/>
      <c r="G425" s="11"/>
    </row>
    <row r="426" spans="1:7" x14ac:dyDescent="0.3">
      <c r="A426" s="7"/>
      <c r="B426" s="8"/>
      <c r="C426" s="8"/>
      <c r="D426" s="9"/>
      <c r="E426" s="9"/>
      <c r="F426" s="10"/>
      <c r="G426" s="11"/>
    </row>
    <row r="427" spans="1:7" x14ac:dyDescent="0.3">
      <c r="A427" s="7"/>
      <c r="B427" s="8"/>
      <c r="C427" s="8"/>
      <c r="D427" s="9"/>
      <c r="E427" s="9"/>
      <c r="F427" s="10"/>
      <c r="G427" s="11"/>
    </row>
    <row r="428" spans="1:7" x14ac:dyDescent="0.3">
      <c r="A428" s="7"/>
      <c r="B428" s="8"/>
      <c r="C428" s="8"/>
      <c r="D428" s="9"/>
      <c r="E428" s="9"/>
      <c r="F428" s="10"/>
      <c r="G428" s="11"/>
    </row>
    <row r="429" spans="1:7" x14ac:dyDescent="0.3">
      <c r="A429" s="7"/>
      <c r="B429" s="8"/>
      <c r="C429" s="8"/>
      <c r="D429" s="9"/>
      <c r="E429" s="9"/>
      <c r="F429" s="10"/>
      <c r="G429" s="11"/>
    </row>
    <row r="430" spans="1:7" x14ac:dyDescent="0.3">
      <c r="A430" s="7"/>
      <c r="B430" s="8"/>
      <c r="C430" s="8"/>
      <c r="D430" s="9"/>
      <c r="E430" s="9"/>
      <c r="F430" s="10"/>
      <c r="G430" s="11"/>
    </row>
    <row r="431" spans="1:7" x14ac:dyDescent="0.3">
      <c r="A431" s="7"/>
      <c r="B431" s="8"/>
      <c r="C431" s="8"/>
      <c r="D431" s="9"/>
      <c r="E431" s="9"/>
      <c r="F431" s="10"/>
      <c r="G431" s="11"/>
    </row>
    <row r="432" spans="1:7" x14ac:dyDescent="0.3">
      <c r="A432" s="7"/>
      <c r="B432" s="8"/>
      <c r="C432" s="8"/>
      <c r="D432" s="9"/>
      <c r="E432" s="9"/>
      <c r="F432" s="10"/>
      <c r="G432" s="11"/>
    </row>
    <row r="433" spans="1:7" x14ac:dyDescent="0.3">
      <c r="A433" s="7"/>
      <c r="B433" s="8"/>
      <c r="C433" s="8"/>
      <c r="D433" s="9"/>
      <c r="E433" s="9"/>
      <c r="F433" s="10"/>
      <c r="G433" s="11"/>
    </row>
    <row r="434" spans="1:7" x14ac:dyDescent="0.3">
      <c r="A434" s="7"/>
      <c r="B434" s="8"/>
      <c r="C434" s="8"/>
      <c r="D434" s="9"/>
      <c r="E434" s="9"/>
      <c r="F434" s="10"/>
      <c r="G434" s="11"/>
    </row>
    <row r="435" spans="1:7" x14ac:dyDescent="0.3">
      <c r="A435" s="7"/>
      <c r="B435" s="8"/>
      <c r="C435" s="8"/>
      <c r="D435" s="9"/>
      <c r="E435" s="9"/>
      <c r="F435" s="10"/>
      <c r="G435" s="11"/>
    </row>
    <row r="436" spans="1:7" x14ac:dyDescent="0.3">
      <c r="A436" s="7"/>
      <c r="B436" s="8"/>
      <c r="C436" s="8"/>
      <c r="D436" s="9"/>
      <c r="E436" s="9"/>
      <c r="F436" s="10"/>
      <c r="G436" s="11"/>
    </row>
    <row r="437" spans="1:7" x14ac:dyDescent="0.3">
      <c r="A437" s="7"/>
      <c r="B437" s="8"/>
      <c r="C437" s="8"/>
      <c r="D437" s="9"/>
      <c r="E437" s="9"/>
      <c r="F437" s="10"/>
      <c r="G437" s="11"/>
    </row>
    <row r="438" spans="1:7" x14ac:dyDescent="0.3">
      <c r="A438" s="7"/>
      <c r="B438" s="8"/>
      <c r="C438" s="8"/>
      <c r="D438" s="9"/>
      <c r="E438" s="9"/>
      <c r="F438" s="10"/>
      <c r="G438" s="11"/>
    </row>
    <row r="439" spans="1:7" x14ac:dyDescent="0.3">
      <c r="A439" s="7"/>
      <c r="B439" s="8"/>
      <c r="C439" s="8"/>
      <c r="D439" s="9"/>
      <c r="E439" s="9"/>
      <c r="F439" s="10"/>
      <c r="G439" s="11"/>
    </row>
    <row r="440" spans="1:7" x14ac:dyDescent="0.3">
      <c r="A440" s="7"/>
      <c r="B440" s="8"/>
      <c r="C440" s="8"/>
      <c r="D440" s="9"/>
      <c r="E440" s="9"/>
      <c r="F440" s="10"/>
      <c r="G440" s="11"/>
    </row>
    <row r="441" spans="1:7" x14ac:dyDescent="0.3">
      <c r="A441" s="7"/>
      <c r="B441" s="8"/>
      <c r="C441" s="8"/>
      <c r="D441" s="9"/>
      <c r="E441" s="9"/>
      <c r="F441" s="10"/>
      <c r="G441" s="11"/>
    </row>
    <row r="442" spans="1:7" x14ac:dyDescent="0.3">
      <c r="A442" s="7"/>
      <c r="B442" s="8"/>
      <c r="C442" s="8"/>
      <c r="D442" s="9"/>
      <c r="E442" s="9"/>
      <c r="F442" s="10"/>
      <c r="G442" s="11"/>
    </row>
    <row r="443" spans="1:7" x14ac:dyDescent="0.3">
      <c r="A443" s="7"/>
      <c r="B443" s="8"/>
      <c r="C443" s="8"/>
      <c r="D443" s="9"/>
      <c r="E443" s="9"/>
      <c r="F443" s="10"/>
      <c r="G443" s="11"/>
    </row>
    <row r="444" spans="1:7" x14ac:dyDescent="0.3">
      <c r="A444" s="7"/>
      <c r="B444" s="8"/>
      <c r="C444" s="8"/>
      <c r="D444" s="9"/>
      <c r="E444" s="9"/>
      <c r="F444" s="10"/>
      <c r="G444" s="11"/>
    </row>
    <row r="445" spans="1:7" x14ac:dyDescent="0.3">
      <c r="A445" s="7"/>
      <c r="B445" s="8"/>
      <c r="C445" s="8"/>
      <c r="D445" s="9"/>
      <c r="E445" s="9"/>
      <c r="F445" s="10"/>
      <c r="G445" s="11"/>
    </row>
    <row r="446" spans="1:7" x14ac:dyDescent="0.3">
      <c r="A446" s="7"/>
      <c r="B446" s="8"/>
      <c r="C446" s="8"/>
      <c r="D446" s="9"/>
      <c r="E446" s="9"/>
      <c r="F446" s="10"/>
      <c r="G446" s="11"/>
    </row>
    <row r="447" spans="1:7" x14ac:dyDescent="0.3">
      <c r="A447" s="7"/>
      <c r="B447" s="8"/>
      <c r="C447" s="8"/>
      <c r="D447" s="9"/>
      <c r="E447" s="9"/>
      <c r="F447" s="10"/>
      <c r="G447" s="11"/>
    </row>
    <row r="448" spans="1:7" x14ac:dyDescent="0.3">
      <c r="A448" s="7"/>
      <c r="B448" s="8"/>
      <c r="C448" s="8"/>
      <c r="D448" s="9"/>
      <c r="E448" s="9"/>
      <c r="F448" s="10"/>
      <c r="G448" s="11"/>
    </row>
    <row r="449" spans="1:7" x14ac:dyDescent="0.3">
      <c r="A449" s="7"/>
      <c r="B449" s="8"/>
      <c r="C449" s="8"/>
      <c r="D449" s="9"/>
      <c r="E449" s="9"/>
      <c r="F449" s="10"/>
      <c r="G449" s="11"/>
    </row>
    <row r="450" spans="1:7" x14ac:dyDescent="0.3">
      <c r="A450" s="7"/>
      <c r="B450" s="8"/>
      <c r="C450" s="8"/>
      <c r="D450" s="9"/>
      <c r="E450" s="9"/>
      <c r="F450" s="10"/>
      <c r="G450" s="11"/>
    </row>
    <row r="451" spans="1:7" x14ac:dyDescent="0.3">
      <c r="A451" s="7"/>
      <c r="B451" s="8"/>
      <c r="C451" s="8"/>
      <c r="D451" s="9"/>
      <c r="E451" s="9"/>
      <c r="F451" s="10"/>
      <c r="G451" s="11"/>
    </row>
    <row r="452" spans="1:7" x14ac:dyDescent="0.3">
      <c r="A452" s="7"/>
      <c r="B452" s="8"/>
      <c r="C452" s="8"/>
      <c r="D452" s="9"/>
      <c r="E452" s="9"/>
      <c r="F452" s="10"/>
      <c r="G452" s="11"/>
    </row>
    <row r="453" spans="1:7" x14ac:dyDescent="0.3">
      <c r="A453" s="7"/>
      <c r="B453" s="8"/>
      <c r="C453" s="8"/>
      <c r="D453" s="9"/>
      <c r="E453" s="9"/>
      <c r="F453" s="10"/>
      <c r="G453" s="11"/>
    </row>
    <row r="454" spans="1:7" x14ac:dyDescent="0.3">
      <c r="A454" s="7"/>
      <c r="B454" s="8"/>
      <c r="C454" s="8"/>
      <c r="D454" s="9"/>
      <c r="E454" s="9"/>
      <c r="F454" s="10"/>
      <c r="G454" s="11"/>
    </row>
    <row r="455" spans="1:7" x14ac:dyDescent="0.3">
      <c r="A455" s="7"/>
      <c r="B455" s="8"/>
      <c r="C455" s="8"/>
      <c r="D455" s="9"/>
      <c r="E455" s="9"/>
      <c r="F455" s="10"/>
      <c r="G455" s="11"/>
    </row>
    <row r="456" spans="1:7" x14ac:dyDescent="0.3">
      <c r="A456" s="7"/>
      <c r="B456" s="8"/>
      <c r="C456" s="8"/>
      <c r="D456" s="9"/>
      <c r="E456" s="9"/>
      <c r="F456" s="10"/>
      <c r="G456" s="11"/>
    </row>
    <row r="457" spans="1:7" x14ac:dyDescent="0.3">
      <c r="A457" s="7"/>
      <c r="B457" s="8"/>
      <c r="C457" s="8"/>
      <c r="D457" s="9"/>
      <c r="E457" s="9"/>
      <c r="F457" s="10"/>
      <c r="G457" s="11"/>
    </row>
    <row r="458" spans="1:7" x14ac:dyDescent="0.3">
      <c r="A458" s="7"/>
      <c r="B458" s="8"/>
      <c r="C458" s="8"/>
      <c r="D458" s="9"/>
      <c r="E458" s="9"/>
      <c r="F458" s="10"/>
      <c r="G458" s="11"/>
    </row>
    <row r="459" spans="1:7" x14ac:dyDescent="0.3">
      <c r="A459" s="7"/>
      <c r="B459" s="8"/>
      <c r="C459" s="8"/>
      <c r="D459" s="9"/>
      <c r="E459" s="9"/>
      <c r="F459" s="10"/>
      <c r="G459" s="11"/>
    </row>
    <row r="460" spans="1:7" x14ac:dyDescent="0.3">
      <c r="A460" s="7"/>
      <c r="B460" s="8"/>
      <c r="C460" s="8"/>
      <c r="D460" s="9"/>
      <c r="E460" s="9"/>
      <c r="F460" s="10"/>
      <c r="G460" s="11"/>
    </row>
    <row r="461" spans="1:7" x14ac:dyDescent="0.3">
      <c r="A461" s="7"/>
      <c r="B461" s="8"/>
      <c r="C461" s="8"/>
      <c r="D461" s="9"/>
      <c r="E461" s="9"/>
      <c r="F461" s="10"/>
      <c r="G461" s="11"/>
    </row>
    <row r="462" spans="1:7" x14ac:dyDescent="0.3">
      <c r="A462" s="7"/>
      <c r="B462" s="8"/>
      <c r="C462" s="8"/>
      <c r="D462" s="9"/>
      <c r="E462" s="9"/>
      <c r="F462" s="10"/>
      <c r="G462" s="11"/>
    </row>
    <row r="463" spans="1:7" x14ac:dyDescent="0.3">
      <c r="A463" s="7"/>
      <c r="B463" s="8"/>
      <c r="C463" s="8"/>
      <c r="D463" s="9"/>
      <c r="E463" s="9"/>
      <c r="F463" s="10"/>
      <c r="G463" s="11"/>
    </row>
    <row r="464" spans="1:7" x14ac:dyDescent="0.3">
      <c r="A464" s="7"/>
      <c r="B464" s="8"/>
      <c r="C464" s="8"/>
      <c r="D464" s="9"/>
      <c r="E464" s="9"/>
      <c r="F464" s="10"/>
      <c r="G464" s="11"/>
    </row>
    <row r="465" spans="1:7" x14ac:dyDescent="0.3">
      <c r="A465" s="7"/>
      <c r="B465" s="8"/>
      <c r="C465" s="8"/>
      <c r="D465" s="9"/>
      <c r="E465" s="9"/>
      <c r="F465" s="10"/>
      <c r="G465" s="11"/>
    </row>
    <row r="466" spans="1:7" x14ac:dyDescent="0.3">
      <c r="A466" s="7"/>
      <c r="B466" s="8"/>
      <c r="C466" s="8"/>
      <c r="D466" s="9"/>
      <c r="E466" s="9"/>
      <c r="F466" s="10"/>
      <c r="G466" s="11"/>
    </row>
    <row r="467" spans="1:7" x14ac:dyDescent="0.3">
      <c r="A467" s="7"/>
      <c r="B467" s="8"/>
      <c r="C467" s="8"/>
      <c r="D467" s="9"/>
      <c r="E467" s="9"/>
      <c r="F467" s="10"/>
      <c r="G467" s="11"/>
    </row>
    <row r="468" spans="1:7" x14ac:dyDescent="0.3">
      <c r="A468" s="7"/>
      <c r="B468" s="8"/>
      <c r="C468" s="8"/>
      <c r="D468" s="9"/>
      <c r="E468" s="9"/>
      <c r="F468" s="10"/>
      <c r="G468" s="11"/>
    </row>
    <row r="469" spans="1:7" x14ac:dyDescent="0.3">
      <c r="A469" s="7"/>
      <c r="B469" s="8"/>
      <c r="C469" s="8"/>
      <c r="D469" s="9"/>
      <c r="E469" s="9"/>
      <c r="F469" s="10"/>
      <c r="G469" s="11"/>
    </row>
    <row r="470" spans="1:7" x14ac:dyDescent="0.3">
      <c r="A470" s="7"/>
      <c r="B470" s="8"/>
      <c r="C470" s="8"/>
      <c r="D470" s="9"/>
      <c r="E470" s="9"/>
      <c r="F470" s="10"/>
      <c r="G470" s="11"/>
    </row>
    <row r="471" spans="1:7" x14ac:dyDescent="0.3">
      <c r="A471" s="7"/>
      <c r="B471" s="8"/>
      <c r="C471" s="8"/>
      <c r="D471" s="9"/>
      <c r="E471" s="9"/>
      <c r="F471" s="10"/>
      <c r="G471" s="11"/>
    </row>
    <row r="472" spans="1:7" x14ac:dyDescent="0.3">
      <c r="A472" s="7"/>
      <c r="B472" s="8"/>
      <c r="C472" s="8"/>
      <c r="D472" s="9"/>
      <c r="E472" s="9"/>
      <c r="F472" s="10"/>
      <c r="G472" s="11"/>
    </row>
    <row r="473" spans="1:7" x14ac:dyDescent="0.3">
      <c r="A473" s="7"/>
      <c r="B473" s="8"/>
      <c r="C473" s="8"/>
      <c r="D473" s="9"/>
      <c r="E473" s="9"/>
      <c r="F473" s="10"/>
      <c r="G473" s="11"/>
    </row>
    <row r="474" spans="1:7" x14ac:dyDescent="0.3">
      <c r="A474" s="7"/>
      <c r="B474" s="8"/>
      <c r="C474" s="8"/>
      <c r="D474" s="9"/>
      <c r="E474" s="9"/>
      <c r="F474" s="10"/>
      <c r="G474" s="11"/>
    </row>
    <row r="475" spans="1:7" x14ac:dyDescent="0.3">
      <c r="A475" s="7"/>
      <c r="B475" s="8"/>
      <c r="C475" s="8"/>
      <c r="D475" s="9"/>
      <c r="E475" s="9"/>
      <c r="F475" s="10"/>
      <c r="G475" s="11"/>
    </row>
    <row r="476" spans="1:7" x14ac:dyDescent="0.3">
      <c r="A476" s="7"/>
      <c r="B476" s="8"/>
      <c r="C476" s="8"/>
      <c r="D476" s="9"/>
      <c r="E476" s="9"/>
      <c r="F476" s="10"/>
      <c r="G476" s="11"/>
    </row>
    <row r="477" spans="1:7" x14ac:dyDescent="0.3">
      <c r="A477" s="7"/>
      <c r="B477" s="8"/>
      <c r="C477" s="8"/>
      <c r="D477" s="9"/>
      <c r="E477" s="9"/>
      <c r="F477" s="10"/>
      <c r="G477" s="11"/>
    </row>
    <row r="478" spans="1:7" x14ac:dyDescent="0.3">
      <c r="A478" s="7"/>
      <c r="B478" s="8"/>
      <c r="C478" s="8"/>
      <c r="D478" s="9"/>
      <c r="E478" s="9"/>
      <c r="F478" s="10"/>
      <c r="G478" s="11"/>
    </row>
    <row r="479" spans="1:7" x14ac:dyDescent="0.3">
      <c r="A479" s="7"/>
      <c r="B479" s="8"/>
      <c r="C479" s="8"/>
      <c r="D479" s="9"/>
      <c r="E479" s="9"/>
      <c r="F479" s="10"/>
      <c r="G479" s="11"/>
    </row>
    <row r="480" spans="1:7" x14ac:dyDescent="0.3">
      <c r="A480" s="7"/>
      <c r="B480" s="8"/>
      <c r="C480" s="8"/>
      <c r="D480" s="9"/>
      <c r="E480" s="9"/>
      <c r="F480" s="10"/>
      <c r="G480" s="11"/>
    </row>
    <row r="481" spans="1:7" x14ac:dyDescent="0.3">
      <c r="A481" s="7"/>
      <c r="B481" s="8"/>
      <c r="C481" s="8"/>
      <c r="D481" s="9"/>
      <c r="E481" s="9"/>
      <c r="F481" s="10"/>
      <c r="G481" s="11"/>
    </row>
    <row r="482" spans="1:7" x14ac:dyDescent="0.3">
      <c r="A482" s="7"/>
      <c r="B482" s="8"/>
      <c r="C482" s="8"/>
      <c r="D482" s="9"/>
      <c r="E482" s="9"/>
      <c r="F482" s="10"/>
      <c r="G482" s="11"/>
    </row>
    <row r="483" spans="1:7" x14ac:dyDescent="0.3">
      <c r="A483" s="7"/>
      <c r="B483" s="8"/>
      <c r="C483" s="8"/>
      <c r="D483" s="9"/>
      <c r="E483" s="9"/>
      <c r="F483" s="10"/>
      <c r="G483" s="11"/>
    </row>
    <row r="484" spans="1:7" x14ac:dyDescent="0.3">
      <c r="A484" s="7"/>
      <c r="B484" s="8"/>
      <c r="C484" s="8"/>
      <c r="D484" s="9"/>
      <c r="E484" s="9"/>
      <c r="F484" s="10"/>
      <c r="G484" s="11"/>
    </row>
    <row r="485" spans="1:7" x14ac:dyDescent="0.3">
      <c r="A485" s="7"/>
      <c r="B485" s="8"/>
      <c r="C485" s="8"/>
      <c r="D485" s="9"/>
      <c r="E485" s="9"/>
      <c r="F485" s="10"/>
      <c r="G485" s="11"/>
    </row>
    <row r="486" spans="1:7" x14ac:dyDescent="0.3">
      <c r="A486" s="7"/>
      <c r="B486" s="8"/>
      <c r="C486" s="8"/>
      <c r="D486" s="9"/>
      <c r="E486" s="9"/>
      <c r="F486" s="10"/>
      <c r="G486" s="11"/>
    </row>
    <row r="487" spans="1:7" x14ac:dyDescent="0.3">
      <c r="A487" s="7"/>
      <c r="B487" s="8"/>
      <c r="C487" s="8"/>
      <c r="D487" s="9"/>
      <c r="E487" s="9"/>
      <c r="F487" s="10"/>
      <c r="G487" s="11"/>
    </row>
    <row r="488" spans="1:7" x14ac:dyDescent="0.3">
      <c r="A488" s="7"/>
      <c r="B488" s="8"/>
      <c r="C488" s="8"/>
      <c r="D488" s="9"/>
      <c r="E488" s="9"/>
      <c r="F488" s="10"/>
      <c r="G488" s="11"/>
    </row>
    <row r="489" spans="1:7" x14ac:dyDescent="0.3">
      <c r="A489" s="7"/>
      <c r="B489" s="8"/>
      <c r="C489" s="8"/>
      <c r="D489" s="9"/>
      <c r="E489" s="9"/>
      <c r="F489" s="10"/>
      <c r="G489" s="11"/>
    </row>
    <row r="490" spans="1:7" x14ac:dyDescent="0.3">
      <c r="A490" s="7"/>
      <c r="B490" s="8"/>
      <c r="C490" s="8"/>
      <c r="D490" s="9"/>
      <c r="E490" s="9"/>
      <c r="F490" s="10"/>
      <c r="G490" s="11"/>
    </row>
    <row r="491" spans="1:7" x14ac:dyDescent="0.3">
      <c r="A491" s="7"/>
      <c r="B491" s="8"/>
      <c r="C491" s="8"/>
      <c r="D491" s="9"/>
      <c r="E491" s="9"/>
      <c r="F491" s="10"/>
      <c r="G491" s="11"/>
    </row>
    <row r="492" spans="1:7" x14ac:dyDescent="0.3">
      <c r="A492" s="7"/>
      <c r="B492" s="8"/>
      <c r="C492" s="8"/>
      <c r="D492" s="9"/>
      <c r="E492" s="9"/>
      <c r="F492" s="10"/>
      <c r="G492" s="11"/>
    </row>
    <row r="493" spans="1:7" x14ac:dyDescent="0.3">
      <c r="A493" s="7"/>
      <c r="B493" s="8"/>
      <c r="C493" s="8"/>
      <c r="D493" s="9"/>
      <c r="E493" s="9"/>
      <c r="F493" s="10"/>
      <c r="G493" s="11"/>
    </row>
    <row r="494" spans="1:7" x14ac:dyDescent="0.3">
      <c r="A494" s="7"/>
      <c r="B494" s="8"/>
      <c r="C494" s="8"/>
      <c r="D494" s="9"/>
      <c r="E494" s="9"/>
      <c r="F494" s="10"/>
      <c r="G494" s="11"/>
    </row>
    <row r="495" spans="1:7" x14ac:dyDescent="0.3">
      <c r="A495" s="7"/>
      <c r="B495" s="8"/>
      <c r="C495" s="8"/>
      <c r="D495" s="9"/>
      <c r="E495" s="9"/>
      <c r="F495" s="10"/>
      <c r="G495" s="11"/>
    </row>
    <row r="496" spans="1:7" x14ac:dyDescent="0.3">
      <c r="A496" s="7"/>
      <c r="B496" s="8"/>
      <c r="C496" s="8"/>
      <c r="D496" s="9"/>
      <c r="E496" s="9"/>
      <c r="F496" s="10"/>
      <c r="G496" s="11"/>
    </row>
    <row r="497" spans="1:7" x14ac:dyDescent="0.3">
      <c r="A497" s="7"/>
      <c r="B497" s="8"/>
      <c r="C497" s="8"/>
      <c r="D497" s="9"/>
      <c r="E497" s="9"/>
      <c r="F497" s="10"/>
      <c r="G497" s="11"/>
    </row>
    <row r="498" spans="1:7" x14ac:dyDescent="0.3">
      <c r="A498" s="7"/>
      <c r="B498" s="8"/>
      <c r="C498" s="8"/>
      <c r="D498" s="9"/>
      <c r="E498" s="9"/>
      <c r="F498" s="10"/>
      <c r="G498" s="11"/>
    </row>
    <row r="499" spans="1:7" x14ac:dyDescent="0.3">
      <c r="A499" s="7"/>
      <c r="B499" s="8"/>
      <c r="C499" s="8"/>
      <c r="D499" s="9"/>
      <c r="E499" s="9"/>
      <c r="F499" s="10"/>
      <c r="G499" s="11"/>
    </row>
    <row r="500" spans="1:7" x14ac:dyDescent="0.3">
      <c r="A500" s="7"/>
      <c r="B500" s="8"/>
      <c r="C500" s="8"/>
      <c r="D500" s="9"/>
      <c r="E500" s="9"/>
      <c r="F500" s="10"/>
      <c r="G500" s="11"/>
    </row>
    <row r="501" spans="1:7" x14ac:dyDescent="0.3">
      <c r="A501" s="7"/>
      <c r="B501" s="8"/>
      <c r="C501" s="8"/>
      <c r="D501" s="9"/>
      <c r="E501" s="9"/>
      <c r="F501" s="10"/>
      <c r="G501" s="11"/>
    </row>
    <row r="502" spans="1:7" x14ac:dyDescent="0.3">
      <c r="A502" s="7"/>
      <c r="B502" s="8"/>
      <c r="C502" s="8"/>
      <c r="D502" s="9"/>
      <c r="E502" s="9"/>
      <c r="F502" s="10"/>
      <c r="G502" s="11"/>
    </row>
    <row r="503" spans="1:7" x14ac:dyDescent="0.3">
      <c r="A503" s="7"/>
      <c r="B503" s="8"/>
      <c r="C503" s="8"/>
      <c r="D503" s="9"/>
      <c r="E503" s="9"/>
      <c r="F503" s="10"/>
      <c r="G503" s="11"/>
    </row>
    <row r="504" spans="1:7" x14ac:dyDescent="0.3">
      <c r="A504" s="7"/>
      <c r="B504" s="8"/>
      <c r="C504" s="8"/>
      <c r="D504" s="9"/>
      <c r="E504" s="9"/>
      <c r="F504" s="10"/>
      <c r="G504" s="11"/>
    </row>
    <row r="505" spans="1:7" x14ac:dyDescent="0.3">
      <c r="A505" s="7"/>
      <c r="B505" s="8"/>
      <c r="C505" s="8"/>
      <c r="D505" s="9"/>
      <c r="E505" s="9"/>
      <c r="F505" s="10"/>
      <c r="G505" s="11"/>
    </row>
    <row r="506" spans="1:7" x14ac:dyDescent="0.3">
      <c r="A506" s="7"/>
      <c r="B506" s="8"/>
      <c r="C506" s="8"/>
      <c r="D506" s="9"/>
      <c r="E506" s="9"/>
      <c r="F506" s="10"/>
      <c r="G506" s="11"/>
    </row>
    <row r="507" spans="1:7" x14ac:dyDescent="0.3">
      <c r="A507" s="7"/>
      <c r="B507" s="8"/>
      <c r="C507" s="8"/>
      <c r="D507" s="9"/>
      <c r="E507" s="9"/>
      <c r="F507" s="10"/>
      <c r="G507" s="11"/>
    </row>
    <row r="508" spans="1:7" x14ac:dyDescent="0.3">
      <c r="A508" s="7"/>
      <c r="B508" s="8"/>
      <c r="C508" s="8"/>
      <c r="D508" s="9"/>
      <c r="E508" s="9"/>
      <c r="F508" s="10"/>
      <c r="G508" s="11"/>
    </row>
    <row r="509" spans="1:7" x14ac:dyDescent="0.3">
      <c r="A509" s="7"/>
      <c r="B509" s="8"/>
      <c r="C509" s="8"/>
      <c r="D509" s="9"/>
      <c r="E509" s="9"/>
      <c r="F509" s="10"/>
      <c r="G509" s="11"/>
    </row>
    <row r="510" spans="1:7" x14ac:dyDescent="0.3">
      <c r="A510" s="7"/>
      <c r="B510" s="8"/>
      <c r="C510" s="8"/>
      <c r="D510" s="9"/>
      <c r="E510" s="9"/>
      <c r="F510" s="10"/>
      <c r="G510" s="11"/>
    </row>
    <row r="511" spans="1:7" x14ac:dyDescent="0.3">
      <c r="A511" s="7"/>
      <c r="B511" s="8"/>
      <c r="C511" s="8"/>
      <c r="D511" s="9"/>
      <c r="E511" s="9"/>
      <c r="F511" s="10"/>
      <c r="G511" s="11"/>
    </row>
    <row r="512" spans="1:7" x14ac:dyDescent="0.3">
      <c r="A512" s="7"/>
      <c r="B512" s="8"/>
      <c r="C512" s="8"/>
      <c r="D512" s="9"/>
      <c r="E512" s="9"/>
      <c r="F512" s="10"/>
      <c r="G512" s="11"/>
    </row>
    <row r="513" spans="1:7" x14ac:dyDescent="0.3">
      <c r="A513" s="7"/>
      <c r="B513" s="8"/>
      <c r="C513" s="8"/>
      <c r="D513" s="9"/>
      <c r="E513" s="9"/>
      <c r="F513" s="10"/>
      <c r="G513" s="11"/>
    </row>
    <row r="514" spans="1:7" x14ac:dyDescent="0.3">
      <c r="A514" s="7"/>
      <c r="B514" s="8"/>
      <c r="C514" s="8"/>
      <c r="D514" s="9"/>
      <c r="E514" s="9"/>
      <c r="F514" s="10"/>
      <c r="G514" s="11"/>
    </row>
    <row r="515" spans="1:7" x14ac:dyDescent="0.3">
      <c r="A515" s="7"/>
      <c r="B515" s="8"/>
      <c r="C515" s="8"/>
      <c r="D515" s="9"/>
      <c r="E515" s="9"/>
      <c r="F515" s="10"/>
      <c r="G515" s="11"/>
    </row>
    <row r="516" spans="1:7" x14ac:dyDescent="0.3">
      <c r="A516" s="7"/>
      <c r="B516" s="8"/>
      <c r="C516" s="8"/>
      <c r="D516" s="9"/>
      <c r="E516" s="9"/>
      <c r="F516" s="10"/>
      <c r="G516" s="11"/>
    </row>
    <row r="517" spans="1:7" x14ac:dyDescent="0.3">
      <c r="A517" s="7"/>
      <c r="B517" s="8"/>
      <c r="C517" s="8"/>
      <c r="D517" s="9"/>
      <c r="E517" s="9"/>
      <c r="F517" s="10"/>
      <c r="G517" s="11"/>
    </row>
    <row r="518" spans="1:7" x14ac:dyDescent="0.3">
      <c r="A518" s="7"/>
      <c r="B518" s="8"/>
      <c r="C518" s="8"/>
      <c r="D518" s="9"/>
      <c r="E518" s="9"/>
      <c r="F518" s="10"/>
      <c r="G518" s="11"/>
    </row>
    <row r="519" spans="1:7" x14ac:dyDescent="0.3">
      <c r="A519" s="7"/>
      <c r="B519" s="8"/>
      <c r="C519" s="8"/>
      <c r="D519" s="9"/>
      <c r="E519" s="9"/>
      <c r="F519" s="10"/>
      <c r="G519" s="11"/>
    </row>
    <row r="520" spans="1:7" x14ac:dyDescent="0.3">
      <c r="A520" s="7"/>
      <c r="B520" s="8"/>
      <c r="C520" s="8"/>
      <c r="D520" s="9"/>
      <c r="E520" s="9"/>
      <c r="F520" s="10"/>
      <c r="G520" s="11"/>
    </row>
    <row r="521" spans="1:7" x14ac:dyDescent="0.3">
      <c r="A521" s="7"/>
      <c r="B521" s="8"/>
      <c r="C521" s="8"/>
      <c r="D521" s="9"/>
      <c r="E521" s="9"/>
      <c r="F521" s="10"/>
      <c r="G521" s="11"/>
    </row>
    <row r="522" spans="1:7" x14ac:dyDescent="0.3">
      <c r="A522" s="7"/>
      <c r="B522" s="8"/>
      <c r="C522" s="8"/>
      <c r="D522" s="9"/>
      <c r="E522" s="9"/>
      <c r="F522" s="10"/>
      <c r="G522" s="11"/>
    </row>
    <row r="523" spans="1:7" x14ac:dyDescent="0.3">
      <c r="A523" s="7"/>
      <c r="B523" s="8"/>
      <c r="C523" s="8"/>
      <c r="D523" s="9"/>
      <c r="E523" s="9"/>
      <c r="F523" s="10"/>
      <c r="G523" s="11"/>
    </row>
    <row r="524" spans="1:7" x14ac:dyDescent="0.3">
      <c r="A524" s="7"/>
      <c r="B524" s="8"/>
      <c r="C524" s="8"/>
      <c r="D524" s="9"/>
      <c r="E524" s="9"/>
      <c r="F524" s="10"/>
      <c r="G524" s="11"/>
    </row>
    <row r="525" spans="1:7" x14ac:dyDescent="0.3">
      <c r="A525" s="7"/>
      <c r="B525" s="8"/>
      <c r="C525" s="8"/>
      <c r="D525" s="9"/>
      <c r="E525" s="9"/>
      <c r="F525" s="10"/>
      <c r="G525" s="11"/>
    </row>
    <row r="526" spans="1:7" x14ac:dyDescent="0.3">
      <c r="A526" s="7"/>
      <c r="B526" s="8"/>
      <c r="C526" s="8"/>
      <c r="D526" s="9"/>
      <c r="E526" s="9"/>
      <c r="F526" s="10"/>
      <c r="G526" s="11"/>
    </row>
    <row r="527" spans="1:7" x14ac:dyDescent="0.3">
      <c r="A527" s="7"/>
      <c r="B527" s="8"/>
      <c r="C527" s="8"/>
      <c r="D527" s="9"/>
      <c r="E527" s="9"/>
      <c r="F527" s="10"/>
      <c r="G527" s="11"/>
    </row>
    <row r="528" spans="1:7" x14ac:dyDescent="0.3">
      <c r="A528" s="7"/>
      <c r="B528" s="8"/>
      <c r="C528" s="8"/>
      <c r="D528" s="9"/>
      <c r="E528" s="9"/>
      <c r="F528" s="10"/>
      <c r="G528" s="11"/>
    </row>
    <row r="529" spans="1:7" x14ac:dyDescent="0.3">
      <c r="A529" s="7"/>
      <c r="B529" s="8"/>
      <c r="C529" s="8"/>
      <c r="D529" s="9"/>
      <c r="E529" s="9"/>
      <c r="F529" s="10"/>
      <c r="G529" s="11"/>
    </row>
    <row r="530" spans="1:7" x14ac:dyDescent="0.3">
      <c r="A530" s="7"/>
      <c r="B530" s="8"/>
      <c r="C530" s="8"/>
      <c r="D530" s="9"/>
      <c r="E530" s="9"/>
      <c r="F530" s="10"/>
      <c r="G530" s="11"/>
    </row>
    <row r="531" spans="1:7" x14ac:dyDescent="0.3">
      <c r="A531" s="7"/>
      <c r="B531" s="8"/>
      <c r="C531" s="8"/>
      <c r="D531" s="9"/>
      <c r="E531" s="9"/>
      <c r="F531" s="10"/>
      <c r="G531" s="11"/>
    </row>
    <row r="532" spans="1:7" x14ac:dyDescent="0.3">
      <c r="A532" s="7"/>
      <c r="B532" s="8"/>
      <c r="C532" s="8"/>
      <c r="D532" s="9"/>
      <c r="E532" s="9"/>
      <c r="F532" s="10"/>
      <c r="G532" s="11"/>
    </row>
    <row r="533" spans="1:7" x14ac:dyDescent="0.3">
      <c r="A533" s="7"/>
      <c r="B533" s="8"/>
      <c r="C533" s="8"/>
      <c r="D533" s="9"/>
      <c r="E533" s="9"/>
      <c r="F533" s="10"/>
      <c r="G533" s="11"/>
    </row>
    <row r="534" spans="1:7" x14ac:dyDescent="0.3">
      <c r="A534" s="7"/>
      <c r="B534" s="8"/>
      <c r="C534" s="8"/>
      <c r="D534" s="9"/>
      <c r="E534" s="9"/>
      <c r="F534" s="10"/>
      <c r="G534" s="11"/>
    </row>
    <row r="535" spans="1:7" x14ac:dyDescent="0.3">
      <c r="A535" s="7"/>
      <c r="B535" s="8"/>
      <c r="C535" s="8"/>
      <c r="D535" s="9"/>
      <c r="E535" s="9"/>
      <c r="F535" s="10"/>
      <c r="G535" s="11"/>
    </row>
    <row r="536" spans="1:7" x14ac:dyDescent="0.3">
      <c r="A536" s="7"/>
      <c r="B536" s="8"/>
      <c r="C536" s="8"/>
      <c r="D536" s="9"/>
      <c r="E536" s="9"/>
      <c r="F536" s="10"/>
      <c r="G536" s="11"/>
    </row>
    <row r="537" spans="1:7" x14ac:dyDescent="0.3">
      <c r="A537" s="7"/>
      <c r="B537" s="8"/>
      <c r="C537" s="8"/>
      <c r="D537" s="9"/>
      <c r="E537" s="9"/>
      <c r="F537" s="10"/>
      <c r="G537" s="11"/>
    </row>
    <row r="538" spans="1:7" x14ac:dyDescent="0.3">
      <c r="A538" s="7"/>
      <c r="B538" s="8"/>
      <c r="C538" s="8"/>
      <c r="D538" s="9"/>
      <c r="E538" s="9"/>
      <c r="F538" s="10"/>
      <c r="G538" s="11"/>
    </row>
    <row r="539" spans="1:7" x14ac:dyDescent="0.3">
      <c r="A539" s="7"/>
      <c r="B539" s="8"/>
      <c r="C539" s="8"/>
      <c r="D539" s="9"/>
      <c r="E539" s="9"/>
      <c r="F539" s="10"/>
      <c r="G539" s="11"/>
    </row>
    <row r="540" spans="1:7" x14ac:dyDescent="0.3">
      <c r="A540" s="7"/>
      <c r="B540" s="8"/>
      <c r="C540" s="8"/>
      <c r="D540" s="9"/>
      <c r="E540" s="9"/>
      <c r="F540" s="10"/>
      <c r="G540" s="11"/>
    </row>
    <row r="541" spans="1:7" x14ac:dyDescent="0.3">
      <c r="A541" s="7"/>
      <c r="B541" s="8"/>
      <c r="C541" s="8"/>
      <c r="D541" s="9"/>
      <c r="E541" s="9"/>
      <c r="F541" s="10"/>
      <c r="G541" s="11"/>
    </row>
    <row r="542" spans="1:7" x14ac:dyDescent="0.3">
      <c r="A542" s="7"/>
      <c r="B542" s="8"/>
      <c r="C542" s="8"/>
      <c r="D542" s="9"/>
      <c r="E542" s="9"/>
      <c r="F542" s="10"/>
      <c r="G542" s="11"/>
    </row>
    <row r="543" spans="1:7" x14ac:dyDescent="0.3">
      <c r="A543" s="7"/>
      <c r="B543" s="8"/>
      <c r="C543" s="8"/>
      <c r="D543" s="9"/>
      <c r="E543" s="9"/>
      <c r="F543" s="10"/>
      <c r="G543" s="11"/>
    </row>
    <row r="544" spans="1:7" x14ac:dyDescent="0.3">
      <c r="A544" s="7"/>
      <c r="B544" s="8"/>
      <c r="C544" s="8"/>
      <c r="D544" s="9"/>
      <c r="E544" s="9"/>
      <c r="F544" s="10"/>
      <c r="G544" s="11"/>
    </row>
    <row r="545" spans="1:7" x14ac:dyDescent="0.3">
      <c r="A545" s="7"/>
      <c r="B545" s="8"/>
      <c r="C545" s="8"/>
      <c r="D545" s="9"/>
      <c r="E545" s="9"/>
      <c r="F545" s="10"/>
      <c r="G545" s="11"/>
    </row>
    <row r="546" spans="1:7" x14ac:dyDescent="0.3">
      <c r="A546" s="7"/>
      <c r="B546" s="8"/>
      <c r="C546" s="8"/>
      <c r="D546" s="9"/>
      <c r="E546" s="9"/>
      <c r="F546" s="10"/>
      <c r="G546" s="11"/>
    </row>
    <row r="547" spans="1:7" x14ac:dyDescent="0.3">
      <c r="A547" s="7"/>
      <c r="B547" s="8"/>
      <c r="C547" s="8"/>
      <c r="D547" s="9"/>
      <c r="E547" s="9"/>
      <c r="F547" s="10"/>
      <c r="G547" s="11"/>
    </row>
    <row r="548" spans="1:7" x14ac:dyDescent="0.3">
      <c r="A548" s="7"/>
      <c r="B548" s="8"/>
      <c r="C548" s="8"/>
      <c r="D548" s="9"/>
      <c r="E548" s="9"/>
      <c r="F548" s="10"/>
      <c r="G548" s="11"/>
    </row>
    <row r="549" spans="1:7" x14ac:dyDescent="0.3">
      <c r="A549" s="7"/>
      <c r="B549" s="8"/>
      <c r="C549" s="8"/>
      <c r="D549" s="9"/>
      <c r="E549" s="9"/>
      <c r="F549" s="10"/>
      <c r="G549" s="11"/>
    </row>
    <row r="550" spans="1:7" x14ac:dyDescent="0.3">
      <c r="A550" s="7"/>
      <c r="B550" s="8"/>
      <c r="C550" s="8"/>
      <c r="D550" s="9"/>
      <c r="E550" s="9"/>
      <c r="F550" s="10"/>
      <c r="G550" s="11"/>
    </row>
    <row r="551" spans="1:7" x14ac:dyDescent="0.3">
      <c r="A551" s="7"/>
      <c r="B551" s="8"/>
      <c r="C551" s="8"/>
      <c r="D551" s="9"/>
      <c r="E551" s="9"/>
      <c r="F551" s="10"/>
      <c r="G551" s="11"/>
    </row>
    <row r="552" spans="1:7" x14ac:dyDescent="0.3">
      <c r="A552" s="7"/>
      <c r="B552" s="8"/>
      <c r="C552" s="8"/>
      <c r="D552" s="9"/>
      <c r="E552" s="9"/>
      <c r="F552" s="10"/>
      <c r="G552" s="11"/>
    </row>
    <row r="553" spans="1:7" x14ac:dyDescent="0.3">
      <c r="A553" s="7"/>
      <c r="B553" s="8"/>
      <c r="C553" s="8"/>
      <c r="D553" s="9"/>
      <c r="E553" s="9"/>
      <c r="F553" s="10"/>
      <c r="G553" s="11"/>
    </row>
    <row r="554" spans="1:7" x14ac:dyDescent="0.3">
      <c r="A554" s="7"/>
      <c r="B554" s="8"/>
      <c r="C554" s="8"/>
      <c r="D554" s="9"/>
      <c r="E554" s="9"/>
      <c r="F554" s="10"/>
      <c r="G554" s="11"/>
    </row>
    <row r="555" spans="1:7" x14ac:dyDescent="0.3">
      <c r="A555" s="7"/>
      <c r="B555" s="8"/>
      <c r="C555" s="8"/>
      <c r="D555" s="9"/>
      <c r="E555" s="9"/>
      <c r="F555" s="10"/>
      <c r="G555" s="11"/>
    </row>
    <row r="556" spans="1:7" x14ac:dyDescent="0.3">
      <c r="A556" s="7"/>
      <c r="B556" s="8"/>
      <c r="C556" s="8"/>
      <c r="D556" s="9"/>
      <c r="E556" s="9"/>
      <c r="F556" s="10"/>
      <c r="G556" s="11"/>
    </row>
    <row r="557" spans="1:7" x14ac:dyDescent="0.3">
      <c r="A557" s="7"/>
      <c r="B557" s="8"/>
      <c r="C557" s="8"/>
      <c r="D557" s="9"/>
      <c r="E557" s="9"/>
      <c r="F557" s="10"/>
      <c r="G557" s="11"/>
    </row>
    <row r="558" spans="1:7" x14ac:dyDescent="0.3">
      <c r="A558" s="7"/>
      <c r="B558" s="8"/>
      <c r="C558" s="8"/>
      <c r="D558" s="9"/>
      <c r="E558" s="9"/>
      <c r="F558" s="10"/>
      <c r="G558" s="11"/>
    </row>
    <row r="559" spans="1:7" x14ac:dyDescent="0.3">
      <c r="A559" s="7"/>
      <c r="B559" s="8"/>
      <c r="C559" s="8"/>
      <c r="D559" s="9"/>
      <c r="E559" s="9"/>
      <c r="F559" s="10"/>
      <c r="G559" s="11"/>
    </row>
    <row r="560" spans="1:7" x14ac:dyDescent="0.3">
      <c r="A560" s="7"/>
      <c r="B560" s="8"/>
      <c r="C560" s="8"/>
      <c r="D560" s="9"/>
      <c r="E560" s="9"/>
      <c r="F560" s="10"/>
      <c r="G560" s="11"/>
    </row>
    <row r="561" spans="1:7" x14ac:dyDescent="0.3">
      <c r="A561" s="7"/>
      <c r="B561" s="8"/>
      <c r="C561" s="8"/>
      <c r="D561" s="9"/>
      <c r="E561" s="9"/>
      <c r="F561" s="10"/>
      <c r="G561" s="11"/>
    </row>
    <row r="562" spans="1:7" x14ac:dyDescent="0.3">
      <c r="A562" s="7"/>
      <c r="B562" s="8"/>
      <c r="C562" s="8"/>
      <c r="D562" s="9"/>
      <c r="E562" s="9"/>
      <c r="F562" s="10"/>
      <c r="G562" s="11"/>
    </row>
    <row r="563" spans="1:7" x14ac:dyDescent="0.3">
      <c r="A563" s="7"/>
      <c r="B563" s="8"/>
      <c r="C563" s="8"/>
      <c r="D563" s="9"/>
      <c r="E563" s="9"/>
      <c r="F563" s="10"/>
      <c r="G563" s="11"/>
    </row>
    <row r="564" spans="1:7" x14ac:dyDescent="0.3">
      <c r="A564" s="7"/>
      <c r="B564" s="8"/>
      <c r="C564" s="8"/>
      <c r="D564" s="9"/>
      <c r="E564" s="9"/>
      <c r="F564" s="10"/>
      <c r="G564" s="11"/>
    </row>
    <row r="565" spans="1:7" x14ac:dyDescent="0.3">
      <c r="A565" s="7"/>
      <c r="B565" s="8"/>
      <c r="C565" s="8"/>
      <c r="D565" s="9"/>
      <c r="E565" s="9"/>
      <c r="F565" s="10"/>
      <c r="G565" s="11"/>
    </row>
    <row r="566" spans="1:7" x14ac:dyDescent="0.3">
      <c r="A566" s="7"/>
      <c r="B566" s="8"/>
      <c r="C566" s="8"/>
      <c r="D566" s="9"/>
      <c r="E566" s="9"/>
      <c r="F566" s="10"/>
      <c r="G566" s="11"/>
    </row>
    <row r="567" spans="1:7" x14ac:dyDescent="0.3">
      <c r="A567" s="7"/>
      <c r="B567" s="8"/>
      <c r="C567" s="8"/>
      <c r="D567" s="9"/>
      <c r="E567" s="9"/>
      <c r="F567" s="10"/>
      <c r="G567" s="11"/>
    </row>
    <row r="568" spans="1:7" x14ac:dyDescent="0.3">
      <c r="A568" s="7"/>
      <c r="B568" s="8"/>
      <c r="C568" s="8"/>
      <c r="D568" s="9"/>
      <c r="E568" s="9"/>
      <c r="F568" s="10"/>
      <c r="G568" s="11"/>
    </row>
    <row r="569" spans="1:7" x14ac:dyDescent="0.3">
      <c r="A569" s="7"/>
      <c r="B569" s="8"/>
      <c r="C569" s="8"/>
      <c r="D569" s="9"/>
      <c r="E569" s="9"/>
      <c r="F569" s="10"/>
      <c r="G569" s="11"/>
    </row>
    <row r="570" spans="1:7" x14ac:dyDescent="0.3">
      <c r="A570" s="7"/>
      <c r="B570" s="8"/>
      <c r="C570" s="8"/>
      <c r="D570" s="9"/>
      <c r="E570" s="9"/>
      <c r="F570" s="10"/>
      <c r="G570" s="11"/>
    </row>
    <row r="571" spans="1:7" x14ac:dyDescent="0.3">
      <c r="A571" s="7"/>
      <c r="B571" s="8"/>
      <c r="C571" s="8"/>
      <c r="D571" s="9"/>
      <c r="E571" s="9"/>
      <c r="F571" s="10"/>
      <c r="G571" s="11"/>
    </row>
    <row r="572" spans="1:7" x14ac:dyDescent="0.3">
      <c r="A572" s="7"/>
      <c r="B572" s="8"/>
      <c r="C572" s="8"/>
      <c r="D572" s="9"/>
      <c r="E572" s="9"/>
      <c r="F572" s="10"/>
      <c r="G572" s="11"/>
    </row>
    <row r="573" spans="1:7" x14ac:dyDescent="0.3">
      <c r="A573" s="7"/>
      <c r="B573" s="8"/>
      <c r="C573" s="8"/>
      <c r="D573" s="9"/>
      <c r="E573" s="9"/>
      <c r="F573" s="10"/>
      <c r="G573" s="11"/>
    </row>
    <row r="574" spans="1:7" x14ac:dyDescent="0.3">
      <c r="A574" s="7"/>
      <c r="B574" s="8"/>
      <c r="C574" s="8"/>
      <c r="D574" s="9"/>
      <c r="E574" s="9"/>
      <c r="F574" s="10"/>
      <c r="G574" s="11"/>
    </row>
    <row r="575" spans="1:7" x14ac:dyDescent="0.3">
      <c r="A575" s="7"/>
      <c r="B575" s="8"/>
      <c r="C575" s="8"/>
      <c r="D575" s="9"/>
      <c r="E575" s="9"/>
      <c r="F575" s="10"/>
      <c r="G575" s="11"/>
    </row>
    <row r="576" spans="1:7" x14ac:dyDescent="0.3">
      <c r="A576" s="7"/>
      <c r="B576" s="8"/>
      <c r="C576" s="8"/>
      <c r="D576" s="9"/>
      <c r="E576" s="9"/>
      <c r="F576" s="10"/>
      <c r="G576" s="11"/>
    </row>
    <row r="577" spans="1:7" x14ac:dyDescent="0.3">
      <c r="A577" s="7"/>
      <c r="B577" s="8"/>
      <c r="C577" s="8"/>
      <c r="D577" s="9"/>
      <c r="E577" s="9"/>
      <c r="F577" s="10"/>
      <c r="G577" s="11"/>
    </row>
    <row r="578" spans="1:7" x14ac:dyDescent="0.3">
      <c r="A578" s="7"/>
      <c r="B578" s="8"/>
      <c r="C578" s="8"/>
      <c r="D578" s="9"/>
      <c r="E578" s="9"/>
      <c r="F578" s="10"/>
      <c r="G578" s="11"/>
    </row>
    <row r="579" spans="1:7" x14ac:dyDescent="0.3">
      <c r="A579" s="7"/>
      <c r="B579" s="8"/>
      <c r="C579" s="8"/>
      <c r="D579" s="9"/>
      <c r="E579" s="9"/>
      <c r="F579" s="10"/>
      <c r="G579" s="11"/>
    </row>
    <row r="580" spans="1:7" x14ac:dyDescent="0.3">
      <c r="A580" s="7"/>
      <c r="B580" s="8"/>
      <c r="C580" s="8"/>
      <c r="D580" s="9"/>
      <c r="E580" s="9"/>
      <c r="F580" s="10"/>
      <c r="G580" s="11"/>
    </row>
    <row r="581" spans="1:7" x14ac:dyDescent="0.3">
      <c r="A581" s="7"/>
      <c r="B581" s="8"/>
      <c r="C581" s="8"/>
      <c r="D581" s="9"/>
      <c r="E581" s="9"/>
      <c r="F581" s="10"/>
      <c r="G581" s="11"/>
    </row>
    <row r="582" spans="1:7" x14ac:dyDescent="0.3">
      <c r="A582" s="7"/>
      <c r="B582" s="8"/>
      <c r="C582" s="8"/>
      <c r="D582" s="9"/>
      <c r="E582" s="9"/>
      <c r="F582" s="10"/>
      <c r="G582" s="11"/>
    </row>
    <row r="583" spans="1:7" x14ac:dyDescent="0.3">
      <c r="A583" s="7"/>
      <c r="B583" s="8"/>
      <c r="C583" s="8"/>
      <c r="D583" s="9"/>
      <c r="E583" s="9"/>
      <c r="F583" s="10"/>
      <c r="G583" s="11"/>
    </row>
    <row r="584" spans="1:7" x14ac:dyDescent="0.3">
      <c r="A584" s="7"/>
      <c r="B584" s="8"/>
      <c r="C584" s="8"/>
      <c r="D584" s="9"/>
      <c r="E584" s="9"/>
      <c r="F584" s="10"/>
      <c r="G584" s="11"/>
    </row>
    <row r="585" spans="1:7" x14ac:dyDescent="0.3">
      <c r="A585" s="7"/>
      <c r="B585" s="8"/>
      <c r="C585" s="8"/>
      <c r="D585" s="9"/>
      <c r="E585" s="9"/>
      <c r="F585" s="10"/>
      <c r="G585" s="11"/>
    </row>
    <row r="586" spans="1:7" x14ac:dyDescent="0.3">
      <c r="A586" s="7"/>
      <c r="B586" s="8"/>
      <c r="C586" s="8"/>
      <c r="D586" s="9"/>
      <c r="E586" s="9"/>
      <c r="F586" s="10"/>
      <c r="G586" s="11"/>
    </row>
    <row r="587" spans="1:7" x14ac:dyDescent="0.3">
      <c r="A587" s="7"/>
      <c r="B587" s="8"/>
      <c r="C587" s="8"/>
      <c r="D587" s="9"/>
      <c r="E587" s="9"/>
      <c r="F587" s="10"/>
      <c r="G587" s="11"/>
    </row>
    <row r="588" spans="1:7" x14ac:dyDescent="0.3">
      <c r="A588" s="7"/>
      <c r="B588" s="8"/>
      <c r="C588" s="8"/>
      <c r="D588" s="9"/>
      <c r="E588" s="9"/>
      <c r="F588" s="10"/>
      <c r="G588" s="11"/>
    </row>
    <row r="589" spans="1:7" x14ac:dyDescent="0.3">
      <c r="A589" s="7"/>
      <c r="B589" s="8"/>
      <c r="C589" s="8"/>
      <c r="D589" s="9"/>
      <c r="E589" s="9"/>
      <c r="F589" s="10"/>
      <c r="G589" s="11"/>
    </row>
    <row r="590" spans="1:7" x14ac:dyDescent="0.3">
      <c r="A590" s="7"/>
      <c r="B590" s="8"/>
      <c r="C590" s="8"/>
      <c r="D590" s="9"/>
      <c r="E590" s="9"/>
      <c r="F590" s="10"/>
      <c r="G590" s="11"/>
    </row>
    <row r="591" spans="1:7" x14ac:dyDescent="0.3">
      <c r="A591" s="7"/>
      <c r="B591" s="8"/>
      <c r="C591" s="8"/>
      <c r="D591" s="9"/>
      <c r="E591" s="9"/>
      <c r="F591" s="10"/>
      <c r="G591" s="11"/>
    </row>
    <row r="592" spans="1:7" x14ac:dyDescent="0.3">
      <c r="A592" s="7"/>
      <c r="B592" s="8"/>
      <c r="C592" s="8"/>
      <c r="D592" s="9"/>
      <c r="E592" s="9"/>
      <c r="F592" s="10"/>
      <c r="G592" s="11"/>
    </row>
    <row r="593" spans="1:7" x14ac:dyDescent="0.3">
      <c r="A593" s="7"/>
      <c r="B593" s="8"/>
      <c r="C593" s="8"/>
      <c r="D593" s="9"/>
      <c r="E593" s="9"/>
      <c r="F593" s="10"/>
      <c r="G593" s="11"/>
    </row>
    <row r="594" spans="1:7" x14ac:dyDescent="0.3">
      <c r="A594" s="7"/>
      <c r="B594" s="8"/>
      <c r="C594" s="8"/>
      <c r="D594" s="9"/>
      <c r="E594" s="9"/>
      <c r="F594" s="10"/>
      <c r="G594" s="11"/>
    </row>
    <row r="595" spans="1:7" x14ac:dyDescent="0.3">
      <c r="A595" s="7"/>
      <c r="B595" s="8"/>
      <c r="C595" s="8"/>
      <c r="D595" s="9"/>
      <c r="E595" s="9"/>
      <c r="F595" s="10"/>
      <c r="G595" s="11"/>
    </row>
    <row r="596" spans="1:7" x14ac:dyDescent="0.3">
      <c r="A596" s="7"/>
      <c r="B596" s="8"/>
      <c r="C596" s="8"/>
      <c r="D596" s="9"/>
      <c r="E596" s="9"/>
      <c r="F596" s="10"/>
      <c r="G596" s="11"/>
    </row>
    <row r="597" spans="1:7" x14ac:dyDescent="0.3">
      <c r="A597" s="7"/>
      <c r="B597" s="8"/>
      <c r="C597" s="8"/>
      <c r="D597" s="9"/>
      <c r="E597" s="9"/>
      <c r="F597" s="10"/>
      <c r="G597" s="11"/>
    </row>
    <row r="598" spans="1:7" x14ac:dyDescent="0.3">
      <c r="A598" s="7"/>
      <c r="B598" s="8"/>
      <c r="C598" s="8"/>
      <c r="D598" s="9"/>
      <c r="E598" s="9"/>
      <c r="F598" s="10"/>
      <c r="G598" s="11"/>
    </row>
    <row r="599" spans="1:7" x14ac:dyDescent="0.3">
      <c r="A599" s="7"/>
      <c r="B599" s="8"/>
      <c r="C599" s="8"/>
      <c r="D599" s="9"/>
      <c r="E599" s="9"/>
      <c r="F599" s="10"/>
      <c r="G599" s="11"/>
    </row>
    <row r="600" spans="1:7" x14ac:dyDescent="0.3">
      <c r="A600" s="7"/>
      <c r="B600" s="8"/>
      <c r="C600" s="8"/>
      <c r="D600" s="9"/>
      <c r="E600" s="9"/>
      <c r="F600" s="10"/>
      <c r="G600" s="11"/>
    </row>
    <row r="601" spans="1:7" x14ac:dyDescent="0.3">
      <c r="A601" s="7"/>
      <c r="B601" s="8"/>
      <c r="C601" s="8"/>
      <c r="D601" s="9"/>
      <c r="E601" s="9"/>
      <c r="F601" s="10"/>
      <c r="G601" s="11"/>
    </row>
    <row r="602" spans="1:7" x14ac:dyDescent="0.3">
      <c r="A602" s="7"/>
      <c r="B602" s="8"/>
      <c r="C602" s="8"/>
      <c r="D602" s="9"/>
      <c r="E602" s="9"/>
      <c r="F602" s="10"/>
      <c r="G602" s="11"/>
    </row>
    <row r="603" spans="1:7" x14ac:dyDescent="0.3">
      <c r="A603" s="7"/>
      <c r="B603" s="8"/>
      <c r="C603" s="8"/>
      <c r="D603" s="9"/>
      <c r="E603" s="9"/>
      <c r="F603" s="10"/>
      <c r="G603" s="11"/>
    </row>
    <row r="604" spans="1:7" x14ac:dyDescent="0.3">
      <c r="A604" s="7"/>
      <c r="B604" s="8"/>
      <c r="C604" s="8"/>
      <c r="D604" s="9"/>
      <c r="E604" s="9"/>
      <c r="F604" s="10"/>
      <c r="G604" s="11"/>
    </row>
    <row r="605" spans="1:7" x14ac:dyDescent="0.3">
      <c r="A605" s="7"/>
      <c r="B605" s="8"/>
      <c r="C605" s="8"/>
      <c r="D605" s="9"/>
      <c r="E605" s="9"/>
      <c r="F605" s="10"/>
      <c r="G605" s="11"/>
    </row>
    <row r="606" spans="1:7" x14ac:dyDescent="0.3">
      <c r="A606" s="7"/>
      <c r="B606" s="8"/>
      <c r="C606" s="8"/>
      <c r="D606" s="9"/>
      <c r="E606" s="9"/>
      <c r="F606" s="10"/>
      <c r="G606" s="11"/>
    </row>
    <row r="607" spans="1:7" x14ac:dyDescent="0.3">
      <c r="A607" s="7"/>
      <c r="B607" s="8"/>
      <c r="C607" s="8"/>
      <c r="D607" s="9"/>
      <c r="E607" s="9"/>
      <c r="F607" s="10"/>
      <c r="G607" s="11"/>
    </row>
    <row r="608" spans="1:7" x14ac:dyDescent="0.3">
      <c r="A608" s="7"/>
      <c r="B608" s="8"/>
      <c r="C608" s="8"/>
      <c r="D608" s="9"/>
      <c r="E608" s="9"/>
      <c r="F608" s="10"/>
      <c r="G608" s="11"/>
    </row>
    <row r="609" spans="1:7" x14ac:dyDescent="0.3">
      <c r="A609" s="7"/>
      <c r="B609" s="8"/>
      <c r="C609" s="8"/>
      <c r="D609" s="9"/>
      <c r="E609" s="9"/>
      <c r="F609" s="10"/>
      <c r="G609" s="11"/>
    </row>
    <row r="610" spans="1:7" x14ac:dyDescent="0.3">
      <c r="A610" s="7"/>
      <c r="B610" s="8"/>
      <c r="C610" s="8"/>
      <c r="D610" s="9"/>
      <c r="E610" s="9"/>
      <c r="F610" s="10"/>
      <c r="G610" s="11"/>
    </row>
    <row r="611" spans="1:7" x14ac:dyDescent="0.3">
      <c r="A611" s="7"/>
      <c r="B611" s="8"/>
      <c r="C611" s="8"/>
      <c r="D611" s="9"/>
      <c r="E611" s="9"/>
      <c r="F611" s="10"/>
      <c r="G611" s="11"/>
    </row>
    <row r="612" spans="1:7" x14ac:dyDescent="0.3">
      <c r="A612" s="7"/>
      <c r="B612" s="8"/>
      <c r="C612" s="8"/>
      <c r="D612" s="9"/>
      <c r="E612" s="9"/>
      <c r="F612" s="10"/>
      <c r="G612" s="11"/>
    </row>
    <row r="613" spans="1:7" x14ac:dyDescent="0.3">
      <c r="A613" s="7"/>
      <c r="B613" s="8"/>
      <c r="C613" s="8"/>
      <c r="D613" s="9"/>
      <c r="E613" s="9"/>
      <c r="F613" s="10"/>
      <c r="G613" s="11"/>
    </row>
    <row r="614" spans="1:7" x14ac:dyDescent="0.3">
      <c r="A614" s="7"/>
      <c r="B614" s="8"/>
      <c r="C614" s="8"/>
      <c r="D614" s="9"/>
      <c r="E614" s="9"/>
      <c r="F614" s="10"/>
      <c r="G614" s="11"/>
    </row>
    <row r="615" spans="1:7" x14ac:dyDescent="0.3">
      <c r="A615" s="7"/>
      <c r="B615" s="8"/>
      <c r="C615" s="8"/>
      <c r="D615" s="9"/>
      <c r="E615" s="9"/>
      <c r="F615" s="10"/>
      <c r="G615" s="11"/>
    </row>
    <row r="616" spans="1:7" x14ac:dyDescent="0.3">
      <c r="A616" s="7"/>
      <c r="B616" s="8"/>
      <c r="C616" s="8"/>
      <c r="D616" s="9"/>
      <c r="E616" s="9"/>
      <c r="F616" s="10"/>
      <c r="G616" s="11"/>
    </row>
    <row r="617" spans="1:7" x14ac:dyDescent="0.3">
      <c r="A617" s="7"/>
      <c r="B617" s="8"/>
      <c r="C617" s="8"/>
      <c r="D617" s="9"/>
      <c r="E617" s="9"/>
      <c r="F617" s="10"/>
      <c r="G617" s="11"/>
    </row>
    <row r="618" spans="1:7" x14ac:dyDescent="0.3">
      <c r="A618" s="7"/>
      <c r="B618" s="8"/>
      <c r="C618" s="8"/>
      <c r="D618" s="9"/>
      <c r="E618" s="9"/>
      <c r="F618" s="10"/>
      <c r="G618" s="11"/>
    </row>
    <row r="619" spans="1:7" x14ac:dyDescent="0.3">
      <c r="A619" s="7"/>
      <c r="B619" s="8"/>
      <c r="C619" s="8"/>
      <c r="D619" s="9"/>
      <c r="E619" s="9"/>
      <c r="F619" s="10"/>
      <c r="G619" s="11"/>
    </row>
    <row r="620" spans="1:7" x14ac:dyDescent="0.3">
      <c r="A620" s="7"/>
      <c r="B620" s="8"/>
      <c r="C620" s="8"/>
      <c r="D620" s="9"/>
      <c r="E620" s="9"/>
      <c r="F620" s="10"/>
      <c r="G620" s="11"/>
    </row>
    <row r="621" spans="1:7" x14ac:dyDescent="0.3">
      <c r="A621" s="7"/>
      <c r="B621" s="8"/>
      <c r="C621" s="8"/>
      <c r="D621" s="9"/>
      <c r="E621" s="9"/>
      <c r="F621" s="10"/>
      <c r="G621" s="11"/>
    </row>
    <row r="622" spans="1:7" x14ac:dyDescent="0.3">
      <c r="A622" s="7"/>
      <c r="B622" s="8"/>
      <c r="C622" s="8"/>
      <c r="D622" s="9"/>
      <c r="E622" s="9"/>
      <c r="F622" s="10"/>
      <c r="G622" s="11"/>
    </row>
    <row r="623" spans="1:7" x14ac:dyDescent="0.3">
      <c r="A623" s="7"/>
      <c r="B623" s="8"/>
      <c r="C623" s="8"/>
      <c r="D623" s="9"/>
      <c r="E623" s="9"/>
      <c r="F623" s="10"/>
      <c r="G623" s="11"/>
    </row>
    <row r="624" spans="1:7" x14ac:dyDescent="0.3">
      <c r="A624" s="7"/>
      <c r="B624" s="8"/>
      <c r="C624" s="8"/>
      <c r="D624" s="9"/>
      <c r="E624" s="9"/>
      <c r="F624" s="10"/>
      <c r="G624" s="11"/>
    </row>
    <row r="625" spans="1:7" x14ac:dyDescent="0.3">
      <c r="A625" s="7"/>
      <c r="B625" s="8"/>
      <c r="C625" s="8"/>
      <c r="D625" s="9"/>
      <c r="E625" s="9"/>
      <c r="F625" s="10"/>
      <c r="G625" s="11"/>
    </row>
    <row r="626" spans="1:7" x14ac:dyDescent="0.3">
      <c r="A626" s="7"/>
      <c r="B626" s="8"/>
      <c r="C626" s="8"/>
      <c r="D626" s="9"/>
      <c r="E626" s="9"/>
      <c r="F626" s="10"/>
      <c r="G626" s="11"/>
    </row>
    <row r="627" spans="1:7" x14ac:dyDescent="0.3">
      <c r="A627" s="7"/>
      <c r="B627" s="8"/>
      <c r="C627" s="8"/>
      <c r="D627" s="9"/>
      <c r="E627" s="9"/>
      <c r="F627" s="10"/>
      <c r="G627" s="11"/>
    </row>
    <row r="628" spans="1:7" x14ac:dyDescent="0.3">
      <c r="A628" s="7"/>
      <c r="B628" s="8"/>
      <c r="C628" s="8"/>
      <c r="D628" s="9"/>
      <c r="E628" s="9"/>
      <c r="F628" s="10"/>
      <c r="G628" s="11"/>
    </row>
    <row r="629" spans="1:7" x14ac:dyDescent="0.3">
      <c r="A629" s="7"/>
      <c r="B629" s="8"/>
      <c r="C629" s="8"/>
      <c r="D629" s="9"/>
      <c r="E629" s="9"/>
      <c r="F629" s="10"/>
      <c r="G629" s="11"/>
    </row>
    <row r="630" spans="1:7" x14ac:dyDescent="0.3">
      <c r="A630" s="7"/>
      <c r="B630" s="8"/>
      <c r="C630" s="8"/>
      <c r="D630" s="9"/>
      <c r="E630" s="9"/>
      <c r="F630" s="10"/>
      <c r="G630" s="11"/>
    </row>
    <row r="631" spans="1:7" x14ac:dyDescent="0.3">
      <c r="A631" s="7"/>
      <c r="B631" s="8"/>
      <c r="C631" s="8"/>
      <c r="D631" s="9"/>
      <c r="E631" s="9"/>
      <c r="F631" s="10"/>
      <c r="G631" s="11"/>
    </row>
    <row r="632" spans="1:7" x14ac:dyDescent="0.3">
      <c r="A632" s="7"/>
      <c r="B632" s="8"/>
      <c r="C632" s="8"/>
      <c r="D632" s="9"/>
      <c r="E632" s="9"/>
      <c r="F632" s="10"/>
      <c r="G632" s="11"/>
    </row>
    <row r="633" spans="1:7" x14ac:dyDescent="0.3">
      <c r="A633" s="7"/>
      <c r="B633" s="8"/>
      <c r="C633" s="8"/>
      <c r="D633" s="9"/>
      <c r="E633" s="9"/>
      <c r="F633" s="10"/>
      <c r="G633" s="11"/>
    </row>
    <row r="634" spans="1:7" x14ac:dyDescent="0.3">
      <c r="A634" s="7"/>
      <c r="B634" s="8"/>
      <c r="C634" s="8"/>
      <c r="D634" s="9"/>
      <c r="E634" s="9"/>
      <c r="F634" s="10"/>
      <c r="G634" s="11"/>
    </row>
    <row r="635" spans="1:7" x14ac:dyDescent="0.3">
      <c r="A635" s="7"/>
      <c r="B635" s="8"/>
      <c r="C635" s="8"/>
      <c r="D635" s="9"/>
      <c r="E635" s="9"/>
      <c r="F635" s="10"/>
      <c r="G635" s="11"/>
    </row>
    <row r="636" spans="1:7" x14ac:dyDescent="0.3">
      <c r="A636" s="7"/>
      <c r="B636" s="8"/>
      <c r="C636" s="8"/>
      <c r="D636" s="9"/>
      <c r="E636" s="9"/>
      <c r="F636" s="10"/>
      <c r="G636" s="11"/>
    </row>
    <row r="637" spans="1:7" x14ac:dyDescent="0.3">
      <c r="A637" s="7"/>
      <c r="B637" s="8"/>
      <c r="C637" s="8"/>
      <c r="D637" s="9"/>
      <c r="E637" s="9"/>
      <c r="F637" s="10"/>
      <c r="G637" s="11"/>
    </row>
    <row r="638" spans="1:7" x14ac:dyDescent="0.3">
      <c r="A638" s="7"/>
      <c r="B638" s="8"/>
      <c r="C638" s="8"/>
      <c r="D638" s="9"/>
      <c r="E638" s="9"/>
      <c r="F638" s="10"/>
      <c r="G638" s="11"/>
    </row>
    <row r="639" spans="1:7" x14ac:dyDescent="0.3">
      <c r="A639" s="7"/>
      <c r="B639" s="8"/>
      <c r="C639" s="8"/>
      <c r="D639" s="9"/>
      <c r="E639" s="9"/>
      <c r="F639" s="10"/>
      <c r="G639" s="11"/>
    </row>
    <row r="640" spans="1:7" x14ac:dyDescent="0.3">
      <c r="A640" s="7"/>
      <c r="B640" s="8"/>
      <c r="C640" s="8"/>
      <c r="D640" s="9"/>
      <c r="E640" s="9"/>
      <c r="F640" s="10"/>
      <c r="G640" s="11"/>
    </row>
    <row r="641" spans="1:7" x14ac:dyDescent="0.3">
      <c r="A641" s="7"/>
      <c r="B641" s="8"/>
      <c r="C641" s="8"/>
      <c r="D641" s="9"/>
      <c r="E641" s="9"/>
      <c r="F641" s="10"/>
      <c r="G641" s="11"/>
    </row>
    <row r="642" spans="1:7" x14ac:dyDescent="0.3">
      <c r="A642" s="7"/>
      <c r="B642" s="8"/>
      <c r="C642" s="8"/>
      <c r="D642" s="9"/>
      <c r="E642" s="9"/>
      <c r="F642" s="10"/>
      <c r="G642" s="11"/>
    </row>
    <row r="643" spans="1:7" x14ac:dyDescent="0.3">
      <c r="A643" s="7"/>
      <c r="B643" s="8"/>
      <c r="C643" s="8"/>
      <c r="D643" s="9"/>
      <c r="E643" s="9"/>
      <c r="F643" s="10"/>
      <c r="G643" s="11"/>
    </row>
    <row r="644" spans="1:7" x14ac:dyDescent="0.3">
      <c r="A644" s="7"/>
      <c r="B644" s="8"/>
      <c r="C644" s="8"/>
      <c r="D644" s="9"/>
      <c r="E644" s="9"/>
      <c r="F644" s="10"/>
      <c r="G644" s="11"/>
    </row>
    <row r="645" spans="1:7" x14ac:dyDescent="0.3">
      <c r="A645" s="7"/>
      <c r="B645" s="8"/>
      <c r="C645" s="8"/>
      <c r="D645" s="9"/>
      <c r="E645" s="9"/>
      <c r="F645" s="10"/>
      <c r="G645" s="11"/>
    </row>
    <row r="646" spans="1:7" x14ac:dyDescent="0.3">
      <c r="A646" s="7"/>
      <c r="B646" s="8"/>
      <c r="C646" s="8"/>
      <c r="D646" s="9"/>
      <c r="E646" s="9"/>
      <c r="F646" s="10"/>
      <c r="G646" s="11"/>
    </row>
    <row r="647" spans="1:7" x14ac:dyDescent="0.3">
      <c r="A647" s="7"/>
      <c r="B647" s="8"/>
      <c r="C647" s="8"/>
      <c r="D647" s="9"/>
      <c r="E647" s="9"/>
      <c r="F647" s="10"/>
      <c r="G647" s="11"/>
    </row>
    <row r="648" spans="1:7" x14ac:dyDescent="0.3">
      <c r="A648" s="7"/>
      <c r="B648" s="8"/>
      <c r="C648" s="8"/>
      <c r="D648" s="9"/>
      <c r="E648" s="9"/>
      <c r="F648" s="10"/>
      <c r="G648" s="11"/>
    </row>
    <row r="649" spans="1:7" x14ac:dyDescent="0.3">
      <c r="A649" s="7"/>
      <c r="B649" s="8"/>
      <c r="C649" s="8"/>
      <c r="D649" s="9"/>
      <c r="E649" s="9"/>
      <c r="F649" s="10"/>
      <c r="G649" s="11"/>
    </row>
    <row r="650" spans="1:7" x14ac:dyDescent="0.3">
      <c r="A650" s="7"/>
      <c r="B650" s="8"/>
      <c r="C650" s="8"/>
      <c r="D650" s="9"/>
      <c r="E650" s="9"/>
      <c r="F650" s="10"/>
      <c r="G650" s="11"/>
    </row>
    <row r="651" spans="1:7" x14ac:dyDescent="0.3">
      <c r="A651" s="7"/>
      <c r="B651" s="8"/>
      <c r="C651" s="8"/>
      <c r="D651" s="9"/>
      <c r="E651" s="9"/>
      <c r="F651" s="10"/>
      <c r="G651" s="11"/>
    </row>
    <row r="652" spans="1:7" x14ac:dyDescent="0.3">
      <c r="A652" s="7"/>
      <c r="B652" s="8"/>
      <c r="C652" s="8"/>
      <c r="D652" s="9"/>
      <c r="E652" s="9"/>
      <c r="F652" s="10"/>
      <c r="G652" s="11"/>
    </row>
    <row r="653" spans="1:7" x14ac:dyDescent="0.3">
      <c r="A653" s="7"/>
      <c r="B653" s="8"/>
      <c r="C653" s="8"/>
      <c r="D653" s="9"/>
      <c r="E653" s="9"/>
      <c r="F653" s="10"/>
      <c r="G653" s="11"/>
    </row>
    <row r="654" spans="1:7" x14ac:dyDescent="0.3">
      <c r="A654" s="7"/>
      <c r="B654" s="8"/>
      <c r="C654" s="8"/>
      <c r="D654" s="9"/>
      <c r="E654" s="9"/>
      <c r="F654" s="10"/>
      <c r="G654" s="11"/>
    </row>
    <row r="655" spans="1:7" x14ac:dyDescent="0.3">
      <c r="A655" s="7"/>
      <c r="B655" s="8"/>
      <c r="C655" s="8"/>
      <c r="D655" s="9"/>
      <c r="E655" s="9"/>
      <c r="F655" s="10"/>
      <c r="G655" s="11"/>
    </row>
    <row r="656" spans="1:7" x14ac:dyDescent="0.3">
      <c r="A656" s="7"/>
      <c r="B656" s="8"/>
      <c r="C656" s="8"/>
      <c r="D656" s="9"/>
      <c r="E656" s="9"/>
      <c r="F656" s="10"/>
      <c r="G656" s="11"/>
    </row>
    <row r="657" spans="1:7" x14ac:dyDescent="0.3">
      <c r="A657" s="7"/>
      <c r="B657" s="8"/>
      <c r="C657" s="8"/>
      <c r="D657" s="9"/>
      <c r="E657" s="9"/>
      <c r="F657" s="10"/>
      <c r="G657" s="11"/>
    </row>
    <row r="658" spans="1:7" x14ac:dyDescent="0.3">
      <c r="A658" s="7"/>
      <c r="B658" s="8"/>
      <c r="C658" s="8"/>
      <c r="D658" s="9"/>
      <c r="E658" s="9"/>
      <c r="F658" s="10"/>
      <c r="G658" s="11"/>
    </row>
    <row r="659" spans="1:7" x14ac:dyDescent="0.3">
      <c r="A659" s="7"/>
      <c r="B659" s="8"/>
      <c r="C659" s="8"/>
      <c r="D659" s="9"/>
      <c r="E659" s="9"/>
      <c r="F659" s="10"/>
      <c r="G659" s="11"/>
    </row>
    <row r="660" spans="1:7" x14ac:dyDescent="0.3">
      <c r="A660" s="7"/>
      <c r="B660" s="8"/>
      <c r="C660" s="8"/>
      <c r="D660" s="9"/>
      <c r="E660" s="9"/>
      <c r="F660" s="10"/>
      <c r="G660" s="11"/>
    </row>
    <row r="661" spans="1:7" x14ac:dyDescent="0.3">
      <c r="A661" s="7"/>
      <c r="B661" s="8"/>
      <c r="C661" s="8"/>
      <c r="D661" s="9"/>
      <c r="E661" s="9"/>
      <c r="F661" s="10"/>
      <c r="G661" s="11"/>
    </row>
    <row r="662" spans="1:7" x14ac:dyDescent="0.3">
      <c r="A662" s="7"/>
      <c r="B662" s="8"/>
      <c r="C662" s="8"/>
      <c r="D662" s="9"/>
      <c r="E662" s="9"/>
      <c r="F662" s="10"/>
      <c r="G662" s="11"/>
    </row>
    <row r="663" spans="1:7" x14ac:dyDescent="0.3">
      <c r="A663" s="7"/>
      <c r="B663" s="8"/>
      <c r="C663" s="8"/>
      <c r="D663" s="9"/>
      <c r="E663" s="9"/>
      <c r="F663" s="10"/>
      <c r="G663" s="11"/>
    </row>
    <row r="664" spans="1:7" x14ac:dyDescent="0.3">
      <c r="A664" s="7"/>
      <c r="B664" s="8"/>
      <c r="C664" s="8"/>
      <c r="D664" s="9"/>
      <c r="E664" s="9"/>
      <c r="F664" s="10"/>
      <c r="G664" s="11"/>
    </row>
    <row r="665" spans="1:7" x14ac:dyDescent="0.3">
      <c r="A665" s="7"/>
      <c r="B665" s="8"/>
      <c r="C665" s="8"/>
      <c r="D665" s="9"/>
      <c r="E665" s="9"/>
      <c r="F665" s="10"/>
      <c r="G665" s="11"/>
    </row>
    <row r="666" spans="1:7" x14ac:dyDescent="0.3">
      <c r="A666" s="7"/>
      <c r="B666" s="8"/>
      <c r="C666" s="8"/>
      <c r="D666" s="9"/>
      <c r="E666" s="9"/>
      <c r="F666" s="10"/>
      <c r="G666" s="11"/>
    </row>
    <row r="667" spans="1:7" x14ac:dyDescent="0.3">
      <c r="A667" s="7"/>
      <c r="B667" s="8"/>
      <c r="C667" s="8"/>
      <c r="D667" s="9"/>
      <c r="E667" s="9"/>
      <c r="F667" s="10"/>
      <c r="G667" s="11"/>
    </row>
    <row r="668" spans="1:7" x14ac:dyDescent="0.3">
      <c r="A668" s="7"/>
      <c r="B668" s="8"/>
      <c r="C668" s="8"/>
      <c r="D668" s="9"/>
      <c r="E668" s="9"/>
      <c r="F668" s="10"/>
      <c r="G668" s="11"/>
    </row>
    <row r="669" spans="1:7" x14ac:dyDescent="0.3">
      <c r="A669" s="7"/>
      <c r="B669" s="8"/>
      <c r="C669" s="8"/>
      <c r="D669" s="9"/>
      <c r="E669" s="9"/>
      <c r="F669" s="10"/>
      <c r="G669" s="11"/>
    </row>
    <row r="670" spans="1:7" x14ac:dyDescent="0.3">
      <c r="A670" s="7"/>
      <c r="B670" s="8"/>
      <c r="C670" s="8"/>
      <c r="D670" s="9"/>
      <c r="E670" s="9"/>
      <c r="F670" s="10"/>
      <c r="G670" s="11"/>
    </row>
    <row r="671" spans="1:7" x14ac:dyDescent="0.3">
      <c r="A671" s="7"/>
      <c r="B671" s="8"/>
      <c r="C671" s="8"/>
      <c r="D671" s="9"/>
      <c r="E671" s="9"/>
      <c r="F671" s="10"/>
      <c r="G671" s="11"/>
    </row>
    <row r="672" spans="1:7" x14ac:dyDescent="0.3">
      <c r="A672" s="7"/>
      <c r="B672" s="8"/>
      <c r="C672" s="8"/>
      <c r="D672" s="9"/>
      <c r="E672" s="9"/>
      <c r="F672" s="10"/>
      <c r="G672" s="11"/>
    </row>
    <row r="673" spans="1:7" x14ac:dyDescent="0.3">
      <c r="A673" s="7"/>
      <c r="B673" s="8"/>
      <c r="C673" s="8"/>
      <c r="D673" s="9"/>
      <c r="E673" s="9"/>
      <c r="F673" s="10"/>
      <c r="G673" s="11"/>
    </row>
    <row r="674" spans="1:7" x14ac:dyDescent="0.3">
      <c r="A674" s="7"/>
      <c r="B674" s="8"/>
      <c r="C674" s="8"/>
      <c r="D674" s="9"/>
      <c r="E674" s="9"/>
      <c r="F674" s="10"/>
      <c r="G674" s="11"/>
    </row>
    <row r="675" spans="1:7" x14ac:dyDescent="0.3">
      <c r="A675" s="7"/>
      <c r="B675" s="8"/>
      <c r="C675" s="8"/>
      <c r="D675" s="9"/>
      <c r="E675" s="9"/>
      <c r="F675" s="10"/>
      <c r="G675" s="11"/>
    </row>
    <row r="676" spans="1:7" x14ac:dyDescent="0.3">
      <c r="A676" s="7"/>
      <c r="B676" s="8"/>
      <c r="C676" s="8"/>
      <c r="D676" s="9"/>
      <c r="E676" s="9"/>
      <c r="F676" s="10"/>
      <c r="G676" s="11"/>
    </row>
    <row r="677" spans="1:7" x14ac:dyDescent="0.3">
      <c r="A677" s="7"/>
      <c r="B677" s="8"/>
      <c r="C677" s="8"/>
      <c r="D677" s="9"/>
      <c r="E677" s="9"/>
      <c r="F677" s="10"/>
      <c r="G677" s="11"/>
    </row>
    <row r="678" spans="1:7" x14ac:dyDescent="0.3">
      <c r="A678" s="7"/>
      <c r="B678" s="8"/>
      <c r="C678" s="8"/>
      <c r="D678" s="9"/>
      <c r="E678" s="9"/>
      <c r="F678" s="10"/>
      <c r="G678" s="11"/>
    </row>
    <row r="679" spans="1:7" x14ac:dyDescent="0.3">
      <c r="A679" s="7"/>
      <c r="B679" s="8"/>
      <c r="C679" s="8"/>
      <c r="D679" s="9"/>
      <c r="E679" s="9"/>
      <c r="F679" s="10"/>
      <c r="G679" s="11"/>
    </row>
    <row r="680" spans="1:7" x14ac:dyDescent="0.3">
      <c r="A680" s="7"/>
      <c r="B680" s="8"/>
      <c r="C680" s="8"/>
      <c r="D680" s="9"/>
      <c r="E680" s="9"/>
      <c r="F680" s="10"/>
      <c r="G680" s="11"/>
    </row>
    <row r="681" spans="1:7" x14ac:dyDescent="0.3">
      <c r="A681" s="7"/>
      <c r="B681" s="8"/>
      <c r="C681" s="8"/>
      <c r="D681" s="9"/>
      <c r="E681" s="9"/>
      <c r="F681" s="10"/>
      <c r="G681" s="11"/>
    </row>
    <row r="682" spans="1:7" x14ac:dyDescent="0.3">
      <c r="A682" s="7"/>
      <c r="B682" s="8"/>
      <c r="C682" s="8"/>
      <c r="D682" s="9"/>
      <c r="E682" s="9"/>
      <c r="F682" s="10"/>
      <c r="G682" s="11"/>
    </row>
    <row r="683" spans="1:7" x14ac:dyDescent="0.3">
      <c r="A683" s="7"/>
      <c r="B683" s="8"/>
      <c r="C683" s="8"/>
      <c r="D683" s="9"/>
      <c r="E683" s="9"/>
      <c r="F683" s="10"/>
      <c r="G683" s="11"/>
    </row>
    <row r="684" spans="1:7" x14ac:dyDescent="0.3">
      <c r="A684" s="7"/>
      <c r="B684" s="8"/>
      <c r="C684" s="8"/>
      <c r="D684" s="9"/>
      <c r="E684" s="9"/>
      <c r="F684" s="10"/>
      <c r="G684" s="11"/>
    </row>
    <row r="685" spans="1:7" x14ac:dyDescent="0.3">
      <c r="A685" s="7"/>
      <c r="B685" s="8"/>
      <c r="C685" s="8"/>
      <c r="D685" s="9"/>
      <c r="E685" s="9"/>
      <c r="F685" s="10"/>
      <c r="G685" s="11"/>
    </row>
    <row r="686" spans="1:7" x14ac:dyDescent="0.3">
      <c r="A686" s="7"/>
      <c r="B686" s="8"/>
      <c r="C686" s="8"/>
      <c r="D686" s="9"/>
      <c r="E686" s="9"/>
      <c r="F686" s="10"/>
      <c r="G686" s="11"/>
    </row>
    <row r="687" spans="1:7" x14ac:dyDescent="0.3">
      <c r="A687" s="7"/>
      <c r="B687" s="8"/>
      <c r="C687" s="8"/>
      <c r="D687" s="9"/>
      <c r="E687" s="9"/>
      <c r="F687" s="10"/>
      <c r="G687" s="11"/>
    </row>
    <row r="688" spans="1:7" x14ac:dyDescent="0.3">
      <c r="A688" s="7"/>
      <c r="B688" s="8"/>
      <c r="C688" s="8"/>
      <c r="D688" s="9"/>
      <c r="E688" s="9"/>
      <c r="F688" s="10"/>
      <c r="G688" s="11"/>
    </row>
    <row r="689" spans="1:7" x14ac:dyDescent="0.3">
      <c r="A689" s="7"/>
      <c r="B689" s="8"/>
      <c r="C689" s="8"/>
      <c r="D689" s="9"/>
      <c r="E689" s="9"/>
      <c r="F689" s="10"/>
      <c r="G689" s="11"/>
    </row>
    <row r="690" spans="1:7" x14ac:dyDescent="0.3">
      <c r="A690" s="7"/>
      <c r="B690" s="8"/>
      <c r="C690" s="8"/>
      <c r="D690" s="9"/>
      <c r="E690" s="9"/>
      <c r="F690" s="10"/>
      <c r="G690" s="11"/>
    </row>
    <row r="691" spans="1:7" x14ac:dyDescent="0.3">
      <c r="A691" s="7"/>
      <c r="B691" s="8"/>
      <c r="C691" s="8"/>
      <c r="D691" s="9"/>
      <c r="E691" s="9"/>
      <c r="F691" s="10"/>
      <c r="G691" s="11"/>
    </row>
    <row r="692" spans="1:7" x14ac:dyDescent="0.3">
      <c r="A692" s="7"/>
      <c r="B692" s="8"/>
      <c r="C692" s="8"/>
      <c r="D692" s="9"/>
      <c r="E692" s="9"/>
      <c r="F692" s="10"/>
      <c r="G692" s="11"/>
    </row>
    <row r="693" spans="1:7" x14ac:dyDescent="0.3">
      <c r="A693" s="7"/>
      <c r="B693" s="8"/>
      <c r="C693" s="8"/>
      <c r="D693" s="9"/>
      <c r="E693" s="9"/>
      <c r="F693" s="10"/>
      <c r="G693" s="11"/>
    </row>
    <row r="694" spans="1:7" x14ac:dyDescent="0.3">
      <c r="A694" s="7"/>
      <c r="B694" s="8"/>
      <c r="C694" s="8"/>
      <c r="D694" s="9"/>
      <c r="E694" s="9"/>
      <c r="F694" s="10"/>
      <c r="G694" s="11"/>
    </row>
    <row r="695" spans="1:7" x14ac:dyDescent="0.3">
      <c r="A695" s="7"/>
      <c r="B695" s="8"/>
      <c r="C695" s="8"/>
      <c r="D695" s="9"/>
      <c r="E695" s="9"/>
      <c r="F695" s="10"/>
      <c r="G695" s="11"/>
    </row>
    <row r="696" spans="1:7" x14ac:dyDescent="0.3">
      <c r="A696" s="7"/>
      <c r="B696" s="8"/>
      <c r="C696" s="8"/>
      <c r="D696" s="9"/>
      <c r="E696" s="9"/>
      <c r="F696" s="10"/>
      <c r="G696" s="11"/>
    </row>
    <row r="697" spans="1:7" x14ac:dyDescent="0.3">
      <c r="A697" s="7"/>
      <c r="B697" s="8"/>
      <c r="C697" s="8"/>
      <c r="D697" s="9"/>
      <c r="E697" s="9"/>
      <c r="F697" s="10"/>
      <c r="G697" s="11"/>
    </row>
    <row r="698" spans="1:7" x14ac:dyDescent="0.3">
      <c r="A698" s="7"/>
      <c r="B698" s="8"/>
      <c r="C698" s="8"/>
      <c r="D698" s="9"/>
      <c r="E698" s="9"/>
      <c r="F698" s="10"/>
      <c r="G698" s="11"/>
    </row>
    <row r="699" spans="1:7" x14ac:dyDescent="0.3">
      <c r="A699" s="7"/>
      <c r="B699" s="8"/>
      <c r="C699" s="8"/>
      <c r="D699" s="9"/>
      <c r="E699" s="9"/>
      <c r="F699" s="10"/>
      <c r="G699" s="11"/>
    </row>
    <row r="700" spans="1:7" x14ac:dyDescent="0.3">
      <c r="A700" s="7"/>
      <c r="B700" s="8"/>
      <c r="C700" s="8"/>
      <c r="D700" s="9"/>
      <c r="E700" s="9"/>
      <c r="F700" s="10"/>
      <c r="G700" s="11"/>
    </row>
    <row r="701" spans="1:7" x14ac:dyDescent="0.3">
      <c r="A701" s="7"/>
      <c r="B701" s="8"/>
      <c r="C701" s="8"/>
      <c r="D701" s="9"/>
      <c r="E701" s="9"/>
      <c r="F701" s="10"/>
      <c r="G701" s="11"/>
    </row>
    <row r="702" spans="1:7" x14ac:dyDescent="0.3">
      <c r="A702" s="7"/>
      <c r="B702" s="8"/>
      <c r="C702" s="8"/>
      <c r="D702" s="9"/>
      <c r="E702" s="9"/>
      <c r="F702" s="10"/>
      <c r="G702" s="11"/>
    </row>
    <row r="703" spans="1:7" x14ac:dyDescent="0.3">
      <c r="A703" s="7"/>
      <c r="B703" s="8"/>
      <c r="C703" s="8"/>
      <c r="D703" s="9"/>
      <c r="E703" s="9"/>
      <c r="F703" s="10"/>
      <c r="G703" s="11"/>
    </row>
    <row r="704" spans="1:7" x14ac:dyDescent="0.3">
      <c r="A704" s="7"/>
      <c r="B704" s="8"/>
      <c r="C704" s="8"/>
      <c r="D704" s="9"/>
      <c r="E704" s="9"/>
      <c r="F704" s="10"/>
      <c r="G704" s="11"/>
    </row>
    <row r="705" spans="1:7" x14ac:dyDescent="0.3">
      <c r="A705" s="7"/>
      <c r="B705" s="8"/>
      <c r="C705" s="8"/>
      <c r="D705" s="9"/>
      <c r="E705" s="9"/>
      <c r="F705" s="10"/>
      <c r="G705" s="11"/>
    </row>
    <row r="706" spans="1:7" x14ac:dyDescent="0.3">
      <c r="A706" s="7"/>
      <c r="B706" s="8"/>
      <c r="C706" s="8"/>
      <c r="D706" s="9"/>
      <c r="E706" s="9"/>
      <c r="F706" s="10"/>
      <c r="G706" s="11"/>
    </row>
    <row r="707" spans="1:7" x14ac:dyDescent="0.3">
      <c r="A707" s="7"/>
      <c r="B707" s="8"/>
      <c r="C707" s="8"/>
      <c r="D707" s="9"/>
      <c r="E707" s="9"/>
      <c r="F707" s="10"/>
      <c r="G707" s="11"/>
    </row>
    <row r="708" spans="1:7" x14ac:dyDescent="0.3">
      <c r="A708" s="7"/>
      <c r="B708" s="8"/>
      <c r="C708" s="8"/>
      <c r="D708" s="9"/>
      <c r="E708" s="9"/>
      <c r="F708" s="10"/>
      <c r="G708" s="11"/>
    </row>
    <row r="709" spans="1:7" x14ac:dyDescent="0.3">
      <c r="A709" s="7"/>
      <c r="B709" s="8"/>
      <c r="C709" s="8"/>
      <c r="D709" s="9"/>
      <c r="E709" s="9"/>
      <c r="F709" s="10"/>
      <c r="G709" s="11"/>
    </row>
    <row r="710" spans="1:7" x14ac:dyDescent="0.3">
      <c r="A710" s="7"/>
      <c r="B710" s="8"/>
      <c r="C710" s="8"/>
      <c r="D710" s="9"/>
      <c r="E710" s="9"/>
      <c r="F710" s="10"/>
      <c r="G710" s="11"/>
    </row>
    <row r="711" spans="1:7" x14ac:dyDescent="0.3">
      <c r="A711" s="7"/>
      <c r="B711" s="8"/>
      <c r="C711" s="8"/>
      <c r="D711" s="9"/>
      <c r="E711" s="9"/>
      <c r="F711" s="10"/>
      <c r="G711" s="11"/>
    </row>
    <row r="712" spans="1:7" x14ac:dyDescent="0.3">
      <c r="A712" s="7"/>
      <c r="B712" s="8"/>
      <c r="C712" s="8"/>
      <c r="D712" s="9"/>
      <c r="E712" s="9"/>
      <c r="F712" s="10"/>
      <c r="G712" s="11"/>
    </row>
    <row r="713" spans="1:7" x14ac:dyDescent="0.3">
      <c r="A713" s="7"/>
      <c r="B713" s="8"/>
      <c r="C713" s="8"/>
      <c r="D713" s="9"/>
      <c r="E713" s="9"/>
      <c r="F713" s="10"/>
      <c r="G713" s="11"/>
    </row>
    <row r="714" spans="1:7" x14ac:dyDescent="0.3">
      <c r="A714" s="7"/>
      <c r="B714" s="8"/>
      <c r="C714" s="8"/>
      <c r="D714" s="9"/>
      <c r="E714" s="9"/>
      <c r="F714" s="10"/>
      <c r="G714" s="11"/>
    </row>
    <row r="715" spans="1:7" x14ac:dyDescent="0.3">
      <c r="A715" s="7"/>
      <c r="B715" s="8"/>
      <c r="C715" s="8"/>
      <c r="D715" s="9"/>
      <c r="E715" s="9"/>
      <c r="F715" s="10"/>
      <c r="G715" s="11"/>
    </row>
    <row r="716" spans="1:7" x14ac:dyDescent="0.3">
      <c r="A716" s="7"/>
      <c r="B716" s="8"/>
      <c r="C716" s="8"/>
      <c r="D716" s="9"/>
      <c r="E716" s="9"/>
      <c r="F716" s="10"/>
      <c r="G716" s="11"/>
    </row>
    <row r="717" spans="1:7" x14ac:dyDescent="0.3">
      <c r="A717" s="7"/>
      <c r="B717" s="8"/>
      <c r="C717" s="8"/>
      <c r="D717" s="9"/>
      <c r="E717" s="9"/>
      <c r="F717" s="10"/>
      <c r="G717" s="11"/>
    </row>
    <row r="718" spans="1:7" x14ac:dyDescent="0.3">
      <c r="A718" s="7"/>
      <c r="B718" s="8"/>
      <c r="C718" s="8"/>
      <c r="D718" s="9"/>
      <c r="E718" s="9"/>
      <c r="F718" s="10"/>
      <c r="G718" s="11"/>
    </row>
    <row r="719" spans="1:7" x14ac:dyDescent="0.3">
      <c r="A719" s="7"/>
      <c r="B719" s="8"/>
      <c r="C719" s="8"/>
      <c r="D719" s="9"/>
      <c r="E719" s="9"/>
      <c r="F719" s="10"/>
      <c r="G719" s="11"/>
    </row>
    <row r="720" spans="1:7" x14ac:dyDescent="0.3">
      <c r="A720" s="7"/>
      <c r="B720" s="8"/>
      <c r="C720" s="8"/>
      <c r="D720" s="9"/>
      <c r="E720" s="9"/>
      <c r="F720" s="10"/>
      <c r="G720" s="11"/>
    </row>
    <row r="721" spans="1:7" x14ac:dyDescent="0.3">
      <c r="A721" s="7"/>
      <c r="B721" s="8"/>
      <c r="C721" s="8"/>
      <c r="D721" s="9"/>
      <c r="E721" s="9"/>
      <c r="F721" s="10"/>
      <c r="G721" s="11"/>
    </row>
    <row r="722" spans="1:7" x14ac:dyDescent="0.3">
      <c r="A722" s="7"/>
      <c r="B722" s="8"/>
      <c r="C722" s="8"/>
      <c r="D722" s="9"/>
      <c r="E722" s="9"/>
      <c r="F722" s="10"/>
      <c r="G722" s="11"/>
    </row>
    <row r="723" spans="1:7" x14ac:dyDescent="0.3">
      <c r="A723" s="7"/>
      <c r="B723" s="8"/>
      <c r="C723" s="8"/>
      <c r="D723" s="9"/>
      <c r="E723" s="9"/>
      <c r="F723" s="10"/>
      <c r="G723" s="11"/>
    </row>
    <row r="724" spans="1:7" x14ac:dyDescent="0.3">
      <c r="A724" s="7"/>
      <c r="B724" s="8"/>
      <c r="C724" s="8"/>
      <c r="D724" s="9"/>
      <c r="E724" s="9"/>
      <c r="F724" s="10"/>
      <c r="G724" s="11"/>
    </row>
    <row r="725" spans="1:7" x14ac:dyDescent="0.3">
      <c r="A725" s="7"/>
      <c r="B725" s="8"/>
      <c r="C725" s="8"/>
      <c r="D725" s="9"/>
      <c r="E725" s="9"/>
      <c r="F725" s="10"/>
      <c r="G725" s="11"/>
    </row>
    <row r="726" spans="1:7" x14ac:dyDescent="0.3">
      <c r="A726" s="7"/>
      <c r="B726" s="8"/>
      <c r="C726" s="8"/>
      <c r="D726" s="9"/>
      <c r="E726" s="9"/>
      <c r="F726" s="10"/>
      <c r="G726" s="11"/>
    </row>
    <row r="727" spans="1:7" x14ac:dyDescent="0.3">
      <c r="A727" s="7"/>
      <c r="B727" s="8"/>
      <c r="C727" s="8"/>
      <c r="D727" s="9"/>
      <c r="E727" s="9"/>
      <c r="F727" s="10"/>
      <c r="G727" s="11"/>
    </row>
    <row r="728" spans="1:7" x14ac:dyDescent="0.3">
      <c r="A728" s="7"/>
      <c r="B728" s="8"/>
      <c r="C728" s="8"/>
      <c r="D728" s="9"/>
      <c r="E728" s="9"/>
      <c r="F728" s="10"/>
      <c r="G728" s="11"/>
    </row>
    <row r="729" spans="1:7" x14ac:dyDescent="0.3">
      <c r="A729" s="7"/>
      <c r="B729" s="8"/>
      <c r="C729" s="8"/>
      <c r="D729" s="9"/>
      <c r="E729" s="9"/>
      <c r="F729" s="10"/>
      <c r="G729" s="11"/>
    </row>
    <row r="730" spans="1:7" x14ac:dyDescent="0.3">
      <c r="A730" s="7"/>
      <c r="B730" s="8"/>
      <c r="C730" s="8"/>
      <c r="D730" s="9"/>
      <c r="E730" s="9"/>
      <c r="F730" s="10"/>
      <c r="G730" s="11"/>
    </row>
    <row r="731" spans="1:7" x14ac:dyDescent="0.3">
      <c r="A731" s="7"/>
      <c r="B731" s="8"/>
      <c r="C731" s="8"/>
      <c r="D731" s="9"/>
      <c r="E731" s="9"/>
      <c r="F731" s="10"/>
      <c r="G731" s="11"/>
    </row>
    <row r="732" spans="1:7" x14ac:dyDescent="0.3">
      <c r="A732" s="7"/>
      <c r="B732" s="8"/>
      <c r="C732" s="8"/>
      <c r="D732" s="9"/>
      <c r="E732" s="9"/>
      <c r="F732" s="10"/>
      <c r="G732" s="11"/>
    </row>
    <row r="733" spans="1:7" x14ac:dyDescent="0.3">
      <c r="A733" s="7"/>
      <c r="B733" s="8"/>
      <c r="C733" s="8"/>
      <c r="D733" s="9"/>
      <c r="E733" s="9"/>
      <c r="F733" s="10"/>
      <c r="G733" s="11"/>
    </row>
    <row r="734" spans="1:7" x14ac:dyDescent="0.3">
      <c r="A734" s="7"/>
      <c r="B734" s="8"/>
      <c r="C734" s="8"/>
      <c r="D734" s="9"/>
      <c r="E734" s="9"/>
      <c r="F734" s="10"/>
      <c r="G734" s="11"/>
    </row>
    <row r="735" spans="1:7" x14ac:dyDescent="0.3">
      <c r="A735" s="7"/>
      <c r="B735" s="8"/>
      <c r="C735" s="8"/>
      <c r="D735" s="9"/>
      <c r="E735" s="9"/>
      <c r="F735" s="10"/>
      <c r="G735" s="11"/>
    </row>
    <row r="736" spans="1:7" x14ac:dyDescent="0.3">
      <c r="A736" s="7"/>
      <c r="B736" s="8"/>
      <c r="C736" s="8"/>
      <c r="D736" s="9"/>
      <c r="E736" s="9"/>
      <c r="F736" s="10"/>
      <c r="G736" s="11"/>
    </row>
    <row r="737" spans="1:7" x14ac:dyDescent="0.3">
      <c r="A737" s="7"/>
      <c r="B737" s="8"/>
      <c r="C737" s="8"/>
      <c r="D737" s="9"/>
      <c r="E737" s="9"/>
      <c r="F737" s="10"/>
      <c r="G737" s="11"/>
    </row>
    <row r="738" spans="1:7" x14ac:dyDescent="0.3">
      <c r="A738" s="7"/>
      <c r="B738" s="8"/>
      <c r="C738" s="8"/>
      <c r="D738" s="9"/>
      <c r="E738" s="9"/>
      <c r="F738" s="10"/>
      <c r="G738" s="11"/>
    </row>
    <row r="739" spans="1:7" x14ac:dyDescent="0.3">
      <c r="A739" s="7"/>
      <c r="B739" s="8"/>
      <c r="C739" s="8"/>
      <c r="D739" s="9"/>
      <c r="E739" s="9"/>
      <c r="F739" s="10"/>
      <c r="G739" s="11"/>
    </row>
    <row r="740" spans="1:7" x14ac:dyDescent="0.3">
      <c r="A740" s="7"/>
      <c r="B740" s="8"/>
      <c r="C740" s="8"/>
      <c r="D740" s="9"/>
      <c r="E740" s="9"/>
      <c r="F740" s="10"/>
      <c r="G740" s="11"/>
    </row>
    <row r="741" spans="1:7" x14ac:dyDescent="0.3">
      <c r="A741" s="7"/>
      <c r="B741" s="8"/>
      <c r="C741" s="8"/>
      <c r="D741" s="9"/>
      <c r="E741" s="9"/>
      <c r="F741" s="10"/>
      <c r="G741" s="11"/>
    </row>
    <row r="742" spans="1:7" x14ac:dyDescent="0.3">
      <c r="A742" s="7"/>
      <c r="B742" s="8"/>
      <c r="C742" s="8"/>
      <c r="D742" s="9"/>
      <c r="E742" s="9"/>
      <c r="F742" s="10"/>
      <c r="G742" s="11"/>
    </row>
    <row r="743" spans="1:7" x14ac:dyDescent="0.3">
      <c r="A743" s="7"/>
      <c r="B743" s="8"/>
      <c r="C743" s="8"/>
      <c r="D743" s="9"/>
      <c r="E743" s="9"/>
      <c r="F743" s="10"/>
      <c r="G743" s="11"/>
    </row>
    <row r="744" spans="1:7" x14ac:dyDescent="0.3">
      <c r="A744" s="7"/>
      <c r="B744" s="8"/>
      <c r="C744" s="8"/>
      <c r="D744" s="9"/>
      <c r="E744" s="9"/>
      <c r="F744" s="10"/>
      <c r="G744" s="11"/>
    </row>
    <row r="745" spans="1:7" x14ac:dyDescent="0.3">
      <c r="A745" s="7"/>
      <c r="B745" s="8"/>
      <c r="C745" s="8"/>
      <c r="D745" s="9"/>
      <c r="E745" s="9"/>
      <c r="F745" s="10"/>
      <c r="G745" s="11"/>
    </row>
    <row r="746" spans="1:7" x14ac:dyDescent="0.3">
      <c r="A746" s="7"/>
      <c r="B746" s="8"/>
      <c r="C746" s="8"/>
      <c r="D746" s="9"/>
      <c r="E746" s="9"/>
      <c r="F746" s="10"/>
      <c r="G746" s="11"/>
    </row>
    <row r="747" spans="1:7" x14ac:dyDescent="0.3">
      <c r="A747" s="7"/>
      <c r="B747" s="8"/>
      <c r="C747" s="8"/>
      <c r="D747" s="9"/>
      <c r="E747" s="9"/>
      <c r="F747" s="10"/>
      <c r="G747" s="11"/>
    </row>
    <row r="748" spans="1:7" x14ac:dyDescent="0.3">
      <c r="A748" s="7"/>
      <c r="B748" s="8"/>
      <c r="C748" s="8"/>
      <c r="D748" s="9"/>
      <c r="E748" s="9"/>
      <c r="F748" s="10"/>
      <c r="G748" s="11"/>
    </row>
    <row r="749" spans="1:7" x14ac:dyDescent="0.3">
      <c r="A749" s="7"/>
      <c r="B749" s="8"/>
      <c r="C749" s="8"/>
      <c r="D749" s="9"/>
      <c r="E749" s="9"/>
      <c r="F749" s="10"/>
      <c r="G749" s="11"/>
    </row>
    <row r="750" spans="1:7" x14ac:dyDescent="0.3">
      <c r="A750" s="7"/>
      <c r="B750" s="8"/>
      <c r="C750" s="8"/>
      <c r="D750" s="9"/>
      <c r="E750" s="9"/>
      <c r="F750" s="10"/>
      <c r="G750" s="11"/>
    </row>
    <row r="751" spans="1:7" x14ac:dyDescent="0.3">
      <c r="A751" s="7"/>
      <c r="B751" s="8"/>
      <c r="C751" s="8"/>
      <c r="D751" s="9"/>
      <c r="E751" s="9"/>
      <c r="F751" s="10"/>
      <c r="G751" s="11"/>
    </row>
    <row r="752" spans="1:7" x14ac:dyDescent="0.3">
      <c r="A752" s="7"/>
      <c r="B752" s="8"/>
      <c r="C752" s="8"/>
      <c r="D752" s="9"/>
      <c r="E752" s="9"/>
      <c r="F752" s="10"/>
      <c r="G752" s="11"/>
    </row>
    <row r="753" spans="1:7" x14ac:dyDescent="0.3">
      <c r="A753" s="7"/>
      <c r="B753" s="8"/>
      <c r="C753" s="8"/>
      <c r="D753" s="9"/>
      <c r="E753" s="9"/>
      <c r="F753" s="10"/>
      <c r="G753" s="11"/>
    </row>
    <row r="754" spans="1:7" x14ac:dyDescent="0.3">
      <c r="A754" s="7"/>
      <c r="B754" s="8"/>
      <c r="C754" s="8"/>
      <c r="D754" s="9"/>
      <c r="E754" s="9"/>
      <c r="F754" s="10"/>
      <c r="G754" s="11"/>
    </row>
    <row r="755" spans="1:7" x14ac:dyDescent="0.3">
      <c r="A755" s="7"/>
      <c r="B755" s="8"/>
      <c r="C755" s="8"/>
      <c r="D755" s="9"/>
      <c r="E755" s="9"/>
      <c r="F755" s="10"/>
      <c r="G755" s="11"/>
    </row>
    <row r="756" spans="1:7" x14ac:dyDescent="0.3">
      <c r="A756" s="7"/>
      <c r="B756" s="8"/>
      <c r="C756" s="8"/>
      <c r="D756" s="9"/>
      <c r="E756" s="9"/>
      <c r="F756" s="10"/>
      <c r="G756" s="11"/>
    </row>
    <row r="757" spans="1:7" x14ac:dyDescent="0.3">
      <c r="A757" s="7"/>
      <c r="B757" s="8"/>
      <c r="C757" s="8"/>
      <c r="D757" s="9"/>
      <c r="E757" s="9"/>
      <c r="F757" s="10"/>
      <c r="G757" s="11"/>
    </row>
    <row r="758" spans="1:7" x14ac:dyDescent="0.3">
      <c r="A758" s="7"/>
      <c r="B758" s="8"/>
      <c r="C758" s="8"/>
      <c r="D758" s="9"/>
      <c r="E758" s="9"/>
      <c r="F758" s="10"/>
      <c r="G758" s="11"/>
    </row>
    <row r="759" spans="1:7" x14ac:dyDescent="0.3">
      <c r="A759" s="7"/>
      <c r="B759" s="8"/>
      <c r="C759" s="8"/>
      <c r="D759" s="9"/>
      <c r="E759" s="9"/>
      <c r="F759" s="10"/>
      <c r="G759" s="11"/>
    </row>
    <row r="760" spans="1:7" x14ac:dyDescent="0.3">
      <c r="A760" s="7"/>
      <c r="B760" s="8"/>
      <c r="C760" s="8"/>
      <c r="D760" s="9"/>
      <c r="E760" s="9"/>
      <c r="F760" s="10"/>
      <c r="G760" s="11"/>
    </row>
    <row r="761" spans="1:7" x14ac:dyDescent="0.3">
      <c r="A761" s="7"/>
      <c r="B761" s="8"/>
      <c r="C761" s="8"/>
      <c r="D761" s="9"/>
      <c r="E761" s="9"/>
      <c r="F761" s="10"/>
      <c r="G761" s="11"/>
    </row>
    <row r="762" spans="1:7" x14ac:dyDescent="0.3">
      <c r="A762" s="7"/>
      <c r="B762" s="8"/>
      <c r="C762" s="8"/>
      <c r="D762" s="9"/>
      <c r="E762" s="9"/>
      <c r="F762" s="10"/>
      <c r="G762" s="11"/>
    </row>
    <row r="763" spans="1:7" x14ac:dyDescent="0.3">
      <c r="A763" s="7"/>
      <c r="B763" s="8"/>
      <c r="C763" s="8"/>
      <c r="D763" s="9"/>
      <c r="E763" s="9"/>
      <c r="F763" s="10"/>
      <c r="G763" s="11"/>
    </row>
    <row r="764" spans="1:7" x14ac:dyDescent="0.3">
      <c r="A764" s="7"/>
      <c r="B764" s="8"/>
      <c r="C764" s="8"/>
      <c r="D764" s="9"/>
      <c r="E764" s="9"/>
      <c r="F764" s="10"/>
      <c r="G764" s="11"/>
    </row>
    <row r="765" spans="1:7" x14ac:dyDescent="0.3">
      <c r="A765" s="7"/>
      <c r="B765" s="8"/>
      <c r="C765" s="8"/>
      <c r="D765" s="9"/>
      <c r="E765" s="9"/>
      <c r="F765" s="10"/>
      <c r="G765" s="11"/>
    </row>
    <row r="766" spans="1:7" x14ac:dyDescent="0.3">
      <c r="A766" s="7"/>
      <c r="B766" s="8"/>
      <c r="C766" s="8"/>
      <c r="D766" s="9"/>
      <c r="E766" s="9"/>
      <c r="F766" s="10"/>
      <c r="G766" s="11"/>
    </row>
    <row r="767" spans="1:7" x14ac:dyDescent="0.3">
      <c r="A767" s="7"/>
      <c r="B767" s="8"/>
      <c r="C767" s="8"/>
      <c r="D767" s="9"/>
      <c r="E767" s="9"/>
      <c r="F767" s="10"/>
      <c r="G767" s="11"/>
    </row>
    <row r="768" spans="1:7" x14ac:dyDescent="0.3">
      <c r="A768" s="7"/>
      <c r="B768" s="8"/>
      <c r="C768" s="8"/>
      <c r="D768" s="9"/>
      <c r="E768" s="9"/>
      <c r="F768" s="10"/>
      <c r="G768" s="11"/>
    </row>
    <row r="769" spans="1:7" x14ac:dyDescent="0.3">
      <c r="A769" s="7"/>
      <c r="B769" s="8"/>
      <c r="C769" s="8"/>
      <c r="D769" s="9"/>
      <c r="E769" s="9"/>
      <c r="F769" s="10"/>
      <c r="G769" s="11"/>
    </row>
    <row r="770" spans="1:7" x14ac:dyDescent="0.3">
      <c r="A770" s="7"/>
      <c r="B770" s="8"/>
      <c r="C770" s="8"/>
      <c r="D770" s="9"/>
      <c r="E770" s="9"/>
      <c r="F770" s="10"/>
      <c r="G770" s="11"/>
    </row>
    <row r="771" spans="1:7" x14ac:dyDescent="0.3">
      <c r="A771" s="7"/>
      <c r="B771" s="8"/>
      <c r="C771" s="8"/>
      <c r="D771" s="9"/>
      <c r="E771" s="9"/>
      <c r="F771" s="10"/>
      <c r="G771" s="11"/>
    </row>
    <row r="772" spans="1:7" x14ac:dyDescent="0.3">
      <c r="A772" s="7"/>
      <c r="B772" s="8"/>
      <c r="C772" s="8"/>
      <c r="D772" s="9"/>
      <c r="E772" s="9"/>
      <c r="F772" s="10"/>
      <c r="G772" s="11"/>
    </row>
    <row r="773" spans="1:7" x14ac:dyDescent="0.3">
      <c r="A773" s="7"/>
      <c r="B773" s="8"/>
      <c r="C773" s="8"/>
      <c r="D773" s="9"/>
      <c r="E773" s="9"/>
      <c r="F773" s="10"/>
      <c r="G773" s="11"/>
    </row>
    <row r="774" spans="1:7" x14ac:dyDescent="0.3">
      <c r="A774" s="7"/>
      <c r="B774" s="8"/>
      <c r="C774" s="8"/>
      <c r="D774" s="9"/>
      <c r="E774" s="9"/>
      <c r="F774" s="10"/>
      <c r="G774" s="11"/>
    </row>
    <row r="775" spans="1:7" x14ac:dyDescent="0.3">
      <c r="A775" s="7"/>
      <c r="B775" s="8"/>
      <c r="C775" s="8"/>
      <c r="D775" s="9"/>
      <c r="E775" s="9"/>
      <c r="F775" s="10"/>
      <c r="G775" s="11"/>
    </row>
    <row r="776" spans="1:7" x14ac:dyDescent="0.3">
      <c r="A776" s="7"/>
      <c r="B776" s="8"/>
      <c r="C776" s="8"/>
      <c r="D776" s="9"/>
      <c r="E776" s="9"/>
      <c r="F776" s="10"/>
      <c r="G776" s="11"/>
    </row>
    <row r="777" spans="1:7" x14ac:dyDescent="0.3">
      <c r="A777" s="7"/>
      <c r="B777" s="8"/>
      <c r="C777" s="8"/>
      <c r="D777" s="9"/>
      <c r="E777" s="9"/>
      <c r="F777" s="10"/>
      <c r="G777" s="11"/>
    </row>
    <row r="778" spans="1:7" x14ac:dyDescent="0.3">
      <c r="A778" s="7"/>
      <c r="B778" s="8"/>
      <c r="C778" s="8"/>
      <c r="D778" s="9"/>
      <c r="E778" s="9"/>
      <c r="F778" s="10"/>
      <c r="G778" s="11"/>
    </row>
    <row r="779" spans="1:7" x14ac:dyDescent="0.3">
      <c r="A779" s="7"/>
      <c r="B779" s="8"/>
      <c r="C779" s="8"/>
      <c r="D779" s="9"/>
      <c r="E779" s="9"/>
      <c r="F779" s="10"/>
      <c r="G779" s="11"/>
    </row>
    <row r="780" spans="1:7" x14ac:dyDescent="0.3">
      <c r="A780" s="7"/>
      <c r="B780" s="8"/>
      <c r="C780" s="8"/>
      <c r="D780" s="9"/>
      <c r="E780" s="9"/>
      <c r="F780" s="10"/>
      <c r="G780" s="11"/>
    </row>
    <row r="781" spans="1:7" x14ac:dyDescent="0.3">
      <c r="A781" s="7"/>
      <c r="B781" s="8"/>
      <c r="C781" s="8"/>
      <c r="D781" s="9"/>
      <c r="E781" s="9"/>
      <c r="F781" s="10"/>
      <c r="G781" s="11"/>
    </row>
    <row r="782" spans="1:7" x14ac:dyDescent="0.3">
      <c r="A782" s="7"/>
      <c r="B782" s="8"/>
      <c r="C782" s="8"/>
      <c r="D782" s="9"/>
      <c r="E782" s="9"/>
      <c r="F782" s="10"/>
      <c r="G782" s="11"/>
    </row>
    <row r="783" spans="1:7" x14ac:dyDescent="0.3">
      <c r="A783" s="7"/>
      <c r="B783" s="8"/>
      <c r="C783" s="8"/>
      <c r="D783" s="9"/>
      <c r="E783" s="9"/>
      <c r="F783" s="10"/>
      <c r="G783" s="11"/>
    </row>
    <row r="784" spans="1:7" x14ac:dyDescent="0.3">
      <c r="A784" s="7"/>
      <c r="B784" s="8"/>
      <c r="C784" s="8"/>
      <c r="D784" s="9"/>
      <c r="E784" s="9"/>
      <c r="F784" s="10"/>
      <c r="G784" s="11"/>
    </row>
    <row r="785" spans="1:7" x14ac:dyDescent="0.3">
      <c r="A785" s="7"/>
      <c r="B785" s="8"/>
      <c r="C785" s="8"/>
      <c r="D785" s="9"/>
      <c r="E785" s="9"/>
      <c r="F785" s="10"/>
      <c r="G785" s="11"/>
    </row>
    <row r="786" spans="1:7" x14ac:dyDescent="0.3">
      <c r="A786" s="7"/>
      <c r="B786" s="8"/>
      <c r="C786" s="8"/>
      <c r="D786" s="9"/>
      <c r="E786" s="9"/>
      <c r="F786" s="10"/>
      <c r="G786" s="11"/>
    </row>
    <row r="787" spans="1:7" x14ac:dyDescent="0.3">
      <c r="A787" s="7"/>
      <c r="B787" s="8"/>
      <c r="C787" s="8"/>
      <c r="D787" s="9"/>
      <c r="E787" s="9"/>
      <c r="F787" s="10"/>
      <c r="G787" s="11"/>
    </row>
    <row r="788" spans="1:7" x14ac:dyDescent="0.3">
      <c r="A788" s="7"/>
      <c r="B788" s="8"/>
      <c r="C788" s="8"/>
      <c r="D788" s="9"/>
      <c r="E788" s="9"/>
      <c r="F788" s="10"/>
      <c r="G788" s="11"/>
    </row>
    <row r="789" spans="1:7" x14ac:dyDescent="0.3">
      <c r="A789" s="7"/>
      <c r="B789" s="8"/>
      <c r="C789" s="8"/>
      <c r="D789" s="9"/>
      <c r="E789" s="9"/>
      <c r="F789" s="10"/>
      <c r="G789" s="11"/>
    </row>
    <row r="790" spans="1:7" x14ac:dyDescent="0.3">
      <c r="A790" s="7"/>
      <c r="B790" s="8"/>
      <c r="C790" s="8"/>
      <c r="D790" s="9"/>
      <c r="E790" s="9"/>
      <c r="F790" s="10"/>
      <c r="G790" s="11"/>
    </row>
    <row r="791" spans="1:7" x14ac:dyDescent="0.3">
      <c r="A791" s="7"/>
      <c r="B791" s="8"/>
      <c r="C791" s="8"/>
      <c r="D791" s="9"/>
      <c r="E791" s="9"/>
      <c r="F791" s="10"/>
      <c r="G791" s="11"/>
    </row>
    <row r="792" spans="1:7" x14ac:dyDescent="0.3">
      <c r="A792" s="7"/>
      <c r="B792" s="8"/>
      <c r="C792" s="8"/>
      <c r="D792" s="9"/>
      <c r="E792" s="9"/>
      <c r="F792" s="10"/>
      <c r="G792" s="11"/>
    </row>
    <row r="793" spans="1:7" x14ac:dyDescent="0.3">
      <c r="A793" s="7"/>
      <c r="B793" s="8"/>
      <c r="C793" s="8"/>
      <c r="D793" s="9"/>
      <c r="E793" s="9"/>
      <c r="F793" s="10"/>
      <c r="G793" s="11"/>
    </row>
    <row r="794" spans="1:7" x14ac:dyDescent="0.3">
      <c r="A794" s="7"/>
      <c r="B794" s="8"/>
      <c r="C794" s="8"/>
      <c r="D794" s="9"/>
      <c r="E794" s="9"/>
      <c r="F794" s="10"/>
      <c r="G794" s="11"/>
    </row>
    <row r="795" spans="1:7" x14ac:dyDescent="0.3">
      <c r="A795" s="7"/>
      <c r="B795" s="8"/>
      <c r="C795" s="8"/>
      <c r="D795" s="9"/>
      <c r="E795" s="9"/>
      <c r="F795" s="10"/>
      <c r="G795" s="11"/>
    </row>
    <row r="796" spans="1:7" x14ac:dyDescent="0.3">
      <c r="A796" s="7"/>
      <c r="B796" s="8"/>
      <c r="C796" s="8"/>
      <c r="D796" s="9"/>
      <c r="E796" s="9"/>
      <c r="F796" s="10"/>
      <c r="G796" s="11"/>
    </row>
    <row r="797" spans="1:7" x14ac:dyDescent="0.3">
      <c r="A797" s="7"/>
      <c r="B797" s="8"/>
      <c r="C797" s="8"/>
      <c r="D797" s="9"/>
      <c r="E797" s="9"/>
      <c r="F797" s="10"/>
      <c r="G797" s="11"/>
    </row>
    <row r="798" spans="1:7" x14ac:dyDescent="0.3">
      <c r="A798" s="7"/>
      <c r="B798" s="8"/>
      <c r="C798" s="8"/>
      <c r="D798" s="9"/>
      <c r="E798" s="9"/>
      <c r="F798" s="10"/>
      <c r="G798" s="11"/>
    </row>
    <row r="799" spans="1:7" x14ac:dyDescent="0.3">
      <c r="A799" s="7"/>
      <c r="B799" s="8"/>
      <c r="C799" s="8"/>
      <c r="D799" s="9"/>
      <c r="E799" s="9"/>
      <c r="F799" s="10"/>
      <c r="G799" s="11"/>
    </row>
    <row r="800" spans="1:7" x14ac:dyDescent="0.3">
      <c r="A800" s="7"/>
      <c r="B800" s="8"/>
      <c r="C800" s="8"/>
      <c r="D800" s="9"/>
      <c r="E800" s="9"/>
      <c r="F800" s="10"/>
      <c r="G800" s="11"/>
    </row>
    <row r="801" spans="1:7" x14ac:dyDescent="0.3">
      <c r="A801" s="7"/>
      <c r="B801" s="8"/>
      <c r="C801" s="8"/>
      <c r="D801" s="9"/>
      <c r="E801" s="9"/>
      <c r="F801" s="10"/>
      <c r="G801" s="11"/>
    </row>
    <row r="802" spans="1:7" x14ac:dyDescent="0.3">
      <c r="A802" s="7"/>
      <c r="B802" s="8"/>
      <c r="C802" s="8"/>
      <c r="D802" s="9"/>
      <c r="E802" s="9"/>
      <c r="F802" s="10"/>
      <c r="G802" s="11"/>
    </row>
    <row r="803" spans="1:7" x14ac:dyDescent="0.3">
      <c r="A803" s="7"/>
      <c r="B803" s="8"/>
      <c r="C803" s="8"/>
      <c r="D803" s="9"/>
      <c r="E803" s="9"/>
      <c r="F803" s="10"/>
      <c r="G803" s="11"/>
    </row>
    <row r="804" spans="1:7" x14ac:dyDescent="0.3">
      <c r="A804" s="7"/>
      <c r="B804" s="8"/>
      <c r="C804" s="8"/>
      <c r="D804" s="9"/>
      <c r="E804" s="9"/>
      <c r="F804" s="10"/>
      <c r="G804" s="11"/>
    </row>
    <row r="805" spans="1:7" x14ac:dyDescent="0.3">
      <c r="A805" s="7"/>
      <c r="B805" s="8"/>
      <c r="C805" s="8"/>
      <c r="D805" s="9"/>
      <c r="E805" s="9"/>
      <c r="F805" s="10"/>
      <c r="G805" s="11"/>
    </row>
    <row r="806" spans="1:7" x14ac:dyDescent="0.3">
      <c r="A806" s="7"/>
      <c r="B806" s="8"/>
      <c r="C806" s="8"/>
      <c r="D806" s="9"/>
      <c r="E806" s="9"/>
      <c r="F806" s="10"/>
      <c r="G806" s="11"/>
    </row>
    <row r="807" spans="1:7" x14ac:dyDescent="0.3">
      <c r="A807" s="7"/>
      <c r="B807" s="8"/>
      <c r="C807" s="8"/>
      <c r="D807" s="9"/>
      <c r="E807" s="9"/>
      <c r="F807" s="10"/>
      <c r="G807" s="11"/>
    </row>
    <row r="808" spans="1:7" x14ac:dyDescent="0.3">
      <c r="A808" s="7"/>
      <c r="B808" s="8"/>
      <c r="C808" s="8"/>
      <c r="D808" s="9"/>
      <c r="E808" s="9"/>
      <c r="F808" s="10"/>
      <c r="G808" s="11"/>
    </row>
    <row r="809" spans="1:7" x14ac:dyDescent="0.3">
      <c r="A809" s="7"/>
      <c r="B809" s="8"/>
      <c r="C809" s="8"/>
      <c r="D809" s="9"/>
      <c r="E809" s="9"/>
      <c r="F809" s="10"/>
      <c r="G809" s="11"/>
    </row>
    <row r="810" spans="1:7" x14ac:dyDescent="0.3">
      <c r="A810" s="7"/>
      <c r="B810" s="8"/>
      <c r="C810" s="8"/>
      <c r="D810" s="9"/>
      <c r="E810" s="9"/>
      <c r="F810" s="10"/>
      <c r="G810" s="11"/>
    </row>
    <row r="811" spans="1:7" x14ac:dyDescent="0.3">
      <c r="A811" s="7"/>
      <c r="B811" s="8"/>
      <c r="C811" s="8"/>
      <c r="D811" s="9"/>
      <c r="E811" s="9"/>
      <c r="F811" s="10"/>
      <c r="G811" s="11"/>
    </row>
    <row r="812" spans="1:7" x14ac:dyDescent="0.3">
      <c r="A812" s="7"/>
      <c r="B812" s="8"/>
      <c r="C812" s="8"/>
      <c r="D812" s="9"/>
      <c r="E812" s="9"/>
      <c r="F812" s="10"/>
      <c r="G812" s="11"/>
    </row>
    <row r="813" spans="1:7" x14ac:dyDescent="0.3">
      <c r="A813" s="7"/>
      <c r="B813" s="8"/>
      <c r="C813" s="8"/>
      <c r="D813" s="9"/>
      <c r="E813" s="9"/>
      <c r="F813" s="10"/>
      <c r="G813" s="11"/>
    </row>
    <row r="814" spans="1:7" x14ac:dyDescent="0.3">
      <c r="A814" s="7"/>
      <c r="B814" s="8"/>
      <c r="C814" s="8"/>
      <c r="D814" s="9"/>
      <c r="E814" s="9"/>
      <c r="F814" s="10"/>
      <c r="G814" s="11"/>
    </row>
    <row r="815" spans="1:7" x14ac:dyDescent="0.3">
      <c r="A815" s="7"/>
      <c r="B815" s="8"/>
      <c r="C815" s="8"/>
      <c r="D815" s="9"/>
      <c r="E815" s="9"/>
      <c r="F815" s="10"/>
      <c r="G815" s="11"/>
    </row>
    <row r="816" spans="1:7" x14ac:dyDescent="0.3">
      <c r="A816" s="7"/>
      <c r="B816" s="8"/>
      <c r="C816" s="8"/>
      <c r="D816" s="9"/>
      <c r="E816" s="9"/>
      <c r="F816" s="10"/>
      <c r="G816" s="11"/>
    </row>
    <row r="817" spans="1:7" x14ac:dyDescent="0.3">
      <c r="A817" s="7"/>
      <c r="B817" s="8"/>
      <c r="C817" s="8"/>
      <c r="D817" s="9"/>
      <c r="E817" s="9"/>
      <c r="F817" s="10"/>
      <c r="G817" s="11"/>
    </row>
    <row r="818" spans="1:7" x14ac:dyDescent="0.3">
      <c r="A818" s="7"/>
      <c r="B818" s="8"/>
      <c r="C818" s="8"/>
      <c r="D818" s="9"/>
      <c r="E818" s="9"/>
      <c r="F818" s="10"/>
      <c r="G818" s="11"/>
    </row>
    <row r="819" spans="1:7" x14ac:dyDescent="0.3">
      <c r="A819" s="7"/>
      <c r="B819" s="8"/>
      <c r="C819" s="8"/>
      <c r="D819" s="9"/>
      <c r="E819" s="9"/>
      <c r="F819" s="10"/>
      <c r="G819" s="11"/>
    </row>
    <row r="820" spans="1:7" x14ac:dyDescent="0.3">
      <c r="A820" s="7"/>
      <c r="B820" s="8"/>
      <c r="C820" s="8"/>
      <c r="D820" s="9"/>
      <c r="E820" s="9"/>
      <c r="F820" s="10"/>
      <c r="G820" s="11"/>
    </row>
    <row r="821" spans="1:7" x14ac:dyDescent="0.3">
      <c r="A821" s="7"/>
      <c r="B821" s="8"/>
      <c r="C821" s="8"/>
      <c r="D821" s="9"/>
      <c r="E821" s="9"/>
      <c r="F821" s="10"/>
      <c r="G821" s="11"/>
    </row>
    <row r="822" spans="1:7" x14ac:dyDescent="0.3">
      <c r="A822" s="7"/>
      <c r="B822" s="8"/>
      <c r="C822" s="8"/>
      <c r="D822" s="9"/>
      <c r="E822" s="9"/>
      <c r="F822" s="10"/>
      <c r="G822" s="11"/>
    </row>
    <row r="823" spans="1:7" x14ac:dyDescent="0.3">
      <c r="A823" s="7"/>
      <c r="B823" s="8"/>
      <c r="C823" s="8"/>
      <c r="D823" s="9"/>
      <c r="E823" s="9"/>
      <c r="F823" s="10"/>
      <c r="G823" s="11"/>
    </row>
    <row r="824" spans="1:7" x14ac:dyDescent="0.3">
      <c r="A824" s="7"/>
      <c r="B824" s="8"/>
      <c r="C824" s="8"/>
      <c r="D824" s="9"/>
      <c r="E824" s="9"/>
      <c r="F824" s="10"/>
      <c r="G824" s="11"/>
    </row>
    <row r="825" spans="1:7" x14ac:dyDescent="0.3">
      <c r="A825" s="7"/>
      <c r="B825" s="8"/>
      <c r="C825" s="8"/>
      <c r="D825" s="9"/>
      <c r="E825" s="9"/>
      <c r="F825" s="10"/>
      <c r="G825" s="11"/>
    </row>
    <row r="826" spans="1:7" x14ac:dyDescent="0.3">
      <c r="A826" s="7"/>
      <c r="B826" s="8"/>
      <c r="C826" s="8"/>
      <c r="D826" s="9"/>
      <c r="E826" s="9"/>
      <c r="F826" s="10"/>
      <c r="G826" s="11"/>
    </row>
    <row r="827" spans="1:7" x14ac:dyDescent="0.3">
      <c r="A827" s="7"/>
      <c r="B827" s="8"/>
      <c r="C827" s="8"/>
      <c r="D827" s="9"/>
      <c r="E827" s="9"/>
      <c r="F827" s="10"/>
      <c r="G827" s="11"/>
    </row>
    <row r="828" spans="1:7" x14ac:dyDescent="0.3">
      <c r="A828" s="7"/>
      <c r="B828" s="8"/>
      <c r="C828" s="8"/>
      <c r="D828" s="9"/>
      <c r="E828" s="9"/>
      <c r="F828" s="10"/>
      <c r="G828" s="11"/>
    </row>
    <row r="829" spans="1:7" x14ac:dyDescent="0.3">
      <c r="A829" s="7"/>
      <c r="B829" s="8"/>
      <c r="C829" s="8"/>
      <c r="D829" s="9"/>
      <c r="E829" s="9"/>
      <c r="F829" s="10"/>
      <c r="G829" s="11"/>
    </row>
    <row r="830" spans="1:7" x14ac:dyDescent="0.3">
      <c r="A830" s="7"/>
      <c r="B830" s="8"/>
      <c r="C830" s="8"/>
      <c r="D830" s="9"/>
      <c r="E830" s="9"/>
      <c r="F830" s="10"/>
      <c r="G830" s="11"/>
    </row>
    <row r="831" spans="1:7" x14ac:dyDescent="0.3">
      <c r="A831" s="7"/>
      <c r="B831" s="8"/>
      <c r="C831" s="8"/>
      <c r="D831" s="9"/>
      <c r="E831" s="9"/>
      <c r="F831" s="10"/>
      <c r="G831" s="11"/>
    </row>
    <row r="832" spans="1:7" x14ac:dyDescent="0.3">
      <c r="A832" s="7"/>
      <c r="B832" s="8"/>
      <c r="C832" s="8"/>
      <c r="D832" s="9"/>
      <c r="E832" s="9"/>
      <c r="F832" s="10"/>
      <c r="G832" s="11"/>
    </row>
    <row r="833" spans="1:7" x14ac:dyDescent="0.3">
      <c r="A833" s="7"/>
      <c r="B833" s="8"/>
      <c r="C833" s="8"/>
      <c r="D833" s="9"/>
      <c r="E833" s="9"/>
      <c r="F833" s="10"/>
      <c r="G833" s="11"/>
    </row>
    <row r="834" spans="1:7" x14ac:dyDescent="0.3">
      <c r="A834" s="7"/>
      <c r="B834" s="8"/>
      <c r="C834" s="8"/>
      <c r="D834" s="9"/>
      <c r="E834" s="9"/>
      <c r="F834" s="10"/>
      <c r="G834" s="11"/>
    </row>
    <row r="835" spans="1:7" x14ac:dyDescent="0.3">
      <c r="A835" s="7"/>
      <c r="B835" s="8"/>
      <c r="C835" s="8"/>
      <c r="D835" s="9"/>
      <c r="E835" s="9"/>
      <c r="F835" s="10"/>
      <c r="G835" s="11"/>
    </row>
    <row r="836" spans="1:7" x14ac:dyDescent="0.3">
      <c r="A836" s="7"/>
      <c r="B836" s="8"/>
      <c r="C836" s="8"/>
      <c r="D836" s="9"/>
      <c r="E836" s="9"/>
      <c r="F836" s="10"/>
      <c r="G836" s="11"/>
    </row>
    <row r="837" spans="1:7" x14ac:dyDescent="0.3">
      <c r="A837" s="7"/>
      <c r="B837" s="8"/>
      <c r="C837" s="8"/>
      <c r="D837" s="9"/>
      <c r="E837" s="9"/>
      <c r="F837" s="10"/>
      <c r="G837" s="11"/>
    </row>
    <row r="838" spans="1:7" x14ac:dyDescent="0.3">
      <c r="A838" s="7"/>
      <c r="B838" s="8"/>
      <c r="C838" s="8"/>
      <c r="D838" s="9"/>
      <c r="E838" s="9"/>
      <c r="F838" s="10"/>
      <c r="G838" s="11"/>
    </row>
    <row r="839" spans="1:7" x14ac:dyDescent="0.3">
      <c r="A839" s="7"/>
      <c r="B839" s="8"/>
      <c r="C839" s="8"/>
      <c r="D839" s="9"/>
      <c r="E839" s="9"/>
      <c r="F839" s="10"/>
      <c r="G839" s="11"/>
    </row>
    <row r="840" spans="1:7" x14ac:dyDescent="0.3">
      <c r="A840" s="7"/>
      <c r="B840" s="8"/>
      <c r="C840" s="8"/>
      <c r="D840" s="9"/>
      <c r="E840" s="9"/>
      <c r="F840" s="10"/>
      <c r="G840" s="11"/>
    </row>
    <row r="841" spans="1:7" x14ac:dyDescent="0.3">
      <c r="A841" s="7"/>
      <c r="B841" s="8"/>
      <c r="C841" s="8"/>
      <c r="D841" s="9"/>
      <c r="E841" s="9"/>
      <c r="F841" s="10"/>
      <c r="G841" s="11"/>
    </row>
    <row r="842" spans="1:7" x14ac:dyDescent="0.3">
      <c r="A842" s="7"/>
      <c r="B842" s="8"/>
      <c r="C842" s="8"/>
      <c r="D842" s="9"/>
      <c r="E842" s="9"/>
      <c r="F842" s="10"/>
      <c r="G842" s="11"/>
    </row>
    <row r="843" spans="1:7" x14ac:dyDescent="0.3">
      <c r="A843" s="7"/>
      <c r="B843" s="8"/>
      <c r="C843" s="8"/>
      <c r="D843" s="9"/>
      <c r="E843" s="9"/>
      <c r="F843" s="10"/>
      <c r="G843" s="11"/>
    </row>
    <row r="844" spans="1:7" x14ac:dyDescent="0.3">
      <c r="A844" s="7"/>
      <c r="B844" s="8"/>
      <c r="C844" s="8"/>
      <c r="D844" s="9"/>
      <c r="E844" s="9"/>
      <c r="F844" s="10"/>
      <c r="G844" s="11"/>
    </row>
    <row r="845" spans="1:7" x14ac:dyDescent="0.3">
      <c r="A845" s="7"/>
      <c r="B845" s="8"/>
      <c r="C845" s="8"/>
      <c r="D845" s="9"/>
      <c r="E845" s="9"/>
      <c r="F845" s="10"/>
      <c r="G845" s="11"/>
    </row>
    <row r="846" spans="1:7" x14ac:dyDescent="0.3">
      <c r="A846" s="7"/>
      <c r="B846" s="8"/>
      <c r="C846" s="8"/>
      <c r="D846" s="9"/>
      <c r="E846" s="9"/>
      <c r="F846" s="10"/>
      <c r="G846" s="11"/>
    </row>
    <row r="847" spans="1:7" x14ac:dyDescent="0.3">
      <c r="A847" s="7"/>
      <c r="B847" s="8"/>
      <c r="C847" s="8"/>
      <c r="D847" s="9"/>
      <c r="E847" s="9"/>
      <c r="F847" s="10"/>
      <c r="G847" s="11"/>
    </row>
    <row r="848" spans="1:7" x14ac:dyDescent="0.3">
      <c r="A848" s="7"/>
      <c r="B848" s="8"/>
      <c r="C848" s="8"/>
      <c r="D848" s="9"/>
      <c r="E848" s="9"/>
      <c r="F848" s="10"/>
      <c r="G848" s="11"/>
    </row>
    <row r="849" spans="1:7" x14ac:dyDescent="0.3">
      <c r="A849" s="7"/>
      <c r="B849" s="8"/>
      <c r="C849" s="8"/>
      <c r="D849" s="9"/>
      <c r="E849" s="9"/>
      <c r="F849" s="10"/>
      <c r="G849" s="11"/>
    </row>
    <row r="850" spans="1:7" x14ac:dyDescent="0.3">
      <c r="A850" s="7"/>
      <c r="B850" s="8"/>
      <c r="C850" s="8"/>
      <c r="D850" s="9"/>
      <c r="E850" s="9"/>
      <c r="F850" s="10"/>
      <c r="G850" s="11"/>
    </row>
    <row r="851" spans="1:7" x14ac:dyDescent="0.3">
      <c r="A851" s="7"/>
      <c r="B851" s="8"/>
      <c r="C851" s="8"/>
      <c r="D851" s="9"/>
      <c r="E851" s="9"/>
      <c r="F851" s="10"/>
      <c r="G851" s="11"/>
    </row>
    <row r="852" spans="1:7" x14ac:dyDescent="0.3">
      <c r="A852" s="7"/>
      <c r="B852" s="8"/>
      <c r="C852" s="8"/>
      <c r="D852" s="9"/>
      <c r="E852" s="9"/>
      <c r="F852" s="10"/>
      <c r="G852" s="11"/>
    </row>
    <row r="853" spans="1:7" x14ac:dyDescent="0.3">
      <c r="A853" s="7"/>
      <c r="B853" s="8"/>
      <c r="C853" s="8"/>
      <c r="D853" s="9"/>
      <c r="E853" s="9"/>
      <c r="F853" s="10"/>
      <c r="G853" s="11"/>
    </row>
    <row r="854" spans="1:7" x14ac:dyDescent="0.3">
      <c r="A854" s="7"/>
      <c r="B854" s="8"/>
      <c r="C854" s="8"/>
      <c r="D854" s="9"/>
      <c r="E854" s="9"/>
      <c r="F854" s="10"/>
      <c r="G854" s="11"/>
    </row>
    <row r="855" spans="1:7" x14ac:dyDescent="0.3">
      <c r="A855" s="7"/>
      <c r="B855" s="8"/>
      <c r="C855" s="8"/>
      <c r="D855" s="9"/>
      <c r="E855" s="9"/>
      <c r="F855" s="10"/>
      <c r="G855" s="11"/>
    </row>
    <row r="856" spans="1:7" x14ac:dyDescent="0.3">
      <c r="A856" s="7"/>
      <c r="B856" s="8"/>
      <c r="C856" s="8"/>
      <c r="D856" s="9"/>
      <c r="E856" s="9"/>
      <c r="F856" s="10"/>
      <c r="G856" s="11"/>
    </row>
    <row r="857" spans="1:7" x14ac:dyDescent="0.3">
      <c r="A857" s="7"/>
      <c r="B857" s="8"/>
      <c r="C857" s="8"/>
      <c r="D857" s="9"/>
      <c r="E857" s="9"/>
      <c r="F857" s="10"/>
      <c r="G857" s="11"/>
    </row>
    <row r="858" spans="1:7" x14ac:dyDescent="0.3">
      <c r="A858" s="7"/>
      <c r="B858" s="8"/>
      <c r="C858" s="8"/>
      <c r="D858" s="9"/>
      <c r="E858" s="9"/>
      <c r="F858" s="10"/>
      <c r="G858" s="11"/>
    </row>
    <row r="859" spans="1:7" x14ac:dyDescent="0.3">
      <c r="A859" s="7"/>
      <c r="B859" s="8"/>
      <c r="C859" s="8"/>
      <c r="D859" s="9"/>
      <c r="E859" s="9"/>
      <c r="F859" s="10"/>
      <c r="G859" s="11"/>
    </row>
    <row r="860" spans="1:7" x14ac:dyDescent="0.3">
      <c r="A860" s="7"/>
      <c r="B860" s="8"/>
      <c r="C860" s="8"/>
      <c r="D860" s="9"/>
      <c r="E860" s="9"/>
      <c r="F860" s="10"/>
      <c r="G860" s="11"/>
    </row>
    <row r="861" spans="1:7" x14ac:dyDescent="0.3">
      <c r="A861" s="7"/>
      <c r="B861" s="8"/>
      <c r="C861" s="8"/>
      <c r="D861" s="9"/>
      <c r="E861" s="9"/>
      <c r="F861" s="10"/>
      <c r="G861" s="11"/>
    </row>
    <row r="862" spans="1:7" x14ac:dyDescent="0.3">
      <c r="A862" s="7"/>
      <c r="B862" s="8"/>
      <c r="C862" s="8"/>
      <c r="D862" s="9"/>
      <c r="E862" s="9"/>
      <c r="F862" s="10"/>
      <c r="G862" s="11"/>
    </row>
    <row r="863" spans="1:7" x14ac:dyDescent="0.3">
      <c r="A863" s="7"/>
      <c r="B863" s="8"/>
      <c r="C863" s="8"/>
      <c r="D863" s="9"/>
      <c r="E863" s="9"/>
      <c r="F863" s="10"/>
      <c r="G863" s="11"/>
    </row>
    <row r="864" spans="1:7" x14ac:dyDescent="0.3">
      <c r="A864" s="7"/>
      <c r="B864" s="8"/>
      <c r="C864" s="8"/>
      <c r="D864" s="9"/>
      <c r="E864" s="9"/>
      <c r="F864" s="10"/>
      <c r="G864" s="11"/>
    </row>
    <row r="865" spans="1:7" x14ac:dyDescent="0.3">
      <c r="A865" s="7"/>
      <c r="B865" s="8"/>
      <c r="C865" s="8"/>
      <c r="D865" s="9"/>
      <c r="E865" s="9"/>
      <c r="F865" s="10"/>
      <c r="G865" s="11"/>
    </row>
    <row r="866" spans="1:7" x14ac:dyDescent="0.3">
      <c r="A866" s="7"/>
      <c r="B866" s="8"/>
      <c r="C866" s="8"/>
      <c r="D866" s="9"/>
      <c r="E866" s="9"/>
      <c r="F866" s="10"/>
      <c r="G866" s="11"/>
    </row>
    <row r="867" spans="1:7" x14ac:dyDescent="0.3">
      <c r="A867" s="7"/>
      <c r="B867" s="8"/>
      <c r="C867" s="8"/>
      <c r="D867" s="9"/>
      <c r="E867" s="9"/>
      <c r="F867" s="10"/>
      <c r="G867" s="11"/>
    </row>
    <row r="868" spans="1:7" x14ac:dyDescent="0.3">
      <c r="A868" s="7"/>
      <c r="B868" s="8"/>
      <c r="C868" s="8"/>
      <c r="D868" s="9"/>
      <c r="E868" s="9"/>
      <c r="F868" s="10"/>
      <c r="G868" s="11"/>
    </row>
    <row r="869" spans="1:7" x14ac:dyDescent="0.3">
      <c r="A869" s="7"/>
      <c r="B869" s="8"/>
      <c r="C869" s="8"/>
      <c r="D869" s="9"/>
      <c r="E869" s="9"/>
      <c r="F869" s="10"/>
      <c r="G869" s="11"/>
    </row>
    <row r="870" spans="1:7" x14ac:dyDescent="0.3">
      <c r="A870" s="7"/>
      <c r="B870" s="8"/>
      <c r="C870" s="8"/>
      <c r="D870" s="9"/>
      <c r="E870" s="9"/>
      <c r="F870" s="10"/>
      <c r="G870" s="11"/>
    </row>
    <row r="871" spans="1:7" x14ac:dyDescent="0.3">
      <c r="A871" s="7"/>
      <c r="B871" s="8"/>
      <c r="C871" s="8"/>
      <c r="D871" s="9"/>
      <c r="E871" s="9"/>
      <c r="F871" s="10"/>
      <c r="G871" s="11"/>
    </row>
    <row r="872" spans="1:7" x14ac:dyDescent="0.3">
      <c r="A872" s="7"/>
      <c r="B872" s="8"/>
      <c r="C872" s="8"/>
      <c r="D872" s="9"/>
      <c r="E872" s="9"/>
      <c r="F872" s="10"/>
      <c r="G872" s="11"/>
    </row>
    <row r="873" spans="1:7" x14ac:dyDescent="0.3">
      <c r="A873" s="7"/>
      <c r="B873" s="8"/>
      <c r="C873" s="8"/>
      <c r="D873" s="9"/>
      <c r="E873" s="9"/>
      <c r="F873" s="10"/>
      <c r="G873" s="11"/>
    </row>
    <row r="874" spans="1:7" x14ac:dyDescent="0.3">
      <c r="A874" s="7"/>
      <c r="B874" s="8"/>
      <c r="C874" s="8"/>
      <c r="D874" s="9"/>
      <c r="E874" s="9"/>
      <c r="F874" s="10"/>
      <c r="G874" s="11"/>
    </row>
    <row r="875" spans="1:7" x14ac:dyDescent="0.3">
      <c r="A875" s="7"/>
      <c r="B875" s="8"/>
      <c r="C875" s="8"/>
      <c r="D875" s="9"/>
      <c r="E875" s="9"/>
      <c r="F875" s="10"/>
      <c r="G875" s="11"/>
    </row>
    <row r="876" spans="1:7" x14ac:dyDescent="0.3">
      <c r="A876" s="7"/>
      <c r="B876" s="8"/>
      <c r="C876" s="8"/>
      <c r="D876" s="9"/>
      <c r="E876" s="9"/>
      <c r="F876" s="10"/>
      <c r="G876" s="11"/>
    </row>
    <row r="877" spans="1:7" x14ac:dyDescent="0.3">
      <c r="A877" s="7"/>
      <c r="B877" s="8"/>
      <c r="C877" s="8"/>
      <c r="D877" s="9"/>
      <c r="E877" s="9"/>
      <c r="F877" s="10"/>
      <c r="G877" s="11"/>
    </row>
    <row r="878" spans="1:7" x14ac:dyDescent="0.3">
      <c r="A878" s="7"/>
      <c r="B878" s="8"/>
      <c r="C878" s="8"/>
      <c r="D878" s="9"/>
      <c r="E878" s="9"/>
      <c r="F878" s="10"/>
      <c r="G878" s="11"/>
    </row>
    <row r="879" spans="1:7" x14ac:dyDescent="0.3">
      <c r="A879" s="7"/>
      <c r="B879" s="8"/>
      <c r="C879" s="8"/>
      <c r="D879" s="9"/>
      <c r="E879" s="9"/>
      <c r="F879" s="10"/>
      <c r="G879" s="11"/>
    </row>
    <row r="880" spans="1:7" x14ac:dyDescent="0.3">
      <c r="A880" s="7"/>
      <c r="B880" s="8"/>
      <c r="C880" s="8"/>
      <c r="D880" s="9"/>
      <c r="E880" s="9"/>
      <c r="F880" s="10"/>
      <c r="G880" s="11"/>
    </row>
    <row r="881" spans="1:7" x14ac:dyDescent="0.3">
      <c r="A881" s="7"/>
      <c r="B881" s="8"/>
      <c r="C881" s="8"/>
      <c r="D881" s="9"/>
      <c r="E881" s="9"/>
      <c r="F881" s="10"/>
      <c r="G881" s="11"/>
    </row>
    <row r="882" spans="1:7" x14ac:dyDescent="0.3">
      <c r="A882" s="7"/>
      <c r="B882" s="8"/>
      <c r="C882" s="8"/>
      <c r="D882" s="9"/>
      <c r="E882" s="9"/>
      <c r="F882" s="10"/>
      <c r="G882" s="11"/>
    </row>
    <row r="883" spans="1:7" x14ac:dyDescent="0.3">
      <c r="A883" s="7"/>
      <c r="B883" s="8"/>
      <c r="C883" s="8"/>
      <c r="D883" s="9"/>
      <c r="E883" s="9"/>
      <c r="F883" s="10"/>
      <c r="G883" s="11"/>
    </row>
    <row r="884" spans="1:7" x14ac:dyDescent="0.3">
      <c r="A884" s="7"/>
      <c r="B884" s="8"/>
      <c r="C884" s="8"/>
      <c r="D884" s="9"/>
      <c r="E884" s="9"/>
      <c r="F884" s="10"/>
      <c r="G884" s="11"/>
    </row>
    <row r="885" spans="1:7" x14ac:dyDescent="0.3">
      <c r="A885" s="7"/>
      <c r="B885" s="8"/>
      <c r="C885" s="8"/>
      <c r="D885" s="9"/>
      <c r="E885" s="9"/>
      <c r="F885" s="10"/>
      <c r="G885" s="11"/>
    </row>
    <row r="886" spans="1:7" x14ac:dyDescent="0.3">
      <c r="A886" s="7"/>
      <c r="B886" s="8"/>
      <c r="C886" s="8"/>
      <c r="D886" s="9"/>
      <c r="E886" s="9"/>
      <c r="F886" s="10"/>
      <c r="G886" s="11"/>
    </row>
    <row r="887" spans="1:7" x14ac:dyDescent="0.3">
      <c r="A887" s="7"/>
      <c r="B887" s="8"/>
      <c r="C887" s="8"/>
      <c r="D887" s="9"/>
      <c r="E887" s="9"/>
      <c r="F887" s="10"/>
      <c r="G887" s="11"/>
    </row>
    <row r="888" spans="1:7" x14ac:dyDescent="0.3">
      <c r="A888" s="7"/>
      <c r="B888" s="8"/>
      <c r="C888" s="8"/>
      <c r="D888" s="9"/>
      <c r="E888" s="9"/>
      <c r="F888" s="10"/>
      <c r="G888" s="11"/>
    </row>
    <row r="889" spans="1:7" x14ac:dyDescent="0.3">
      <c r="A889" s="7"/>
      <c r="B889" s="8"/>
      <c r="C889" s="8"/>
      <c r="D889" s="9"/>
      <c r="E889" s="9"/>
      <c r="F889" s="10"/>
      <c r="G889" s="11"/>
    </row>
    <row r="890" spans="1:7" x14ac:dyDescent="0.3">
      <c r="A890" s="7"/>
      <c r="B890" s="8"/>
      <c r="C890" s="8"/>
      <c r="D890" s="9"/>
      <c r="E890" s="9"/>
      <c r="F890" s="10"/>
      <c r="G890" s="11"/>
    </row>
    <row r="891" spans="1:7" x14ac:dyDescent="0.3">
      <c r="A891" s="7"/>
      <c r="B891" s="8"/>
      <c r="C891" s="8"/>
      <c r="D891" s="9"/>
      <c r="E891" s="9"/>
      <c r="F891" s="10"/>
      <c r="G891" s="11"/>
    </row>
    <row r="892" spans="1:7" x14ac:dyDescent="0.3">
      <c r="A892" s="7"/>
      <c r="B892" s="8"/>
      <c r="C892" s="8"/>
      <c r="D892" s="9"/>
      <c r="E892" s="9"/>
      <c r="F892" s="10"/>
      <c r="G892" s="11"/>
    </row>
    <row r="893" spans="1:7" x14ac:dyDescent="0.3">
      <c r="A893" s="7"/>
      <c r="B893" s="8"/>
      <c r="C893" s="8"/>
      <c r="D893" s="9"/>
      <c r="E893" s="9"/>
      <c r="F893" s="10"/>
      <c r="G893" s="11"/>
    </row>
    <row r="894" spans="1:7" x14ac:dyDescent="0.3">
      <c r="A894" s="7"/>
      <c r="B894" s="8"/>
      <c r="C894" s="8"/>
      <c r="D894" s="9"/>
      <c r="E894" s="9"/>
      <c r="F894" s="10"/>
      <c r="G894" s="11"/>
    </row>
    <row r="895" spans="1:7" x14ac:dyDescent="0.3">
      <c r="A895" s="7"/>
      <c r="B895" s="8"/>
      <c r="C895" s="8"/>
      <c r="D895" s="9"/>
      <c r="E895" s="9"/>
      <c r="F895" s="10"/>
      <c r="G895" s="11"/>
    </row>
    <row r="896" spans="1:7" x14ac:dyDescent="0.3">
      <c r="A896" s="7"/>
      <c r="B896" s="8"/>
      <c r="C896" s="8"/>
      <c r="D896" s="9"/>
      <c r="E896" s="9"/>
      <c r="F896" s="10"/>
      <c r="G896" s="11"/>
    </row>
    <row r="897" spans="1:7" x14ac:dyDescent="0.3">
      <c r="A897" s="7"/>
      <c r="B897" s="8"/>
      <c r="C897" s="8"/>
      <c r="D897" s="9"/>
      <c r="E897" s="9"/>
      <c r="F897" s="10"/>
      <c r="G897" s="11"/>
    </row>
    <row r="898" spans="1:7" x14ac:dyDescent="0.3">
      <c r="A898" s="7"/>
      <c r="B898" s="8"/>
      <c r="C898" s="8"/>
      <c r="D898" s="9"/>
      <c r="E898" s="9"/>
      <c r="F898" s="10"/>
      <c r="G898" s="11"/>
    </row>
    <row r="899" spans="1:7" x14ac:dyDescent="0.3">
      <c r="A899" s="7"/>
      <c r="B899" s="8"/>
      <c r="C899" s="8"/>
      <c r="D899" s="9"/>
      <c r="E899" s="9"/>
      <c r="F899" s="10"/>
      <c r="G899" s="11"/>
    </row>
    <row r="900" spans="1:7" x14ac:dyDescent="0.3">
      <c r="A900" s="7"/>
      <c r="B900" s="8"/>
      <c r="C900" s="8"/>
      <c r="D900" s="9"/>
      <c r="E900" s="9"/>
      <c r="F900" s="10"/>
      <c r="G900" s="11"/>
    </row>
    <row r="901" spans="1:7" x14ac:dyDescent="0.3">
      <c r="A901" s="7"/>
      <c r="B901" s="8"/>
      <c r="C901" s="8"/>
      <c r="D901" s="9"/>
      <c r="E901" s="9"/>
      <c r="F901" s="10"/>
      <c r="G901" s="11"/>
    </row>
    <row r="902" spans="1:7" x14ac:dyDescent="0.3">
      <c r="A902" s="7"/>
      <c r="B902" s="8"/>
      <c r="C902" s="8"/>
      <c r="D902" s="9"/>
      <c r="E902" s="9"/>
      <c r="F902" s="10"/>
      <c r="G902" s="11"/>
    </row>
    <row r="903" spans="1:7" x14ac:dyDescent="0.3">
      <c r="A903" s="7"/>
      <c r="B903" s="8"/>
      <c r="C903" s="8"/>
      <c r="D903" s="9"/>
      <c r="E903" s="9"/>
      <c r="F903" s="10"/>
      <c r="G903" s="11"/>
    </row>
    <row r="904" spans="1:7" x14ac:dyDescent="0.3">
      <c r="A904" s="7"/>
      <c r="B904" s="8"/>
      <c r="C904" s="8"/>
      <c r="D904" s="9"/>
      <c r="E904" s="9"/>
      <c r="F904" s="10"/>
      <c r="G904" s="11"/>
    </row>
    <row r="905" spans="1:7" x14ac:dyDescent="0.3">
      <c r="A905" s="7"/>
      <c r="B905" s="8"/>
      <c r="C905" s="8"/>
      <c r="D905" s="9"/>
      <c r="E905" s="9"/>
      <c r="F905" s="10"/>
      <c r="G905" s="11"/>
    </row>
    <row r="906" spans="1:7" x14ac:dyDescent="0.3">
      <c r="A906" s="7"/>
      <c r="B906" s="8"/>
      <c r="C906" s="8"/>
      <c r="D906" s="9"/>
      <c r="E906" s="9"/>
      <c r="F906" s="10"/>
      <c r="G906" s="11"/>
    </row>
    <row r="907" spans="1:7" x14ac:dyDescent="0.3">
      <c r="A907" s="7"/>
      <c r="B907" s="8"/>
      <c r="C907" s="8"/>
      <c r="D907" s="9"/>
      <c r="E907" s="9"/>
      <c r="F907" s="10"/>
      <c r="G907" s="11"/>
    </row>
    <row r="908" spans="1:7" x14ac:dyDescent="0.3">
      <c r="A908" s="7"/>
      <c r="B908" s="8"/>
      <c r="C908" s="8"/>
      <c r="D908" s="9"/>
      <c r="E908" s="9"/>
      <c r="F908" s="10"/>
      <c r="G908" s="11"/>
    </row>
    <row r="909" spans="1:7" x14ac:dyDescent="0.3">
      <c r="A909" s="7"/>
      <c r="B909" s="8"/>
      <c r="C909" s="8"/>
      <c r="D909" s="9"/>
      <c r="E909" s="9"/>
      <c r="F909" s="10"/>
      <c r="G909" s="11"/>
    </row>
    <row r="910" spans="1:7" x14ac:dyDescent="0.3">
      <c r="A910" s="7"/>
      <c r="B910" s="8"/>
      <c r="C910" s="8"/>
      <c r="D910" s="9"/>
      <c r="E910" s="9"/>
      <c r="F910" s="10"/>
      <c r="G910" s="11"/>
    </row>
    <row r="911" spans="1:7" x14ac:dyDescent="0.3">
      <c r="A911" s="7"/>
      <c r="B911" s="8"/>
      <c r="C911" s="8"/>
      <c r="D911" s="9"/>
      <c r="E911" s="9"/>
      <c r="F911" s="10"/>
      <c r="G911" s="11"/>
    </row>
    <row r="912" spans="1:7" x14ac:dyDescent="0.3">
      <c r="A912" s="7"/>
      <c r="B912" s="8"/>
      <c r="C912" s="8"/>
      <c r="D912" s="9"/>
      <c r="E912" s="9"/>
      <c r="F912" s="10"/>
      <c r="G912" s="11"/>
    </row>
    <row r="913" spans="1:7" x14ac:dyDescent="0.3">
      <c r="A913" s="7"/>
      <c r="B913" s="8"/>
      <c r="C913" s="8"/>
      <c r="D913" s="9"/>
      <c r="E913" s="9"/>
      <c r="F913" s="10"/>
      <c r="G913" s="11"/>
    </row>
    <row r="914" spans="1:7" x14ac:dyDescent="0.3">
      <c r="A914" s="7"/>
      <c r="B914" s="8"/>
      <c r="C914" s="8"/>
      <c r="D914" s="9"/>
      <c r="E914" s="9"/>
      <c r="F914" s="10"/>
      <c r="G914" s="11"/>
    </row>
    <row r="915" spans="1:7" x14ac:dyDescent="0.3">
      <c r="A915" s="7"/>
      <c r="B915" s="8"/>
      <c r="C915" s="8"/>
      <c r="D915" s="9"/>
      <c r="E915" s="9"/>
      <c r="F915" s="10"/>
      <c r="G915" s="11"/>
    </row>
    <row r="916" spans="1:7" x14ac:dyDescent="0.3">
      <c r="A916" s="7"/>
      <c r="B916" s="8"/>
      <c r="C916" s="8"/>
      <c r="D916" s="9"/>
      <c r="E916" s="9"/>
      <c r="F916" s="10"/>
      <c r="G916" s="11"/>
    </row>
    <row r="917" spans="1:7" x14ac:dyDescent="0.3">
      <c r="A917" s="7"/>
      <c r="B917" s="8"/>
      <c r="C917" s="8"/>
      <c r="D917" s="9"/>
      <c r="E917" s="9"/>
      <c r="F917" s="10"/>
      <c r="G917" s="11"/>
    </row>
    <row r="918" spans="1:7" x14ac:dyDescent="0.3">
      <c r="A918" s="7"/>
      <c r="B918" s="8"/>
      <c r="C918" s="8"/>
      <c r="D918" s="9"/>
      <c r="E918" s="9"/>
      <c r="F918" s="10"/>
      <c r="G918" s="11"/>
    </row>
    <row r="919" spans="1:7" x14ac:dyDescent="0.3">
      <c r="A919" s="7"/>
      <c r="B919" s="8"/>
      <c r="C919" s="8"/>
      <c r="D919" s="9"/>
      <c r="E919" s="9"/>
      <c r="F919" s="10"/>
      <c r="G919" s="11"/>
    </row>
    <row r="920" spans="1:7" x14ac:dyDescent="0.3">
      <c r="A920" s="7"/>
      <c r="B920" s="8"/>
      <c r="C920" s="8"/>
      <c r="D920" s="9"/>
      <c r="E920" s="9"/>
      <c r="F920" s="10"/>
      <c r="G920" s="11"/>
    </row>
    <row r="921" spans="1:7" x14ac:dyDescent="0.3">
      <c r="A921" s="7"/>
      <c r="B921" s="8"/>
      <c r="C921" s="8"/>
      <c r="D921" s="9"/>
      <c r="E921" s="9"/>
      <c r="F921" s="10"/>
      <c r="G921" s="11"/>
    </row>
    <row r="922" spans="1:7" x14ac:dyDescent="0.3">
      <c r="A922" s="7"/>
      <c r="B922" s="8"/>
      <c r="C922" s="8"/>
      <c r="D922" s="9"/>
      <c r="E922" s="9"/>
      <c r="F922" s="10"/>
      <c r="G922" s="11"/>
    </row>
    <row r="923" spans="1:7" x14ac:dyDescent="0.3">
      <c r="A923" s="7"/>
      <c r="B923" s="8"/>
      <c r="C923" s="8"/>
      <c r="D923" s="9"/>
      <c r="E923" s="9"/>
      <c r="F923" s="10"/>
      <c r="G923" s="11"/>
    </row>
    <row r="924" spans="1:7" x14ac:dyDescent="0.3">
      <c r="A924" s="7"/>
      <c r="B924" s="8"/>
      <c r="C924" s="8"/>
      <c r="D924" s="9"/>
      <c r="E924" s="9"/>
      <c r="F924" s="10"/>
      <c r="G924" s="11"/>
    </row>
    <row r="925" spans="1:7" x14ac:dyDescent="0.3">
      <c r="A925" s="7"/>
      <c r="B925" s="8"/>
      <c r="C925" s="8"/>
      <c r="D925" s="9"/>
      <c r="E925" s="9"/>
      <c r="F925" s="10"/>
      <c r="G925" s="11"/>
    </row>
    <row r="926" spans="1:7" x14ac:dyDescent="0.3">
      <c r="A926" s="7"/>
      <c r="B926" s="8"/>
      <c r="C926" s="8"/>
      <c r="D926" s="9"/>
      <c r="E926" s="9"/>
      <c r="F926" s="10"/>
      <c r="G926" s="11"/>
    </row>
    <row r="927" spans="1:7" x14ac:dyDescent="0.3">
      <c r="A927" s="7"/>
      <c r="B927" s="8"/>
      <c r="C927" s="8"/>
      <c r="D927" s="9"/>
      <c r="E927" s="9"/>
      <c r="F927" s="10"/>
      <c r="G927" s="11"/>
    </row>
    <row r="928" spans="1:7" x14ac:dyDescent="0.3">
      <c r="A928" s="7"/>
      <c r="B928" s="8"/>
      <c r="C928" s="8"/>
      <c r="D928" s="9"/>
      <c r="E928" s="9"/>
      <c r="F928" s="10"/>
      <c r="G928" s="11"/>
    </row>
    <row r="929" spans="1:7" x14ac:dyDescent="0.3">
      <c r="A929" s="7"/>
      <c r="B929" s="8"/>
      <c r="C929" s="8"/>
      <c r="D929" s="9"/>
      <c r="E929" s="9"/>
      <c r="F929" s="10"/>
      <c r="G929" s="11"/>
    </row>
    <row r="930" spans="1:7" x14ac:dyDescent="0.3">
      <c r="A930" s="7"/>
      <c r="B930" s="8"/>
      <c r="C930" s="8"/>
      <c r="D930" s="9"/>
      <c r="E930" s="9"/>
      <c r="F930" s="10"/>
      <c r="G930" s="11"/>
    </row>
    <row r="931" spans="1:7" x14ac:dyDescent="0.3">
      <c r="A931" s="7"/>
      <c r="B931" s="8"/>
      <c r="C931" s="8"/>
      <c r="D931" s="9"/>
      <c r="E931" s="9"/>
      <c r="F931" s="10"/>
      <c r="G931" s="11"/>
    </row>
    <row r="932" spans="1:7" x14ac:dyDescent="0.3">
      <c r="A932" s="7"/>
      <c r="B932" s="8"/>
      <c r="C932" s="8"/>
      <c r="D932" s="9"/>
      <c r="E932" s="9"/>
      <c r="F932" s="10"/>
      <c r="G932" s="11"/>
    </row>
    <row r="933" spans="1:7" x14ac:dyDescent="0.3">
      <c r="A933" s="7"/>
      <c r="B933" s="8"/>
      <c r="C933" s="8"/>
      <c r="D933" s="9"/>
      <c r="E933" s="9"/>
      <c r="F933" s="10"/>
      <c r="G933" s="11"/>
    </row>
    <row r="934" spans="1:7" x14ac:dyDescent="0.3">
      <c r="A934" s="7"/>
      <c r="B934" s="8"/>
      <c r="C934" s="8"/>
      <c r="D934" s="9"/>
      <c r="E934" s="9"/>
      <c r="F934" s="10"/>
      <c r="G934" s="11"/>
    </row>
    <row r="935" spans="1:7" x14ac:dyDescent="0.3">
      <c r="A935" s="7"/>
      <c r="B935" s="8"/>
      <c r="C935" s="8"/>
      <c r="D935" s="9"/>
      <c r="E935" s="9"/>
      <c r="F935" s="10"/>
      <c r="G935" s="11"/>
    </row>
    <row r="936" spans="1:7" x14ac:dyDescent="0.3">
      <c r="A936" s="7"/>
      <c r="B936" s="8"/>
      <c r="C936" s="8"/>
      <c r="D936" s="9"/>
      <c r="E936" s="9"/>
      <c r="F936" s="10"/>
      <c r="G936" s="11"/>
    </row>
    <row r="937" spans="1:7" x14ac:dyDescent="0.3">
      <c r="A937" s="7"/>
      <c r="B937" s="8"/>
      <c r="C937" s="8"/>
      <c r="D937" s="9"/>
      <c r="E937" s="9"/>
      <c r="F937" s="10"/>
      <c r="G937" s="11"/>
    </row>
    <row r="938" spans="1:7" x14ac:dyDescent="0.3">
      <c r="A938" s="7"/>
      <c r="B938" s="8"/>
      <c r="C938" s="8"/>
      <c r="D938" s="9"/>
      <c r="E938" s="9"/>
      <c r="F938" s="10"/>
      <c r="G938" s="11"/>
    </row>
    <row r="939" spans="1:7" x14ac:dyDescent="0.3">
      <c r="A939" s="7"/>
      <c r="B939" s="8"/>
      <c r="C939" s="8"/>
      <c r="D939" s="9"/>
      <c r="E939" s="9"/>
      <c r="F939" s="10"/>
      <c r="G939" s="11"/>
    </row>
    <row r="940" spans="1:7" x14ac:dyDescent="0.3">
      <c r="A940" s="7"/>
      <c r="B940" s="8"/>
      <c r="C940" s="8"/>
      <c r="D940" s="9"/>
      <c r="E940" s="9"/>
      <c r="F940" s="10"/>
      <c r="G940" s="11"/>
    </row>
    <row r="941" spans="1:7" x14ac:dyDescent="0.3">
      <c r="A941" s="7"/>
      <c r="B941" s="8"/>
      <c r="C941" s="8"/>
      <c r="D941" s="9"/>
      <c r="E941" s="9"/>
      <c r="F941" s="10"/>
      <c r="G941" s="11"/>
    </row>
    <row r="942" spans="1:7" x14ac:dyDescent="0.3">
      <c r="A942" s="7"/>
      <c r="B942" s="8"/>
      <c r="C942" s="8"/>
      <c r="D942" s="9"/>
      <c r="E942" s="9"/>
      <c r="F942" s="10"/>
      <c r="G942" s="11"/>
    </row>
    <row r="943" spans="1:7" x14ac:dyDescent="0.3">
      <c r="A943" s="7"/>
      <c r="B943" s="8"/>
      <c r="C943" s="8"/>
      <c r="D943" s="9"/>
      <c r="E943" s="9"/>
      <c r="F943" s="10"/>
      <c r="G943" s="11"/>
    </row>
    <row r="944" spans="1:7" x14ac:dyDescent="0.3">
      <c r="A944" s="7"/>
      <c r="B944" s="8"/>
      <c r="C944" s="8"/>
      <c r="D944" s="9"/>
      <c r="E944" s="9"/>
      <c r="F944" s="10"/>
      <c r="G944" s="11"/>
    </row>
    <row r="945" spans="1:7" x14ac:dyDescent="0.3">
      <c r="A945" s="7"/>
      <c r="B945" s="8"/>
      <c r="C945" s="8"/>
      <c r="D945" s="9"/>
      <c r="E945" s="9"/>
      <c r="F945" s="10"/>
      <c r="G945" s="11"/>
    </row>
    <row r="946" spans="1:7" x14ac:dyDescent="0.3">
      <c r="A946" s="7"/>
      <c r="B946" s="8"/>
      <c r="C946" s="8"/>
      <c r="D946" s="9"/>
      <c r="E946" s="9"/>
      <c r="F946" s="10"/>
      <c r="G946" s="11"/>
    </row>
    <row r="947" spans="1:7" x14ac:dyDescent="0.3">
      <c r="A947" s="7"/>
      <c r="B947" s="8"/>
      <c r="C947" s="8"/>
      <c r="D947" s="9"/>
      <c r="E947" s="9"/>
      <c r="F947" s="10"/>
      <c r="G947" s="11"/>
    </row>
    <row r="948" spans="1:7" x14ac:dyDescent="0.3">
      <c r="A948" s="7"/>
      <c r="B948" s="8"/>
      <c r="C948" s="8"/>
      <c r="D948" s="9"/>
      <c r="E948" s="9"/>
      <c r="F948" s="10"/>
      <c r="G948" s="11"/>
    </row>
    <row r="949" spans="1:7" x14ac:dyDescent="0.3">
      <c r="A949" s="7"/>
      <c r="B949" s="8"/>
      <c r="C949" s="8"/>
      <c r="D949" s="9"/>
      <c r="E949" s="9"/>
      <c r="F949" s="10"/>
      <c r="G949" s="11"/>
    </row>
    <row r="950" spans="1:7" x14ac:dyDescent="0.3">
      <c r="A950" s="7"/>
      <c r="B950" s="8"/>
      <c r="C950" s="8"/>
      <c r="D950" s="9"/>
      <c r="E950" s="9"/>
      <c r="F950" s="10"/>
      <c r="G950" s="11"/>
    </row>
    <row r="951" spans="1:7" x14ac:dyDescent="0.3">
      <c r="A951" s="7"/>
      <c r="B951" s="8"/>
      <c r="C951" s="8"/>
      <c r="D951" s="9"/>
      <c r="E951" s="9"/>
      <c r="F951" s="10"/>
      <c r="G951" s="11"/>
    </row>
    <row r="952" spans="1:7" x14ac:dyDescent="0.3">
      <c r="A952" s="7"/>
      <c r="B952" s="8"/>
      <c r="C952" s="8"/>
      <c r="D952" s="9"/>
      <c r="E952" s="9"/>
      <c r="F952" s="10"/>
      <c r="G952" s="11"/>
    </row>
    <row r="953" spans="1:7" x14ac:dyDescent="0.3">
      <c r="A953" s="7"/>
      <c r="B953" s="8"/>
      <c r="C953" s="8"/>
      <c r="D953" s="9"/>
      <c r="E953" s="9"/>
      <c r="F953" s="10"/>
      <c r="G953" s="11"/>
    </row>
    <row r="954" spans="1:7" x14ac:dyDescent="0.3">
      <c r="A954" s="7"/>
      <c r="B954" s="8"/>
      <c r="C954" s="8"/>
      <c r="D954" s="9"/>
      <c r="E954" s="9"/>
      <c r="F954" s="10"/>
      <c r="G954" s="11"/>
    </row>
    <row r="955" spans="1:7" x14ac:dyDescent="0.3">
      <c r="A955" s="7"/>
      <c r="B955" s="8"/>
      <c r="C955" s="8"/>
      <c r="D955" s="9"/>
      <c r="E955" s="9"/>
      <c r="F955" s="10"/>
      <c r="G955" s="11"/>
    </row>
    <row r="956" spans="1:7" x14ac:dyDescent="0.3">
      <c r="A956" s="7"/>
      <c r="B956" s="8"/>
      <c r="C956" s="8"/>
      <c r="D956" s="9"/>
      <c r="E956" s="9"/>
      <c r="F956" s="10"/>
      <c r="G956" s="11"/>
    </row>
    <row r="957" spans="1:7" x14ac:dyDescent="0.3">
      <c r="A957" s="7"/>
      <c r="B957" s="8"/>
      <c r="C957" s="8"/>
      <c r="D957" s="9"/>
      <c r="E957" s="9"/>
      <c r="F957" s="10"/>
      <c r="G957" s="11"/>
    </row>
    <row r="958" spans="1:7" x14ac:dyDescent="0.3">
      <c r="A958" s="7"/>
      <c r="B958" s="8"/>
      <c r="C958" s="8"/>
      <c r="D958" s="9"/>
      <c r="E958" s="9"/>
      <c r="F958" s="10"/>
      <c r="G958" s="11"/>
    </row>
    <row r="959" spans="1:7" x14ac:dyDescent="0.3">
      <c r="A959" s="7"/>
      <c r="B959" s="8"/>
      <c r="C959" s="8"/>
      <c r="D959" s="9"/>
      <c r="E959" s="9"/>
      <c r="F959" s="10"/>
      <c r="G959" s="11"/>
    </row>
    <row r="960" spans="1:7" x14ac:dyDescent="0.3">
      <c r="A960" s="7"/>
      <c r="B960" s="8"/>
      <c r="C960" s="8"/>
      <c r="D960" s="9"/>
      <c r="E960" s="9"/>
      <c r="F960" s="10"/>
      <c r="G960" s="11"/>
    </row>
    <row r="961" spans="1:7" x14ac:dyDescent="0.3">
      <c r="A961" s="7"/>
      <c r="B961" s="8"/>
      <c r="C961" s="8"/>
      <c r="D961" s="9"/>
      <c r="E961" s="9"/>
      <c r="F961" s="10"/>
      <c r="G961" s="11"/>
    </row>
    <row r="962" spans="1:7" x14ac:dyDescent="0.3">
      <c r="A962" s="7"/>
      <c r="B962" s="8"/>
      <c r="C962" s="8"/>
      <c r="D962" s="9"/>
      <c r="E962" s="9"/>
      <c r="F962" s="10"/>
      <c r="G962" s="11"/>
    </row>
    <row r="963" spans="1:7" x14ac:dyDescent="0.3">
      <c r="A963" s="7"/>
      <c r="B963" s="8"/>
      <c r="C963" s="8"/>
      <c r="D963" s="9"/>
      <c r="E963" s="9"/>
      <c r="F963" s="10"/>
      <c r="G963" s="11"/>
    </row>
    <row r="964" spans="1:7" x14ac:dyDescent="0.3">
      <c r="A964" s="7"/>
      <c r="B964" s="8"/>
      <c r="C964" s="8"/>
      <c r="D964" s="9"/>
      <c r="E964" s="9"/>
      <c r="F964" s="10"/>
      <c r="G964" s="11"/>
    </row>
    <row r="965" spans="1:7" x14ac:dyDescent="0.3">
      <c r="A965" s="7"/>
      <c r="B965" s="8"/>
      <c r="C965" s="8"/>
      <c r="D965" s="9"/>
      <c r="E965" s="9"/>
      <c r="F965" s="10"/>
      <c r="G965" s="11"/>
    </row>
    <row r="966" spans="1:7" x14ac:dyDescent="0.3">
      <c r="A966" s="7"/>
      <c r="B966" s="8"/>
      <c r="C966" s="8"/>
      <c r="D966" s="9"/>
      <c r="E966" s="9"/>
      <c r="F966" s="10"/>
      <c r="G966" s="11"/>
    </row>
    <row r="967" spans="1:7" x14ac:dyDescent="0.3">
      <c r="A967" s="7"/>
      <c r="B967" s="8"/>
      <c r="C967" s="8"/>
      <c r="D967" s="9"/>
      <c r="E967" s="9"/>
      <c r="F967" s="10"/>
      <c r="G967" s="11"/>
    </row>
    <row r="968" spans="1:7" x14ac:dyDescent="0.3">
      <c r="A968" s="7"/>
      <c r="B968" s="8"/>
      <c r="C968" s="8"/>
      <c r="D968" s="9"/>
      <c r="E968" s="9"/>
      <c r="F968" s="10"/>
      <c r="G968" s="11"/>
    </row>
    <row r="969" spans="1:7" x14ac:dyDescent="0.3">
      <c r="A969" s="7"/>
      <c r="B969" s="8"/>
      <c r="C969" s="8"/>
      <c r="D969" s="9"/>
      <c r="E969" s="9"/>
      <c r="F969" s="10"/>
      <c r="G969" s="11"/>
    </row>
    <row r="970" spans="1:7" x14ac:dyDescent="0.3">
      <c r="A970" s="7"/>
      <c r="B970" s="8"/>
      <c r="C970" s="8"/>
      <c r="D970" s="9"/>
      <c r="E970" s="9"/>
      <c r="F970" s="10"/>
      <c r="G970" s="11"/>
    </row>
    <row r="971" spans="1:7" x14ac:dyDescent="0.3">
      <c r="A971" s="7"/>
      <c r="B971" s="8"/>
      <c r="C971" s="8"/>
      <c r="D971" s="9"/>
      <c r="E971" s="9"/>
      <c r="F971" s="10"/>
      <c r="G971" s="11"/>
    </row>
    <row r="972" spans="1:7" x14ac:dyDescent="0.3">
      <c r="A972" s="7"/>
      <c r="B972" s="8"/>
      <c r="C972" s="8"/>
      <c r="D972" s="9"/>
      <c r="E972" s="9"/>
      <c r="F972" s="10"/>
      <c r="G972" s="11"/>
    </row>
    <row r="973" spans="1:7" x14ac:dyDescent="0.3">
      <c r="A973" s="7"/>
      <c r="B973" s="8"/>
      <c r="C973" s="8"/>
      <c r="D973" s="9"/>
      <c r="E973" s="9"/>
      <c r="F973" s="10"/>
      <c r="G973" s="11"/>
    </row>
    <row r="974" spans="1:7" x14ac:dyDescent="0.3">
      <c r="A974" s="7"/>
      <c r="B974" s="8"/>
      <c r="C974" s="8"/>
      <c r="D974" s="9"/>
      <c r="E974" s="9"/>
      <c r="F974" s="10"/>
      <c r="G974" s="11"/>
    </row>
    <row r="975" spans="1:7" x14ac:dyDescent="0.3">
      <c r="A975" s="7"/>
      <c r="B975" s="8"/>
      <c r="C975" s="8"/>
      <c r="D975" s="9"/>
      <c r="E975" s="9"/>
      <c r="F975" s="10"/>
      <c r="G975" s="11"/>
    </row>
    <row r="976" spans="1:7" x14ac:dyDescent="0.3">
      <c r="A976" s="7"/>
      <c r="B976" s="8"/>
      <c r="C976" s="8"/>
      <c r="D976" s="9"/>
      <c r="E976" s="9"/>
      <c r="F976" s="10"/>
      <c r="G976" s="11"/>
    </row>
    <row r="977" spans="1:7" x14ac:dyDescent="0.3">
      <c r="A977" s="7"/>
      <c r="B977" s="8"/>
      <c r="C977" s="8"/>
      <c r="D977" s="9"/>
      <c r="E977" s="9"/>
      <c r="F977" s="10"/>
      <c r="G977" s="11"/>
    </row>
    <row r="978" spans="1:7" x14ac:dyDescent="0.3">
      <c r="A978" s="7"/>
      <c r="B978" s="8"/>
      <c r="C978" s="8"/>
      <c r="D978" s="9"/>
      <c r="E978" s="9"/>
      <c r="F978" s="10"/>
      <c r="G978" s="11"/>
    </row>
    <row r="979" spans="1:7" x14ac:dyDescent="0.3">
      <c r="A979" s="7"/>
      <c r="B979" s="8"/>
      <c r="C979" s="8"/>
      <c r="D979" s="9"/>
      <c r="E979" s="9"/>
      <c r="F979" s="10"/>
      <c r="G979" s="11"/>
    </row>
    <row r="980" spans="1:7" x14ac:dyDescent="0.3">
      <c r="A980" s="7"/>
      <c r="B980" s="8"/>
      <c r="C980" s="8"/>
      <c r="D980" s="9"/>
      <c r="E980" s="9"/>
      <c r="F980" s="10"/>
      <c r="G980" s="11"/>
    </row>
    <row r="981" spans="1:7" x14ac:dyDescent="0.3">
      <c r="A981" s="7"/>
      <c r="B981" s="8"/>
      <c r="C981" s="8"/>
      <c r="D981" s="9"/>
      <c r="E981" s="9"/>
      <c r="F981" s="10"/>
      <c r="G981" s="11"/>
    </row>
    <row r="982" spans="1:7" x14ac:dyDescent="0.3">
      <c r="A982" s="7"/>
      <c r="B982" s="8"/>
      <c r="C982" s="8"/>
      <c r="D982" s="9"/>
      <c r="E982" s="9"/>
      <c r="F982" s="10"/>
      <c r="G982" s="11"/>
    </row>
    <row r="983" spans="1:7" x14ac:dyDescent="0.3">
      <c r="A983" s="7"/>
      <c r="B983" s="8"/>
      <c r="C983" s="8"/>
      <c r="D983" s="9"/>
      <c r="E983" s="9"/>
      <c r="F983" s="10"/>
      <c r="G983" s="11"/>
    </row>
    <row r="984" spans="1:7" x14ac:dyDescent="0.3">
      <c r="A984" s="7"/>
      <c r="B984" s="8"/>
      <c r="C984" s="8"/>
      <c r="D984" s="9"/>
      <c r="E984" s="9"/>
      <c r="F984" s="10"/>
      <c r="G984" s="11"/>
    </row>
    <row r="985" spans="1:7" x14ac:dyDescent="0.3">
      <c r="A985" s="7"/>
      <c r="B985" s="8"/>
      <c r="C985" s="8"/>
      <c r="D985" s="9"/>
      <c r="E985" s="9"/>
      <c r="F985" s="10"/>
      <c r="G985" s="11"/>
    </row>
    <row r="986" spans="1:7" x14ac:dyDescent="0.3">
      <c r="A986" s="7"/>
      <c r="B986" s="8"/>
      <c r="C986" s="8"/>
      <c r="D986" s="9"/>
      <c r="E986" s="9"/>
      <c r="F986" s="10"/>
      <c r="G986" s="11"/>
    </row>
    <row r="987" spans="1:7" x14ac:dyDescent="0.3">
      <c r="A987" s="7"/>
      <c r="B987" s="8"/>
      <c r="C987" s="8"/>
      <c r="D987" s="9"/>
      <c r="E987" s="9"/>
      <c r="F987" s="10"/>
      <c r="G987" s="11"/>
    </row>
    <row r="988" spans="1:7" x14ac:dyDescent="0.3">
      <c r="A988" s="7"/>
      <c r="B988" s="8"/>
      <c r="C988" s="8"/>
      <c r="D988" s="9"/>
      <c r="E988" s="9"/>
      <c r="F988" s="10"/>
      <c r="G988" s="11"/>
    </row>
    <row r="989" spans="1:7" x14ac:dyDescent="0.3">
      <c r="A989" s="7"/>
      <c r="B989" s="8"/>
      <c r="C989" s="8"/>
      <c r="D989" s="9"/>
      <c r="E989" s="9"/>
      <c r="F989" s="10"/>
      <c r="G989" s="11"/>
    </row>
    <row r="990" spans="1:7" x14ac:dyDescent="0.3">
      <c r="A990" s="7"/>
      <c r="B990" s="8"/>
      <c r="C990" s="8"/>
      <c r="D990" s="9"/>
      <c r="E990" s="9"/>
      <c r="F990" s="10"/>
      <c r="G990" s="11"/>
    </row>
    <row r="991" spans="1:7" x14ac:dyDescent="0.3">
      <c r="A991" s="7"/>
      <c r="B991" s="8"/>
      <c r="C991" s="8"/>
      <c r="D991" s="9"/>
      <c r="E991" s="9"/>
      <c r="F991" s="10"/>
      <c r="G991" s="11"/>
    </row>
    <row r="992" spans="1:7" x14ac:dyDescent="0.3">
      <c r="A992" s="7"/>
      <c r="B992" s="8"/>
      <c r="C992" s="8"/>
      <c r="D992" s="9"/>
      <c r="E992" s="9"/>
      <c r="F992" s="10"/>
      <c r="G992" s="11"/>
    </row>
    <row r="993" spans="1:7" x14ac:dyDescent="0.3">
      <c r="A993" s="7"/>
      <c r="B993" s="8"/>
      <c r="C993" s="8"/>
      <c r="D993" s="9"/>
      <c r="E993" s="9"/>
      <c r="F993" s="10"/>
      <c r="G993" s="11"/>
    </row>
    <row r="994" spans="1:7" x14ac:dyDescent="0.3">
      <c r="A994" s="7"/>
      <c r="B994" s="8"/>
      <c r="C994" s="8"/>
      <c r="D994" s="9"/>
      <c r="E994" s="9"/>
      <c r="F994" s="10"/>
      <c r="G994" s="11"/>
    </row>
    <row r="995" spans="1:7" x14ac:dyDescent="0.3">
      <c r="A995" s="7"/>
      <c r="B995" s="8"/>
      <c r="C995" s="8"/>
      <c r="D995" s="9"/>
      <c r="E995" s="9"/>
      <c r="F995" s="10"/>
      <c r="G995" s="11"/>
    </row>
    <row r="996" spans="1:7" x14ac:dyDescent="0.3">
      <c r="A996" s="7"/>
      <c r="B996" s="8"/>
      <c r="C996" s="8"/>
      <c r="D996" s="9"/>
      <c r="E996" s="9"/>
      <c r="F996" s="10"/>
      <c r="G996" s="11"/>
    </row>
    <row r="997" spans="1:7" x14ac:dyDescent="0.3">
      <c r="A997" s="7"/>
      <c r="B997" s="8"/>
      <c r="C997" s="8"/>
      <c r="D997" s="9"/>
      <c r="E997" s="9"/>
      <c r="F997" s="10"/>
      <c r="G997" s="11"/>
    </row>
    <row r="998" spans="1:7" x14ac:dyDescent="0.3">
      <c r="A998" s="7"/>
      <c r="B998" s="8"/>
      <c r="C998" s="8"/>
      <c r="D998" s="9"/>
      <c r="E998" s="9"/>
      <c r="F998" s="10"/>
      <c r="G998" s="11"/>
    </row>
    <row r="999" spans="1:7" x14ac:dyDescent="0.3">
      <c r="A999" s="7"/>
      <c r="B999" s="8"/>
      <c r="C999" s="8"/>
      <c r="D999" s="9"/>
      <c r="E999" s="9"/>
      <c r="F999" s="10"/>
      <c r="G999" s="11"/>
    </row>
    <row r="1000" spans="1:7" x14ac:dyDescent="0.3">
      <c r="A1000" s="7"/>
      <c r="B1000" s="8"/>
      <c r="C1000" s="8"/>
      <c r="D1000" s="9"/>
      <c r="E1000" s="9"/>
      <c r="F1000" s="10"/>
      <c r="G1000" s="11"/>
    </row>
    <row r="1001" spans="1:7" x14ac:dyDescent="0.3">
      <c r="A1001" s="7"/>
      <c r="B1001" s="8"/>
      <c r="C1001" s="8"/>
      <c r="D1001" s="9"/>
      <c r="E1001" s="9"/>
      <c r="F1001" s="10"/>
      <c r="G1001" s="11"/>
    </row>
    <row r="1002" spans="1:7" x14ac:dyDescent="0.3">
      <c r="A1002" s="7"/>
      <c r="B1002" s="8"/>
      <c r="C1002" s="8"/>
      <c r="D1002" s="9"/>
      <c r="E1002" s="9"/>
      <c r="F1002" s="10"/>
      <c r="G1002" s="11"/>
    </row>
    <row r="1003" spans="1:7" x14ac:dyDescent="0.3">
      <c r="A1003" s="7"/>
      <c r="B1003" s="8"/>
      <c r="C1003" s="8"/>
      <c r="D1003" s="9"/>
      <c r="E1003" s="9"/>
      <c r="F1003" s="10"/>
      <c r="G1003" s="11"/>
    </row>
    <row r="1004" spans="1:7" x14ac:dyDescent="0.3">
      <c r="A1004" s="7"/>
      <c r="B1004" s="8"/>
      <c r="C1004" s="8"/>
      <c r="D1004" s="9"/>
      <c r="E1004" s="9"/>
      <c r="F1004" s="10"/>
      <c r="G1004" s="11"/>
    </row>
    <row r="1005" spans="1:7" x14ac:dyDescent="0.3">
      <c r="A1005" s="7"/>
      <c r="B1005" s="8"/>
      <c r="C1005" s="8"/>
      <c r="D1005" s="9"/>
      <c r="E1005" s="9"/>
      <c r="F1005" s="10"/>
      <c r="G1005" s="11"/>
    </row>
    <row r="1006" spans="1:7" x14ac:dyDescent="0.3">
      <c r="A1006" s="7"/>
      <c r="B1006" s="8"/>
      <c r="C1006" s="8"/>
      <c r="D1006" s="9"/>
      <c r="E1006" s="9"/>
      <c r="F1006" s="10"/>
      <c r="G1006" s="11"/>
    </row>
    <row r="1007" spans="1:7" x14ac:dyDescent="0.3">
      <c r="A1007" s="7"/>
      <c r="B1007" s="8"/>
      <c r="C1007" s="8"/>
      <c r="D1007" s="9"/>
      <c r="E1007" s="9"/>
      <c r="F1007" s="10"/>
      <c r="G1007" s="11"/>
    </row>
    <row r="1008" spans="1:7" x14ac:dyDescent="0.3">
      <c r="A1008" s="7"/>
      <c r="B1008" s="8"/>
      <c r="C1008" s="8"/>
      <c r="D1008" s="9"/>
      <c r="E1008" s="9"/>
      <c r="F1008" s="10"/>
      <c r="G1008" s="11"/>
    </row>
    <row r="1009" spans="1:7" x14ac:dyDescent="0.3">
      <c r="A1009" s="7"/>
      <c r="B1009" s="8"/>
      <c r="C1009" s="8"/>
      <c r="D1009" s="9"/>
      <c r="E1009" s="9"/>
      <c r="F1009" s="10"/>
      <c r="G1009" s="11"/>
    </row>
    <row r="1010" spans="1:7" x14ac:dyDescent="0.3">
      <c r="A1010" s="7"/>
      <c r="B1010" s="8"/>
      <c r="C1010" s="8"/>
      <c r="D1010" s="9"/>
      <c r="E1010" s="9"/>
      <c r="F1010" s="10"/>
      <c r="G1010" s="11"/>
    </row>
    <row r="1011" spans="1:7" x14ac:dyDescent="0.3">
      <c r="A1011" s="7"/>
      <c r="B1011" s="8"/>
      <c r="C1011" s="8"/>
      <c r="D1011" s="9"/>
      <c r="E1011" s="9"/>
      <c r="F1011" s="10"/>
      <c r="G1011" s="11"/>
    </row>
    <row r="1012" spans="1:7" x14ac:dyDescent="0.3">
      <c r="A1012" s="7"/>
      <c r="B1012" s="8"/>
      <c r="C1012" s="8"/>
      <c r="D1012" s="9"/>
      <c r="E1012" s="9"/>
      <c r="F1012" s="10"/>
      <c r="G1012" s="11"/>
    </row>
    <row r="1013" spans="1:7" x14ac:dyDescent="0.3">
      <c r="A1013" s="7"/>
      <c r="B1013" s="8"/>
      <c r="C1013" s="8"/>
      <c r="D1013" s="9"/>
      <c r="E1013" s="9"/>
      <c r="F1013" s="10"/>
      <c r="G1013" s="11"/>
    </row>
    <row r="1014" spans="1:7" x14ac:dyDescent="0.3">
      <c r="A1014" s="7"/>
      <c r="B1014" s="8"/>
      <c r="C1014" s="8"/>
      <c r="D1014" s="9"/>
      <c r="E1014" s="9"/>
      <c r="F1014" s="10"/>
      <c r="G1014" s="11"/>
    </row>
    <row r="1015" spans="1:7" x14ac:dyDescent="0.3">
      <c r="A1015" s="7"/>
      <c r="B1015" s="8"/>
      <c r="C1015" s="8"/>
      <c r="D1015" s="9"/>
      <c r="E1015" s="9"/>
      <c r="F1015" s="10"/>
      <c r="G1015" s="11"/>
    </row>
    <row r="1016" spans="1:7" x14ac:dyDescent="0.3">
      <c r="A1016" s="7"/>
      <c r="B1016" s="8"/>
      <c r="C1016" s="8"/>
      <c r="D1016" s="9"/>
      <c r="E1016" s="9"/>
      <c r="F1016" s="10"/>
      <c r="G1016" s="11"/>
    </row>
    <row r="1017" spans="1:7" x14ac:dyDescent="0.3">
      <c r="A1017" s="7"/>
      <c r="B1017" s="8"/>
      <c r="C1017" s="8"/>
      <c r="D1017" s="9"/>
      <c r="E1017" s="9"/>
      <c r="F1017" s="10"/>
      <c r="G1017" s="11"/>
    </row>
    <row r="1018" spans="1:7" x14ac:dyDescent="0.3">
      <c r="A1018" s="7"/>
      <c r="B1018" s="8"/>
      <c r="C1018" s="8"/>
      <c r="D1018" s="9"/>
      <c r="E1018" s="9"/>
      <c r="F1018" s="10"/>
      <c r="G1018" s="11"/>
    </row>
    <row r="1019" spans="1:7" x14ac:dyDescent="0.3">
      <c r="A1019" s="7"/>
      <c r="B1019" s="8"/>
      <c r="C1019" s="8"/>
      <c r="D1019" s="9"/>
      <c r="E1019" s="9"/>
      <c r="F1019" s="10"/>
      <c r="G1019" s="11"/>
    </row>
    <row r="1020" spans="1:7" x14ac:dyDescent="0.3">
      <c r="A1020" s="7"/>
      <c r="B1020" s="8"/>
      <c r="C1020" s="8"/>
      <c r="D1020" s="9"/>
      <c r="E1020" s="9"/>
      <c r="F1020" s="10"/>
      <c r="G1020" s="11"/>
    </row>
    <row r="1021" spans="1:7" x14ac:dyDescent="0.3">
      <c r="A1021" s="7"/>
      <c r="B1021" s="8"/>
      <c r="C1021" s="8"/>
      <c r="D1021" s="9"/>
      <c r="E1021" s="9"/>
      <c r="F1021" s="10"/>
      <c r="G1021" s="11"/>
    </row>
    <row r="1022" spans="1:7" x14ac:dyDescent="0.3">
      <c r="A1022" s="7"/>
      <c r="B1022" s="8"/>
      <c r="C1022" s="8"/>
      <c r="D1022" s="9"/>
      <c r="E1022" s="9"/>
      <c r="F1022" s="10"/>
      <c r="G1022" s="11"/>
    </row>
    <row r="1023" spans="1:7" x14ac:dyDescent="0.3">
      <c r="A1023" s="7"/>
      <c r="B1023" s="8"/>
      <c r="C1023" s="8"/>
      <c r="D1023" s="9"/>
      <c r="E1023" s="9"/>
      <c r="F1023" s="10"/>
      <c r="G1023" s="11"/>
    </row>
    <row r="1024" spans="1:7" x14ac:dyDescent="0.3">
      <c r="A1024" s="7"/>
      <c r="B1024" s="8"/>
      <c r="C1024" s="8"/>
      <c r="D1024" s="9"/>
      <c r="E1024" s="9"/>
      <c r="F1024" s="10"/>
      <c r="G1024" s="11"/>
    </row>
    <row r="1025" spans="1:7" x14ac:dyDescent="0.3">
      <c r="A1025" s="7"/>
      <c r="B1025" s="8"/>
      <c r="C1025" s="8"/>
      <c r="D1025" s="9"/>
      <c r="E1025" s="9"/>
      <c r="F1025" s="10"/>
      <c r="G1025" s="11"/>
    </row>
    <row r="1026" spans="1:7" x14ac:dyDescent="0.3">
      <c r="A1026" s="7"/>
      <c r="B1026" s="8"/>
      <c r="C1026" s="8"/>
      <c r="D1026" s="9"/>
      <c r="E1026" s="9"/>
      <c r="F1026" s="10"/>
      <c r="G1026" s="11"/>
    </row>
    <row r="1027" spans="1:7" x14ac:dyDescent="0.3">
      <c r="A1027" s="7"/>
      <c r="B1027" s="8"/>
      <c r="C1027" s="8"/>
      <c r="D1027" s="9"/>
      <c r="E1027" s="9"/>
      <c r="F1027" s="10"/>
      <c r="G1027" s="11"/>
    </row>
    <row r="1028" spans="1:7" x14ac:dyDescent="0.3">
      <c r="A1028" s="7"/>
      <c r="B1028" s="8"/>
      <c r="C1028" s="8"/>
      <c r="D1028" s="9"/>
      <c r="E1028" s="9"/>
      <c r="F1028" s="10"/>
      <c r="G1028" s="11"/>
    </row>
    <row r="1029" spans="1:7" x14ac:dyDescent="0.3">
      <c r="A1029" s="7"/>
      <c r="B1029" s="8"/>
      <c r="C1029" s="8"/>
      <c r="D1029" s="9"/>
      <c r="E1029" s="9"/>
      <c r="F1029" s="10"/>
      <c r="G1029" s="11"/>
    </row>
    <row r="1030" spans="1:7" x14ac:dyDescent="0.3">
      <c r="A1030" s="7"/>
      <c r="B1030" s="8"/>
      <c r="C1030" s="8"/>
      <c r="D1030" s="9"/>
      <c r="E1030" s="9"/>
      <c r="F1030" s="10"/>
      <c r="G1030" s="11"/>
    </row>
    <row r="1031" spans="1:7" x14ac:dyDescent="0.3">
      <c r="A1031" s="7"/>
      <c r="B1031" s="8"/>
      <c r="C1031" s="8"/>
      <c r="D1031" s="9"/>
      <c r="E1031" s="9"/>
      <c r="F1031" s="10"/>
      <c r="G1031" s="11"/>
    </row>
    <row r="1032" spans="1:7" x14ac:dyDescent="0.3">
      <c r="A1032" s="7"/>
      <c r="B1032" s="8"/>
      <c r="C1032" s="8"/>
      <c r="D1032" s="9"/>
      <c r="E1032" s="9"/>
      <c r="F1032" s="10"/>
      <c r="G1032" s="11"/>
    </row>
    <row r="1033" spans="1:7" x14ac:dyDescent="0.3">
      <c r="A1033" s="7"/>
      <c r="B1033" s="8"/>
      <c r="C1033" s="8"/>
      <c r="D1033" s="9"/>
      <c r="E1033" s="9"/>
      <c r="F1033" s="10"/>
      <c r="G1033" s="11"/>
    </row>
    <row r="1034" spans="1:7" x14ac:dyDescent="0.3">
      <c r="A1034" s="7"/>
      <c r="B1034" s="8"/>
      <c r="C1034" s="8"/>
      <c r="D1034" s="9"/>
      <c r="E1034" s="9"/>
      <c r="F1034" s="10"/>
      <c r="G1034" s="11"/>
    </row>
    <row r="1035" spans="1:7" x14ac:dyDescent="0.3">
      <c r="A1035" s="7"/>
      <c r="B1035" s="8"/>
      <c r="C1035" s="8"/>
      <c r="D1035" s="9"/>
      <c r="E1035" s="9"/>
      <c r="F1035" s="10"/>
      <c r="G1035" s="11"/>
    </row>
    <row r="1036" spans="1:7" x14ac:dyDescent="0.3">
      <c r="A1036" s="7"/>
      <c r="B1036" s="8"/>
      <c r="C1036" s="8"/>
      <c r="D1036" s="9"/>
      <c r="E1036" s="9"/>
      <c r="F1036" s="10"/>
      <c r="G1036" s="11"/>
    </row>
    <row r="1037" spans="1:7" x14ac:dyDescent="0.3">
      <c r="A1037" s="7"/>
      <c r="B1037" s="8"/>
      <c r="C1037" s="8"/>
      <c r="D1037" s="9"/>
      <c r="E1037" s="9"/>
      <c r="F1037" s="10"/>
      <c r="G1037" s="11"/>
    </row>
    <row r="1038" spans="1:7" x14ac:dyDescent="0.3">
      <c r="A1038" s="7"/>
      <c r="B1038" s="8"/>
      <c r="C1038" s="8"/>
      <c r="D1038" s="9"/>
      <c r="E1038" s="9"/>
      <c r="F1038" s="10"/>
      <c r="G1038" s="11"/>
    </row>
    <row r="1039" spans="1:7" x14ac:dyDescent="0.3">
      <c r="A1039" s="7"/>
      <c r="B1039" s="8"/>
      <c r="C1039" s="8"/>
      <c r="D1039" s="9"/>
      <c r="E1039" s="9"/>
      <c r="F1039" s="10"/>
      <c r="G1039" s="11"/>
    </row>
    <row r="1040" spans="1:7" x14ac:dyDescent="0.3">
      <c r="A1040" s="7"/>
      <c r="B1040" s="8"/>
      <c r="C1040" s="8"/>
      <c r="D1040" s="9"/>
      <c r="E1040" s="9"/>
      <c r="F1040" s="10"/>
      <c r="G1040" s="11"/>
    </row>
    <row r="1041" spans="1:7" x14ac:dyDescent="0.3">
      <c r="A1041" s="7"/>
      <c r="B1041" s="8"/>
      <c r="C1041" s="8"/>
      <c r="D1041" s="9"/>
      <c r="E1041" s="9"/>
      <c r="F1041" s="10"/>
      <c r="G1041" s="11"/>
    </row>
    <row r="1042" spans="1:7" x14ac:dyDescent="0.3">
      <c r="A1042" s="7"/>
      <c r="B1042" s="8"/>
      <c r="C1042" s="8"/>
      <c r="D1042" s="9"/>
      <c r="E1042" s="9"/>
      <c r="F1042" s="10"/>
      <c r="G1042" s="11"/>
    </row>
    <row r="1043" spans="1:7" x14ac:dyDescent="0.3">
      <c r="A1043" s="7"/>
      <c r="B1043" s="8"/>
      <c r="C1043" s="8"/>
      <c r="D1043" s="9"/>
      <c r="E1043" s="9"/>
      <c r="F1043" s="10"/>
      <c r="G1043" s="11"/>
    </row>
    <row r="1044" spans="1:7" x14ac:dyDescent="0.3">
      <c r="A1044" s="7"/>
      <c r="B1044" s="8"/>
      <c r="C1044" s="8"/>
      <c r="D1044" s="9"/>
      <c r="E1044" s="9"/>
      <c r="F1044" s="10"/>
      <c r="G1044" s="11"/>
    </row>
    <row r="1045" spans="1:7" x14ac:dyDescent="0.3">
      <c r="A1045" s="7"/>
      <c r="B1045" s="8"/>
      <c r="C1045" s="8"/>
      <c r="D1045" s="9"/>
      <c r="E1045" s="9"/>
      <c r="F1045" s="10"/>
      <c r="G1045" s="11"/>
    </row>
    <row r="1046" spans="1:7" x14ac:dyDescent="0.3">
      <c r="A1046" s="7"/>
      <c r="B1046" s="8"/>
      <c r="C1046" s="8"/>
      <c r="D1046" s="9"/>
      <c r="E1046" s="9"/>
      <c r="F1046" s="10"/>
      <c r="G1046" s="11"/>
    </row>
    <row r="1047" spans="1:7" x14ac:dyDescent="0.3">
      <c r="A1047" s="7"/>
      <c r="B1047" s="8"/>
      <c r="C1047" s="8"/>
      <c r="D1047" s="9"/>
      <c r="E1047" s="9"/>
      <c r="F1047" s="10"/>
      <c r="G1047" s="11"/>
    </row>
    <row r="1048" spans="1:7" x14ac:dyDescent="0.3">
      <c r="A1048" s="7"/>
      <c r="B1048" s="8"/>
      <c r="C1048" s="8"/>
      <c r="D1048" s="9"/>
      <c r="E1048" s="9"/>
      <c r="F1048" s="10"/>
      <c r="G1048" s="11"/>
    </row>
    <row r="1049" spans="1:7" x14ac:dyDescent="0.3">
      <c r="A1049" s="7"/>
      <c r="B1049" s="8"/>
      <c r="C1049" s="8"/>
      <c r="D1049" s="9"/>
      <c r="E1049" s="9"/>
      <c r="F1049" s="10"/>
      <c r="G1049" s="11"/>
    </row>
    <row r="1050" spans="1:7" x14ac:dyDescent="0.3">
      <c r="A1050" s="7"/>
      <c r="B1050" s="8"/>
      <c r="C1050" s="8"/>
      <c r="D1050" s="9"/>
      <c r="E1050" s="9"/>
      <c r="F1050" s="10"/>
      <c r="G1050" s="11"/>
    </row>
    <row r="1051" spans="1:7" x14ac:dyDescent="0.3">
      <c r="A1051" s="7"/>
      <c r="B1051" s="8"/>
      <c r="C1051" s="8"/>
      <c r="D1051" s="9"/>
      <c r="E1051" s="9"/>
      <c r="F1051" s="10"/>
      <c r="G1051" s="11"/>
    </row>
    <row r="1052" spans="1:7" x14ac:dyDescent="0.3">
      <c r="A1052" s="7"/>
      <c r="B1052" s="8"/>
      <c r="C1052" s="8"/>
      <c r="D1052" s="9"/>
      <c r="E1052" s="9"/>
      <c r="F1052" s="10"/>
      <c r="G1052" s="11"/>
    </row>
    <row r="1053" spans="1:7" x14ac:dyDescent="0.3">
      <c r="A1053" s="7"/>
      <c r="B1053" s="8"/>
      <c r="C1053" s="8"/>
      <c r="D1053" s="9"/>
      <c r="E1053" s="9"/>
      <c r="F1053" s="10"/>
      <c r="G1053" s="11"/>
    </row>
    <row r="1054" spans="1:7" x14ac:dyDescent="0.3">
      <c r="A1054" s="7"/>
      <c r="B1054" s="8"/>
      <c r="C1054" s="8"/>
      <c r="D1054" s="9"/>
      <c r="E1054" s="9"/>
      <c r="F1054" s="10"/>
      <c r="G1054" s="11"/>
    </row>
    <row r="1055" spans="1:7" x14ac:dyDescent="0.3">
      <c r="A1055" s="7"/>
      <c r="B1055" s="8"/>
      <c r="C1055" s="8"/>
      <c r="D1055" s="9"/>
      <c r="E1055" s="9"/>
      <c r="F1055" s="10"/>
      <c r="G1055" s="11"/>
    </row>
    <row r="1056" spans="1:7" x14ac:dyDescent="0.3">
      <c r="A1056" s="7"/>
      <c r="B1056" s="8"/>
      <c r="C1056" s="8"/>
      <c r="D1056" s="9"/>
      <c r="E1056" s="9"/>
      <c r="F1056" s="10"/>
      <c r="G1056" s="11"/>
    </row>
    <row r="1057" spans="1:7" x14ac:dyDescent="0.3">
      <c r="A1057" s="7"/>
      <c r="B1057" s="8"/>
      <c r="C1057" s="8"/>
      <c r="D1057" s="9"/>
      <c r="E1057" s="9"/>
      <c r="F1057" s="10"/>
      <c r="G1057" s="11"/>
    </row>
    <row r="1058" spans="1:7" x14ac:dyDescent="0.3">
      <c r="A1058" s="7"/>
      <c r="B1058" s="8"/>
      <c r="C1058" s="8"/>
      <c r="D1058" s="9"/>
      <c r="E1058" s="9"/>
      <c r="F1058" s="10"/>
      <c r="G1058" s="11"/>
    </row>
    <row r="1059" spans="1:7" x14ac:dyDescent="0.3">
      <c r="A1059" s="7"/>
      <c r="B1059" s="8"/>
      <c r="C1059" s="8"/>
      <c r="D1059" s="9"/>
      <c r="E1059" s="9"/>
      <c r="F1059" s="10"/>
      <c r="G1059" s="11"/>
    </row>
    <row r="1060" spans="1:7" x14ac:dyDescent="0.3">
      <c r="A1060" s="7"/>
      <c r="B1060" s="8"/>
      <c r="C1060" s="8"/>
      <c r="D1060" s="9"/>
      <c r="E1060" s="9"/>
      <c r="F1060" s="10"/>
      <c r="G1060" s="11"/>
    </row>
    <row r="1061" spans="1:7" x14ac:dyDescent="0.3">
      <c r="A1061" s="7"/>
      <c r="B1061" s="8"/>
      <c r="C1061" s="8"/>
      <c r="D1061" s="9"/>
      <c r="E1061" s="9"/>
      <c r="F1061" s="10"/>
      <c r="G1061" s="11"/>
    </row>
    <row r="1062" spans="1:7" x14ac:dyDescent="0.3">
      <c r="A1062" s="7"/>
      <c r="B1062" s="8"/>
      <c r="C1062" s="8"/>
      <c r="D1062" s="9"/>
      <c r="E1062" s="9"/>
      <c r="F1062" s="10"/>
      <c r="G1062" s="11"/>
    </row>
    <row r="1063" spans="1:7" x14ac:dyDescent="0.3">
      <c r="A1063" s="7"/>
      <c r="B1063" s="8"/>
      <c r="C1063" s="8"/>
      <c r="D1063" s="9"/>
      <c r="E1063" s="9"/>
      <c r="F1063" s="10"/>
      <c r="G1063" s="11"/>
    </row>
    <row r="1064" spans="1:7" x14ac:dyDescent="0.3">
      <c r="A1064" s="7"/>
      <c r="B1064" s="8"/>
      <c r="C1064" s="8"/>
      <c r="D1064" s="9"/>
      <c r="E1064" s="9"/>
      <c r="F1064" s="10"/>
      <c r="G1064" s="11"/>
    </row>
    <row r="1065" spans="1:7" x14ac:dyDescent="0.3">
      <c r="A1065" s="7"/>
      <c r="B1065" s="8"/>
      <c r="C1065" s="8"/>
      <c r="D1065" s="9"/>
      <c r="E1065" s="9"/>
      <c r="F1065" s="10"/>
      <c r="G1065" s="11"/>
    </row>
    <row r="1066" spans="1:7" x14ac:dyDescent="0.3">
      <c r="A1066" s="7"/>
      <c r="B1066" s="8"/>
      <c r="C1066" s="8"/>
      <c r="D1066" s="9"/>
      <c r="E1066" s="9"/>
      <c r="F1066" s="10"/>
      <c r="G1066" s="11"/>
    </row>
    <row r="1067" spans="1:7" x14ac:dyDescent="0.3">
      <c r="A1067" s="7"/>
      <c r="B1067" s="8"/>
      <c r="C1067" s="8"/>
      <c r="D1067" s="9"/>
      <c r="E1067" s="9"/>
      <c r="F1067" s="10"/>
      <c r="G1067" s="11"/>
    </row>
    <row r="1068" spans="1:7" x14ac:dyDescent="0.3">
      <c r="A1068" s="7"/>
      <c r="B1068" s="8"/>
      <c r="C1068" s="8"/>
      <c r="D1068" s="9"/>
      <c r="E1068" s="9"/>
      <c r="F1068" s="10"/>
      <c r="G1068" s="11"/>
    </row>
    <row r="1069" spans="1:7" x14ac:dyDescent="0.3">
      <c r="A1069" s="7"/>
      <c r="B1069" s="8"/>
      <c r="C1069" s="8"/>
      <c r="D1069" s="9"/>
      <c r="E1069" s="9"/>
      <c r="F1069" s="10"/>
      <c r="G1069" s="11"/>
    </row>
    <row r="1070" spans="1:7" x14ac:dyDescent="0.3">
      <c r="A1070" s="7"/>
      <c r="B1070" s="8"/>
      <c r="C1070" s="8"/>
      <c r="D1070" s="9"/>
      <c r="E1070" s="9"/>
      <c r="F1070" s="10"/>
      <c r="G1070" s="11"/>
    </row>
    <row r="1071" spans="1:7" x14ac:dyDescent="0.3">
      <c r="A1071" s="7"/>
      <c r="B1071" s="8"/>
      <c r="C1071" s="8"/>
      <c r="D1071" s="9"/>
      <c r="E1071" s="9"/>
      <c r="F1071" s="10"/>
      <c r="G1071" s="11"/>
    </row>
    <row r="1072" spans="1:7" x14ac:dyDescent="0.3">
      <c r="A1072" s="7"/>
      <c r="B1072" s="8"/>
      <c r="C1072" s="8"/>
      <c r="D1072" s="9"/>
      <c r="E1072" s="9"/>
      <c r="F1072" s="10"/>
      <c r="G1072" s="11"/>
    </row>
    <row r="1073" spans="1:7" x14ac:dyDescent="0.3">
      <c r="A1073" s="7"/>
      <c r="B1073" s="8"/>
      <c r="C1073" s="8"/>
      <c r="D1073" s="9"/>
      <c r="E1073" s="9"/>
      <c r="F1073" s="10"/>
      <c r="G1073" s="11"/>
    </row>
    <row r="1074" spans="1:7" x14ac:dyDescent="0.3">
      <c r="A1074" s="7"/>
      <c r="B1074" s="8"/>
      <c r="C1074" s="8"/>
      <c r="D1074" s="9"/>
      <c r="E1074" s="9"/>
      <c r="F1074" s="10"/>
      <c r="G1074" s="11"/>
    </row>
    <row r="1075" spans="1:7" x14ac:dyDescent="0.3">
      <c r="A1075" s="7"/>
      <c r="B1075" s="8"/>
      <c r="C1075" s="8"/>
      <c r="D1075" s="9"/>
      <c r="E1075" s="9"/>
      <c r="F1075" s="10"/>
      <c r="G1075" s="11"/>
    </row>
    <row r="1076" spans="1:7" x14ac:dyDescent="0.3">
      <c r="A1076" s="7"/>
      <c r="B1076" s="8"/>
      <c r="C1076" s="8"/>
      <c r="D1076" s="9"/>
      <c r="E1076" s="9"/>
      <c r="F1076" s="10"/>
      <c r="G1076" s="11"/>
    </row>
    <row r="1077" spans="1:7" x14ac:dyDescent="0.3">
      <c r="A1077" s="7"/>
      <c r="B1077" s="8"/>
      <c r="C1077" s="8"/>
      <c r="D1077" s="9"/>
      <c r="E1077" s="9"/>
      <c r="F1077" s="10"/>
      <c r="G1077" s="11"/>
    </row>
    <row r="1078" spans="1:7" x14ac:dyDescent="0.3">
      <c r="A1078" s="7"/>
      <c r="B1078" s="8"/>
      <c r="C1078" s="8"/>
      <c r="D1078" s="9"/>
      <c r="E1078" s="9"/>
      <c r="F1078" s="10"/>
      <c r="G1078" s="11"/>
    </row>
    <row r="1079" spans="1:7" x14ac:dyDescent="0.3">
      <c r="A1079" s="7"/>
      <c r="B1079" s="8"/>
      <c r="C1079" s="8"/>
      <c r="D1079" s="9"/>
      <c r="E1079" s="9"/>
      <c r="F1079" s="10"/>
      <c r="G1079" s="11"/>
    </row>
    <row r="1080" spans="1:7" x14ac:dyDescent="0.3">
      <c r="A1080" s="7"/>
      <c r="B1080" s="8"/>
      <c r="C1080" s="8"/>
      <c r="D1080" s="9"/>
      <c r="E1080" s="9"/>
      <c r="F1080" s="10"/>
      <c r="G1080" s="11"/>
    </row>
    <row r="1081" spans="1:7" x14ac:dyDescent="0.3">
      <c r="A1081" s="7"/>
      <c r="B1081" s="8"/>
      <c r="C1081" s="8"/>
      <c r="D1081" s="9"/>
      <c r="E1081" s="9"/>
      <c r="F1081" s="10"/>
      <c r="G1081" s="11"/>
    </row>
    <row r="1082" spans="1:7" x14ac:dyDescent="0.3">
      <c r="A1082" s="7"/>
      <c r="B1082" s="8"/>
      <c r="C1082" s="8"/>
      <c r="D1082" s="9"/>
      <c r="E1082" s="9"/>
      <c r="F1082" s="10"/>
      <c r="G1082" s="11"/>
    </row>
    <row r="1083" spans="1:7" x14ac:dyDescent="0.3">
      <c r="A1083" s="7"/>
      <c r="B1083" s="8"/>
      <c r="C1083" s="8"/>
      <c r="D1083" s="9"/>
      <c r="E1083" s="9"/>
      <c r="F1083" s="10"/>
      <c r="G1083" s="11"/>
    </row>
    <row r="1084" spans="1:7" x14ac:dyDescent="0.3">
      <c r="A1084" s="7"/>
      <c r="B1084" s="8"/>
      <c r="C1084" s="8"/>
      <c r="D1084" s="9"/>
      <c r="E1084" s="9"/>
      <c r="F1084" s="10"/>
      <c r="G1084" s="11"/>
    </row>
    <row r="1085" spans="1:7" x14ac:dyDescent="0.3">
      <c r="A1085" s="7"/>
      <c r="B1085" s="8"/>
      <c r="C1085" s="8"/>
      <c r="D1085" s="9"/>
      <c r="E1085" s="9"/>
      <c r="F1085" s="10"/>
      <c r="G1085" s="11"/>
    </row>
    <row r="1086" spans="1:7" x14ac:dyDescent="0.3">
      <c r="A1086" s="7"/>
      <c r="B1086" s="8"/>
      <c r="C1086" s="8"/>
      <c r="D1086" s="9"/>
      <c r="E1086" s="9"/>
      <c r="F1086" s="10"/>
      <c r="G1086" s="11"/>
    </row>
    <row r="1087" spans="1:7" x14ac:dyDescent="0.3">
      <c r="A1087" s="7"/>
      <c r="B1087" s="8"/>
      <c r="C1087" s="8"/>
      <c r="D1087" s="9"/>
      <c r="E1087" s="9"/>
      <c r="F1087" s="10"/>
      <c r="G1087" s="11"/>
    </row>
    <row r="1088" spans="1:7" x14ac:dyDescent="0.3">
      <c r="A1088" s="7"/>
      <c r="B1088" s="8"/>
      <c r="C1088" s="8"/>
      <c r="D1088" s="9"/>
      <c r="E1088" s="9"/>
      <c r="F1088" s="10"/>
      <c r="G1088" s="11"/>
    </row>
    <row r="1089" spans="1:7" x14ac:dyDescent="0.3">
      <c r="A1089" s="7"/>
      <c r="B1089" s="8"/>
      <c r="C1089" s="8"/>
      <c r="D1089" s="9"/>
      <c r="E1089" s="9"/>
      <c r="F1089" s="10"/>
      <c r="G1089" s="11"/>
    </row>
    <row r="1090" spans="1:7" x14ac:dyDescent="0.3">
      <c r="A1090" s="7"/>
      <c r="B1090" s="8"/>
      <c r="C1090" s="8"/>
      <c r="D1090" s="9"/>
      <c r="E1090" s="9"/>
      <c r="F1090" s="10"/>
      <c r="G1090" s="11"/>
    </row>
    <row r="1091" spans="1:7" x14ac:dyDescent="0.3">
      <c r="A1091" s="7"/>
      <c r="B1091" s="8"/>
      <c r="C1091" s="8"/>
      <c r="D1091" s="9"/>
      <c r="E1091" s="9"/>
      <c r="F1091" s="10"/>
      <c r="G1091" s="11"/>
    </row>
    <row r="1092" spans="1:7" x14ac:dyDescent="0.3">
      <c r="A1092" s="7"/>
      <c r="B1092" s="8"/>
      <c r="C1092" s="8"/>
      <c r="D1092" s="9"/>
      <c r="E1092" s="9"/>
      <c r="F1092" s="10"/>
      <c r="G1092" s="11"/>
    </row>
    <row r="1093" spans="1:7" x14ac:dyDescent="0.3">
      <c r="A1093" s="7"/>
      <c r="B1093" s="8"/>
      <c r="C1093" s="8"/>
      <c r="D1093" s="9"/>
      <c r="E1093" s="9"/>
      <c r="F1093" s="10"/>
      <c r="G1093" s="11"/>
    </row>
    <row r="1094" spans="1:7" x14ac:dyDescent="0.3">
      <c r="A1094" s="7"/>
      <c r="B1094" s="8"/>
      <c r="C1094" s="8"/>
      <c r="D1094" s="9"/>
      <c r="E1094" s="9"/>
      <c r="F1094" s="10"/>
      <c r="G1094" s="11"/>
    </row>
    <row r="1095" spans="1:7" x14ac:dyDescent="0.3">
      <c r="A1095" s="7"/>
      <c r="B1095" s="8"/>
      <c r="C1095" s="8"/>
      <c r="D1095" s="9"/>
      <c r="E1095" s="9"/>
      <c r="F1095" s="10"/>
      <c r="G1095" s="11"/>
    </row>
    <row r="1096" spans="1:7" x14ac:dyDescent="0.3">
      <c r="A1096" s="7"/>
      <c r="B1096" s="8"/>
      <c r="C1096" s="8"/>
      <c r="D1096" s="9"/>
      <c r="E1096" s="9"/>
      <c r="F1096" s="10"/>
      <c r="G1096" s="11"/>
    </row>
    <row r="1097" spans="1:7" x14ac:dyDescent="0.3">
      <c r="A1097" s="7"/>
      <c r="B1097" s="8"/>
      <c r="C1097" s="8"/>
      <c r="D1097" s="9"/>
      <c r="E1097" s="9"/>
      <c r="F1097" s="10"/>
      <c r="G1097" s="11"/>
    </row>
    <row r="1098" spans="1:7" x14ac:dyDescent="0.3">
      <c r="A1098" s="7"/>
      <c r="B1098" s="8"/>
      <c r="C1098" s="8"/>
      <c r="D1098" s="9"/>
      <c r="E1098" s="9"/>
      <c r="F1098" s="10"/>
      <c r="G1098" s="11"/>
    </row>
    <row r="1099" spans="1:7" x14ac:dyDescent="0.3">
      <c r="A1099" s="7"/>
      <c r="B1099" s="8"/>
      <c r="C1099" s="8"/>
      <c r="D1099" s="9"/>
      <c r="E1099" s="9"/>
      <c r="F1099" s="10"/>
      <c r="G1099" s="11"/>
    </row>
    <row r="1100" spans="1:7" x14ac:dyDescent="0.3">
      <c r="A1100" s="7"/>
      <c r="B1100" s="8"/>
      <c r="C1100" s="8"/>
      <c r="D1100" s="9"/>
      <c r="E1100" s="9"/>
      <c r="F1100" s="10"/>
      <c r="G1100" s="11"/>
    </row>
    <row r="1101" spans="1:7" x14ac:dyDescent="0.3">
      <c r="A1101" s="7"/>
      <c r="B1101" s="8"/>
      <c r="C1101" s="8"/>
      <c r="D1101" s="9"/>
      <c r="E1101" s="9"/>
      <c r="F1101" s="10"/>
      <c r="G1101" s="11"/>
    </row>
    <row r="1102" spans="1:7" x14ac:dyDescent="0.3">
      <c r="A1102" s="7"/>
      <c r="B1102" s="8"/>
      <c r="C1102" s="8"/>
      <c r="D1102" s="9"/>
      <c r="E1102" s="9"/>
      <c r="F1102" s="10"/>
      <c r="G1102" s="11"/>
    </row>
    <row r="1103" spans="1:7" x14ac:dyDescent="0.3">
      <c r="A1103" s="7"/>
      <c r="B1103" s="8"/>
      <c r="C1103" s="8"/>
      <c r="D1103" s="9"/>
      <c r="E1103" s="9"/>
      <c r="F1103" s="10"/>
      <c r="G1103" s="11"/>
    </row>
    <row r="1104" spans="1:7" x14ac:dyDescent="0.3">
      <c r="A1104" s="7"/>
      <c r="B1104" s="8"/>
      <c r="C1104" s="8"/>
      <c r="D1104" s="9"/>
      <c r="E1104" s="9"/>
      <c r="F1104" s="10"/>
      <c r="G1104" s="11"/>
    </row>
    <row r="1105" spans="1:7" x14ac:dyDescent="0.3">
      <c r="A1105" s="7"/>
      <c r="B1105" s="8"/>
      <c r="C1105" s="8"/>
      <c r="D1105" s="9"/>
      <c r="E1105" s="9"/>
      <c r="F1105" s="10"/>
      <c r="G1105" s="11"/>
    </row>
    <row r="1106" spans="1:7" x14ac:dyDescent="0.3">
      <c r="A1106" s="7"/>
      <c r="B1106" s="8"/>
      <c r="C1106" s="8"/>
      <c r="D1106" s="9"/>
      <c r="E1106" s="9"/>
      <c r="F1106" s="10"/>
      <c r="G1106" s="11"/>
    </row>
    <row r="1107" spans="1:7" x14ac:dyDescent="0.3">
      <c r="A1107" s="7"/>
      <c r="B1107" s="8"/>
      <c r="C1107" s="8"/>
      <c r="D1107" s="9"/>
      <c r="E1107" s="9"/>
      <c r="F1107" s="10"/>
      <c r="G1107" s="11"/>
    </row>
    <row r="1108" spans="1:7" x14ac:dyDescent="0.3">
      <c r="A1108" s="7"/>
      <c r="B1108" s="8"/>
      <c r="C1108" s="8"/>
      <c r="D1108" s="9"/>
      <c r="E1108" s="9"/>
      <c r="F1108" s="10"/>
      <c r="G1108" s="11"/>
    </row>
    <row r="1109" spans="1:7" x14ac:dyDescent="0.3">
      <c r="A1109" s="7"/>
      <c r="B1109" s="8"/>
      <c r="C1109" s="8"/>
      <c r="D1109" s="9"/>
      <c r="E1109" s="9"/>
      <c r="F1109" s="10"/>
      <c r="G1109" s="11"/>
    </row>
    <row r="1110" spans="1:7" x14ac:dyDescent="0.3">
      <c r="A1110" s="7"/>
      <c r="B1110" s="8"/>
      <c r="C1110" s="8"/>
      <c r="D1110" s="9"/>
      <c r="E1110" s="9"/>
      <c r="F1110" s="10"/>
      <c r="G1110" s="11"/>
    </row>
    <row r="1111" spans="1:7" x14ac:dyDescent="0.3">
      <c r="A1111" s="7"/>
      <c r="B1111" s="8"/>
      <c r="C1111" s="8"/>
      <c r="D1111" s="9"/>
      <c r="E1111" s="9"/>
      <c r="F1111" s="10"/>
      <c r="G1111" s="11"/>
    </row>
    <row r="1112" spans="1:7" x14ac:dyDescent="0.3">
      <c r="A1112" s="7"/>
      <c r="B1112" s="8"/>
      <c r="C1112" s="8"/>
      <c r="D1112" s="9"/>
      <c r="E1112" s="9"/>
      <c r="F1112" s="10"/>
      <c r="G1112" s="11"/>
    </row>
    <row r="1113" spans="1:7" x14ac:dyDescent="0.3">
      <c r="A1113" s="7"/>
      <c r="B1113" s="8"/>
      <c r="C1113" s="8"/>
      <c r="D1113" s="9"/>
      <c r="E1113" s="9"/>
      <c r="F1113" s="10"/>
      <c r="G1113" s="11"/>
    </row>
    <row r="1114" spans="1:7" x14ac:dyDescent="0.3">
      <c r="A1114" s="7"/>
      <c r="B1114" s="8"/>
      <c r="C1114" s="8"/>
      <c r="D1114" s="9"/>
      <c r="E1114" s="9"/>
      <c r="F1114" s="10"/>
      <c r="G1114" s="11"/>
    </row>
    <row r="1115" spans="1:7" x14ac:dyDescent="0.3">
      <c r="A1115" s="7"/>
      <c r="B1115" s="8"/>
      <c r="C1115" s="8"/>
      <c r="D1115" s="9"/>
      <c r="E1115" s="9"/>
      <c r="F1115" s="10"/>
      <c r="G1115" s="11"/>
    </row>
    <row r="1116" spans="1:7" x14ac:dyDescent="0.3">
      <c r="A1116" s="7"/>
      <c r="B1116" s="8"/>
      <c r="C1116" s="8"/>
      <c r="D1116" s="9"/>
      <c r="E1116" s="9"/>
      <c r="F1116" s="10"/>
      <c r="G1116" s="11"/>
    </row>
    <row r="1117" spans="1:7" x14ac:dyDescent="0.3">
      <c r="A1117" s="7"/>
      <c r="B1117" s="8"/>
      <c r="C1117" s="8"/>
      <c r="D1117" s="9"/>
      <c r="E1117" s="9"/>
      <c r="F1117" s="10"/>
      <c r="G1117" s="11"/>
    </row>
    <row r="1118" spans="1:7" x14ac:dyDescent="0.3">
      <c r="A1118" s="7"/>
      <c r="B1118" s="8"/>
      <c r="C1118" s="8"/>
      <c r="D1118" s="9"/>
      <c r="E1118" s="9"/>
      <c r="F1118" s="10"/>
      <c r="G1118" s="11"/>
    </row>
    <row r="1119" spans="1:7" x14ac:dyDescent="0.3">
      <c r="A1119" s="7"/>
      <c r="B1119" s="8"/>
      <c r="C1119" s="8"/>
      <c r="D1119" s="9"/>
      <c r="E1119" s="9"/>
      <c r="F1119" s="10"/>
      <c r="G1119" s="11"/>
    </row>
    <row r="1120" spans="1:7" x14ac:dyDescent="0.3">
      <c r="A1120" s="7"/>
      <c r="B1120" s="8"/>
      <c r="C1120" s="8"/>
      <c r="D1120" s="9"/>
      <c r="E1120" s="9"/>
      <c r="F1120" s="10"/>
      <c r="G1120" s="11"/>
    </row>
    <row r="1121" spans="1:7" x14ac:dyDescent="0.3">
      <c r="A1121" s="7"/>
      <c r="B1121" s="8"/>
      <c r="C1121" s="8"/>
      <c r="D1121" s="9"/>
      <c r="E1121" s="9"/>
      <c r="F1121" s="10"/>
      <c r="G1121" s="11"/>
    </row>
    <row r="1122" spans="1:7" x14ac:dyDescent="0.3">
      <c r="A1122" s="7"/>
      <c r="B1122" s="8"/>
      <c r="C1122" s="8"/>
      <c r="D1122" s="9"/>
      <c r="E1122" s="9"/>
      <c r="F1122" s="10"/>
      <c r="G1122" s="11"/>
    </row>
    <row r="1123" spans="1:7" x14ac:dyDescent="0.3">
      <c r="A1123" s="7"/>
      <c r="B1123" s="8"/>
      <c r="C1123" s="8"/>
      <c r="D1123" s="9"/>
      <c r="E1123" s="9"/>
      <c r="F1123" s="10"/>
      <c r="G1123" s="11"/>
    </row>
    <row r="1124" spans="1:7" x14ac:dyDescent="0.3">
      <c r="A1124" s="7"/>
      <c r="B1124" s="8"/>
      <c r="C1124" s="8"/>
      <c r="D1124" s="9"/>
      <c r="E1124" s="9"/>
      <c r="F1124" s="10"/>
      <c r="G1124" s="11"/>
    </row>
    <row r="1125" spans="1:7" x14ac:dyDescent="0.3">
      <c r="A1125" s="7"/>
      <c r="B1125" s="8"/>
      <c r="C1125" s="8"/>
      <c r="D1125" s="9"/>
      <c r="E1125" s="9"/>
      <c r="F1125" s="10"/>
      <c r="G1125" s="11"/>
    </row>
    <row r="1126" spans="1:7" x14ac:dyDescent="0.3">
      <c r="A1126" s="7"/>
      <c r="B1126" s="8"/>
      <c r="C1126" s="8"/>
      <c r="D1126" s="9"/>
      <c r="E1126" s="9"/>
      <c r="F1126" s="10"/>
      <c r="G1126" s="11"/>
    </row>
    <row r="1127" spans="1:7" x14ac:dyDescent="0.3">
      <c r="A1127" s="7"/>
      <c r="B1127" s="8"/>
      <c r="C1127" s="8"/>
      <c r="D1127" s="9"/>
      <c r="E1127" s="9"/>
      <c r="F1127" s="10"/>
      <c r="G1127" s="11"/>
    </row>
    <row r="1128" spans="1:7" x14ac:dyDescent="0.3">
      <c r="A1128" s="7"/>
      <c r="B1128" s="8"/>
      <c r="C1128" s="8"/>
      <c r="D1128" s="9"/>
      <c r="E1128" s="9"/>
      <c r="F1128" s="10"/>
      <c r="G1128" s="11"/>
    </row>
    <row r="1129" spans="1:7" x14ac:dyDescent="0.3">
      <c r="A1129" s="7"/>
      <c r="B1129" s="8"/>
      <c r="C1129" s="8"/>
      <c r="D1129" s="9"/>
      <c r="E1129" s="9"/>
      <c r="F1129" s="10"/>
      <c r="G1129" s="11"/>
    </row>
    <row r="1130" spans="1:7" x14ac:dyDescent="0.3">
      <c r="A1130" s="7"/>
      <c r="B1130" s="8"/>
      <c r="C1130" s="8"/>
      <c r="D1130" s="9"/>
      <c r="E1130" s="9"/>
      <c r="F1130" s="10"/>
      <c r="G1130" s="11"/>
    </row>
    <row r="1131" spans="1:7" x14ac:dyDescent="0.3">
      <c r="A1131" s="7"/>
      <c r="B1131" s="8"/>
      <c r="C1131" s="8"/>
      <c r="D1131" s="9"/>
      <c r="E1131" s="9"/>
      <c r="F1131" s="10"/>
      <c r="G1131" s="11"/>
    </row>
    <row r="1132" spans="1:7" x14ac:dyDescent="0.3">
      <c r="A1132" s="7"/>
      <c r="B1132" s="8"/>
      <c r="C1132" s="8"/>
      <c r="D1132" s="9"/>
      <c r="E1132" s="9"/>
      <c r="F1132" s="10"/>
      <c r="G1132" s="11"/>
    </row>
    <row r="1133" spans="1:7" x14ac:dyDescent="0.3">
      <c r="A1133" s="7"/>
      <c r="B1133" s="8"/>
      <c r="C1133" s="8"/>
      <c r="D1133" s="9"/>
      <c r="E1133" s="9"/>
      <c r="F1133" s="10"/>
      <c r="G1133" s="11"/>
    </row>
    <row r="1134" spans="1:7" x14ac:dyDescent="0.3">
      <c r="A1134" s="7"/>
      <c r="B1134" s="8"/>
      <c r="C1134" s="8"/>
      <c r="D1134" s="9"/>
      <c r="E1134" s="9"/>
      <c r="F1134" s="10"/>
      <c r="G1134" s="11"/>
    </row>
    <row r="1135" spans="1:7" x14ac:dyDescent="0.3">
      <c r="A1135" s="7"/>
      <c r="B1135" s="8"/>
      <c r="C1135" s="8"/>
      <c r="D1135" s="9"/>
      <c r="E1135" s="9"/>
      <c r="F1135" s="10"/>
      <c r="G1135" s="11"/>
    </row>
    <row r="1136" spans="1:7" x14ac:dyDescent="0.3">
      <c r="A1136" s="7"/>
      <c r="B1136" s="8"/>
      <c r="C1136" s="8"/>
      <c r="D1136" s="9"/>
      <c r="E1136" s="9"/>
      <c r="F1136" s="10"/>
      <c r="G1136" s="11"/>
    </row>
    <row r="1137" spans="1:7" x14ac:dyDescent="0.3">
      <c r="A1137" s="7"/>
      <c r="B1137" s="8"/>
      <c r="C1137" s="8"/>
      <c r="D1137" s="9"/>
      <c r="E1137" s="9"/>
      <c r="F1137" s="10"/>
      <c r="G1137" s="11"/>
    </row>
    <row r="1138" spans="1:7" x14ac:dyDescent="0.3">
      <c r="A1138" s="7"/>
      <c r="B1138" s="8"/>
      <c r="C1138" s="8"/>
      <c r="D1138" s="9"/>
      <c r="E1138" s="9"/>
      <c r="F1138" s="10"/>
      <c r="G1138" s="11"/>
    </row>
    <row r="1139" spans="1:7" x14ac:dyDescent="0.3">
      <c r="A1139" s="7"/>
      <c r="B1139" s="8"/>
      <c r="C1139" s="8"/>
      <c r="D1139" s="9"/>
      <c r="E1139" s="9"/>
      <c r="F1139" s="10"/>
      <c r="G1139" s="11"/>
    </row>
    <row r="1140" spans="1:7" x14ac:dyDescent="0.3">
      <c r="A1140" s="7"/>
      <c r="B1140" s="8"/>
      <c r="C1140" s="8"/>
      <c r="D1140" s="9"/>
      <c r="E1140" s="9"/>
      <c r="F1140" s="10"/>
      <c r="G1140" s="11"/>
    </row>
    <row r="1141" spans="1:7" x14ac:dyDescent="0.3">
      <c r="A1141" s="7"/>
      <c r="B1141" s="8"/>
      <c r="C1141" s="8"/>
      <c r="D1141" s="9"/>
      <c r="E1141" s="9"/>
      <c r="F1141" s="10"/>
      <c r="G1141" s="11"/>
    </row>
    <row r="1142" spans="1:7" x14ac:dyDescent="0.3">
      <c r="A1142" s="7"/>
      <c r="B1142" s="8"/>
      <c r="C1142" s="8"/>
      <c r="D1142" s="9"/>
      <c r="E1142" s="9"/>
      <c r="F1142" s="10"/>
      <c r="G1142" s="11"/>
    </row>
    <row r="1143" spans="1:7" x14ac:dyDescent="0.3">
      <c r="A1143" s="7"/>
      <c r="B1143" s="8"/>
      <c r="C1143" s="8"/>
      <c r="D1143" s="9"/>
      <c r="E1143" s="9"/>
      <c r="F1143" s="10"/>
      <c r="G1143" s="11"/>
    </row>
    <row r="1144" spans="1:7" x14ac:dyDescent="0.3">
      <c r="A1144" s="7"/>
      <c r="B1144" s="8"/>
      <c r="C1144" s="8"/>
      <c r="D1144" s="9"/>
      <c r="E1144" s="9"/>
      <c r="F1144" s="10"/>
      <c r="G1144" s="11"/>
    </row>
    <row r="1145" spans="1:7" x14ac:dyDescent="0.3">
      <c r="A1145" s="7"/>
      <c r="B1145" s="8"/>
      <c r="C1145" s="8"/>
      <c r="D1145" s="9"/>
      <c r="E1145" s="9"/>
      <c r="F1145" s="10"/>
      <c r="G1145" s="11"/>
    </row>
    <row r="1146" spans="1:7" x14ac:dyDescent="0.3">
      <c r="A1146" s="7"/>
      <c r="B1146" s="8"/>
      <c r="C1146" s="8"/>
      <c r="D1146" s="9"/>
      <c r="E1146" s="9"/>
      <c r="F1146" s="10"/>
      <c r="G1146" s="11"/>
    </row>
    <row r="1147" spans="1:7" x14ac:dyDescent="0.3">
      <c r="A1147" s="7"/>
      <c r="B1147" s="8"/>
      <c r="C1147" s="8"/>
      <c r="D1147" s="9"/>
      <c r="E1147" s="9"/>
      <c r="F1147" s="10"/>
      <c r="G1147" s="11"/>
    </row>
    <row r="1148" spans="1:7" x14ac:dyDescent="0.3">
      <c r="A1148" s="7"/>
      <c r="B1148" s="8"/>
      <c r="C1148" s="8"/>
      <c r="D1148" s="9"/>
      <c r="E1148" s="9"/>
      <c r="F1148" s="10"/>
      <c r="G1148" s="11"/>
    </row>
    <row r="1149" spans="1:7" x14ac:dyDescent="0.3">
      <c r="A1149" s="7"/>
      <c r="B1149" s="8"/>
      <c r="C1149" s="8"/>
      <c r="D1149" s="9"/>
      <c r="E1149" s="9"/>
      <c r="F1149" s="10"/>
      <c r="G1149" s="11"/>
    </row>
    <row r="1150" spans="1:7" x14ac:dyDescent="0.3">
      <c r="A1150" s="7"/>
      <c r="B1150" s="8"/>
      <c r="C1150" s="8"/>
      <c r="D1150" s="9"/>
      <c r="E1150" s="9"/>
      <c r="F1150" s="10"/>
      <c r="G1150" s="11"/>
    </row>
    <row r="1151" spans="1:7" x14ac:dyDescent="0.3">
      <c r="A1151" s="7"/>
      <c r="B1151" s="8"/>
      <c r="C1151" s="8"/>
      <c r="D1151" s="9"/>
      <c r="E1151" s="9"/>
      <c r="F1151" s="10"/>
      <c r="G1151" s="11"/>
    </row>
    <row r="1152" spans="1:7" x14ac:dyDescent="0.3">
      <c r="A1152" s="7"/>
      <c r="B1152" s="8"/>
      <c r="C1152" s="8"/>
      <c r="D1152" s="9"/>
      <c r="E1152" s="9"/>
      <c r="F1152" s="10"/>
      <c r="G1152" s="11"/>
    </row>
    <row r="1153" spans="1:7" x14ac:dyDescent="0.3">
      <c r="A1153" s="7"/>
      <c r="B1153" s="8"/>
      <c r="C1153" s="8"/>
      <c r="D1153" s="9"/>
      <c r="E1153" s="9"/>
      <c r="F1153" s="10"/>
      <c r="G1153" s="11"/>
    </row>
    <row r="1154" spans="1:7" x14ac:dyDescent="0.3">
      <c r="A1154" s="7"/>
      <c r="B1154" s="8"/>
      <c r="C1154" s="8"/>
      <c r="D1154" s="9"/>
      <c r="E1154" s="9"/>
      <c r="F1154" s="10"/>
      <c r="G1154" s="11"/>
    </row>
    <row r="1155" spans="1:7" x14ac:dyDescent="0.3">
      <c r="A1155" s="7"/>
      <c r="B1155" s="8"/>
      <c r="C1155" s="8"/>
      <c r="D1155" s="9"/>
      <c r="E1155" s="9"/>
      <c r="F1155" s="10"/>
      <c r="G1155" s="11"/>
    </row>
    <row r="1156" spans="1:7" x14ac:dyDescent="0.3">
      <c r="A1156" s="7"/>
      <c r="B1156" s="8"/>
      <c r="C1156" s="8"/>
      <c r="D1156" s="9"/>
      <c r="E1156" s="9"/>
      <c r="F1156" s="10"/>
      <c r="G1156" s="11"/>
    </row>
    <row r="1157" spans="1:7" x14ac:dyDescent="0.3">
      <c r="A1157" s="7"/>
      <c r="B1157" s="8"/>
      <c r="C1157" s="8"/>
      <c r="D1157" s="9"/>
      <c r="E1157" s="9"/>
      <c r="F1157" s="10"/>
      <c r="G1157" s="11"/>
    </row>
    <row r="1158" spans="1:7" x14ac:dyDescent="0.3">
      <c r="A1158" s="7"/>
      <c r="B1158" s="8"/>
      <c r="C1158" s="8"/>
      <c r="D1158" s="9"/>
      <c r="E1158" s="9"/>
      <c r="F1158" s="10"/>
      <c r="G1158" s="11"/>
    </row>
    <row r="1159" spans="1:7" x14ac:dyDescent="0.3">
      <c r="A1159" s="7"/>
      <c r="B1159" s="8"/>
      <c r="C1159" s="8"/>
      <c r="D1159" s="9"/>
      <c r="E1159" s="9"/>
      <c r="F1159" s="10"/>
      <c r="G1159" s="11"/>
    </row>
    <row r="1160" spans="1:7" x14ac:dyDescent="0.3">
      <c r="A1160" s="7"/>
      <c r="B1160" s="8"/>
      <c r="C1160" s="8"/>
      <c r="D1160" s="9"/>
      <c r="E1160" s="9"/>
      <c r="F1160" s="10"/>
      <c r="G1160" s="11"/>
    </row>
    <row r="1161" spans="1:7" x14ac:dyDescent="0.3">
      <c r="A1161" s="7"/>
      <c r="B1161" s="8"/>
      <c r="C1161" s="8"/>
      <c r="D1161" s="9"/>
      <c r="E1161" s="9"/>
      <c r="F1161" s="10"/>
      <c r="G1161" s="11"/>
    </row>
    <row r="1162" spans="1:7" x14ac:dyDescent="0.3">
      <c r="A1162" s="7"/>
      <c r="B1162" s="8"/>
      <c r="C1162" s="8"/>
      <c r="D1162" s="9"/>
      <c r="E1162" s="9"/>
      <c r="F1162" s="10"/>
      <c r="G1162" s="11"/>
    </row>
    <row r="1163" spans="1:7" x14ac:dyDescent="0.3">
      <c r="A1163" s="7"/>
      <c r="B1163" s="8"/>
      <c r="C1163" s="8"/>
      <c r="D1163" s="9"/>
      <c r="E1163" s="9"/>
      <c r="F1163" s="10"/>
      <c r="G1163" s="11"/>
    </row>
    <row r="1164" spans="1:7" x14ac:dyDescent="0.3">
      <c r="A1164" s="7"/>
      <c r="B1164" s="8"/>
      <c r="C1164" s="8"/>
      <c r="D1164" s="9"/>
      <c r="E1164" s="9"/>
      <c r="F1164" s="10"/>
      <c r="G1164" s="11"/>
    </row>
    <row r="1165" spans="1:7" x14ac:dyDescent="0.3">
      <c r="A1165" s="7"/>
      <c r="B1165" s="8"/>
      <c r="C1165" s="8"/>
      <c r="D1165" s="9"/>
      <c r="E1165" s="9"/>
      <c r="F1165" s="10"/>
      <c r="G1165" s="11"/>
    </row>
    <row r="1166" spans="1:7" x14ac:dyDescent="0.3">
      <c r="A1166" s="7"/>
      <c r="B1166" s="8"/>
      <c r="C1166" s="8"/>
      <c r="D1166" s="9"/>
      <c r="E1166" s="9"/>
      <c r="F1166" s="10"/>
      <c r="G1166" s="11"/>
    </row>
    <row r="1167" spans="1:7" x14ac:dyDescent="0.3">
      <c r="A1167" s="7"/>
      <c r="B1167" s="8"/>
      <c r="C1167" s="8"/>
      <c r="D1167" s="9"/>
      <c r="E1167" s="9"/>
      <c r="F1167" s="10"/>
      <c r="G1167" s="11"/>
    </row>
    <row r="1168" spans="1:7" x14ac:dyDescent="0.3">
      <c r="A1168" s="7"/>
      <c r="B1168" s="8"/>
      <c r="C1168" s="8"/>
      <c r="D1168" s="9"/>
      <c r="E1168" s="9"/>
      <c r="F1168" s="10"/>
      <c r="G1168" s="11"/>
    </row>
    <row r="1169" spans="1:7" x14ac:dyDescent="0.3">
      <c r="A1169" s="7"/>
      <c r="B1169" s="8"/>
      <c r="C1169" s="8"/>
      <c r="D1169" s="9"/>
      <c r="E1169" s="9"/>
      <c r="F1169" s="10"/>
      <c r="G1169" s="11"/>
    </row>
    <row r="1170" spans="1:7" x14ac:dyDescent="0.3">
      <c r="A1170" s="7"/>
      <c r="B1170" s="8"/>
      <c r="C1170" s="8"/>
      <c r="D1170" s="9"/>
      <c r="E1170" s="9"/>
      <c r="F1170" s="10"/>
      <c r="G1170" s="11"/>
    </row>
    <row r="1171" spans="1:7" x14ac:dyDescent="0.3">
      <c r="A1171" s="7"/>
      <c r="B1171" s="8"/>
      <c r="C1171" s="8"/>
      <c r="D1171" s="9"/>
      <c r="E1171" s="9"/>
      <c r="F1171" s="10"/>
      <c r="G1171" s="11"/>
    </row>
    <row r="1172" spans="1:7" x14ac:dyDescent="0.3">
      <c r="A1172" s="7"/>
      <c r="B1172" s="8"/>
      <c r="C1172" s="8"/>
      <c r="D1172" s="9"/>
      <c r="E1172" s="9"/>
      <c r="F1172" s="10"/>
      <c r="G1172" s="11"/>
    </row>
    <row r="1173" spans="1:7" x14ac:dyDescent="0.3">
      <c r="A1173" s="7"/>
      <c r="B1173" s="8"/>
      <c r="C1173" s="8"/>
      <c r="D1173" s="9"/>
      <c r="E1173" s="9"/>
      <c r="F1173" s="10"/>
      <c r="G1173" s="11"/>
    </row>
    <row r="1174" spans="1:7" x14ac:dyDescent="0.3">
      <c r="A1174" s="7"/>
      <c r="B1174" s="8"/>
      <c r="C1174" s="8"/>
      <c r="D1174" s="9"/>
      <c r="E1174" s="9"/>
      <c r="F1174" s="10"/>
      <c r="G1174" s="11"/>
    </row>
    <row r="1175" spans="1:7" x14ac:dyDescent="0.3">
      <c r="A1175" s="7"/>
      <c r="B1175" s="8"/>
      <c r="C1175" s="8"/>
      <c r="D1175" s="9"/>
      <c r="E1175" s="9"/>
      <c r="F1175" s="10"/>
      <c r="G1175" s="11"/>
    </row>
    <row r="1176" spans="1:7" x14ac:dyDescent="0.3">
      <c r="A1176" s="7"/>
      <c r="B1176" s="8"/>
      <c r="C1176" s="8"/>
      <c r="D1176" s="9"/>
      <c r="E1176" s="9"/>
      <c r="F1176" s="10"/>
      <c r="G1176" s="11"/>
    </row>
    <row r="1177" spans="1:7" x14ac:dyDescent="0.3">
      <c r="A1177" s="7"/>
      <c r="B1177" s="8"/>
      <c r="C1177" s="8"/>
      <c r="D1177" s="9"/>
      <c r="E1177" s="9"/>
      <c r="F1177" s="10"/>
      <c r="G1177" s="11"/>
    </row>
    <row r="1178" spans="1:7" x14ac:dyDescent="0.3">
      <c r="A1178" s="7"/>
      <c r="B1178" s="8"/>
      <c r="C1178" s="8"/>
      <c r="D1178" s="9"/>
      <c r="E1178" s="9"/>
      <c r="F1178" s="10"/>
      <c r="G1178" s="11"/>
    </row>
    <row r="1179" spans="1:7" x14ac:dyDescent="0.3">
      <c r="A1179" s="7"/>
      <c r="B1179" s="8"/>
      <c r="C1179" s="8"/>
      <c r="D1179" s="9"/>
      <c r="E1179" s="9"/>
      <c r="F1179" s="10"/>
      <c r="G1179" s="11"/>
    </row>
    <row r="1180" spans="1:7" x14ac:dyDescent="0.3">
      <c r="A1180" s="7"/>
      <c r="B1180" s="8"/>
      <c r="C1180" s="8"/>
      <c r="D1180" s="9"/>
      <c r="E1180" s="9"/>
      <c r="F1180" s="10"/>
      <c r="G1180" s="11"/>
    </row>
    <row r="1181" spans="1:7" x14ac:dyDescent="0.3">
      <c r="A1181" s="7"/>
      <c r="B1181" s="8"/>
      <c r="C1181" s="8"/>
      <c r="D1181" s="9"/>
      <c r="E1181" s="9"/>
      <c r="F1181" s="10"/>
      <c r="G1181" s="11"/>
    </row>
    <row r="1182" spans="1:7" x14ac:dyDescent="0.3">
      <c r="A1182" s="7"/>
      <c r="B1182" s="8"/>
      <c r="C1182" s="8"/>
      <c r="D1182" s="9"/>
      <c r="E1182" s="9"/>
      <c r="F1182" s="10"/>
      <c r="G1182" s="11"/>
    </row>
    <row r="1183" spans="1:7" x14ac:dyDescent="0.3">
      <c r="A1183" s="7"/>
      <c r="B1183" s="8"/>
      <c r="C1183" s="8"/>
      <c r="D1183" s="9"/>
      <c r="E1183" s="9"/>
      <c r="F1183" s="10"/>
      <c r="G1183" s="11"/>
    </row>
    <row r="1184" spans="1:7" x14ac:dyDescent="0.3">
      <c r="A1184" s="7"/>
      <c r="B1184" s="8"/>
      <c r="C1184" s="8"/>
      <c r="D1184" s="9"/>
      <c r="E1184" s="9"/>
      <c r="F1184" s="10"/>
      <c r="G1184" s="11"/>
    </row>
    <row r="1185" spans="1:7" x14ac:dyDescent="0.3">
      <c r="A1185" s="7"/>
      <c r="B1185" s="8"/>
      <c r="C1185" s="8"/>
      <c r="D1185" s="9"/>
      <c r="E1185" s="9"/>
      <c r="F1185" s="10"/>
      <c r="G1185" s="11"/>
    </row>
    <row r="1186" spans="1:7" x14ac:dyDescent="0.3">
      <c r="A1186" s="7"/>
      <c r="B1186" s="8"/>
      <c r="C1186" s="8"/>
      <c r="D1186" s="9"/>
      <c r="E1186" s="9"/>
      <c r="F1186" s="10"/>
      <c r="G1186" s="11"/>
    </row>
    <row r="1187" spans="1:7" x14ac:dyDescent="0.3">
      <c r="A1187" s="7"/>
      <c r="B1187" s="8"/>
      <c r="C1187" s="8"/>
      <c r="D1187" s="9"/>
      <c r="E1187" s="9"/>
      <c r="F1187" s="10"/>
      <c r="G1187" s="11"/>
    </row>
    <row r="1188" spans="1:7" x14ac:dyDescent="0.3">
      <c r="A1188" s="7"/>
      <c r="B1188" s="8"/>
      <c r="C1188" s="8"/>
      <c r="D1188" s="9"/>
      <c r="E1188" s="9"/>
      <c r="F1188" s="10"/>
      <c r="G1188" s="11"/>
    </row>
    <row r="1189" spans="1:7" x14ac:dyDescent="0.3">
      <c r="A1189" s="7"/>
      <c r="B1189" s="8"/>
      <c r="C1189" s="8"/>
      <c r="D1189" s="9"/>
      <c r="E1189" s="9"/>
      <c r="F1189" s="10"/>
      <c r="G1189" s="11"/>
    </row>
    <row r="1190" spans="1:7" x14ac:dyDescent="0.3">
      <c r="A1190" s="7"/>
      <c r="B1190" s="8"/>
      <c r="C1190" s="8"/>
      <c r="D1190" s="9"/>
      <c r="E1190" s="9"/>
      <c r="F1190" s="10"/>
      <c r="G1190" s="11"/>
    </row>
    <row r="1191" spans="1:7" x14ac:dyDescent="0.3">
      <c r="A1191" s="7"/>
      <c r="B1191" s="8"/>
      <c r="C1191" s="8"/>
      <c r="D1191" s="9"/>
      <c r="E1191" s="9"/>
      <c r="F1191" s="10"/>
      <c r="G1191" s="11"/>
    </row>
    <row r="1192" spans="1:7" x14ac:dyDescent="0.3">
      <c r="A1192" s="7"/>
      <c r="B1192" s="8"/>
      <c r="C1192" s="8"/>
      <c r="D1192" s="9"/>
      <c r="E1192" s="9"/>
      <c r="F1192" s="10"/>
      <c r="G1192" s="11"/>
    </row>
    <row r="1193" spans="1:7" x14ac:dyDescent="0.3">
      <c r="A1193" s="7"/>
      <c r="B1193" s="8"/>
      <c r="C1193" s="8"/>
      <c r="D1193" s="9"/>
      <c r="E1193" s="9"/>
      <c r="F1193" s="10"/>
      <c r="G1193" s="11"/>
    </row>
    <row r="1194" spans="1:7" x14ac:dyDescent="0.3">
      <c r="A1194" s="7"/>
      <c r="B1194" s="8"/>
      <c r="C1194" s="8"/>
      <c r="D1194" s="9"/>
      <c r="E1194" s="9"/>
      <c r="F1194" s="10"/>
      <c r="G1194" s="11"/>
    </row>
    <row r="1195" spans="1:7" x14ac:dyDescent="0.3">
      <c r="A1195" s="7"/>
      <c r="B1195" s="8"/>
      <c r="C1195" s="8"/>
      <c r="D1195" s="9"/>
      <c r="E1195" s="9"/>
      <c r="F1195" s="10"/>
      <c r="G1195" s="11"/>
    </row>
    <row r="1196" spans="1:7" x14ac:dyDescent="0.3">
      <c r="A1196" s="7"/>
      <c r="B1196" s="8"/>
      <c r="C1196" s="8"/>
      <c r="D1196" s="9"/>
      <c r="E1196" s="9"/>
      <c r="F1196" s="10"/>
      <c r="G1196" s="11"/>
    </row>
    <row r="1197" spans="1:7" x14ac:dyDescent="0.3">
      <c r="A1197" s="7"/>
      <c r="B1197" s="8"/>
      <c r="C1197" s="8"/>
      <c r="D1197" s="9"/>
      <c r="E1197" s="9"/>
      <c r="F1197" s="10"/>
      <c r="G1197" s="11"/>
    </row>
    <row r="1198" spans="1:7" x14ac:dyDescent="0.3">
      <c r="A1198" s="7"/>
      <c r="B1198" s="8"/>
      <c r="C1198" s="8"/>
      <c r="D1198" s="9"/>
      <c r="E1198" s="9"/>
      <c r="F1198" s="10"/>
      <c r="G1198" s="11"/>
    </row>
    <row r="1199" spans="1:7" x14ac:dyDescent="0.3">
      <c r="A1199" s="7"/>
      <c r="B1199" s="8"/>
      <c r="C1199" s="8"/>
      <c r="D1199" s="9"/>
      <c r="E1199" s="9"/>
      <c r="F1199" s="10"/>
      <c r="G1199" s="11"/>
    </row>
    <row r="1200" spans="1:7" x14ac:dyDescent="0.3">
      <c r="A1200" s="7"/>
      <c r="B1200" s="8"/>
      <c r="C1200" s="8"/>
      <c r="D1200" s="9"/>
      <c r="E1200" s="9"/>
      <c r="F1200" s="10"/>
      <c r="G1200" s="11"/>
    </row>
    <row r="1201" spans="1:7" x14ac:dyDescent="0.3">
      <c r="A1201" s="7"/>
      <c r="B1201" s="8"/>
      <c r="C1201" s="8"/>
      <c r="D1201" s="9"/>
      <c r="E1201" s="9"/>
      <c r="F1201" s="10"/>
      <c r="G1201" s="11"/>
    </row>
    <row r="1202" spans="1:7" x14ac:dyDescent="0.3">
      <c r="A1202" s="7"/>
      <c r="B1202" s="8"/>
      <c r="C1202" s="8"/>
      <c r="D1202" s="9"/>
      <c r="E1202" s="9"/>
      <c r="F1202" s="10"/>
      <c r="G1202" s="11"/>
    </row>
    <row r="1203" spans="1:7" x14ac:dyDescent="0.3">
      <c r="A1203" s="7"/>
      <c r="B1203" s="8"/>
      <c r="C1203" s="8"/>
      <c r="D1203" s="9"/>
      <c r="E1203" s="9"/>
      <c r="F1203" s="10"/>
      <c r="G1203" s="11"/>
    </row>
    <row r="1204" spans="1:7" x14ac:dyDescent="0.3">
      <c r="A1204" s="7"/>
      <c r="B1204" s="8"/>
      <c r="C1204" s="8"/>
      <c r="D1204" s="9"/>
      <c r="E1204" s="9"/>
      <c r="F1204" s="10"/>
      <c r="G1204" s="11"/>
    </row>
    <row r="1205" spans="1:7" x14ac:dyDescent="0.3">
      <c r="A1205" s="7"/>
      <c r="B1205" s="8"/>
      <c r="C1205" s="8"/>
      <c r="D1205" s="9"/>
      <c r="E1205" s="9"/>
      <c r="F1205" s="10"/>
      <c r="G1205" s="11"/>
    </row>
    <row r="1206" spans="1:7" x14ac:dyDescent="0.3">
      <c r="A1206" s="7"/>
      <c r="B1206" s="8"/>
      <c r="C1206" s="8"/>
      <c r="D1206" s="9"/>
      <c r="E1206" s="9"/>
      <c r="F1206" s="10"/>
      <c r="G1206" s="11"/>
    </row>
    <row r="1207" spans="1:7" x14ac:dyDescent="0.3">
      <c r="A1207" s="7"/>
      <c r="B1207" s="8"/>
      <c r="C1207" s="8"/>
      <c r="D1207" s="9"/>
      <c r="E1207" s="9"/>
      <c r="F1207" s="10"/>
      <c r="G1207" s="11"/>
    </row>
    <row r="1208" spans="1:7" x14ac:dyDescent="0.3">
      <c r="A1208" s="7"/>
      <c r="B1208" s="8"/>
      <c r="C1208" s="8"/>
      <c r="D1208" s="9"/>
      <c r="E1208" s="9"/>
      <c r="F1208" s="10"/>
      <c r="G1208" s="11"/>
    </row>
    <row r="1209" spans="1:7" x14ac:dyDescent="0.3">
      <c r="A1209" s="7"/>
      <c r="B1209" s="8"/>
      <c r="C1209" s="8"/>
      <c r="D1209" s="9"/>
      <c r="E1209" s="9"/>
      <c r="F1209" s="10"/>
      <c r="G1209" s="11"/>
    </row>
    <row r="1210" spans="1:7" x14ac:dyDescent="0.3">
      <c r="A1210" s="7"/>
      <c r="B1210" s="8"/>
      <c r="C1210" s="8"/>
      <c r="D1210" s="9"/>
      <c r="E1210" s="9"/>
      <c r="F1210" s="10"/>
      <c r="G1210" s="11"/>
    </row>
    <row r="1211" spans="1:7" x14ac:dyDescent="0.3">
      <c r="A1211" s="7"/>
      <c r="B1211" s="8"/>
      <c r="C1211" s="8"/>
      <c r="D1211" s="9"/>
      <c r="E1211" s="9"/>
      <c r="F1211" s="10"/>
      <c r="G1211" s="11"/>
    </row>
    <row r="1212" spans="1:7" x14ac:dyDescent="0.3">
      <c r="A1212" s="7"/>
      <c r="B1212" s="8"/>
      <c r="C1212" s="8"/>
      <c r="D1212" s="9"/>
      <c r="E1212" s="9"/>
      <c r="F1212" s="10"/>
      <c r="G1212" s="11"/>
    </row>
    <row r="1213" spans="1:7" x14ac:dyDescent="0.3">
      <c r="A1213" s="7"/>
      <c r="B1213" s="8"/>
      <c r="C1213" s="8"/>
      <c r="D1213" s="9"/>
      <c r="E1213" s="9"/>
      <c r="F1213" s="10"/>
      <c r="G1213" s="11"/>
    </row>
    <row r="1214" spans="1:7" x14ac:dyDescent="0.3">
      <c r="A1214" s="7"/>
      <c r="B1214" s="8"/>
      <c r="C1214" s="8"/>
      <c r="D1214" s="9"/>
      <c r="E1214" s="9"/>
      <c r="F1214" s="10"/>
      <c r="G1214" s="11"/>
    </row>
    <row r="1215" spans="1:7" x14ac:dyDescent="0.3">
      <c r="A1215" s="7"/>
      <c r="B1215" s="8"/>
      <c r="C1215" s="8"/>
      <c r="D1215" s="9"/>
      <c r="E1215" s="9"/>
      <c r="F1215" s="10"/>
      <c r="G1215" s="11"/>
    </row>
    <row r="1216" spans="1:7" x14ac:dyDescent="0.3">
      <c r="A1216" s="7"/>
      <c r="B1216" s="8"/>
      <c r="C1216" s="8"/>
      <c r="D1216" s="9"/>
      <c r="E1216" s="9"/>
      <c r="F1216" s="10"/>
      <c r="G1216" s="11"/>
    </row>
    <row r="1217" spans="1:7" x14ac:dyDescent="0.3">
      <c r="A1217" s="7"/>
      <c r="B1217" s="8"/>
      <c r="C1217" s="8"/>
      <c r="D1217" s="9"/>
      <c r="E1217" s="9"/>
      <c r="F1217" s="10"/>
      <c r="G1217" s="11"/>
    </row>
    <row r="1218" spans="1:7" x14ac:dyDescent="0.3">
      <c r="A1218" s="7"/>
      <c r="B1218" s="8"/>
      <c r="C1218" s="8"/>
      <c r="D1218" s="9"/>
      <c r="E1218" s="9"/>
      <c r="F1218" s="10"/>
      <c r="G1218" s="11"/>
    </row>
    <row r="1219" spans="1:7" x14ac:dyDescent="0.3">
      <c r="A1219" s="7"/>
      <c r="B1219" s="8"/>
      <c r="C1219" s="8"/>
      <c r="D1219" s="9"/>
      <c r="E1219" s="9"/>
      <c r="F1219" s="10"/>
      <c r="G1219" s="11"/>
    </row>
    <row r="1220" spans="1:7" x14ac:dyDescent="0.3">
      <c r="A1220" s="7"/>
      <c r="B1220" s="8"/>
      <c r="C1220" s="8"/>
      <c r="D1220" s="9"/>
      <c r="E1220" s="9"/>
      <c r="F1220" s="10"/>
      <c r="G1220" s="11"/>
    </row>
    <row r="1221" spans="1:7" x14ac:dyDescent="0.3">
      <c r="A1221" s="7"/>
      <c r="B1221" s="8"/>
      <c r="C1221" s="8"/>
      <c r="D1221" s="9"/>
      <c r="E1221" s="9"/>
      <c r="F1221" s="10"/>
      <c r="G1221" s="11"/>
    </row>
    <row r="1222" spans="1:7" x14ac:dyDescent="0.3">
      <c r="A1222" s="7"/>
      <c r="B1222" s="8"/>
      <c r="C1222" s="8"/>
      <c r="D1222" s="9"/>
      <c r="E1222" s="9"/>
      <c r="F1222" s="10"/>
      <c r="G1222" s="11"/>
    </row>
    <row r="1223" spans="1:7" x14ac:dyDescent="0.3">
      <c r="A1223" s="7"/>
      <c r="B1223" s="8"/>
      <c r="C1223" s="8"/>
      <c r="D1223" s="9"/>
      <c r="E1223" s="9"/>
      <c r="F1223" s="10"/>
      <c r="G1223" s="11"/>
    </row>
    <row r="1224" spans="1:7" x14ac:dyDescent="0.3">
      <c r="A1224" s="7"/>
      <c r="B1224" s="8"/>
      <c r="C1224" s="8"/>
      <c r="D1224" s="9"/>
      <c r="E1224" s="9"/>
      <c r="F1224" s="10"/>
      <c r="G1224" s="11"/>
    </row>
    <row r="1225" spans="1:7" x14ac:dyDescent="0.3">
      <c r="A1225" s="7"/>
      <c r="B1225" s="8"/>
      <c r="C1225" s="8"/>
      <c r="D1225" s="9"/>
      <c r="E1225" s="9"/>
      <c r="F1225" s="10"/>
      <c r="G1225" s="11"/>
    </row>
    <row r="1226" spans="1:7" x14ac:dyDescent="0.3">
      <c r="A1226" s="7"/>
      <c r="B1226" s="8"/>
      <c r="C1226" s="8"/>
      <c r="D1226" s="9"/>
      <c r="E1226" s="9"/>
      <c r="F1226" s="10"/>
      <c r="G1226" s="11"/>
    </row>
    <row r="1227" spans="1:7" x14ac:dyDescent="0.3">
      <c r="A1227" s="7"/>
      <c r="B1227" s="8"/>
      <c r="C1227" s="8"/>
      <c r="D1227" s="9"/>
      <c r="E1227" s="9"/>
      <c r="F1227" s="10"/>
      <c r="G1227" s="11"/>
    </row>
    <row r="1228" spans="1:7" x14ac:dyDescent="0.3">
      <c r="A1228" s="7"/>
      <c r="B1228" s="8"/>
      <c r="C1228" s="8"/>
      <c r="D1228" s="9"/>
      <c r="E1228" s="9"/>
      <c r="F1228" s="10"/>
      <c r="G1228" s="11"/>
    </row>
    <row r="1229" spans="1:7" x14ac:dyDescent="0.3">
      <c r="A1229" s="7"/>
      <c r="B1229" s="8"/>
      <c r="C1229" s="8"/>
      <c r="D1229" s="9"/>
      <c r="E1229" s="9"/>
      <c r="F1229" s="10"/>
      <c r="G1229" s="11"/>
    </row>
    <row r="1230" spans="1:7" x14ac:dyDescent="0.3">
      <c r="A1230" s="7"/>
      <c r="B1230" s="8"/>
      <c r="C1230" s="8"/>
      <c r="D1230" s="9"/>
      <c r="E1230" s="9"/>
      <c r="F1230" s="10"/>
      <c r="G1230" s="11"/>
    </row>
    <row r="1231" spans="1:7" x14ac:dyDescent="0.3">
      <c r="A1231" s="7"/>
      <c r="B1231" s="8"/>
      <c r="C1231" s="8"/>
      <c r="D1231" s="9"/>
      <c r="E1231" s="9"/>
      <c r="F1231" s="10"/>
      <c r="G1231" s="11"/>
    </row>
    <row r="1232" spans="1:7" x14ac:dyDescent="0.3">
      <c r="A1232" s="7"/>
      <c r="B1232" s="8"/>
      <c r="C1232" s="8"/>
      <c r="D1232" s="9"/>
      <c r="E1232" s="9"/>
      <c r="F1232" s="10"/>
      <c r="G1232" s="11"/>
    </row>
    <row r="1233" spans="1:7" x14ac:dyDescent="0.3">
      <c r="A1233" s="7"/>
      <c r="B1233" s="8"/>
      <c r="C1233" s="8"/>
      <c r="D1233" s="9"/>
      <c r="E1233" s="9"/>
      <c r="F1233" s="10"/>
      <c r="G1233" s="11"/>
    </row>
    <row r="1234" spans="1:7" x14ac:dyDescent="0.3">
      <c r="A1234" s="7"/>
      <c r="B1234" s="8"/>
      <c r="C1234" s="8"/>
      <c r="D1234" s="9"/>
      <c r="E1234" s="9"/>
      <c r="F1234" s="10"/>
      <c r="G1234" s="11"/>
    </row>
    <row r="1235" spans="1:7" x14ac:dyDescent="0.3">
      <c r="A1235" s="7"/>
      <c r="B1235" s="8"/>
      <c r="C1235" s="8"/>
      <c r="D1235" s="9"/>
      <c r="E1235" s="9"/>
      <c r="F1235" s="10"/>
      <c r="G1235" s="11"/>
    </row>
    <row r="1236" spans="1:7" x14ac:dyDescent="0.3">
      <c r="A1236" s="7"/>
      <c r="B1236" s="8"/>
      <c r="C1236" s="8"/>
      <c r="D1236" s="9"/>
      <c r="E1236" s="9"/>
      <c r="F1236" s="10"/>
      <c r="G1236" s="11"/>
    </row>
    <row r="1237" spans="1:7" x14ac:dyDescent="0.3">
      <c r="A1237" s="7"/>
      <c r="B1237" s="8"/>
      <c r="C1237" s="8"/>
      <c r="D1237" s="9"/>
      <c r="E1237" s="9"/>
      <c r="F1237" s="10"/>
      <c r="G1237" s="11"/>
    </row>
    <row r="1238" spans="1:7" x14ac:dyDescent="0.3">
      <c r="A1238" s="7"/>
      <c r="B1238" s="8"/>
      <c r="C1238" s="8"/>
      <c r="D1238" s="9"/>
      <c r="E1238" s="9"/>
      <c r="F1238" s="10"/>
      <c r="G1238" s="11"/>
    </row>
    <row r="1239" spans="1:7" x14ac:dyDescent="0.3">
      <c r="A1239" s="7"/>
      <c r="B1239" s="8"/>
      <c r="C1239" s="8"/>
      <c r="D1239" s="9"/>
      <c r="E1239" s="9"/>
      <c r="F1239" s="10"/>
      <c r="G1239" s="11"/>
    </row>
    <row r="1240" spans="1:7" x14ac:dyDescent="0.3">
      <c r="A1240" s="7"/>
      <c r="B1240" s="8"/>
      <c r="C1240" s="8"/>
      <c r="D1240" s="9"/>
      <c r="E1240" s="9"/>
      <c r="F1240" s="10"/>
      <c r="G1240" s="11"/>
    </row>
    <row r="1241" spans="1:7" x14ac:dyDescent="0.3">
      <c r="A1241" s="7"/>
      <c r="B1241" s="8"/>
      <c r="C1241" s="8"/>
      <c r="D1241" s="9"/>
      <c r="E1241" s="9"/>
      <c r="F1241" s="10"/>
      <c r="G1241" s="11"/>
    </row>
    <row r="1242" spans="1:7" x14ac:dyDescent="0.3">
      <c r="A1242" s="7"/>
      <c r="B1242" s="8"/>
      <c r="C1242" s="8"/>
      <c r="D1242" s="9"/>
      <c r="E1242" s="9"/>
      <c r="F1242" s="10"/>
      <c r="G1242" s="11"/>
    </row>
    <row r="1243" spans="1:7" x14ac:dyDescent="0.3">
      <c r="A1243" s="7"/>
      <c r="B1243" s="8"/>
      <c r="C1243" s="8"/>
      <c r="D1243" s="9"/>
      <c r="E1243" s="9"/>
      <c r="F1243" s="10"/>
      <c r="G1243" s="11"/>
    </row>
    <row r="1244" spans="1:7" x14ac:dyDescent="0.3">
      <c r="A1244" s="7"/>
      <c r="B1244" s="8"/>
      <c r="C1244" s="8"/>
      <c r="D1244" s="9"/>
      <c r="E1244" s="9"/>
      <c r="F1244" s="10"/>
      <c r="G1244" s="11"/>
    </row>
    <row r="1245" spans="1:7" x14ac:dyDescent="0.3">
      <c r="A1245" s="7"/>
      <c r="B1245" s="8"/>
      <c r="C1245" s="8"/>
      <c r="D1245" s="9"/>
      <c r="E1245" s="9"/>
      <c r="F1245" s="10"/>
      <c r="G1245" s="11"/>
    </row>
    <row r="1246" spans="1:7" x14ac:dyDescent="0.3">
      <c r="A1246" s="7"/>
      <c r="B1246" s="8"/>
      <c r="C1246" s="8"/>
      <c r="D1246" s="9"/>
      <c r="E1246" s="9"/>
      <c r="F1246" s="10"/>
      <c r="G1246" s="11"/>
    </row>
    <row r="1247" spans="1:7" x14ac:dyDescent="0.3">
      <c r="A1247" s="7"/>
      <c r="B1247" s="8"/>
      <c r="C1247" s="8"/>
      <c r="D1247" s="9"/>
      <c r="E1247" s="9"/>
      <c r="F1247" s="10"/>
      <c r="G1247" s="11"/>
    </row>
    <row r="1248" spans="1:7" x14ac:dyDescent="0.3">
      <c r="A1248" s="7"/>
      <c r="B1248" s="8"/>
      <c r="C1248" s="8"/>
      <c r="D1248" s="9"/>
      <c r="E1248" s="9"/>
      <c r="F1248" s="10"/>
      <c r="G1248" s="11"/>
    </row>
    <row r="1249" spans="1:7" x14ac:dyDescent="0.3">
      <c r="A1249" s="7"/>
      <c r="B1249" s="8"/>
      <c r="C1249" s="8"/>
      <c r="D1249" s="9"/>
      <c r="E1249" s="9"/>
      <c r="F1249" s="10"/>
      <c r="G1249" s="11"/>
    </row>
    <row r="1250" spans="1:7" x14ac:dyDescent="0.3">
      <c r="A1250" s="7"/>
      <c r="B1250" s="8"/>
      <c r="C1250" s="8"/>
      <c r="D1250" s="9"/>
      <c r="E1250" s="9"/>
      <c r="F1250" s="10"/>
      <c r="G1250" s="11"/>
    </row>
    <row r="1251" spans="1:7" x14ac:dyDescent="0.3">
      <c r="A1251" s="7"/>
      <c r="B1251" s="8"/>
      <c r="C1251" s="8"/>
      <c r="D1251" s="9"/>
      <c r="E1251" s="9"/>
      <c r="F1251" s="10"/>
      <c r="G1251" s="11"/>
    </row>
    <row r="1252" spans="1:7" x14ac:dyDescent="0.3">
      <c r="A1252" s="7"/>
      <c r="B1252" s="8"/>
      <c r="C1252" s="8"/>
      <c r="D1252" s="9"/>
      <c r="E1252" s="9"/>
      <c r="F1252" s="10"/>
      <c r="G1252" s="11"/>
    </row>
    <row r="1253" spans="1:7" x14ac:dyDescent="0.3">
      <c r="A1253" s="7"/>
      <c r="B1253" s="8"/>
      <c r="C1253" s="8"/>
      <c r="D1253" s="9"/>
      <c r="E1253" s="9"/>
      <c r="F1253" s="10"/>
      <c r="G1253" s="11"/>
    </row>
    <row r="1254" spans="1:7" x14ac:dyDescent="0.3">
      <c r="A1254" s="7"/>
      <c r="B1254" s="8"/>
      <c r="C1254" s="8"/>
      <c r="D1254" s="9"/>
      <c r="E1254" s="9"/>
      <c r="F1254" s="10"/>
      <c r="G1254" s="11"/>
    </row>
    <row r="1255" spans="1:7" x14ac:dyDescent="0.3">
      <c r="A1255" s="7"/>
      <c r="B1255" s="8"/>
      <c r="C1255" s="8"/>
      <c r="D1255" s="9"/>
      <c r="E1255" s="9"/>
      <c r="F1255" s="10"/>
      <c r="G1255" s="11"/>
    </row>
    <row r="1256" spans="1:7" x14ac:dyDescent="0.3">
      <c r="A1256" s="7"/>
      <c r="B1256" s="8"/>
      <c r="C1256" s="8"/>
      <c r="D1256" s="9"/>
      <c r="E1256" s="9"/>
      <c r="F1256" s="10"/>
      <c r="G1256" s="11"/>
    </row>
    <row r="1257" spans="1:7" x14ac:dyDescent="0.3">
      <c r="A1257" s="7"/>
      <c r="B1257" s="8"/>
      <c r="C1257" s="8"/>
      <c r="D1257" s="9"/>
      <c r="E1257" s="9"/>
      <c r="F1257" s="10"/>
      <c r="G1257" s="11"/>
    </row>
    <row r="1258" spans="1:7" x14ac:dyDescent="0.3">
      <c r="A1258" s="7"/>
      <c r="B1258" s="8"/>
      <c r="C1258" s="8"/>
      <c r="D1258" s="9"/>
      <c r="E1258" s="9"/>
      <c r="F1258" s="10"/>
      <c r="G1258" s="11"/>
    </row>
    <row r="1259" spans="1:7" x14ac:dyDescent="0.3">
      <c r="A1259" s="7"/>
      <c r="B1259" s="8"/>
      <c r="C1259" s="8"/>
      <c r="D1259" s="9"/>
      <c r="E1259" s="9"/>
      <c r="F1259" s="10"/>
      <c r="G1259" s="11"/>
    </row>
    <row r="1260" spans="1:7" x14ac:dyDescent="0.3">
      <c r="A1260" s="7"/>
      <c r="B1260" s="8"/>
      <c r="C1260" s="8"/>
      <c r="D1260" s="9"/>
      <c r="E1260" s="9"/>
      <c r="F1260" s="10"/>
      <c r="G1260" s="11"/>
    </row>
    <row r="1261" spans="1:7" x14ac:dyDescent="0.3">
      <c r="A1261" s="7"/>
      <c r="B1261" s="8"/>
      <c r="C1261" s="8"/>
      <c r="D1261" s="9"/>
      <c r="E1261" s="9"/>
      <c r="F1261" s="10"/>
      <c r="G1261" s="11"/>
    </row>
    <row r="1262" spans="1:7" x14ac:dyDescent="0.3">
      <c r="A1262" s="7"/>
      <c r="B1262" s="8"/>
      <c r="C1262" s="8"/>
      <c r="D1262" s="9"/>
      <c r="E1262" s="9"/>
      <c r="F1262" s="10"/>
      <c r="G1262" s="11"/>
    </row>
    <row r="1263" spans="1:7" x14ac:dyDescent="0.3">
      <c r="A1263" s="7"/>
      <c r="B1263" s="8"/>
      <c r="C1263" s="8"/>
      <c r="D1263" s="9"/>
      <c r="E1263" s="9"/>
      <c r="F1263" s="10"/>
      <c r="G1263" s="11"/>
    </row>
    <row r="1264" spans="1:7" x14ac:dyDescent="0.3">
      <c r="A1264" s="7"/>
      <c r="B1264" s="8"/>
      <c r="C1264" s="8"/>
      <c r="D1264" s="9"/>
      <c r="E1264" s="9"/>
      <c r="F1264" s="10"/>
      <c r="G1264" s="11"/>
    </row>
    <row r="1265" spans="1:7" x14ac:dyDescent="0.3">
      <c r="A1265" s="7"/>
      <c r="B1265" s="8"/>
      <c r="C1265" s="8"/>
      <c r="D1265" s="9"/>
      <c r="E1265" s="9"/>
      <c r="F1265" s="10"/>
      <c r="G1265" s="11"/>
    </row>
    <row r="1266" spans="1:7" x14ac:dyDescent="0.3">
      <c r="A1266" s="7"/>
      <c r="B1266" s="8"/>
      <c r="C1266" s="8"/>
      <c r="D1266" s="9"/>
      <c r="E1266" s="9"/>
      <c r="F1266" s="10"/>
      <c r="G1266" s="11"/>
    </row>
    <row r="1267" spans="1:7" x14ac:dyDescent="0.3">
      <c r="A1267" s="7"/>
      <c r="B1267" s="8"/>
      <c r="C1267" s="8"/>
      <c r="D1267" s="9"/>
      <c r="E1267" s="9"/>
      <c r="F1267" s="10"/>
      <c r="G1267" s="11"/>
    </row>
    <row r="1268" spans="1:7" x14ac:dyDescent="0.3">
      <c r="A1268" s="7"/>
      <c r="B1268" s="8"/>
      <c r="C1268" s="8"/>
      <c r="D1268" s="9"/>
      <c r="E1268" s="9"/>
      <c r="F1268" s="10"/>
      <c r="G1268" s="11"/>
    </row>
    <row r="1269" spans="1:7" x14ac:dyDescent="0.3">
      <c r="A1269" s="7"/>
      <c r="B1269" s="8"/>
      <c r="C1269" s="8"/>
      <c r="D1269" s="9"/>
      <c r="E1269" s="9"/>
      <c r="F1269" s="10"/>
      <c r="G1269" s="11"/>
    </row>
    <row r="1270" spans="1:7" x14ac:dyDescent="0.3">
      <c r="A1270" s="7"/>
      <c r="B1270" s="8"/>
      <c r="C1270" s="8"/>
      <c r="D1270" s="9"/>
      <c r="E1270" s="9"/>
      <c r="F1270" s="10"/>
      <c r="G1270" s="11"/>
    </row>
    <row r="1271" spans="1:7" x14ac:dyDescent="0.3">
      <c r="A1271" s="7"/>
      <c r="B1271" s="8"/>
      <c r="C1271" s="8"/>
      <c r="D1271" s="9"/>
      <c r="E1271" s="9"/>
      <c r="F1271" s="10"/>
      <c r="G1271" s="11"/>
    </row>
    <row r="1272" spans="1:7" x14ac:dyDescent="0.3">
      <c r="A1272" s="7"/>
      <c r="B1272" s="8"/>
      <c r="C1272" s="8"/>
      <c r="D1272" s="9"/>
      <c r="E1272" s="9"/>
      <c r="F1272" s="10"/>
      <c r="G1272" s="11"/>
    </row>
    <row r="1273" spans="1:7" x14ac:dyDescent="0.3">
      <c r="A1273" s="7"/>
      <c r="B1273" s="8"/>
      <c r="C1273" s="8"/>
      <c r="D1273" s="9"/>
      <c r="E1273" s="9"/>
      <c r="F1273" s="10"/>
      <c r="G1273" s="11"/>
    </row>
    <row r="1274" spans="1:7" x14ac:dyDescent="0.3">
      <c r="A1274" s="7"/>
      <c r="B1274" s="8"/>
      <c r="C1274" s="8"/>
      <c r="D1274" s="9"/>
      <c r="E1274" s="9"/>
      <c r="F1274" s="10"/>
      <c r="G1274" s="11"/>
    </row>
    <row r="1275" spans="1:7" x14ac:dyDescent="0.3">
      <c r="A1275" s="7"/>
      <c r="B1275" s="8"/>
      <c r="C1275" s="8"/>
      <c r="D1275" s="9"/>
      <c r="E1275" s="9"/>
      <c r="F1275" s="10"/>
      <c r="G1275" s="11"/>
    </row>
    <row r="1276" spans="1:7" x14ac:dyDescent="0.3">
      <c r="A1276" s="7"/>
      <c r="B1276" s="8"/>
      <c r="C1276" s="8"/>
      <c r="D1276" s="9"/>
      <c r="E1276" s="9"/>
      <c r="F1276" s="10"/>
      <c r="G1276" s="11"/>
    </row>
    <row r="1277" spans="1:7" x14ac:dyDescent="0.3">
      <c r="A1277" s="7"/>
      <c r="B1277" s="8"/>
      <c r="C1277" s="8"/>
      <c r="D1277" s="9"/>
      <c r="E1277" s="9"/>
      <c r="F1277" s="10"/>
      <c r="G1277" s="11"/>
    </row>
    <row r="1278" spans="1:7" x14ac:dyDescent="0.3">
      <c r="A1278" s="7"/>
      <c r="B1278" s="8"/>
      <c r="C1278" s="8"/>
      <c r="D1278" s="9"/>
      <c r="E1278" s="9"/>
      <c r="F1278" s="10"/>
      <c r="G1278" s="11"/>
    </row>
    <row r="1279" spans="1:7" x14ac:dyDescent="0.3">
      <c r="A1279" s="7"/>
      <c r="B1279" s="8"/>
      <c r="C1279" s="8"/>
      <c r="D1279" s="9"/>
      <c r="E1279" s="9"/>
      <c r="F1279" s="10"/>
      <c r="G1279" s="11"/>
    </row>
    <row r="1280" spans="1:7" x14ac:dyDescent="0.3">
      <c r="A1280" s="7"/>
      <c r="B1280" s="8"/>
      <c r="C1280" s="8"/>
      <c r="D1280" s="9"/>
      <c r="E1280" s="9"/>
      <c r="F1280" s="10"/>
      <c r="G1280" s="11"/>
    </row>
    <row r="1281" spans="1:7" x14ac:dyDescent="0.3">
      <c r="A1281" s="7"/>
      <c r="B1281" s="8"/>
      <c r="C1281" s="8"/>
      <c r="D1281" s="9"/>
      <c r="E1281" s="9"/>
      <c r="F1281" s="10"/>
      <c r="G1281" s="11"/>
    </row>
    <row r="1282" spans="1:7" x14ac:dyDescent="0.3">
      <c r="A1282" s="7"/>
      <c r="B1282" s="8"/>
      <c r="C1282" s="8"/>
      <c r="D1282" s="9"/>
      <c r="E1282" s="9"/>
      <c r="F1282" s="10"/>
      <c r="G1282" s="11"/>
    </row>
    <row r="1283" spans="1:7" x14ac:dyDescent="0.3">
      <c r="A1283" s="7"/>
      <c r="B1283" s="8"/>
      <c r="C1283" s="8"/>
      <c r="D1283" s="9"/>
      <c r="E1283" s="9"/>
      <c r="F1283" s="10"/>
      <c r="G1283" s="11"/>
    </row>
    <row r="1284" spans="1:7" x14ac:dyDescent="0.3">
      <c r="A1284" s="7"/>
      <c r="B1284" s="8"/>
      <c r="C1284" s="8"/>
      <c r="D1284" s="9"/>
      <c r="E1284" s="9"/>
      <c r="F1284" s="10"/>
      <c r="G1284" s="11"/>
    </row>
    <row r="1285" spans="1:7" x14ac:dyDescent="0.3">
      <c r="A1285" s="7"/>
      <c r="B1285" s="8"/>
      <c r="C1285" s="8"/>
      <c r="D1285" s="9"/>
      <c r="E1285" s="9"/>
      <c r="F1285" s="10"/>
      <c r="G1285" s="11"/>
    </row>
    <row r="1286" spans="1:7" x14ac:dyDescent="0.3">
      <c r="A1286" s="7"/>
      <c r="B1286" s="8"/>
      <c r="C1286" s="8"/>
      <c r="D1286" s="9"/>
      <c r="E1286" s="9"/>
      <c r="F1286" s="10"/>
      <c r="G1286" s="11"/>
    </row>
    <row r="1287" spans="1:7" x14ac:dyDescent="0.3">
      <c r="A1287" s="7"/>
      <c r="B1287" s="8"/>
      <c r="C1287" s="8"/>
      <c r="D1287" s="9"/>
      <c r="E1287" s="9"/>
      <c r="F1287" s="10"/>
      <c r="G1287" s="11"/>
    </row>
    <row r="1288" spans="1:7" x14ac:dyDescent="0.3">
      <c r="A1288" s="7"/>
      <c r="B1288" s="8"/>
      <c r="C1288" s="8"/>
      <c r="D1288" s="9"/>
      <c r="E1288" s="9"/>
      <c r="F1288" s="10"/>
      <c r="G1288" s="11"/>
    </row>
    <row r="1289" spans="1:7" x14ac:dyDescent="0.3">
      <c r="A1289" s="7"/>
      <c r="B1289" s="8"/>
      <c r="C1289" s="8"/>
      <c r="D1289" s="9"/>
      <c r="E1289" s="9"/>
      <c r="F1289" s="10"/>
      <c r="G1289" s="11"/>
    </row>
    <row r="1290" spans="1:7" x14ac:dyDescent="0.3">
      <c r="A1290" s="7"/>
      <c r="B1290" s="8"/>
      <c r="C1290" s="8"/>
      <c r="D1290" s="9"/>
      <c r="E1290" s="9"/>
      <c r="F1290" s="10"/>
      <c r="G1290" s="11"/>
    </row>
    <row r="1291" spans="1:7" x14ac:dyDescent="0.3">
      <c r="A1291" s="7"/>
      <c r="B1291" s="8"/>
      <c r="C1291" s="8"/>
      <c r="D1291" s="9"/>
      <c r="E1291" s="9"/>
      <c r="F1291" s="10"/>
      <c r="G1291" s="11"/>
    </row>
    <row r="1292" spans="1:7" x14ac:dyDescent="0.3">
      <c r="A1292" s="7"/>
      <c r="B1292" s="8"/>
      <c r="C1292" s="8"/>
      <c r="D1292" s="9"/>
      <c r="E1292" s="9"/>
      <c r="F1292" s="10"/>
      <c r="G1292" s="11"/>
    </row>
    <row r="1293" spans="1:7" x14ac:dyDescent="0.3">
      <c r="A1293" s="7"/>
      <c r="B1293" s="8"/>
      <c r="C1293" s="8"/>
      <c r="D1293" s="9"/>
      <c r="E1293" s="9"/>
      <c r="F1293" s="10"/>
      <c r="G1293" s="11"/>
    </row>
    <row r="1294" spans="1:7" x14ac:dyDescent="0.3">
      <c r="A1294" s="7"/>
      <c r="B1294" s="8"/>
      <c r="C1294" s="8"/>
      <c r="D1294" s="9"/>
      <c r="E1294" s="9"/>
      <c r="F1294" s="10"/>
      <c r="G1294" s="11"/>
    </row>
    <row r="1295" spans="1:7" x14ac:dyDescent="0.3">
      <c r="A1295" s="7"/>
      <c r="B1295" s="8"/>
      <c r="C1295" s="8"/>
      <c r="D1295" s="9"/>
      <c r="E1295" s="9"/>
      <c r="F1295" s="10"/>
      <c r="G1295" s="11"/>
    </row>
    <row r="1296" spans="1:7" x14ac:dyDescent="0.3">
      <c r="A1296" s="7"/>
      <c r="B1296" s="8"/>
      <c r="C1296" s="8"/>
      <c r="D1296" s="9"/>
      <c r="E1296" s="9"/>
      <c r="F1296" s="10"/>
      <c r="G1296" s="11"/>
    </row>
    <row r="1297" spans="1:7" x14ac:dyDescent="0.3">
      <c r="A1297" s="7"/>
      <c r="B1297" s="8"/>
      <c r="C1297" s="8"/>
      <c r="D1297" s="9"/>
      <c r="E1297" s="9"/>
      <c r="F1297" s="10"/>
      <c r="G1297" s="11"/>
    </row>
    <row r="1298" spans="1:7" x14ac:dyDescent="0.3">
      <c r="A1298" s="7"/>
      <c r="B1298" s="8"/>
      <c r="C1298" s="8"/>
      <c r="D1298" s="9"/>
      <c r="E1298" s="9"/>
      <c r="F1298" s="10"/>
      <c r="G1298" s="11"/>
    </row>
    <row r="1299" spans="1:7" x14ac:dyDescent="0.3">
      <c r="A1299" s="7"/>
      <c r="B1299" s="8"/>
      <c r="C1299" s="8"/>
      <c r="D1299" s="9"/>
      <c r="E1299" s="9"/>
      <c r="F1299" s="10"/>
      <c r="G1299" s="11"/>
    </row>
    <row r="1300" spans="1:7" x14ac:dyDescent="0.3">
      <c r="A1300" s="7"/>
      <c r="B1300" s="8"/>
      <c r="C1300" s="8"/>
      <c r="D1300" s="9"/>
      <c r="E1300" s="9"/>
      <c r="F1300" s="10"/>
      <c r="G1300" s="11"/>
    </row>
    <row r="1301" spans="1:7" x14ac:dyDescent="0.3">
      <c r="A1301" s="7"/>
      <c r="B1301" s="8"/>
      <c r="C1301" s="8"/>
      <c r="D1301" s="9"/>
      <c r="E1301" s="9"/>
      <c r="F1301" s="10"/>
      <c r="G1301" s="11"/>
    </row>
    <row r="1302" spans="1:7" x14ac:dyDescent="0.3">
      <c r="A1302" s="7"/>
      <c r="B1302" s="8"/>
      <c r="C1302" s="8"/>
      <c r="D1302" s="9"/>
      <c r="E1302" s="9"/>
      <c r="F1302" s="10"/>
      <c r="G1302" s="11"/>
    </row>
    <row r="1303" spans="1:7" x14ac:dyDescent="0.3">
      <c r="A1303" s="7"/>
      <c r="B1303" s="8"/>
      <c r="C1303" s="8"/>
      <c r="D1303" s="9"/>
      <c r="E1303" s="9"/>
      <c r="F1303" s="10"/>
      <c r="G1303" s="11"/>
    </row>
    <row r="1304" spans="1:7" x14ac:dyDescent="0.3">
      <c r="A1304" s="7"/>
      <c r="B1304" s="8"/>
      <c r="C1304" s="8"/>
      <c r="D1304" s="9"/>
      <c r="E1304" s="9"/>
      <c r="F1304" s="10"/>
      <c r="G1304" s="11"/>
    </row>
    <row r="1305" spans="1:7" x14ac:dyDescent="0.3">
      <c r="A1305" s="7"/>
      <c r="B1305" s="8"/>
      <c r="C1305" s="8"/>
      <c r="D1305" s="9"/>
      <c r="E1305" s="9"/>
      <c r="F1305" s="10"/>
      <c r="G1305" s="11"/>
    </row>
    <row r="1306" spans="1:7" x14ac:dyDescent="0.3">
      <c r="A1306" s="7"/>
      <c r="B1306" s="8"/>
      <c r="C1306" s="8"/>
      <c r="D1306" s="9"/>
      <c r="E1306" s="9"/>
      <c r="F1306" s="10"/>
      <c r="G1306" s="11"/>
    </row>
    <row r="1307" spans="1:7" x14ac:dyDescent="0.3">
      <c r="A1307" s="7"/>
      <c r="B1307" s="8"/>
      <c r="C1307" s="8"/>
      <c r="D1307" s="9"/>
      <c r="E1307" s="9"/>
      <c r="F1307" s="10"/>
      <c r="G1307" s="11"/>
    </row>
    <row r="1308" spans="1:7" x14ac:dyDescent="0.3">
      <c r="A1308" s="7"/>
      <c r="B1308" s="8"/>
      <c r="C1308" s="8"/>
      <c r="D1308" s="9"/>
      <c r="E1308" s="9"/>
      <c r="F1308" s="10"/>
      <c r="G1308" s="11"/>
    </row>
    <row r="1309" spans="1:7" x14ac:dyDescent="0.3">
      <c r="A1309" s="7"/>
      <c r="B1309" s="8"/>
      <c r="C1309" s="8"/>
      <c r="D1309" s="9"/>
      <c r="E1309" s="9"/>
      <c r="F1309" s="10"/>
      <c r="G1309" s="11"/>
    </row>
    <row r="1310" spans="1:7" x14ac:dyDescent="0.3">
      <c r="A1310" s="7"/>
      <c r="B1310" s="8"/>
      <c r="C1310" s="8"/>
      <c r="D1310" s="9"/>
      <c r="E1310" s="9"/>
      <c r="F1310" s="10"/>
      <c r="G1310" s="11"/>
    </row>
    <row r="1311" spans="1:7" x14ac:dyDescent="0.3">
      <c r="A1311" s="7"/>
      <c r="B1311" s="8"/>
      <c r="C1311" s="8"/>
      <c r="D1311" s="9"/>
      <c r="E1311" s="9"/>
      <c r="F1311" s="10"/>
      <c r="G1311" s="11"/>
    </row>
    <row r="1312" spans="1:7" x14ac:dyDescent="0.3">
      <c r="A1312" s="7"/>
      <c r="B1312" s="8"/>
      <c r="C1312" s="8"/>
      <c r="D1312" s="9"/>
      <c r="E1312" s="9"/>
      <c r="F1312" s="10"/>
      <c r="G1312" s="11"/>
    </row>
    <row r="1313" spans="1:7" x14ac:dyDescent="0.3">
      <c r="A1313" s="7"/>
      <c r="B1313" s="8"/>
      <c r="C1313" s="8"/>
      <c r="D1313" s="9"/>
      <c r="E1313" s="9"/>
      <c r="F1313" s="10"/>
      <c r="G1313" s="11"/>
    </row>
    <row r="1314" spans="1:7" x14ac:dyDescent="0.3">
      <c r="A1314" s="7"/>
      <c r="B1314" s="8"/>
      <c r="C1314" s="8"/>
      <c r="D1314" s="9"/>
      <c r="E1314" s="9"/>
      <c r="F1314" s="10"/>
      <c r="G1314" s="11"/>
    </row>
    <row r="1315" spans="1:7" x14ac:dyDescent="0.3">
      <c r="A1315" s="7"/>
      <c r="B1315" s="8"/>
      <c r="C1315" s="8"/>
      <c r="D1315" s="9"/>
      <c r="E1315" s="9"/>
      <c r="F1315" s="10"/>
      <c r="G1315" s="11"/>
    </row>
    <row r="1316" spans="1:7" x14ac:dyDescent="0.3">
      <c r="A1316" s="7"/>
      <c r="B1316" s="8"/>
      <c r="C1316" s="8"/>
      <c r="D1316" s="9"/>
      <c r="E1316" s="9"/>
      <c r="F1316" s="10"/>
      <c r="G1316" s="11"/>
    </row>
    <row r="1317" spans="1:7" x14ac:dyDescent="0.3">
      <c r="A1317" s="7"/>
      <c r="B1317" s="8"/>
      <c r="C1317" s="8"/>
      <c r="D1317" s="9"/>
      <c r="E1317" s="9"/>
      <c r="F1317" s="10"/>
      <c r="G1317" s="11"/>
    </row>
    <row r="1318" spans="1:7" x14ac:dyDescent="0.3">
      <c r="A1318" s="7"/>
      <c r="B1318" s="8"/>
      <c r="C1318" s="8"/>
      <c r="D1318" s="9"/>
      <c r="E1318" s="9"/>
      <c r="F1318" s="10"/>
      <c r="G1318" s="11"/>
    </row>
    <row r="1319" spans="1:7" x14ac:dyDescent="0.3">
      <c r="A1319" s="7"/>
      <c r="B1319" s="8"/>
      <c r="C1319" s="8"/>
      <c r="D1319" s="9"/>
      <c r="E1319" s="9"/>
      <c r="F1319" s="10"/>
      <c r="G1319" s="11"/>
    </row>
    <row r="1320" spans="1:7" x14ac:dyDescent="0.3">
      <c r="A1320" s="7"/>
      <c r="B1320" s="8"/>
      <c r="C1320" s="8"/>
      <c r="D1320" s="9"/>
      <c r="E1320" s="9"/>
      <c r="F1320" s="10"/>
      <c r="G1320" s="11"/>
    </row>
    <row r="1321" spans="1:7" x14ac:dyDescent="0.3">
      <c r="A1321" s="7"/>
      <c r="B1321" s="8"/>
      <c r="C1321" s="8"/>
      <c r="D1321" s="9"/>
      <c r="E1321" s="9"/>
      <c r="F1321" s="10"/>
      <c r="G1321" s="11"/>
    </row>
    <row r="1322" spans="1:7" x14ac:dyDescent="0.3">
      <c r="A1322" s="7"/>
      <c r="B1322" s="8"/>
      <c r="C1322" s="8"/>
      <c r="D1322" s="9"/>
      <c r="E1322" s="9"/>
      <c r="F1322" s="10"/>
      <c r="G1322" s="11"/>
    </row>
    <row r="1323" spans="1:7" x14ac:dyDescent="0.3">
      <c r="A1323" s="7"/>
      <c r="B1323" s="8"/>
      <c r="C1323" s="8"/>
      <c r="D1323" s="9"/>
      <c r="E1323" s="9"/>
      <c r="F1323" s="10"/>
      <c r="G1323" s="11"/>
    </row>
    <row r="1324" spans="1:7" x14ac:dyDescent="0.3">
      <c r="A1324" s="7"/>
      <c r="B1324" s="8"/>
      <c r="C1324" s="8"/>
      <c r="D1324" s="9"/>
      <c r="E1324" s="9"/>
      <c r="F1324" s="10"/>
      <c r="G1324" s="11"/>
    </row>
    <row r="1325" spans="1:7" x14ac:dyDescent="0.3">
      <c r="A1325" s="7"/>
      <c r="B1325" s="8"/>
      <c r="C1325" s="8"/>
      <c r="D1325" s="9"/>
      <c r="E1325" s="9"/>
      <c r="F1325" s="10"/>
      <c r="G1325" s="11"/>
    </row>
    <row r="1326" spans="1:7" x14ac:dyDescent="0.3">
      <c r="A1326" s="7"/>
      <c r="B1326" s="8"/>
      <c r="C1326" s="8"/>
      <c r="D1326" s="9"/>
      <c r="E1326" s="9"/>
      <c r="F1326" s="10"/>
      <c r="G1326" s="11"/>
    </row>
    <row r="1327" spans="1:7" x14ac:dyDescent="0.3">
      <c r="A1327" s="7"/>
      <c r="B1327" s="8"/>
      <c r="C1327" s="8"/>
      <c r="D1327" s="9"/>
      <c r="E1327" s="9"/>
      <c r="F1327" s="10"/>
      <c r="G1327" s="11"/>
    </row>
    <row r="1328" spans="1:7" x14ac:dyDescent="0.3">
      <c r="A1328" s="7"/>
      <c r="B1328" s="8"/>
      <c r="C1328" s="8"/>
      <c r="D1328" s="9"/>
      <c r="E1328" s="9"/>
      <c r="F1328" s="10"/>
      <c r="G1328" s="11"/>
    </row>
    <row r="1329" spans="1:7" x14ac:dyDescent="0.3">
      <c r="A1329" s="7"/>
      <c r="B1329" s="8"/>
      <c r="C1329" s="8"/>
      <c r="D1329" s="9"/>
      <c r="E1329" s="9"/>
      <c r="F1329" s="10"/>
      <c r="G1329" s="11"/>
    </row>
    <row r="1330" spans="1:7" x14ac:dyDescent="0.3">
      <c r="A1330" s="7"/>
      <c r="B1330" s="8"/>
      <c r="C1330" s="8"/>
      <c r="D1330" s="9"/>
      <c r="E1330" s="9"/>
      <c r="F1330" s="10"/>
      <c r="G1330" s="11"/>
    </row>
    <row r="1331" spans="1:7" x14ac:dyDescent="0.3">
      <c r="A1331" s="7"/>
      <c r="B1331" s="8"/>
      <c r="C1331" s="8"/>
      <c r="D1331" s="9"/>
      <c r="E1331" s="9"/>
      <c r="F1331" s="10"/>
      <c r="G1331" s="11"/>
    </row>
    <row r="1332" spans="1:7" x14ac:dyDescent="0.3">
      <c r="A1332" s="7"/>
      <c r="B1332" s="8"/>
      <c r="C1332" s="8"/>
      <c r="D1332" s="9"/>
      <c r="E1332" s="9"/>
      <c r="F1332" s="10"/>
      <c r="G1332" s="11"/>
    </row>
    <row r="1333" spans="1:7" x14ac:dyDescent="0.3">
      <c r="A1333" s="7"/>
      <c r="B1333" s="8"/>
      <c r="C1333" s="8"/>
      <c r="D1333" s="9"/>
      <c r="E1333" s="9"/>
      <c r="F1333" s="10"/>
      <c r="G1333" s="11"/>
    </row>
    <row r="1334" spans="1:7" x14ac:dyDescent="0.3">
      <c r="A1334" s="7"/>
      <c r="B1334" s="8"/>
      <c r="C1334" s="8"/>
      <c r="D1334" s="9"/>
      <c r="E1334" s="9"/>
      <c r="F1334" s="10"/>
      <c r="G1334" s="11"/>
    </row>
    <row r="1335" spans="1:7" x14ac:dyDescent="0.3">
      <c r="A1335" s="7"/>
      <c r="B1335" s="8"/>
      <c r="C1335" s="8"/>
      <c r="D1335" s="9"/>
      <c r="E1335" s="9"/>
      <c r="F1335" s="10"/>
      <c r="G1335" s="11"/>
    </row>
    <row r="1336" spans="1:7" x14ac:dyDescent="0.3">
      <c r="A1336" s="7"/>
      <c r="B1336" s="8"/>
      <c r="C1336" s="8"/>
      <c r="D1336" s="9"/>
      <c r="E1336" s="9"/>
      <c r="F1336" s="10"/>
      <c r="G1336" s="11"/>
    </row>
    <row r="1337" spans="1:7" x14ac:dyDescent="0.3">
      <c r="A1337" s="7"/>
      <c r="B1337" s="8"/>
      <c r="C1337" s="8"/>
      <c r="D1337" s="9"/>
      <c r="E1337" s="9"/>
      <c r="F1337" s="10"/>
      <c r="G1337" s="11"/>
    </row>
    <row r="1338" spans="1:7" x14ac:dyDescent="0.3">
      <c r="A1338" s="7"/>
      <c r="B1338" s="8"/>
      <c r="C1338" s="8"/>
      <c r="D1338" s="9"/>
      <c r="E1338" s="9"/>
      <c r="F1338" s="10"/>
      <c r="G1338" s="11"/>
    </row>
    <row r="1339" spans="1:7" x14ac:dyDescent="0.3">
      <c r="A1339" s="7"/>
      <c r="B1339" s="8"/>
      <c r="C1339" s="8"/>
      <c r="D1339" s="9"/>
      <c r="E1339" s="9"/>
      <c r="F1339" s="10"/>
      <c r="G1339" s="11"/>
    </row>
    <row r="1340" spans="1:7" x14ac:dyDescent="0.3">
      <c r="A1340" s="7"/>
      <c r="B1340" s="8"/>
      <c r="C1340" s="8"/>
      <c r="D1340" s="9"/>
      <c r="E1340" s="9"/>
      <c r="F1340" s="10"/>
      <c r="G1340" s="11"/>
    </row>
    <row r="1341" spans="1:7" x14ac:dyDescent="0.3">
      <c r="A1341" s="7"/>
      <c r="B1341" s="8"/>
      <c r="C1341" s="8"/>
      <c r="D1341" s="9"/>
      <c r="E1341" s="9"/>
      <c r="F1341" s="10"/>
      <c r="G1341" s="11"/>
    </row>
    <row r="1342" spans="1:7" x14ac:dyDescent="0.3">
      <c r="A1342" s="7"/>
      <c r="B1342" s="8"/>
      <c r="C1342" s="8"/>
      <c r="D1342" s="9"/>
      <c r="E1342" s="9"/>
      <c r="F1342" s="10"/>
      <c r="G1342" s="11"/>
    </row>
    <row r="1343" spans="1:7" x14ac:dyDescent="0.3">
      <c r="A1343" s="7"/>
      <c r="B1343" s="8"/>
      <c r="C1343" s="8"/>
      <c r="D1343" s="9"/>
      <c r="E1343" s="9"/>
      <c r="F1343" s="10"/>
      <c r="G1343" s="11"/>
    </row>
    <row r="1344" spans="1:7" x14ac:dyDescent="0.3">
      <c r="A1344" s="7"/>
      <c r="B1344" s="8"/>
      <c r="C1344" s="8"/>
      <c r="D1344" s="9"/>
      <c r="E1344" s="9"/>
      <c r="F1344" s="10"/>
      <c r="G1344" s="11"/>
    </row>
    <row r="1345" spans="1:7" x14ac:dyDescent="0.3">
      <c r="A1345" s="7"/>
      <c r="B1345" s="8"/>
      <c r="C1345" s="8"/>
      <c r="D1345" s="9"/>
      <c r="E1345" s="9"/>
      <c r="F1345" s="10"/>
      <c r="G1345" s="11"/>
    </row>
    <row r="1346" spans="1:7" x14ac:dyDescent="0.3">
      <c r="A1346" s="7"/>
      <c r="B1346" s="8"/>
      <c r="C1346" s="8"/>
      <c r="D1346" s="9"/>
      <c r="E1346" s="9"/>
      <c r="F1346" s="10"/>
      <c r="G1346" s="11"/>
    </row>
    <row r="1347" spans="1:7" x14ac:dyDescent="0.3">
      <c r="A1347" s="7"/>
      <c r="B1347" s="8"/>
      <c r="C1347" s="8"/>
      <c r="D1347" s="9"/>
      <c r="E1347" s="9"/>
      <c r="F1347" s="10"/>
      <c r="G1347" s="11"/>
    </row>
    <row r="1348" spans="1:7" x14ac:dyDescent="0.3">
      <c r="A1348" s="7"/>
      <c r="B1348" s="8"/>
      <c r="C1348" s="8"/>
      <c r="D1348" s="9"/>
      <c r="E1348" s="9"/>
      <c r="F1348" s="10"/>
      <c r="G1348" s="11"/>
    </row>
    <row r="1349" spans="1:7" x14ac:dyDescent="0.3">
      <c r="A1349" s="7"/>
      <c r="B1349" s="8"/>
      <c r="C1349" s="8"/>
      <c r="D1349" s="9"/>
      <c r="E1349" s="9"/>
      <c r="F1349" s="10"/>
      <c r="G1349" s="11"/>
    </row>
    <row r="1350" spans="1:7" x14ac:dyDescent="0.3">
      <c r="A1350" s="7"/>
      <c r="B1350" s="8"/>
      <c r="C1350" s="8"/>
      <c r="D1350" s="9"/>
      <c r="E1350" s="9"/>
      <c r="F1350" s="10"/>
      <c r="G1350" s="11"/>
    </row>
    <row r="1351" spans="1:7" x14ac:dyDescent="0.3">
      <c r="A1351" s="7"/>
      <c r="B1351" s="8"/>
      <c r="C1351" s="8"/>
      <c r="D1351" s="9"/>
      <c r="E1351" s="9"/>
      <c r="F1351" s="10"/>
      <c r="G1351" s="11"/>
    </row>
    <row r="1352" spans="1:7" x14ac:dyDescent="0.3">
      <c r="A1352" s="7"/>
      <c r="B1352" s="8"/>
      <c r="C1352" s="8"/>
      <c r="D1352" s="9"/>
      <c r="E1352" s="9"/>
      <c r="F1352" s="10"/>
      <c r="G1352" s="11"/>
    </row>
    <row r="1353" spans="1:7" x14ac:dyDescent="0.3">
      <c r="A1353" s="7"/>
      <c r="B1353" s="8"/>
      <c r="C1353" s="8"/>
      <c r="D1353" s="9"/>
      <c r="E1353" s="9"/>
      <c r="F1353" s="10"/>
      <c r="G1353" s="11"/>
    </row>
    <row r="1354" spans="1:7" x14ac:dyDescent="0.3">
      <c r="A1354" s="7"/>
      <c r="B1354" s="8"/>
      <c r="C1354" s="8"/>
      <c r="D1354" s="9"/>
      <c r="E1354" s="9"/>
      <c r="F1354" s="10"/>
      <c r="G1354" s="11"/>
    </row>
    <row r="1355" spans="1:7" x14ac:dyDescent="0.3">
      <c r="A1355" s="7"/>
      <c r="B1355" s="8"/>
      <c r="C1355" s="8"/>
      <c r="D1355" s="9"/>
      <c r="E1355" s="9"/>
      <c r="F1355" s="10"/>
      <c r="G1355" s="11"/>
    </row>
    <row r="1356" spans="1:7" x14ac:dyDescent="0.3">
      <c r="A1356" s="7"/>
      <c r="B1356" s="8"/>
      <c r="C1356" s="8"/>
      <c r="D1356" s="9"/>
      <c r="E1356" s="9"/>
      <c r="F1356" s="10"/>
      <c r="G1356" s="11"/>
    </row>
    <row r="1357" spans="1:7" x14ac:dyDescent="0.3">
      <c r="A1357" s="7"/>
      <c r="B1357" s="8"/>
      <c r="C1357" s="8"/>
      <c r="D1357" s="9"/>
      <c r="E1357" s="9"/>
      <c r="F1357" s="10"/>
      <c r="G1357" s="11"/>
    </row>
    <row r="1358" spans="1:7" x14ac:dyDescent="0.3">
      <c r="A1358" s="7"/>
      <c r="B1358" s="8"/>
      <c r="C1358" s="8"/>
      <c r="D1358" s="9"/>
      <c r="E1358" s="9"/>
      <c r="F1358" s="10"/>
      <c r="G1358" s="11"/>
    </row>
    <row r="1359" spans="1:7" x14ac:dyDescent="0.3">
      <c r="A1359" s="7"/>
      <c r="B1359" s="8"/>
      <c r="C1359" s="8"/>
      <c r="D1359" s="9"/>
      <c r="E1359" s="9"/>
      <c r="F1359" s="10"/>
      <c r="G1359" s="11"/>
    </row>
    <row r="1360" spans="1:7" x14ac:dyDescent="0.3">
      <c r="A1360" s="7"/>
      <c r="B1360" s="8"/>
      <c r="C1360" s="8"/>
      <c r="D1360" s="9"/>
      <c r="E1360" s="9"/>
      <c r="F1360" s="10"/>
      <c r="G1360" s="11"/>
    </row>
    <row r="1361" spans="1:7" x14ac:dyDescent="0.3">
      <c r="A1361" s="7"/>
      <c r="B1361" s="8"/>
      <c r="C1361" s="8"/>
      <c r="D1361" s="9"/>
      <c r="E1361" s="9"/>
      <c r="F1361" s="10"/>
      <c r="G1361" s="11"/>
    </row>
    <row r="1362" spans="1:7" x14ac:dyDescent="0.3">
      <c r="A1362" s="7"/>
      <c r="B1362" s="8"/>
      <c r="C1362" s="8"/>
      <c r="D1362" s="9"/>
      <c r="E1362" s="9"/>
      <c r="F1362" s="10"/>
      <c r="G1362" s="11"/>
    </row>
    <row r="1363" spans="1:7" x14ac:dyDescent="0.3">
      <c r="A1363" s="7"/>
      <c r="B1363" s="8"/>
      <c r="C1363" s="8"/>
      <c r="D1363" s="9"/>
      <c r="E1363" s="9"/>
      <c r="F1363" s="10"/>
      <c r="G1363" s="11"/>
    </row>
    <row r="1364" spans="1:7" x14ac:dyDescent="0.3">
      <c r="A1364" s="7"/>
      <c r="B1364" s="8"/>
      <c r="C1364" s="8"/>
      <c r="D1364" s="9"/>
      <c r="E1364" s="9"/>
      <c r="F1364" s="10"/>
      <c r="G1364" s="11"/>
    </row>
    <row r="1365" spans="1:7" x14ac:dyDescent="0.3">
      <c r="A1365" s="7"/>
      <c r="B1365" s="8"/>
      <c r="C1365" s="8"/>
      <c r="D1365" s="9"/>
      <c r="E1365" s="9"/>
      <c r="F1365" s="10"/>
      <c r="G1365" s="11"/>
    </row>
    <row r="1366" spans="1:7" x14ac:dyDescent="0.3">
      <c r="A1366" s="7"/>
      <c r="B1366" s="8"/>
      <c r="C1366" s="8"/>
      <c r="D1366" s="9"/>
      <c r="E1366" s="9"/>
      <c r="F1366" s="10"/>
      <c r="G1366" s="11"/>
    </row>
    <row r="1367" spans="1:7" x14ac:dyDescent="0.3">
      <c r="A1367" s="7"/>
      <c r="B1367" s="8"/>
      <c r="C1367" s="8"/>
      <c r="D1367" s="9"/>
      <c r="E1367" s="9"/>
      <c r="F1367" s="10"/>
      <c r="G1367" s="11"/>
    </row>
    <row r="1368" spans="1:7" x14ac:dyDescent="0.3">
      <c r="A1368" s="7"/>
      <c r="B1368" s="8"/>
      <c r="C1368" s="8"/>
      <c r="D1368" s="9"/>
      <c r="E1368" s="9"/>
      <c r="F1368" s="10"/>
      <c r="G1368" s="11"/>
    </row>
    <row r="1369" spans="1:7" x14ac:dyDescent="0.3">
      <c r="A1369" s="7"/>
      <c r="B1369" s="8"/>
      <c r="C1369" s="8"/>
      <c r="D1369" s="9"/>
      <c r="E1369" s="9"/>
      <c r="F1369" s="10"/>
      <c r="G1369" s="11"/>
    </row>
    <row r="1370" spans="1:7" x14ac:dyDescent="0.3">
      <c r="A1370" s="7"/>
      <c r="B1370" s="8"/>
      <c r="C1370" s="8"/>
      <c r="D1370" s="9"/>
      <c r="E1370" s="9"/>
      <c r="F1370" s="10"/>
      <c r="G1370" s="11"/>
    </row>
    <row r="1371" spans="1:7" x14ac:dyDescent="0.3">
      <c r="A1371" s="7"/>
      <c r="B1371" s="8"/>
      <c r="C1371" s="8"/>
      <c r="D1371" s="9"/>
      <c r="E1371" s="9"/>
      <c r="F1371" s="10"/>
      <c r="G1371" s="11"/>
    </row>
    <row r="1372" spans="1:7" x14ac:dyDescent="0.3">
      <c r="A1372" s="7"/>
      <c r="B1372" s="8"/>
      <c r="C1372" s="8"/>
      <c r="D1372" s="9"/>
      <c r="E1372" s="9"/>
      <c r="F1372" s="10"/>
      <c r="G1372" s="11"/>
    </row>
    <row r="1373" spans="1:7" x14ac:dyDescent="0.3">
      <c r="A1373" s="7"/>
      <c r="B1373" s="8"/>
      <c r="C1373" s="8"/>
      <c r="D1373" s="9"/>
      <c r="E1373" s="9"/>
      <c r="F1373" s="10"/>
      <c r="G1373" s="11"/>
    </row>
    <row r="1374" spans="1:7" x14ac:dyDescent="0.3">
      <c r="A1374" s="7"/>
      <c r="B1374" s="8"/>
      <c r="C1374" s="8"/>
      <c r="D1374" s="9"/>
      <c r="E1374" s="9"/>
      <c r="F1374" s="10"/>
      <c r="G1374" s="11"/>
    </row>
    <row r="1375" spans="1:7" x14ac:dyDescent="0.3">
      <c r="A1375" s="7"/>
      <c r="B1375" s="8"/>
      <c r="C1375" s="8"/>
      <c r="D1375" s="9"/>
      <c r="E1375" s="9"/>
      <c r="F1375" s="10"/>
      <c r="G1375" s="11"/>
    </row>
    <row r="1376" spans="1:7" x14ac:dyDescent="0.3">
      <c r="A1376" s="7"/>
      <c r="B1376" s="8"/>
      <c r="C1376" s="8"/>
      <c r="D1376" s="9"/>
      <c r="E1376" s="9"/>
      <c r="F1376" s="10"/>
      <c r="G1376" s="11"/>
    </row>
    <row r="1377" spans="1:7" x14ac:dyDescent="0.3">
      <c r="A1377" s="7"/>
      <c r="B1377" s="8"/>
      <c r="C1377" s="8"/>
      <c r="D1377" s="9"/>
      <c r="E1377" s="9"/>
      <c r="F1377" s="10"/>
      <c r="G1377" s="11"/>
    </row>
    <row r="1378" spans="1:7" x14ac:dyDescent="0.3">
      <c r="A1378" s="7"/>
      <c r="B1378" s="8"/>
      <c r="C1378" s="8"/>
      <c r="D1378" s="9"/>
      <c r="E1378" s="9"/>
      <c r="F1378" s="10"/>
      <c r="G1378" s="11"/>
    </row>
    <row r="1379" spans="1:7" x14ac:dyDescent="0.3">
      <c r="A1379" s="7"/>
      <c r="B1379" s="8"/>
      <c r="C1379" s="8"/>
      <c r="D1379" s="9"/>
      <c r="E1379" s="9"/>
      <c r="F1379" s="10"/>
      <c r="G1379" s="11"/>
    </row>
    <row r="1380" spans="1:7" x14ac:dyDescent="0.3">
      <c r="A1380" s="7"/>
      <c r="B1380" s="8"/>
      <c r="C1380" s="8"/>
      <c r="D1380" s="9"/>
      <c r="E1380" s="9"/>
      <c r="F1380" s="10"/>
      <c r="G1380" s="11"/>
    </row>
    <row r="1381" spans="1:7" x14ac:dyDescent="0.3">
      <c r="A1381" s="7"/>
      <c r="B1381" s="8"/>
      <c r="C1381" s="8"/>
      <c r="D1381" s="9"/>
      <c r="E1381" s="9"/>
      <c r="F1381" s="10"/>
      <c r="G1381" s="11"/>
    </row>
    <row r="1382" spans="1:7" x14ac:dyDescent="0.3">
      <c r="A1382" s="7"/>
      <c r="B1382" s="8"/>
      <c r="C1382" s="8"/>
      <c r="D1382" s="9"/>
      <c r="E1382" s="9"/>
      <c r="F1382" s="10"/>
      <c r="G1382" s="11"/>
    </row>
    <row r="1383" spans="1:7" x14ac:dyDescent="0.3">
      <c r="A1383" s="7"/>
      <c r="B1383" s="8"/>
      <c r="C1383" s="8"/>
      <c r="D1383" s="9"/>
      <c r="E1383" s="9"/>
      <c r="F1383" s="10"/>
      <c r="G1383" s="11"/>
    </row>
    <row r="1384" spans="1:7" x14ac:dyDescent="0.3">
      <c r="A1384" s="7"/>
      <c r="B1384" s="8"/>
      <c r="C1384" s="8"/>
      <c r="D1384" s="9"/>
      <c r="E1384" s="9"/>
      <c r="F1384" s="10"/>
      <c r="G1384" s="11"/>
    </row>
    <row r="1385" spans="1:7" x14ac:dyDescent="0.3">
      <c r="A1385" s="7"/>
      <c r="B1385" s="8"/>
      <c r="C1385" s="8"/>
      <c r="D1385" s="9"/>
      <c r="E1385" s="9"/>
      <c r="F1385" s="10"/>
      <c r="G1385" s="11"/>
    </row>
    <row r="1386" spans="1:7" x14ac:dyDescent="0.3">
      <c r="A1386" s="7"/>
      <c r="B1386" s="8"/>
      <c r="C1386" s="8"/>
      <c r="D1386" s="9"/>
      <c r="E1386" s="9"/>
      <c r="F1386" s="10"/>
      <c r="G1386" s="11"/>
    </row>
    <row r="1387" spans="1:7" x14ac:dyDescent="0.3">
      <c r="A1387" s="7"/>
      <c r="B1387" s="8"/>
      <c r="C1387" s="8"/>
      <c r="D1387" s="9"/>
      <c r="E1387" s="9"/>
      <c r="F1387" s="10"/>
      <c r="G1387" s="11"/>
    </row>
    <row r="1388" spans="1:7" x14ac:dyDescent="0.3">
      <c r="A1388" s="7"/>
      <c r="B1388" s="8"/>
      <c r="C1388" s="8"/>
      <c r="D1388" s="9"/>
      <c r="E1388" s="9"/>
      <c r="F1388" s="10"/>
      <c r="G1388" s="11"/>
    </row>
    <row r="1389" spans="1:7" x14ac:dyDescent="0.3">
      <c r="A1389" s="7"/>
      <c r="B1389" s="8"/>
      <c r="C1389" s="8"/>
      <c r="D1389" s="9"/>
      <c r="E1389" s="9"/>
      <c r="F1389" s="10"/>
      <c r="G1389" s="11"/>
    </row>
    <row r="1390" spans="1:7" x14ac:dyDescent="0.3">
      <c r="A1390" s="7"/>
      <c r="B1390" s="8"/>
      <c r="C1390" s="8"/>
      <c r="D1390" s="9"/>
      <c r="E1390" s="9"/>
      <c r="F1390" s="10"/>
      <c r="G1390" s="11"/>
    </row>
    <row r="1391" spans="1:7" x14ac:dyDescent="0.3">
      <c r="A1391" s="7"/>
      <c r="B1391" s="8"/>
      <c r="C1391" s="8"/>
      <c r="D1391" s="9"/>
      <c r="E1391" s="9"/>
      <c r="F1391" s="10"/>
      <c r="G1391" s="11"/>
    </row>
    <row r="1392" spans="1:7" x14ac:dyDescent="0.3">
      <c r="A1392" s="7"/>
      <c r="B1392" s="8"/>
      <c r="C1392" s="8"/>
      <c r="D1392" s="9"/>
      <c r="E1392" s="9"/>
      <c r="F1392" s="10"/>
      <c r="G1392" s="11"/>
    </row>
    <row r="1393" spans="1:7" x14ac:dyDescent="0.3">
      <c r="A1393" s="7"/>
      <c r="B1393" s="8"/>
      <c r="C1393" s="8"/>
      <c r="D1393" s="9"/>
      <c r="E1393" s="9"/>
      <c r="F1393" s="10"/>
      <c r="G1393" s="11"/>
    </row>
    <row r="1394" spans="1:7" x14ac:dyDescent="0.3">
      <c r="A1394" s="7"/>
      <c r="B1394" s="8"/>
      <c r="C1394" s="8"/>
      <c r="D1394" s="9"/>
      <c r="E1394" s="9"/>
      <c r="F1394" s="10"/>
      <c r="G1394" s="11"/>
    </row>
    <row r="1395" spans="1:7" x14ac:dyDescent="0.3">
      <c r="A1395" s="7"/>
      <c r="B1395" s="8"/>
      <c r="C1395" s="8"/>
      <c r="D1395" s="9"/>
      <c r="E1395" s="9"/>
      <c r="F1395" s="10"/>
      <c r="G1395" s="11"/>
    </row>
    <row r="1396" spans="1:7" x14ac:dyDescent="0.3">
      <c r="A1396" s="7"/>
      <c r="B1396" s="8"/>
      <c r="C1396" s="8"/>
      <c r="D1396" s="9"/>
      <c r="E1396" s="9"/>
      <c r="F1396" s="10"/>
      <c r="G1396" s="11"/>
    </row>
    <row r="1397" spans="1:7" x14ac:dyDescent="0.3">
      <c r="A1397" s="7"/>
      <c r="B1397" s="8"/>
      <c r="C1397" s="8"/>
      <c r="D1397" s="9"/>
      <c r="E1397" s="9"/>
      <c r="F1397" s="10"/>
      <c r="G1397" s="11"/>
    </row>
    <row r="1398" spans="1:7" x14ac:dyDescent="0.3">
      <c r="A1398" s="7"/>
      <c r="B1398" s="8"/>
      <c r="C1398" s="8"/>
      <c r="D1398" s="9"/>
      <c r="E1398" s="9"/>
      <c r="F1398" s="10"/>
      <c r="G1398" s="11"/>
    </row>
    <row r="1399" spans="1:7" x14ac:dyDescent="0.3">
      <c r="A1399" s="7"/>
      <c r="B1399" s="8"/>
      <c r="C1399" s="8"/>
      <c r="D1399" s="9"/>
      <c r="E1399" s="9"/>
      <c r="F1399" s="10"/>
      <c r="G1399" s="11"/>
    </row>
    <row r="1400" spans="1:7" x14ac:dyDescent="0.3">
      <c r="A1400" s="7"/>
      <c r="B1400" s="8"/>
      <c r="C1400" s="8"/>
      <c r="D1400" s="9"/>
      <c r="E1400" s="9"/>
      <c r="F1400" s="10"/>
      <c r="G1400" s="11"/>
    </row>
    <row r="1401" spans="1:7" x14ac:dyDescent="0.3">
      <c r="A1401" s="7"/>
      <c r="B1401" s="8"/>
      <c r="C1401" s="8"/>
      <c r="D1401" s="9"/>
      <c r="E1401" s="9"/>
      <c r="F1401" s="10"/>
      <c r="G1401" s="11"/>
    </row>
    <row r="1402" spans="1:7" x14ac:dyDescent="0.3">
      <c r="A1402" s="7"/>
      <c r="B1402" s="8"/>
      <c r="C1402" s="8"/>
      <c r="D1402" s="9"/>
      <c r="E1402" s="9"/>
      <c r="F1402" s="10"/>
      <c r="G1402" s="11"/>
    </row>
    <row r="1403" spans="1:7" x14ac:dyDescent="0.3">
      <c r="A1403" s="7"/>
      <c r="B1403" s="8"/>
      <c r="C1403" s="8"/>
      <c r="D1403" s="9"/>
      <c r="E1403" s="9"/>
      <c r="F1403" s="10"/>
      <c r="G1403" s="11"/>
    </row>
    <row r="1404" spans="1:7" x14ac:dyDescent="0.3">
      <c r="A1404" s="7"/>
      <c r="B1404" s="8"/>
      <c r="C1404" s="8"/>
      <c r="D1404" s="9"/>
      <c r="E1404" s="9"/>
      <c r="F1404" s="10"/>
      <c r="G1404" s="11"/>
    </row>
    <row r="1405" spans="1:7" x14ac:dyDescent="0.3">
      <c r="A1405" s="7"/>
      <c r="B1405" s="8"/>
      <c r="C1405" s="8"/>
      <c r="D1405" s="9"/>
      <c r="E1405" s="9"/>
      <c r="F1405" s="10"/>
      <c r="G1405" s="11"/>
    </row>
    <row r="1406" spans="1:7" x14ac:dyDescent="0.3">
      <c r="A1406" s="7"/>
      <c r="B1406" s="8"/>
      <c r="C1406" s="8"/>
      <c r="D1406" s="9"/>
      <c r="E1406" s="9"/>
      <c r="F1406" s="10"/>
      <c r="G1406" s="11"/>
    </row>
    <row r="1407" spans="1:7" x14ac:dyDescent="0.3">
      <c r="A1407" s="7"/>
      <c r="B1407" s="8"/>
      <c r="C1407" s="8"/>
      <c r="D1407" s="9"/>
      <c r="E1407" s="9"/>
      <c r="F1407" s="10"/>
      <c r="G1407" s="11"/>
    </row>
    <row r="1408" spans="1:7" x14ac:dyDescent="0.3">
      <c r="A1408" s="7"/>
      <c r="B1408" s="8"/>
      <c r="C1408" s="8"/>
      <c r="D1408" s="9"/>
      <c r="E1408" s="9"/>
      <c r="F1408" s="10"/>
      <c r="G1408" s="11"/>
    </row>
    <row r="1409" spans="1:7" x14ac:dyDescent="0.3">
      <c r="A1409" s="7"/>
      <c r="B1409" s="8"/>
      <c r="C1409" s="8"/>
      <c r="D1409" s="9"/>
      <c r="E1409" s="9"/>
      <c r="F1409" s="10"/>
      <c r="G1409" s="11"/>
    </row>
    <row r="1410" spans="1:7" x14ac:dyDescent="0.3">
      <c r="A1410" s="7"/>
      <c r="B1410" s="8"/>
      <c r="C1410" s="8"/>
      <c r="D1410" s="9"/>
      <c r="E1410" s="9"/>
      <c r="F1410" s="10"/>
      <c r="G1410" s="11"/>
    </row>
    <row r="1411" spans="1:7" x14ac:dyDescent="0.3">
      <c r="A1411" s="7"/>
      <c r="B1411" s="8"/>
      <c r="C1411" s="8"/>
      <c r="D1411" s="9"/>
      <c r="E1411" s="9"/>
      <c r="F1411" s="10"/>
      <c r="G1411" s="11"/>
    </row>
    <row r="1412" spans="1:7" x14ac:dyDescent="0.3">
      <c r="A1412" s="7"/>
      <c r="B1412" s="8"/>
      <c r="C1412" s="8"/>
      <c r="D1412" s="9"/>
      <c r="E1412" s="9"/>
      <c r="F1412" s="10"/>
      <c r="G1412" s="11"/>
    </row>
    <row r="1413" spans="1:7" x14ac:dyDescent="0.3">
      <c r="A1413" s="7"/>
      <c r="B1413" s="8"/>
      <c r="C1413" s="8"/>
      <c r="D1413" s="9"/>
      <c r="E1413" s="9"/>
      <c r="F1413" s="10"/>
      <c r="G1413" s="11"/>
    </row>
    <row r="1414" spans="1:7" x14ac:dyDescent="0.3">
      <c r="A1414" s="7"/>
      <c r="B1414" s="8"/>
      <c r="C1414" s="8"/>
      <c r="D1414" s="9"/>
      <c r="E1414" s="9"/>
      <c r="F1414" s="10"/>
      <c r="G1414" s="11"/>
    </row>
    <row r="1415" spans="1:7" x14ac:dyDescent="0.3">
      <c r="A1415" s="7"/>
      <c r="B1415" s="8"/>
      <c r="C1415" s="8"/>
      <c r="D1415" s="9"/>
      <c r="E1415" s="9"/>
      <c r="F1415" s="10"/>
      <c r="G1415" s="11"/>
    </row>
    <row r="1416" spans="1:7" x14ac:dyDescent="0.3">
      <c r="A1416" s="7"/>
      <c r="B1416" s="8"/>
      <c r="C1416" s="8"/>
      <c r="D1416" s="9"/>
      <c r="E1416" s="9"/>
      <c r="F1416" s="10"/>
      <c r="G1416" s="11"/>
    </row>
    <row r="1417" spans="1:7" x14ac:dyDescent="0.3">
      <c r="A1417" s="7"/>
      <c r="B1417" s="8"/>
      <c r="C1417" s="8"/>
      <c r="D1417" s="9"/>
      <c r="E1417" s="9"/>
      <c r="F1417" s="10"/>
      <c r="G1417" s="11"/>
    </row>
    <row r="1418" spans="1:7" x14ac:dyDescent="0.3">
      <c r="A1418" s="7"/>
      <c r="B1418" s="8"/>
      <c r="C1418" s="8"/>
      <c r="D1418" s="9"/>
      <c r="E1418" s="9"/>
      <c r="F1418" s="10"/>
      <c r="G1418" s="11"/>
    </row>
    <row r="1419" spans="1:7" x14ac:dyDescent="0.3">
      <c r="A1419" s="7"/>
      <c r="B1419" s="8"/>
      <c r="C1419" s="8"/>
      <c r="D1419" s="9"/>
      <c r="E1419" s="9"/>
      <c r="F1419" s="10"/>
      <c r="G1419" s="11"/>
    </row>
    <row r="1420" spans="1:7" x14ac:dyDescent="0.3">
      <c r="A1420" s="7"/>
      <c r="B1420" s="8"/>
      <c r="C1420" s="8"/>
      <c r="D1420" s="9"/>
      <c r="E1420" s="9"/>
      <c r="F1420" s="10"/>
      <c r="G1420" s="11"/>
    </row>
    <row r="1421" spans="1:7" x14ac:dyDescent="0.3">
      <c r="A1421" s="7"/>
      <c r="B1421" s="8"/>
      <c r="C1421" s="8"/>
      <c r="D1421" s="9"/>
      <c r="E1421" s="9"/>
      <c r="F1421" s="10"/>
      <c r="G1421" s="11"/>
    </row>
    <row r="1422" spans="1:7" x14ac:dyDescent="0.3">
      <c r="A1422" s="7"/>
      <c r="B1422" s="8"/>
      <c r="C1422" s="8"/>
      <c r="D1422" s="9"/>
      <c r="E1422" s="9"/>
      <c r="F1422" s="10"/>
      <c r="G1422" s="11"/>
    </row>
    <row r="1423" spans="1:7" x14ac:dyDescent="0.3">
      <c r="A1423" s="7"/>
      <c r="B1423" s="8"/>
      <c r="C1423" s="8"/>
      <c r="D1423" s="9"/>
      <c r="E1423" s="9"/>
      <c r="F1423" s="10"/>
      <c r="G1423" s="11"/>
    </row>
    <row r="1424" spans="1:7" x14ac:dyDescent="0.3">
      <c r="A1424" s="7"/>
      <c r="B1424" s="8"/>
      <c r="C1424" s="8"/>
      <c r="D1424" s="9"/>
      <c r="E1424" s="9"/>
      <c r="F1424" s="10"/>
      <c r="G1424" s="11"/>
    </row>
    <row r="1425" spans="1:7" x14ac:dyDescent="0.3">
      <c r="A1425" s="7"/>
      <c r="B1425" s="8"/>
      <c r="C1425" s="8"/>
      <c r="D1425" s="9"/>
      <c r="E1425" s="9"/>
      <c r="F1425" s="10"/>
      <c r="G1425" s="11"/>
    </row>
    <row r="1426" spans="1:7" x14ac:dyDescent="0.3">
      <c r="A1426" s="7"/>
      <c r="B1426" s="8"/>
      <c r="C1426" s="8"/>
      <c r="D1426" s="9"/>
      <c r="E1426" s="9"/>
      <c r="F1426" s="10"/>
      <c r="G1426" s="11"/>
    </row>
    <row r="1427" spans="1:7" x14ac:dyDescent="0.3">
      <c r="A1427" s="7"/>
      <c r="B1427" s="8"/>
      <c r="C1427" s="8"/>
      <c r="D1427" s="9"/>
      <c r="E1427" s="9"/>
      <c r="F1427" s="10"/>
      <c r="G1427" s="11"/>
    </row>
    <row r="1428" spans="1:7" x14ac:dyDescent="0.3">
      <c r="A1428" s="7"/>
      <c r="B1428" s="8"/>
      <c r="C1428" s="8"/>
      <c r="D1428" s="9"/>
      <c r="E1428" s="9"/>
      <c r="F1428" s="10"/>
      <c r="G1428" s="11"/>
    </row>
    <row r="1429" spans="1:7" x14ac:dyDescent="0.3">
      <c r="A1429" s="7"/>
      <c r="B1429" s="8"/>
      <c r="C1429" s="8"/>
      <c r="D1429" s="9"/>
      <c r="E1429" s="9"/>
      <c r="F1429" s="10"/>
      <c r="G1429" s="11"/>
    </row>
    <row r="1430" spans="1:7" x14ac:dyDescent="0.3">
      <c r="A1430" s="7"/>
      <c r="B1430" s="8"/>
      <c r="C1430" s="8"/>
      <c r="D1430" s="9"/>
      <c r="E1430" s="9"/>
      <c r="F1430" s="10"/>
      <c r="G1430" s="11"/>
    </row>
    <row r="1431" spans="1:7" x14ac:dyDescent="0.3">
      <c r="A1431" s="7"/>
      <c r="B1431" s="8"/>
      <c r="C1431" s="8"/>
      <c r="D1431" s="9"/>
      <c r="E1431" s="9"/>
      <c r="F1431" s="10"/>
      <c r="G1431" s="11"/>
    </row>
    <row r="1432" spans="1:7" x14ac:dyDescent="0.3">
      <c r="A1432" s="7"/>
      <c r="B1432" s="8"/>
      <c r="C1432" s="8"/>
      <c r="D1432" s="9"/>
      <c r="E1432" s="9"/>
      <c r="F1432" s="10"/>
      <c r="G1432" s="11"/>
    </row>
    <row r="1433" spans="1:7" x14ac:dyDescent="0.3">
      <c r="A1433" s="7"/>
      <c r="B1433" s="8"/>
      <c r="C1433" s="8"/>
      <c r="D1433" s="9"/>
      <c r="E1433" s="9"/>
      <c r="F1433" s="10"/>
      <c r="G1433" s="11"/>
    </row>
    <row r="1434" spans="1:7" x14ac:dyDescent="0.3">
      <c r="A1434" s="7"/>
      <c r="B1434" s="8"/>
      <c r="C1434" s="8"/>
      <c r="D1434" s="9"/>
      <c r="E1434" s="9"/>
      <c r="F1434" s="10"/>
      <c r="G1434" s="11"/>
    </row>
    <row r="1435" spans="1:7" x14ac:dyDescent="0.3">
      <c r="A1435" s="7"/>
      <c r="B1435" s="8"/>
      <c r="C1435" s="8"/>
      <c r="D1435" s="9"/>
      <c r="E1435" s="9"/>
      <c r="F1435" s="10"/>
      <c r="G1435" s="11"/>
    </row>
    <row r="1436" spans="1:7" x14ac:dyDescent="0.3">
      <c r="A1436" s="7"/>
      <c r="B1436" s="8"/>
      <c r="C1436" s="8"/>
      <c r="D1436" s="9"/>
      <c r="E1436" s="9"/>
      <c r="F1436" s="10"/>
      <c r="G1436" s="11"/>
    </row>
    <row r="1437" spans="1:7" x14ac:dyDescent="0.3">
      <c r="A1437" s="7"/>
      <c r="B1437" s="8"/>
      <c r="C1437" s="8"/>
      <c r="D1437" s="9"/>
      <c r="E1437" s="9"/>
      <c r="F1437" s="10"/>
      <c r="G1437" s="11"/>
    </row>
    <row r="1438" spans="1:7" x14ac:dyDescent="0.3">
      <c r="A1438" s="7"/>
      <c r="B1438" s="8"/>
      <c r="C1438" s="8"/>
      <c r="D1438" s="9"/>
      <c r="E1438" s="9"/>
      <c r="F1438" s="10"/>
      <c r="G1438" s="11"/>
    </row>
    <row r="1439" spans="1:7" x14ac:dyDescent="0.3">
      <c r="A1439" s="7"/>
      <c r="B1439" s="8"/>
      <c r="C1439" s="8"/>
      <c r="D1439" s="9"/>
      <c r="E1439" s="9"/>
      <c r="F1439" s="10"/>
      <c r="G1439" s="11"/>
    </row>
    <row r="1440" spans="1:7" x14ac:dyDescent="0.3">
      <c r="A1440" s="7"/>
      <c r="B1440" s="8"/>
      <c r="C1440" s="8"/>
      <c r="D1440" s="9"/>
      <c r="E1440" s="9"/>
      <c r="F1440" s="10"/>
      <c r="G1440" s="11"/>
    </row>
    <row r="1441" spans="1:7" x14ac:dyDescent="0.3">
      <c r="A1441" s="7"/>
      <c r="B1441" s="8"/>
      <c r="C1441" s="8"/>
      <c r="D1441" s="9"/>
      <c r="E1441" s="9"/>
      <c r="F1441" s="10"/>
      <c r="G1441" s="11"/>
    </row>
    <row r="1442" spans="1:7" x14ac:dyDescent="0.3">
      <c r="A1442" s="7"/>
      <c r="B1442" s="8"/>
      <c r="C1442" s="8"/>
      <c r="D1442" s="9"/>
      <c r="E1442" s="9"/>
      <c r="F1442" s="10"/>
      <c r="G1442" s="11"/>
    </row>
    <row r="1443" spans="1:7" x14ac:dyDescent="0.3">
      <c r="A1443" s="7"/>
      <c r="B1443" s="8"/>
      <c r="C1443" s="8"/>
      <c r="D1443" s="9"/>
      <c r="E1443" s="9"/>
      <c r="F1443" s="10"/>
      <c r="G1443" s="11"/>
    </row>
    <row r="1444" spans="1:7" x14ac:dyDescent="0.3">
      <c r="A1444" s="7"/>
      <c r="B1444" s="8"/>
      <c r="C1444" s="8"/>
      <c r="D1444" s="9"/>
      <c r="E1444" s="9"/>
      <c r="F1444" s="10"/>
      <c r="G1444" s="11"/>
    </row>
    <row r="1445" spans="1:7" x14ac:dyDescent="0.3">
      <c r="A1445" s="7"/>
      <c r="B1445" s="8"/>
      <c r="C1445" s="8"/>
      <c r="D1445" s="9"/>
      <c r="E1445" s="9"/>
      <c r="F1445" s="10"/>
      <c r="G1445" s="11"/>
    </row>
    <row r="1446" spans="1:7" x14ac:dyDescent="0.3">
      <c r="A1446" s="7"/>
      <c r="B1446" s="8"/>
      <c r="C1446" s="8"/>
      <c r="D1446" s="9"/>
      <c r="E1446" s="9"/>
      <c r="F1446" s="10"/>
      <c r="G1446" s="11"/>
    </row>
    <row r="1447" spans="1:7" x14ac:dyDescent="0.3">
      <c r="A1447" s="7"/>
      <c r="B1447" s="8"/>
      <c r="C1447" s="8"/>
      <c r="D1447" s="9"/>
      <c r="E1447" s="9"/>
      <c r="F1447" s="10"/>
      <c r="G1447" s="11"/>
    </row>
    <row r="1448" spans="1:7" x14ac:dyDescent="0.3">
      <c r="A1448" s="7"/>
      <c r="B1448" s="8"/>
      <c r="C1448" s="8"/>
      <c r="D1448" s="9"/>
      <c r="E1448" s="9"/>
      <c r="F1448" s="10"/>
      <c r="G1448" s="11"/>
    </row>
    <row r="1449" spans="1:7" x14ac:dyDescent="0.3">
      <c r="A1449" s="7"/>
      <c r="B1449" s="8"/>
      <c r="C1449" s="8"/>
      <c r="D1449" s="9"/>
      <c r="E1449" s="9"/>
      <c r="F1449" s="10"/>
      <c r="G1449" s="11"/>
    </row>
    <row r="1450" spans="1:7" x14ac:dyDescent="0.3">
      <c r="A1450" s="7"/>
      <c r="B1450" s="8"/>
      <c r="C1450" s="8"/>
      <c r="D1450" s="9"/>
      <c r="E1450" s="9"/>
      <c r="F1450" s="10"/>
      <c r="G1450" s="11"/>
    </row>
    <row r="1451" spans="1:7" x14ac:dyDescent="0.3">
      <c r="A1451" s="7"/>
      <c r="B1451" s="8"/>
      <c r="C1451" s="8"/>
      <c r="D1451" s="9"/>
      <c r="E1451" s="9"/>
      <c r="F1451" s="10"/>
      <c r="G1451" s="11"/>
    </row>
    <row r="1452" spans="1:7" x14ac:dyDescent="0.3">
      <c r="A1452" s="7"/>
      <c r="B1452" s="8"/>
      <c r="C1452" s="8"/>
      <c r="D1452" s="9"/>
      <c r="E1452" s="9"/>
      <c r="F1452" s="10"/>
      <c r="G1452" s="11"/>
    </row>
    <row r="1453" spans="1:7" x14ac:dyDescent="0.3">
      <c r="A1453" s="7"/>
      <c r="B1453" s="8"/>
      <c r="C1453" s="8"/>
      <c r="D1453" s="9"/>
      <c r="E1453" s="9"/>
      <c r="F1453" s="10"/>
      <c r="G1453" s="11"/>
    </row>
    <row r="1454" spans="1:7" x14ac:dyDescent="0.3">
      <c r="A1454" s="7"/>
      <c r="B1454" s="8"/>
      <c r="C1454" s="8"/>
      <c r="D1454" s="9"/>
      <c r="E1454" s="9"/>
      <c r="F1454" s="10"/>
      <c r="G1454" s="11"/>
    </row>
    <row r="1455" spans="1:7" x14ac:dyDescent="0.3">
      <c r="A1455" s="7"/>
      <c r="B1455" s="8"/>
      <c r="C1455" s="8"/>
      <c r="D1455" s="9"/>
      <c r="E1455" s="9"/>
      <c r="F1455" s="10"/>
      <c r="G1455" s="11"/>
    </row>
    <row r="1456" spans="1:7" x14ac:dyDescent="0.3">
      <c r="A1456" s="7"/>
      <c r="B1456" s="8"/>
      <c r="C1456" s="8"/>
      <c r="D1456" s="9"/>
      <c r="E1456" s="9"/>
      <c r="F1456" s="10"/>
      <c r="G1456" s="11"/>
    </row>
    <row r="1457" spans="1:7" x14ac:dyDescent="0.3">
      <c r="A1457" s="7"/>
      <c r="B1457" s="8"/>
      <c r="C1457" s="8"/>
      <c r="D1457" s="9"/>
      <c r="E1457" s="9"/>
      <c r="F1457" s="10"/>
      <c r="G1457" s="11"/>
    </row>
    <row r="1458" spans="1:7" x14ac:dyDescent="0.3">
      <c r="A1458" s="7"/>
      <c r="B1458" s="8"/>
      <c r="C1458" s="8"/>
      <c r="D1458" s="9"/>
      <c r="E1458" s="9"/>
      <c r="F1458" s="10"/>
      <c r="G1458" s="11"/>
    </row>
    <row r="1459" spans="1:7" x14ac:dyDescent="0.3">
      <c r="A1459" s="7"/>
      <c r="B1459" s="8"/>
      <c r="C1459" s="8"/>
      <c r="D1459" s="9"/>
      <c r="E1459" s="9"/>
      <c r="F1459" s="10"/>
      <c r="G1459" s="11"/>
    </row>
    <row r="1460" spans="1:7" x14ac:dyDescent="0.3">
      <c r="A1460" s="7"/>
      <c r="B1460" s="8"/>
      <c r="C1460" s="8"/>
      <c r="D1460" s="9"/>
      <c r="E1460" s="9"/>
      <c r="F1460" s="10"/>
      <c r="G1460" s="11"/>
    </row>
    <row r="1461" spans="1:7" x14ac:dyDescent="0.3">
      <c r="A1461" s="7"/>
      <c r="B1461" s="8"/>
      <c r="C1461" s="8"/>
      <c r="D1461" s="9"/>
      <c r="E1461" s="9"/>
      <c r="F1461" s="10"/>
      <c r="G1461" s="11"/>
    </row>
    <row r="1462" spans="1:7" x14ac:dyDescent="0.3">
      <c r="A1462" s="7"/>
      <c r="B1462" s="8"/>
      <c r="C1462" s="8"/>
      <c r="D1462" s="9"/>
      <c r="E1462" s="9"/>
      <c r="F1462" s="10"/>
      <c r="G1462" s="11"/>
    </row>
    <row r="1463" spans="1:7" x14ac:dyDescent="0.3">
      <c r="A1463" s="7"/>
      <c r="B1463" s="8"/>
      <c r="C1463" s="8"/>
      <c r="D1463" s="9"/>
      <c r="E1463" s="9"/>
      <c r="F1463" s="10"/>
      <c r="G1463" s="11"/>
    </row>
    <row r="1464" spans="1:7" x14ac:dyDescent="0.3">
      <c r="A1464" s="7"/>
      <c r="B1464" s="8"/>
      <c r="C1464" s="8"/>
      <c r="D1464" s="9"/>
      <c r="E1464" s="9"/>
      <c r="F1464" s="10"/>
      <c r="G1464" s="11"/>
    </row>
    <row r="1465" spans="1:7" x14ac:dyDescent="0.3">
      <c r="A1465" s="7"/>
      <c r="B1465" s="8"/>
      <c r="C1465" s="8"/>
      <c r="D1465" s="9"/>
      <c r="E1465" s="9"/>
      <c r="F1465" s="10"/>
      <c r="G1465" s="11"/>
    </row>
    <row r="1466" spans="1:7" x14ac:dyDescent="0.3">
      <c r="A1466" s="7"/>
      <c r="B1466" s="8"/>
      <c r="C1466" s="8"/>
      <c r="D1466" s="9"/>
      <c r="E1466" s="9"/>
      <c r="F1466" s="10"/>
      <c r="G1466" s="11"/>
    </row>
    <row r="1467" spans="1:7" x14ac:dyDescent="0.3">
      <c r="A1467" s="7"/>
      <c r="B1467" s="8"/>
      <c r="C1467" s="8"/>
      <c r="D1467" s="9"/>
      <c r="E1467" s="9"/>
      <c r="F1467" s="10"/>
      <c r="G1467" s="11"/>
    </row>
    <row r="1468" spans="1:7" x14ac:dyDescent="0.3">
      <c r="A1468" s="7"/>
      <c r="B1468" s="8"/>
      <c r="C1468" s="8"/>
      <c r="D1468" s="9"/>
      <c r="E1468" s="9"/>
      <c r="F1468" s="10"/>
      <c r="G1468" s="11"/>
    </row>
    <row r="1469" spans="1:7" x14ac:dyDescent="0.3">
      <c r="A1469" s="7"/>
      <c r="B1469" s="8"/>
      <c r="C1469" s="8"/>
      <c r="D1469" s="9"/>
      <c r="E1469" s="9"/>
      <c r="F1469" s="10"/>
      <c r="G1469" s="11"/>
    </row>
    <row r="1470" spans="1:7" x14ac:dyDescent="0.3">
      <c r="A1470" s="7"/>
      <c r="B1470" s="8"/>
      <c r="C1470" s="8"/>
      <c r="D1470" s="9"/>
      <c r="E1470" s="9"/>
      <c r="F1470" s="10"/>
      <c r="G1470" s="11"/>
    </row>
    <row r="1471" spans="1:7" x14ac:dyDescent="0.3">
      <c r="A1471" s="7"/>
      <c r="B1471" s="8"/>
      <c r="C1471" s="8"/>
      <c r="D1471" s="9"/>
      <c r="E1471" s="9"/>
      <c r="F1471" s="10"/>
      <c r="G1471" s="11"/>
    </row>
    <row r="1472" spans="1:7" x14ac:dyDescent="0.3">
      <c r="A1472" s="7"/>
      <c r="B1472" s="8"/>
      <c r="C1472" s="8"/>
      <c r="D1472" s="9"/>
      <c r="E1472" s="9"/>
      <c r="F1472" s="10"/>
      <c r="G1472" s="11"/>
    </row>
    <row r="1473" spans="1:7" x14ac:dyDescent="0.3">
      <c r="A1473" s="7"/>
      <c r="B1473" s="8"/>
      <c r="C1473" s="8"/>
      <c r="D1473" s="9"/>
      <c r="E1473" s="9"/>
      <c r="F1473" s="10"/>
      <c r="G1473" s="11"/>
    </row>
    <row r="1474" spans="1:7" x14ac:dyDescent="0.3">
      <c r="A1474" s="7"/>
      <c r="B1474" s="8"/>
      <c r="C1474" s="8"/>
      <c r="D1474" s="9"/>
      <c r="E1474" s="9"/>
      <c r="F1474" s="10"/>
      <c r="G1474" s="11"/>
    </row>
    <row r="1475" spans="1:7" x14ac:dyDescent="0.3">
      <c r="A1475" s="7"/>
      <c r="B1475" s="8"/>
      <c r="C1475" s="8"/>
      <c r="D1475" s="9"/>
      <c r="E1475" s="9"/>
      <c r="F1475" s="10"/>
      <c r="G1475" s="11"/>
    </row>
    <row r="1476" spans="1:7" x14ac:dyDescent="0.3">
      <c r="A1476" s="7"/>
      <c r="B1476" s="8"/>
      <c r="C1476" s="8"/>
      <c r="D1476" s="9"/>
      <c r="E1476" s="9"/>
      <c r="F1476" s="10"/>
      <c r="G1476" s="11"/>
    </row>
    <row r="1477" spans="1:7" x14ac:dyDescent="0.3">
      <c r="A1477" s="7"/>
      <c r="B1477" s="8"/>
      <c r="C1477" s="8"/>
      <c r="D1477" s="9"/>
      <c r="E1477" s="9"/>
      <c r="F1477" s="10"/>
      <c r="G1477" s="11"/>
    </row>
    <row r="1478" spans="1:7" x14ac:dyDescent="0.3">
      <c r="A1478" s="7"/>
      <c r="B1478" s="8"/>
      <c r="C1478" s="8"/>
      <c r="D1478" s="9"/>
      <c r="E1478" s="9"/>
      <c r="F1478" s="10"/>
      <c r="G1478" s="11"/>
    </row>
    <row r="1479" spans="1:7" x14ac:dyDescent="0.3">
      <c r="A1479" s="7"/>
      <c r="B1479" s="8"/>
      <c r="C1479" s="8"/>
      <c r="D1479" s="9"/>
      <c r="E1479" s="9"/>
      <c r="F1479" s="10"/>
      <c r="G1479" s="11"/>
    </row>
    <row r="1480" spans="1:7" x14ac:dyDescent="0.3">
      <c r="A1480" s="7"/>
      <c r="B1480" s="8"/>
      <c r="C1480" s="8"/>
      <c r="D1480" s="9"/>
      <c r="E1480" s="9"/>
      <c r="F1480" s="10"/>
      <c r="G1480" s="11"/>
    </row>
    <row r="1481" spans="1:7" x14ac:dyDescent="0.3">
      <c r="A1481" s="7"/>
      <c r="B1481" s="8"/>
      <c r="C1481" s="8"/>
      <c r="D1481" s="9"/>
      <c r="E1481" s="9"/>
      <c r="F1481" s="10"/>
      <c r="G1481" s="11"/>
    </row>
    <row r="1482" spans="1:7" x14ac:dyDescent="0.3">
      <c r="A1482" s="7"/>
      <c r="B1482" s="8"/>
      <c r="C1482" s="8"/>
      <c r="D1482" s="9"/>
      <c r="E1482" s="9"/>
      <c r="F1482" s="10"/>
      <c r="G1482" s="11"/>
    </row>
    <row r="1483" spans="1:7" x14ac:dyDescent="0.3">
      <c r="A1483" s="7"/>
      <c r="B1483" s="8"/>
      <c r="C1483" s="8"/>
      <c r="D1483" s="9"/>
      <c r="E1483" s="9"/>
      <c r="F1483" s="10"/>
      <c r="G1483" s="11"/>
    </row>
    <row r="1484" spans="1:7" x14ac:dyDescent="0.3">
      <c r="A1484" s="7"/>
      <c r="B1484" s="8"/>
      <c r="C1484" s="8"/>
      <c r="D1484" s="9"/>
      <c r="E1484" s="9"/>
      <c r="F1484" s="10"/>
      <c r="G1484" s="11"/>
    </row>
    <row r="1485" spans="1:7" x14ac:dyDescent="0.3">
      <c r="A1485" s="7"/>
      <c r="B1485" s="8"/>
      <c r="C1485" s="8"/>
      <c r="D1485" s="9"/>
      <c r="E1485" s="9"/>
      <c r="F1485" s="10"/>
      <c r="G1485" s="11"/>
    </row>
    <row r="1486" spans="1:7" x14ac:dyDescent="0.3">
      <c r="A1486" s="7"/>
      <c r="B1486" s="8"/>
      <c r="C1486" s="8"/>
      <c r="D1486" s="9"/>
      <c r="E1486" s="9"/>
      <c r="F1486" s="10"/>
      <c r="G1486" s="11"/>
    </row>
    <row r="1487" spans="1:7" x14ac:dyDescent="0.3">
      <c r="A1487" s="7"/>
      <c r="B1487" s="8"/>
      <c r="C1487" s="8"/>
      <c r="D1487" s="9"/>
      <c r="E1487" s="9"/>
      <c r="F1487" s="10"/>
      <c r="G1487" s="11"/>
    </row>
    <row r="1488" spans="1:7" x14ac:dyDescent="0.3">
      <c r="A1488" s="7"/>
      <c r="B1488" s="8"/>
      <c r="C1488" s="8"/>
      <c r="D1488" s="9"/>
      <c r="E1488" s="9"/>
      <c r="F1488" s="10"/>
      <c r="G1488" s="11"/>
    </row>
    <row r="1489" spans="1:7" x14ac:dyDescent="0.3">
      <c r="A1489" s="7"/>
      <c r="B1489" s="8"/>
      <c r="C1489" s="8"/>
      <c r="D1489" s="9"/>
      <c r="E1489" s="9"/>
      <c r="F1489" s="10"/>
      <c r="G1489" s="11"/>
    </row>
    <row r="1490" spans="1:7" x14ac:dyDescent="0.3">
      <c r="A1490" s="7"/>
      <c r="B1490" s="8"/>
      <c r="C1490" s="8"/>
      <c r="D1490" s="9"/>
      <c r="E1490" s="9"/>
      <c r="F1490" s="10"/>
      <c r="G1490" s="11"/>
    </row>
    <row r="1491" spans="1:7" x14ac:dyDescent="0.3">
      <c r="A1491" s="7"/>
      <c r="B1491" s="8"/>
      <c r="C1491" s="8"/>
      <c r="D1491" s="9"/>
      <c r="E1491" s="9"/>
      <c r="F1491" s="10"/>
      <c r="G1491" s="11"/>
    </row>
    <row r="1492" spans="1:7" x14ac:dyDescent="0.3">
      <c r="A1492" s="7"/>
      <c r="B1492" s="8"/>
      <c r="C1492" s="8"/>
      <c r="D1492" s="9"/>
      <c r="E1492" s="9"/>
      <c r="F1492" s="10"/>
      <c r="G1492" s="11"/>
    </row>
    <row r="1493" spans="1:7" x14ac:dyDescent="0.3">
      <c r="A1493" s="7"/>
      <c r="B1493" s="8"/>
      <c r="C1493" s="8"/>
      <c r="D1493" s="9"/>
      <c r="E1493" s="9"/>
      <c r="F1493" s="10"/>
      <c r="G1493" s="11"/>
    </row>
    <row r="1494" spans="1:7" x14ac:dyDescent="0.3">
      <c r="A1494" s="7"/>
      <c r="B1494" s="8"/>
      <c r="C1494" s="8"/>
      <c r="D1494" s="9"/>
      <c r="E1494" s="9"/>
      <c r="F1494" s="10"/>
      <c r="G1494" s="11"/>
    </row>
    <row r="1495" spans="1:7" x14ac:dyDescent="0.3">
      <c r="A1495" s="7"/>
      <c r="B1495" s="8"/>
      <c r="C1495" s="8"/>
      <c r="D1495" s="9"/>
      <c r="E1495" s="9"/>
      <c r="F1495" s="10"/>
      <c r="G1495" s="11"/>
    </row>
    <row r="1496" spans="1:7" x14ac:dyDescent="0.3">
      <c r="A1496" s="7"/>
      <c r="B1496" s="8"/>
      <c r="C1496" s="8"/>
      <c r="D1496" s="9"/>
      <c r="E1496" s="9"/>
      <c r="F1496" s="10"/>
      <c r="G1496" s="11"/>
    </row>
    <row r="1497" spans="1:7" x14ac:dyDescent="0.3">
      <c r="A1497" s="7"/>
      <c r="B1497" s="8"/>
      <c r="C1497" s="8"/>
      <c r="D1497" s="9"/>
      <c r="E1497" s="9"/>
      <c r="F1497" s="10"/>
      <c r="G1497" s="11"/>
    </row>
    <row r="1498" spans="1:7" x14ac:dyDescent="0.3">
      <c r="A1498" s="7"/>
      <c r="B1498" s="8"/>
      <c r="C1498" s="8"/>
      <c r="D1498" s="9"/>
      <c r="E1498" s="9"/>
      <c r="F1498" s="10"/>
      <c r="G1498" s="11"/>
    </row>
    <row r="1499" spans="1:7" x14ac:dyDescent="0.3">
      <c r="A1499" s="7"/>
      <c r="B1499" s="8"/>
      <c r="C1499" s="8"/>
      <c r="D1499" s="9"/>
      <c r="E1499" s="9"/>
      <c r="F1499" s="10"/>
      <c r="G1499" s="11"/>
    </row>
    <row r="1500" spans="1:7" x14ac:dyDescent="0.3">
      <c r="A1500" s="7"/>
      <c r="B1500" s="8"/>
      <c r="C1500" s="8"/>
      <c r="D1500" s="9"/>
      <c r="E1500" s="9"/>
      <c r="F1500" s="10"/>
      <c r="G1500" s="11"/>
    </row>
    <row r="1501" spans="1:7" x14ac:dyDescent="0.3">
      <c r="A1501" s="7"/>
      <c r="B1501" s="8"/>
      <c r="C1501" s="8"/>
      <c r="D1501" s="9"/>
      <c r="E1501" s="9"/>
      <c r="F1501" s="10"/>
      <c r="G1501" s="11"/>
    </row>
    <row r="1502" spans="1:7" x14ac:dyDescent="0.3">
      <c r="A1502" s="7"/>
      <c r="B1502" s="8"/>
      <c r="C1502" s="8"/>
      <c r="D1502" s="9"/>
      <c r="E1502" s="9"/>
      <c r="F1502" s="10"/>
      <c r="G1502" s="11"/>
    </row>
    <row r="1503" spans="1:7" x14ac:dyDescent="0.3">
      <c r="A1503" s="7"/>
      <c r="B1503" s="8"/>
      <c r="C1503" s="8"/>
      <c r="D1503" s="9"/>
      <c r="E1503" s="9"/>
      <c r="F1503" s="10"/>
      <c r="G1503" s="11"/>
    </row>
    <row r="1504" spans="1:7" x14ac:dyDescent="0.3">
      <c r="A1504" s="7"/>
      <c r="B1504" s="8"/>
      <c r="C1504" s="8"/>
      <c r="D1504" s="9"/>
      <c r="E1504" s="9"/>
      <c r="F1504" s="10"/>
      <c r="G1504" s="11"/>
    </row>
    <row r="1505" spans="1:7" x14ac:dyDescent="0.3">
      <c r="A1505" s="7"/>
      <c r="B1505" s="8"/>
      <c r="C1505" s="8"/>
      <c r="D1505" s="9"/>
      <c r="E1505" s="9"/>
      <c r="F1505" s="10"/>
      <c r="G1505" s="11"/>
    </row>
    <row r="1506" spans="1:7" x14ac:dyDescent="0.3">
      <c r="A1506" s="7"/>
      <c r="B1506" s="8"/>
      <c r="C1506" s="8"/>
      <c r="D1506" s="9"/>
      <c r="E1506" s="9"/>
      <c r="F1506" s="10"/>
      <c r="G1506" s="11"/>
    </row>
    <row r="1507" spans="1:7" x14ac:dyDescent="0.3">
      <c r="A1507" s="7"/>
      <c r="B1507" s="8"/>
      <c r="C1507" s="8"/>
      <c r="D1507" s="9"/>
      <c r="E1507" s="9"/>
      <c r="F1507" s="10"/>
      <c r="G1507" s="11"/>
    </row>
    <row r="1508" spans="1:7" x14ac:dyDescent="0.3">
      <c r="A1508" s="7"/>
      <c r="B1508" s="8"/>
      <c r="C1508" s="8"/>
      <c r="D1508" s="9"/>
      <c r="E1508" s="9"/>
      <c r="F1508" s="10"/>
      <c r="G1508" s="11"/>
    </row>
    <row r="1509" spans="1:7" x14ac:dyDescent="0.3">
      <c r="A1509" s="7"/>
      <c r="B1509" s="8"/>
      <c r="C1509" s="8"/>
      <c r="D1509" s="9"/>
      <c r="E1509" s="9"/>
      <c r="F1509" s="10"/>
      <c r="G1509" s="11"/>
    </row>
    <row r="1510" spans="1:7" x14ac:dyDescent="0.3">
      <c r="A1510" s="7"/>
      <c r="B1510" s="8"/>
      <c r="C1510" s="8"/>
      <c r="D1510" s="9"/>
      <c r="E1510" s="9"/>
      <c r="F1510" s="10"/>
      <c r="G1510" s="11"/>
    </row>
    <row r="1511" spans="1:7" x14ac:dyDescent="0.3">
      <c r="A1511" s="7"/>
      <c r="B1511" s="8"/>
      <c r="C1511" s="8"/>
      <c r="D1511" s="9"/>
      <c r="E1511" s="9"/>
      <c r="F1511" s="10"/>
      <c r="G1511" s="11"/>
    </row>
    <row r="1512" spans="1:7" x14ac:dyDescent="0.3">
      <c r="A1512" s="7"/>
      <c r="B1512" s="8"/>
      <c r="C1512" s="8"/>
      <c r="D1512" s="9"/>
      <c r="E1512" s="9"/>
      <c r="F1512" s="10"/>
      <c r="G1512" s="11"/>
    </row>
    <row r="1513" spans="1:7" x14ac:dyDescent="0.3">
      <c r="A1513" s="7"/>
      <c r="B1513" s="8"/>
      <c r="C1513" s="8"/>
      <c r="D1513" s="9"/>
      <c r="E1513" s="9"/>
      <c r="F1513" s="10"/>
      <c r="G1513" s="11"/>
    </row>
    <row r="1514" spans="1:7" x14ac:dyDescent="0.3">
      <c r="A1514" s="7"/>
      <c r="B1514" s="8"/>
      <c r="C1514" s="8"/>
      <c r="D1514" s="9"/>
      <c r="E1514" s="9"/>
      <c r="F1514" s="10"/>
      <c r="G1514" s="11"/>
    </row>
    <row r="1515" spans="1:7" x14ac:dyDescent="0.3">
      <c r="A1515" s="7"/>
      <c r="B1515" s="8"/>
      <c r="C1515" s="8"/>
      <c r="D1515" s="9"/>
      <c r="E1515" s="9"/>
      <c r="F1515" s="10"/>
      <c r="G1515" s="11"/>
    </row>
    <row r="1516" spans="1:7" x14ac:dyDescent="0.3">
      <c r="A1516" s="7"/>
      <c r="B1516" s="8"/>
      <c r="C1516" s="8"/>
      <c r="D1516" s="9"/>
      <c r="E1516" s="9"/>
      <c r="F1516" s="10"/>
      <c r="G1516" s="11"/>
    </row>
    <row r="1517" spans="1:7" x14ac:dyDescent="0.3">
      <c r="A1517" s="7"/>
      <c r="B1517" s="8"/>
      <c r="C1517" s="8"/>
      <c r="D1517" s="9"/>
      <c r="E1517" s="9"/>
      <c r="F1517" s="10"/>
      <c r="G1517" s="11"/>
    </row>
    <row r="1518" spans="1:7" x14ac:dyDescent="0.3">
      <c r="A1518" s="7"/>
      <c r="B1518" s="8"/>
      <c r="C1518" s="8"/>
      <c r="D1518" s="9"/>
      <c r="E1518" s="9"/>
      <c r="F1518" s="10"/>
      <c r="G1518" s="11"/>
    </row>
    <row r="1519" spans="1:7" x14ac:dyDescent="0.3">
      <c r="A1519" s="7"/>
      <c r="B1519" s="8"/>
      <c r="C1519" s="8"/>
      <c r="D1519" s="9"/>
      <c r="E1519" s="9"/>
      <c r="F1519" s="10"/>
      <c r="G1519" s="11"/>
    </row>
    <row r="1520" spans="1:7" x14ac:dyDescent="0.3">
      <c r="A1520" s="7"/>
      <c r="B1520" s="8"/>
      <c r="C1520" s="8"/>
      <c r="D1520" s="9"/>
      <c r="E1520" s="9"/>
      <c r="F1520" s="10"/>
      <c r="G1520" s="11"/>
    </row>
    <row r="1521" spans="1:7" x14ac:dyDescent="0.3">
      <c r="A1521" s="7"/>
      <c r="B1521" s="8"/>
      <c r="C1521" s="8"/>
      <c r="D1521" s="9"/>
      <c r="E1521" s="9"/>
      <c r="F1521" s="10"/>
      <c r="G1521" s="11"/>
    </row>
    <row r="1522" spans="1:7" x14ac:dyDescent="0.3">
      <c r="A1522" s="7"/>
      <c r="B1522" s="8"/>
      <c r="C1522" s="8"/>
      <c r="D1522" s="9"/>
      <c r="E1522" s="9"/>
      <c r="F1522" s="10"/>
      <c r="G1522" s="11"/>
    </row>
    <row r="1523" spans="1:7" x14ac:dyDescent="0.3">
      <c r="A1523" s="7"/>
      <c r="B1523" s="8"/>
      <c r="C1523" s="8"/>
      <c r="D1523" s="9"/>
      <c r="E1523" s="9"/>
      <c r="F1523" s="10"/>
      <c r="G1523" s="11"/>
    </row>
    <row r="1524" spans="1:7" x14ac:dyDescent="0.3">
      <c r="A1524" s="7"/>
      <c r="B1524" s="8"/>
      <c r="C1524" s="8"/>
      <c r="D1524" s="9"/>
      <c r="E1524" s="9"/>
      <c r="F1524" s="10"/>
      <c r="G1524" s="11"/>
    </row>
    <row r="1525" spans="1:7" x14ac:dyDescent="0.3">
      <c r="A1525" s="7"/>
      <c r="B1525" s="8"/>
      <c r="C1525" s="8"/>
      <c r="D1525" s="9"/>
      <c r="E1525" s="9"/>
      <c r="F1525" s="10"/>
      <c r="G1525" s="11"/>
    </row>
    <row r="1526" spans="1:7" x14ac:dyDescent="0.3">
      <c r="A1526" s="7"/>
      <c r="B1526" s="8"/>
      <c r="C1526" s="8"/>
      <c r="D1526" s="9"/>
      <c r="E1526" s="9"/>
      <c r="F1526" s="10"/>
      <c r="G1526" s="11"/>
    </row>
    <row r="1527" spans="1:7" x14ac:dyDescent="0.3">
      <c r="A1527" s="7"/>
      <c r="B1527" s="8"/>
      <c r="C1527" s="8"/>
      <c r="D1527" s="9"/>
      <c r="E1527" s="9"/>
      <c r="F1527" s="10"/>
      <c r="G1527" s="11"/>
    </row>
    <row r="1528" spans="1:7" x14ac:dyDescent="0.3">
      <c r="A1528" s="7"/>
      <c r="B1528" s="8"/>
      <c r="C1528" s="8"/>
      <c r="D1528" s="9"/>
      <c r="E1528" s="9"/>
      <c r="F1528" s="10"/>
      <c r="G1528" s="11"/>
    </row>
    <row r="1529" spans="1:7" x14ac:dyDescent="0.3">
      <c r="A1529" s="7"/>
      <c r="B1529" s="8"/>
      <c r="C1529" s="8"/>
      <c r="D1529" s="9"/>
      <c r="E1529" s="9"/>
      <c r="F1529" s="10"/>
      <c r="G1529" s="11"/>
    </row>
    <row r="1530" spans="1:7" x14ac:dyDescent="0.3">
      <c r="A1530" s="7"/>
      <c r="B1530" s="8"/>
      <c r="C1530" s="8"/>
      <c r="D1530" s="9"/>
      <c r="E1530" s="9"/>
      <c r="F1530" s="10"/>
      <c r="G1530" s="11"/>
    </row>
    <row r="1531" spans="1:7" x14ac:dyDescent="0.3">
      <c r="A1531" s="7"/>
      <c r="B1531" s="8"/>
      <c r="C1531" s="8"/>
      <c r="D1531" s="9"/>
      <c r="E1531" s="9"/>
      <c r="F1531" s="10"/>
      <c r="G1531" s="11"/>
    </row>
    <row r="1532" spans="1:7" x14ac:dyDescent="0.3">
      <c r="A1532" s="7"/>
      <c r="B1532" s="8"/>
      <c r="C1532" s="8"/>
      <c r="D1532" s="9"/>
      <c r="E1532" s="9"/>
      <c r="F1532" s="10"/>
      <c r="G1532" s="11"/>
    </row>
    <row r="1533" spans="1:7" x14ac:dyDescent="0.3">
      <c r="A1533" s="7"/>
      <c r="B1533" s="8"/>
      <c r="C1533" s="8"/>
      <c r="D1533" s="9"/>
      <c r="E1533" s="9"/>
      <c r="F1533" s="10"/>
      <c r="G1533" s="11"/>
    </row>
    <row r="1534" spans="1:7" x14ac:dyDescent="0.3">
      <c r="A1534" s="7"/>
      <c r="B1534" s="8"/>
      <c r="C1534" s="8"/>
      <c r="D1534" s="9"/>
      <c r="E1534" s="9"/>
      <c r="F1534" s="10"/>
      <c r="G1534" s="11"/>
    </row>
    <row r="1535" spans="1:7" x14ac:dyDescent="0.3">
      <c r="A1535" s="7"/>
      <c r="B1535" s="8"/>
      <c r="C1535" s="8"/>
      <c r="D1535" s="9"/>
      <c r="E1535" s="9"/>
      <c r="F1535" s="10"/>
      <c r="G1535" s="11"/>
    </row>
    <row r="1536" spans="1:7" x14ac:dyDescent="0.3">
      <c r="A1536" s="7"/>
      <c r="B1536" s="8"/>
      <c r="C1536" s="8"/>
      <c r="D1536" s="9"/>
      <c r="E1536" s="9"/>
      <c r="F1536" s="10"/>
      <c r="G1536" s="11"/>
    </row>
    <row r="1537" spans="1:7" x14ac:dyDescent="0.3">
      <c r="A1537" s="7"/>
      <c r="B1537" s="8"/>
      <c r="C1537" s="8"/>
      <c r="D1537" s="9"/>
      <c r="E1537" s="9"/>
      <c r="F1537" s="10"/>
      <c r="G1537" s="11"/>
    </row>
    <row r="1538" spans="1:7" x14ac:dyDescent="0.3">
      <c r="A1538" s="7"/>
      <c r="B1538" s="8"/>
      <c r="C1538" s="8"/>
      <c r="D1538" s="9"/>
      <c r="E1538" s="9"/>
      <c r="F1538" s="10"/>
      <c r="G1538" s="11"/>
    </row>
    <row r="1539" spans="1:7" x14ac:dyDescent="0.3">
      <c r="A1539" s="7"/>
      <c r="B1539" s="8"/>
      <c r="C1539" s="8"/>
      <c r="D1539" s="9"/>
      <c r="E1539" s="9"/>
      <c r="F1539" s="10"/>
      <c r="G1539" s="11"/>
    </row>
    <row r="1540" spans="1:7" x14ac:dyDescent="0.3">
      <c r="A1540" s="7"/>
      <c r="B1540" s="8"/>
      <c r="C1540" s="8"/>
      <c r="D1540" s="9"/>
      <c r="E1540" s="9"/>
      <c r="F1540" s="10"/>
      <c r="G1540" s="11"/>
    </row>
    <row r="1541" spans="1:7" x14ac:dyDescent="0.3">
      <c r="A1541" s="7"/>
      <c r="B1541" s="8"/>
      <c r="C1541" s="8"/>
      <c r="D1541" s="9"/>
      <c r="E1541" s="9"/>
      <c r="F1541" s="10"/>
      <c r="G1541" s="11"/>
    </row>
    <row r="1542" spans="1:7" x14ac:dyDescent="0.3">
      <c r="A1542" s="7"/>
      <c r="B1542" s="8"/>
      <c r="C1542" s="8"/>
      <c r="D1542" s="9"/>
      <c r="E1542" s="9"/>
      <c r="F1542" s="10"/>
      <c r="G1542" s="11"/>
    </row>
    <row r="1543" spans="1:7" x14ac:dyDescent="0.3">
      <c r="A1543" s="7"/>
      <c r="B1543" s="8"/>
      <c r="C1543" s="8"/>
      <c r="D1543" s="9"/>
      <c r="E1543" s="9"/>
      <c r="F1543" s="10"/>
      <c r="G1543" s="11"/>
    </row>
    <row r="1544" spans="1:7" x14ac:dyDescent="0.3">
      <c r="A1544" s="7"/>
      <c r="B1544" s="8"/>
      <c r="C1544" s="8"/>
      <c r="D1544" s="9"/>
      <c r="E1544" s="9"/>
      <c r="F1544" s="10"/>
      <c r="G1544" s="11"/>
    </row>
    <row r="1545" spans="1:7" x14ac:dyDescent="0.3">
      <c r="A1545" s="7"/>
      <c r="B1545" s="8"/>
      <c r="C1545" s="8"/>
      <c r="D1545" s="9"/>
      <c r="E1545" s="9"/>
      <c r="F1545" s="10"/>
      <c r="G1545" s="11"/>
    </row>
    <row r="1546" spans="1:7" x14ac:dyDescent="0.3">
      <c r="A1546" s="7"/>
      <c r="B1546" s="8"/>
      <c r="C1546" s="8"/>
      <c r="D1546" s="9"/>
      <c r="E1546" s="9"/>
      <c r="F1546" s="10"/>
      <c r="G1546" s="11"/>
    </row>
    <row r="1547" spans="1:7" x14ac:dyDescent="0.3">
      <c r="A1547" s="7"/>
      <c r="B1547" s="8"/>
      <c r="C1547" s="8"/>
      <c r="D1547" s="9"/>
      <c r="E1547" s="9"/>
      <c r="F1547" s="10"/>
      <c r="G1547" s="11"/>
    </row>
    <row r="1548" spans="1:7" x14ac:dyDescent="0.3">
      <c r="A1548" s="7"/>
      <c r="B1548" s="8"/>
      <c r="C1548" s="8"/>
      <c r="D1548" s="9"/>
      <c r="E1548" s="9"/>
      <c r="F1548" s="10"/>
      <c r="G1548" s="11"/>
    </row>
    <row r="1549" spans="1:7" x14ac:dyDescent="0.3">
      <c r="A1549" s="7"/>
      <c r="B1549" s="8"/>
      <c r="C1549" s="8"/>
      <c r="D1549" s="9"/>
      <c r="E1549" s="9"/>
      <c r="F1549" s="10"/>
      <c r="G1549" s="11"/>
    </row>
    <row r="1550" spans="1:7" x14ac:dyDescent="0.3">
      <c r="A1550" s="7"/>
      <c r="B1550" s="8"/>
      <c r="C1550" s="8"/>
      <c r="D1550" s="9"/>
      <c r="E1550" s="9"/>
      <c r="F1550" s="10"/>
      <c r="G1550" s="11"/>
    </row>
    <row r="1551" spans="1:7" x14ac:dyDescent="0.3">
      <c r="A1551" s="7"/>
      <c r="B1551" s="8"/>
      <c r="C1551" s="8"/>
      <c r="D1551" s="9"/>
      <c r="E1551" s="9"/>
      <c r="F1551" s="10"/>
      <c r="G1551" s="11"/>
    </row>
    <row r="1552" spans="1:7" x14ac:dyDescent="0.3">
      <c r="A1552" s="7"/>
      <c r="B1552" s="8"/>
      <c r="C1552" s="8"/>
      <c r="D1552" s="9"/>
      <c r="E1552" s="9"/>
      <c r="F1552" s="10"/>
      <c r="G1552" s="11"/>
    </row>
    <row r="1553" spans="1:7" x14ac:dyDescent="0.3">
      <c r="A1553" s="7"/>
      <c r="B1553" s="8"/>
      <c r="C1553" s="8"/>
      <c r="D1553" s="9"/>
      <c r="E1553" s="9"/>
      <c r="F1553" s="10"/>
      <c r="G1553" s="11"/>
    </row>
    <row r="1554" spans="1:7" x14ac:dyDescent="0.3">
      <c r="A1554" s="7"/>
      <c r="B1554" s="8"/>
      <c r="C1554" s="8"/>
      <c r="D1554" s="9"/>
      <c r="E1554" s="9"/>
      <c r="F1554" s="10"/>
      <c r="G1554" s="11"/>
    </row>
    <row r="1555" spans="1:7" x14ac:dyDescent="0.3">
      <c r="A1555" s="7"/>
      <c r="B1555" s="8"/>
      <c r="C1555" s="8"/>
      <c r="D1555" s="9"/>
      <c r="E1555" s="9"/>
      <c r="F1555" s="10"/>
      <c r="G1555" s="11"/>
    </row>
    <row r="1556" spans="1:7" x14ac:dyDescent="0.3">
      <c r="A1556" s="7"/>
      <c r="B1556" s="8"/>
      <c r="C1556" s="8"/>
      <c r="D1556" s="9"/>
      <c r="E1556" s="9"/>
      <c r="F1556" s="10"/>
      <c r="G1556" s="11"/>
    </row>
    <row r="1557" spans="1:7" x14ac:dyDescent="0.3">
      <c r="A1557" s="7"/>
      <c r="B1557" s="8"/>
      <c r="C1557" s="8"/>
      <c r="D1557" s="9"/>
      <c r="E1557" s="9"/>
      <c r="F1557" s="10"/>
      <c r="G1557" s="11"/>
    </row>
    <row r="1558" spans="1:7" x14ac:dyDescent="0.3">
      <c r="A1558" s="7"/>
      <c r="B1558" s="8"/>
      <c r="C1558" s="8"/>
      <c r="D1558" s="9"/>
      <c r="E1558" s="9"/>
      <c r="F1558" s="10"/>
      <c r="G1558" s="11"/>
    </row>
    <row r="1559" spans="1:7" x14ac:dyDescent="0.3">
      <c r="A1559" s="7"/>
      <c r="B1559" s="8"/>
      <c r="C1559" s="8"/>
      <c r="D1559" s="9"/>
      <c r="E1559" s="9"/>
      <c r="F1559" s="10"/>
      <c r="G1559" s="11"/>
    </row>
    <row r="1560" spans="1:7" x14ac:dyDescent="0.3">
      <c r="A1560" s="7"/>
      <c r="B1560" s="8"/>
      <c r="C1560" s="8"/>
      <c r="D1560" s="9"/>
      <c r="E1560" s="9"/>
      <c r="F1560" s="10"/>
      <c r="G1560" s="11"/>
    </row>
    <row r="1561" spans="1:7" x14ac:dyDescent="0.3">
      <c r="A1561" s="7"/>
      <c r="B1561" s="8"/>
      <c r="C1561" s="8"/>
      <c r="D1561" s="9"/>
      <c r="E1561" s="9"/>
      <c r="F1561" s="10"/>
      <c r="G1561" s="11"/>
    </row>
    <row r="1562" spans="1:7" x14ac:dyDescent="0.3">
      <c r="A1562" s="7"/>
      <c r="B1562" s="8"/>
      <c r="C1562" s="8"/>
      <c r="D1562" s="9"/>
      <c r="E1562" s="9"/>
      <c r="F1562" s="10"/>
      <c r="G1562" s="11"/>
    </row>
    <row r="1563" spans="1:7" x14ac:dyDescent="0.3">
      <c r="A1563" s="7"/>
      <c r="B1563" s="8"/>
      <c r="C1563" s="8"/>
      <c r="D1563" s="9"/>
      <c r="E1563" s="9"/>
      <c r="F1563" s="10"/>
      <c r="G1563" s="11"/>
    </row>
    <row r="1564" spans="1:7" x14ac:dyDescent="0.3">
      <c r="A1564" s="7"/>
      <c r="B1564" s="8"/>
      <c r="C1564" s="8"/>
      <c r="D1564" s="9"/>
      <c r="E1564" s="9"/>
      <c r="F1564" s="10"/>
      <c r="G1564" s="11"/>
    </row>
    <row r="1565" spans="1:7" x14ac:dyDescent="0.3">
      <c r="A1565" s="7"/>
      <c r="B1565" s="8"/>
      <c r="C1565" s="8"/>
      <c r="D1565" s="9"/>
      <c r="E1565" s="9"/>
      <c r="F1565" s="10"/>
      <c r="G1565" s="11"/>
    </row>
    <row r="1566" spans="1:7" x14ac:dyDescent="0.3">
      <c r="A1566" s="7"/>
      <c r="B1566" s="8"/>
      <c r="C1566" s="8"/>
      <c r="D1566" s="9"/>
      <c r="E1566" s="9"/>
      <c r="F1566" s="10"/>
      <c r="G1566" s="11"/>
    </row>
    <row r="1567" spans="1:7" x14ac:dyDescent="0.3">
      <c r="A1567" s="7"/>
      <c r="B1567" s="8"/>
      <c r="C1567" s="8"/>
      <c r="D1567" s="9"/>
      <c r="E1567" s="9"/>
      <c r="F1567" s="10"/>
      <c r="G1567" s="11"/>
    </row>
    <row r="1568" spans="1:7" x14ac:dyDescent="0.3">
      <c r="A1568" s="7"/>
      <c r="B1568" s="8"/>
      <c r="C1568" s="8"/>
      <c r="D1568" s="9"/>
      <c r="E1568" s="9"/>
      <c r="F1568" s="10"/>
      <c r="G1568" s="11"/>
    </row>
    <row r="1569" spans="1:7" x14ac:dyDescent="0.3">
      <c r="A1569" s="7"/>
      <c r="B1569" s="8"/>
      <c r="C1569" s="8"/>
      <c r="D1569" s="9"/>
      <c r="E1569" s="9"/>
      <c r="F1569" s="10"/>
      <c r="G1569" s="11"/>
    </row>
    <row r="1570" spans="1:7" x14ac:dyDescent="0.3">
      <c r="A1570" s="7"/>
      <c r="B1570" s="8"/>
      <c r="C1570" s="8"/>
      <c r="D1570" s="9"/>
      <c r="E1570" s="9"/>
      <c r="F1570" s="10"/>
      <c r="G1570" s="11"/>
    </row>
    <row r="1571" spans="1:7" x14ac:dyDescent="0.3">
      <c r="A1571" s="7"/>
      <c r="B1571" s="8"/>
      <c r="C1571" s="8"/>
      <c r="D1571" s="9"/>
      <c r="E1571" s="9"/>
      <c r="F1571" s="10"/>
      <c r="G1571" s="11"/>
    </row>
    <row r="1572" spans="1:7" x14ac:dyDescent="0.3">
      <c r="A1572" s="7"/>
      <c r="B1572" s="8"/>
      <c r="C1572" s="8"/>
      <c r="D1572" s="9"/>
      <c r="E1572" s="9"/>
      <c r="F1572" s="10"/>
      <c r="G1572" s="11"/>
    </row>
    <row r="1573" spans="1:7" x14ac:dyDescent="0.3">
      <c r="A1573" s="7"/>
      <c r="B1573" s="8"/>
      <c r="C1573" s="8"/>
      <c r="D1573" s="9"/>
      <c r="E1573" s="9"/>
      <c r="F1573" s="10"/>
      <c r="G1573" s="11"/>
    </row>
    <row r="1574" spans="1:7" x14ac:dyDescent="0.3">
      <c r="A1574" s="7"/>
      <c r="B1574" s="8"/>
      <c r="C1574" s="8"/>
      <c r="D1574" s="9"/>
      <c r="E1574" s="9"/>
      <c r="F1574" s="10"/>
      <c r="G1574" s="11"/>
    </row>
    <row r="1575" spans="1:7" x14ac:dyDescent="0.3">
      <c r="A1575" s="7"/>
      <c r="B1575" s="8"/>
      <c r="C1575" s="8"/>
      <c r="D1575" s="9"/>
      <c r="E1575" s="9"/>
      <c r="F1575" s="10"/>
      <c r="G1575" s="11"/>
    </row>
    <row r="1576" spans="1:7" x14ac:dyDescent="0.3">
      <c r="A1576" s="7"/>
      <c r="B1576" s="8"/>
      <c r="C1576" s="8"/>
      <c r="D1576" s="9"/>
      <c r="E1576" s="9"/>
      <c r="F1576" s="10"/>
      <c r="G1576" s="11"/>
    </row>
    <row r="1577" spans="1:7" x14ac:dyDescent="0.3">
      <c r="A1577" s="7"/>
      <c r="B1577" s="8"/>
      <c r="C1577" s="8"/>
      <c r="D1577" s="9"/>
      <c r="E1577" s="9"/>
      <c r="F1577" s="10"/>
      <c r="G1577" s="11"/>
    </row>
    <row r="1578" spans="1:7" x14ac:dyDescent="0.3">
      <c r="A1578" s="7"/>
      <c r="B1578" s="8"/>
      <c r="C1578" s="8"/>
      <c r="D1578" s="9"/>
      <c r="E1578" s="9"/>
      <c r="F1578" s="10"/>
      <c r="G1578" s="11"/>
    </row>
    <row r="1579" spans="1:7" x14ac:dyDescent="0.3">
      <c r="A1579" s="7"/>
      <c r="B1579" s="8"/>
      <c r="C1579" s="8"/>
      <c r="D1579" s="9"/>
      <c r="E1579" s="9"/>
      <c r="F1579" s="10"/>
      <c r="G1579" s="11"/>
    </row>
    <row r="1580" spans="1:7" x14ac:dyDescent="0.3">
      <c r="A1580" s="7"/>
      <c r="B1580" s="8"/>
      <c r="C1580" s="8"/>
      <c r="D1580" s="9"/>
      <c r="E1580" s="9"/>
      <c r="F1580" s="10"/>
      <c r="G1580" s="11"/>
    </row>
    <row r="1581" spans="1:7" x14ac:dyDescent="0.3">
      <c r="A1581" s="7"/>
      <c r="B1581" s="8"/>
      <c r="C1581" s="8"/>
      <c r="D1581" s="9"/>
      <c r="E1581" s="9"/>
      <c r="F1581" s="10"/>
      <c r="G1581" s="11"/>
    </row>
    <row r="1582" spans="1:7" x14ac:dyDescent="0.3">
      <c r="A1582" s="7"/>
      <c r="B1582" s="8"/>
      <c r="C1582" s="8"/>
      <c r="D1582" s="9"/>
      <c r="E1582" s="9"/>
      <c r="F1582" s="10"/>
      <c r="G1582" s="11"/>
    </row>
    <row r="1583" spans="1:7" x14ac:dyDescent="0.3">
      <c r="A1583" s="7"/>
      <c r="B1583" s="8"/>
      <c r="C1583" s="8"/>
      <c r="D1583" s="9"/>
      <c r="E1583" s="9"/>
      <c r="F1583" s="10"/>
      <c r="G1583" s="11"/>
    </row>
    <row r="1584" spans="1:7" x14ac:dyDescent="0.3">
      <c r="A1584" s="7"/>
      <c r="B1584" s="8"/>
      <c r="C1584" s="8"/>
      <c r="D1584" s="9"/>
      <c r="E1584" s="9"/>
      <c r="F1584" s="10"/>
      <c r="G1584" s="11"/>
    </row>
    <row r="1585" spans="1:7" x14ac:dyDescent="0.3">
      <c r="A1585" s="7"/>
      <c r="B1585" s="8"/>
      <c r="C1585" s="8"/>
      <c r="D1585" s="9"/>
      <c r="E1585" s="9"/>
      <c r="F1585" s="10"/>
      <c r="G1585" s="11"/>
    </row>
    <row r="1586" spans="1:7" x14ac:dyDescent="0.3">
      <c r="A1586" s="7"/>
      <c r="B1586" s="8"/>
      <c r="C1586" s="8"/>
      <c r="D1586" s="9"/>
      <c r="E1586" s="9"/>
      <c r="F1586" s="10"/>
      <c r="G1586" s="11"/>
    </row>
    <row r="1587" spans="1:7" x14ac:dyDescent="0.3">
      <c r="A1587" s="7"/>
      <c r="B1587" s="8"/>
      <c r="C1587" s="8"/>
      <c r="D1587" s="9"/>
      <c r="E1587" s="9"/>
      <c r="F1587" s="10"/>
      <c r="G1587" s="11"/>
    </row>
    <row r="1588" spans="1:7" x14ac:dyDescent="0.3">
      <c r="A1588" s="7"/>
      <c r="B1588" s="8"/>
      <c r="C1588" s="8"/>
      <c r="D1588" s="9"/>
      <c r="E1588" s="9"/>
      <c r="F1588" s="10"/>
      <c r="G1588" s="11"/>
    </row>
    <row r="1589" spans="1:7" x14ac:dyDescent="0.3">
      <c r="A1589" s="7"/>
      <c r="B1589" s="8"/>
      <c r="C1589" s="8"/>
      <c r="D1589" s="9"/>
      <c r="E1589" s="9"/>
      <c r="F1589" s="10"/>
      <c r="G1589" s="11"/>
    </row>
    <row r="1590" spans="1:7" x14ac:dyDescent="0.3">
      <c r="A1590" s="7"/>
      <c r="B1590" s="8"/>
      <c r="C1590" s="8"/>
      <c r="D1590" s="9"/>
      <c r="E1590" s="9"/>
      <c r="F1590" s="10"/>
      <c r="G1590" s="11"/>
    </row>
    <row r="1591" spans="1:7" x14ac:dyDescent="0.3">
      <c r="A1591" s="7"/>
      <c r="B1591" s="8"/>
      <c r="C1591" s="8"/>
      <c r="D1591" s="9"/>
      <c r="E1591" s="9"/>
      <c r="F1591" s="10"/>
      <c r="G1591" s="11"/>
    </row>
    <row r="1592" spans="1:7" x14ac:dyDescent="0.3">
      <c r="A1592" s="7"/>
      <c r="B1592" s="8"/>
      <c r="C1592" s="8"/>
      <c r="D1592" s="9"/>
      <c r="E1592" s="9"/>
      <c r="F1592" s="10"/>
      <c r="G1592" s="11"/>
    </row>
    <row r="1593" spans="1:7" x14ac:dyDescent="0.3">
      <c r="A1593" s="7"/>
      <c r="B1593" s="8"/>
      <c r="C1593" s="8"/>
      <c r="D1593" s="9"/>
      <c r="E1593" s="9"/>
      <c r="F1593" s="10"/>
      <c r="G1593" s="11"/>
    </row>
    <row r="1594" spans="1:7" x14ac:dyDescent="0.3">
      <c r="A1594" s="7"/>
      <c r="B1594" s="8"/>
      <c r="C1594" s="8"/>
      <c r="D1594" s="9"/>
      <c r="E1594" s="9"/>
      <c r="F1594" s="10"/>
      <c r="G1594" s="11"/>
    </row>
    <row r="1595" spans="1:7" x14ac:dyDescent="0.3">
      <c r="A1595" s="7"/>
      <c r="B1595" s="8"/>
      <c r="C1595" s="8"/>
      <c r="D1595" s="9"/>
      <c r="E1595" s="9"/>
      <c r="F1595" s="10"/>
      <c r="G1595" s="11"/>
    </row>
    <row r="1596" spans="1:7" x14ac:dyDescent="0.3">
      <c r="A1596" s="7"/>
      <c r="B1596" s="8"/>
      <c r="C1596" s="8"/>
      <c r="D1596" s="9"/>
      <c r="E1596" s="9"/>
      <c r="F1596" s="10"/>
      <c r="G1596" s="11"/>
    </row>
    <row r="1597" spans="1:7" x14ac:dyDescent="0.3">
      <c r="A1597" s="7"/>
      <c r="B1597" s="8"/>
      <c r="C1597" s="8"/>
      <c r="D1597" s="9"/>
      <c r="E1597" s="9"/>
      <c r="F1597" s="10"/>
      <c r="G1597" s="11"/>
    </row>
    <row r="1598" spans="1:7" x14ac:dyDescent="0.3">
      <c r="A1598" s="7"/>
      <c r="B1598" s="8"/>
      <c r="C1598" s="8"/>
      <c r="D1598" s="9"/>
      <c r="E1598" s="9"/>
      <c r="F1598" s="10"/>
      <c r="G1598" s="11"/>
    </row>
    <row r="1599" spans="1:7" x14ac:dyDescent="0.3">
      <c r="A1599" s="7"/>
      <c r="B1599" s="8"/>
      <c r="C1599" s="8"/>
      <c r="D1599" s="9"/>
      <c r="E1599" s="9"/>
      <c r="F1599" s="10"/>
      <c r="G1599" s="11"/>
    </row>
    <row r="1600" spans="1:7" x14ac:dyDescent="0.3">
      <c r="A1600" s="7"/>
      <c r="B1600" s="8"/>
      <c r="C1600" s="8"/>
      <c r="D1600" s="9"/>
      <c r="E1600" s="9"/>
      <c r="F1600" s="10"/>
      <c r="G1600" s="11"/>
    </row>
    <row r="1601" spans="1:7" x14ac:dyDescent="0.3">
      <c r="A1601" s="7"/>
      <c r="B1601" s="8"/>
      <c r="C1601" s="8"/>
      <c r="D1601" s="9"/>
      <c r="E1601" s="9"/>
      <c r="F1601" s="10"/>
      <c r="G1601" s="11"/>
    </row>
    <row r="1602" spans="1:7" x14ac:dyDescent="0.3">
      <c r="A1602" s="7"/>
      <c r="B1602" s="8"/>
      <c r="C1602" s="8"/>
      <c r="D1602" s="9"/>
      <c r="E1602" s="9"/>
      <c r="F1602" s="10"/>
      <c r="G1602" s="11"/>
    </row>
    <row r="1603" spans="1:7" x14ac:dyDescent="0.3">
      <c r="A1603" s="7"/>
      <c r="B1603" s="8"/>
      <c r="C1603" s="8"/>
      <c r="D1603" s="9"/>
      <c r="E1603" s="9"/>
      <c r="F1603" s="10"/>
      <c r="G1603" s="11"/>
    </row>
    <row r="1604" spans="1:7" x14ac:dyDescent="0.3">
      <c r="A1604" s="7"/>
      <c r="B1604" s="8"/>
      <c r="C1604" s="8"/>
      <c r="D1604" s="9"/>
      <c r="E1604" s="9"/>
      <c r="F1604" s="10"/>
      <c r="G1604" s="11"/>
    </row>
    <row r="1605" spans="1:7" x14ac:dyDescent="0.3">
      <c r="A1605" s="7"/>
      <c r="B1605" s="8"/>
      <c r="C1605" s="8"/>
      <c r="D1605" s="9"/>
      <c r="E1605" s="9"/>
      <c r="F1605" s="10"/>
      <c r="G1605" s="11"/>
    </row>
    <row r="1606" spans="1:7" x14ac:dyDescent="0.3">
      <c r="A1606" s="7"/>
      <c r="B1606" s="8"/>
      <c r="C1606" s="8"/>
      <c r="D1606" s="9"/>
      <c r="E1606" s="9"/>
      <c r="F1606" s="10"/>
      <c r="G1606" s="11"/>
    </row>
    <row r="1607" spans="1:7" x14ac:dyDescent="0.3">
      <c r="A1607" s="7"/>
      <c r="B1607" s="8"/>
      <c r="C1607" s="8"/>
      <c r="D1607" s="9"/>
      <c r="E1607" s="9"/>
      <c r="F1607" s="10"/>
      <c r="G1607" s="11"/>
    </row>
    <row r="1608" spans="1:7" x14ac:dyDescent="0.3">
      <c r="A1608" s="7"/>
      <c r="B1608" s="8"/>
      <c r="C1608" s="8"/>
      <c r="D1608" s="9"/>
      <c r="E1608" s="9"/>
      <c r="F1608" s="10"/>
      <c r="G1608" s="11"/>
    </row>
    <row r="1609" spans="1:7" x14ac:dyDescent="0.3">
      <c r="A1609" s="7"/>
      <c r="B1609" s="8"/>
      <c r="C1609" s="8"/>
      <c r="D1609" s="9"/>
      <c r="E1609" s="9"/>
      <c r="F1609" s="10"/>
      <c r="G1609" s="11"/>
    </row>
    <row r="1610" spans="1:7" x14ac:dyDescent="0.3">
      <c r="A1610" s="7"/>
      <c r="B1610" s="8"/>
      <c r="C1610" s="8"/>
      <c r="D1610" s="9"/>
      <c r="E1610" s="9"/>
      <c r="F1610" s="10"/>
      <c r="G1610" s="11"/>
    </row>
    <row r="1611" spans="1:7" x14ac:dyDescent="0.3">
      <c r="A1611" s="7"/>
      <c r="B1611" s="8"/>
      <c r="C1611" s="8"/>
      <c r="D1611" s="9"/>
      <c r="E1611" s="9"/>
      <c r="F1611" s="10"/>
      <c r="G1611" s="11"/>
    </row>
    <row r="1612" spans="1:7" x14ac:dyDescent="0.3">
      <c r="A1612" s="7"/>
      <c r="B1612" s="8"/>
      <c r="C1612" s="8"/>
      <c r="D1612" s="9"/>
      <c r="E1612" s="9"/>
      <c r="F1612" s="10"/>
      <c r="G1612" s="11"/>
    </row>
    <row r="1613" spans="1:7" x14ac:dyDescent="0.3">
      <c r="A1613" s="7"/>
      <c r="B1613" s="8"/>
      <c r="C1613" s="8"/>
      <c r="D1613" s="9"/>
      <c r="E1613" s="9"/>
      <c r="F1613" s="10"/>
      <c r="G1613" s="11"/>
    </row>
    <row r="1614" spans="1:7" x14ac:dyDescent="0.3">
      <c r="A1614" s="7"/>
      <c r="B1614" s="8"/>
      <c r="C1614" s="8"/>
      <c r="D1614" s="9"/>
      <c r="E1614" s="9"/>
      <c r="F1614" s="10"/>
      <c r="G1614" s="11"/>
    </row>
    <row r="1615" spans="1:7" x14ac:dyDescent="0.3">
      <c r="A1615" s="7"/>
      <c r="B1615" s="8"/>
      <c r="C1615" s="8"/>
      <c r="D1615" s="9"/>
      <c r="E1615" s="9"/>
      <c r="F1615" s="10"/>
      <c r="G1615" s="11"/>
    </row>
    <row r="1616" spans="1:7" x14ac:dyDescent="0.3">
      <c r="A1616" s="7"/>
      <c r="B1616" s="8"/>
      <c r="C1616" s="8"/>
      <c r="D1616" s="9"/>
      <c r="E1616" s="9"/>
      <c r="F1616" s="10"/>
      <c r="G1616" s="11"/>
    </row>
    <row r="1617" spans="1:7" x14ac:dyDescent="0.3">
      <c r="A1617" s="7"/>
      <c r="B1617" s="8"/>
      <c r="C1617" s="8"/>
      <c r="D1617" s="9"/>
      <c r="E1617" s="9"/>
      <c r="F1617" s="10"/>
      <c r="G1617" s="11"/>
    </row>
    <row r="1618" spans="1:7" x14ac:dyDescent="0.3">
      <c r="A1618" s="7"/>
      <c r="B1618" s="8"/>
      <c r="C1618" s="8"/>
      <c r="D1618" s="9"/>
      <c r="E1618" s="9"/>
      <c r="F1618" s="10"/>
      <c r="G1618" s="11"/>
    </row>
    <row r="1619" spans="1:7" x14ac:dyDescent="0.3">
      <c r="A1619" s="7"/>
      <c r="B1619" s="8"/>
      <c r="C1619" s="8"/>
      <c r="D1619" s="9"/>
      <c r="E1619" s="9"/>
      <c r="F1619" s="10"/>
      <c r="G1619" s="11"/>
    </row>
    <row r="1620" spans="1:7" x14ac:dyDescent="0.3">
      <c r="A1620" s="7"/>
      <c r="B1620" s="8"/>
      <c r="C1620" s="8"/>
      <c r="D1620" s="9"/>
      <c r="E1620" s="9"/>
      <c r="F1620" s="10"/>
      <c r="G1620" s="11"/>
    </row>
    <row r="1621" spans="1:7" x14ac:dyDescent="0.3">
      <c r="A1621" s="7"/>
      <c r="B1621" s="8"/>
      <c r="C1621" s="8"/>
      <c r="D1621" s="9"/>
      <c r="E1621" s="9"/>
      <c r="F1621" s="10"/>
      <c r="G1621" s="11"/>
    </row>
    <row r="1622" spans="1:7" x14ac:dyDescent="0.3">
      <c r="A1622" s="7"/>
      <c r="B1622" s="8"/>
      <c r="C1622" s="8"/>
      <c r="D1622" s="9"/>
      <c r="E1622" s="9"/>
      <c r="F1622" s="10"/>
      <c r="G1622" s="11"/>
    </row>
    <row r="1623" spans="1:7" x14ac:dyDescent="0.3">
      <c r="A1623" s="7"/>
      <c r="B1623" s="8"/>
      <c r="C1623" s="8"/>
      <c r="D1623" s="9"/>
      <c r="E1623" s="9"/>
      <c r="F1623" s="10"/>
      <c r="G1623" s="11"/>
    </row>
    <row r="1624" spans="1:7" x14ac:dyDescent="0.3">
      <c r="A1624" s="7"/>
      <c r="B1624" s="8"/>
      <c r="C1624" s="8"/>
      <c r="D1624" s="9"/>
      <c r="E1624" s="9"/>
      <c r="F1624" s="10"/>
      <c r="G1624" s="11"/>
    </row>
    <row r="1625" spans="1:7" x14ac:dyDescent="0.3">
      <c r="A1625" s="7"/>
      <c r="B1625" s="8"/>
      <c r="C1625" s="8"/>
      <c r="D1625" s="9"/>
      <c r="E1625" s="9"/>
      <c r="F1625" s="10"/>
      <c r="G1625" s="11"/>
    </row>
    <row r="1626" spans="1:7" x14ac:dyDescent="0.3">
      <c r="A1626" s="7"/>
      <c r="B1626" s="8"/>
      <c r="C1626" s="8"/>
      <c r="D1626" s="9"/>
      <c r="E1626" s="9"/>
      <c r="F1626" s="10"/>
      <c r="G1626" s="11"/>
    </row>
    <row r="1627" spans="1:7" x14ac:dyDescent="0.3">
      <c r="A1627" s="7"/>
      <c r="B1627" s="8"/>
      <c r="C1627" s="8"/>
      <c r="D1627" s="9"/>
      <c r="E1627" s="9"/>
      <c r="F1627" s="10"/>
      <c r="G1627" s="11"/>
    </row>
    <row r="1628" spans="1:7" x14ac:dyDescent="0.3">
      <c r="A1628" s="7"/>
      <c r="B1628" s="8"/>
      <c r="C1628" s="8"/>
      <c r="D1628" s="9"/>
      <c r="E1628" s="9"/>
      <c r="F1628" s="10"/>
      <c r="G1628" s="11"/>
    </row>
    <row r="1629" spans="1:7" x14ac:dyDescent="0.3">
      <c r="A1629" s="7"/>
      <c r="B1629" s="8"/>
      <c r="C1629" s="8"/>
      <c r="D1629" s="9"/>
      <c r="E1629" s="9"/>
      <c r="F1629" s="10"/>
      <c r="G1629" s="11"/>
    </row>
    <row r="1630" spans="1:7" x14ac:dyDescent="0.3">
      <c r="A1630" s="7"/>
      <c r="B1630" s="8"/>
      <c r="C1630" s="8"/>
      <c r="D1630" s="9"/>
      <c r="E1630" s="9"/>
      <c r="F1630" s="10"/>
      <c r="G1630" s="11"/>
    </row>
    <row r="1631" spans="1:7" x14ac:dyDescent="0.3">
      <c r="A1631" s="7"/>
      <c r="B1631" s="8"/>
      <c r="C1631" s="8"/>
      <c r="D1631" s="9"/>
      <c r="E1631" s="9"/>
      <c r="F1631" s="10"/>
      <c r="G1631" s="11"/>
    </row>
    <row r="1632" spans="1:7" x14ac:dyDescent="0.3">
      <c r="A1632" s="7"/>
      <c r="B1632" s="8"/>
      <c r="C1632" s="8"/>
      <c r="D1632" s="9"/>
      <c r="E1632" s="9"/>
      <c r="F1632" s="10"/>
      <c r="G1632" s="11"/>
    </row>
    <row r="1633" spans="1:7" x14ac:dyDescent="0.3">
      <c r="A1633" s="7"/>
      <c r="B1633" s="8"/>
      <c r="C1633" s="8"/>
      <c r="D1633" s="9"/>
      <c r="E1633" s="9"/>
      <c r="F1633" s="10"/>
      <c r="G1633" s="11"/>
    </row>
    <row r="1634" spans="1:7" x14ac:dyDescent="0.3">
      <c r="A1634" s="7"/>
      <c r="B1634" s="8"/>
      <c r="C1634" s="8"/>
      <c r="D1634" s="9"/>
      <c r="E1634" s="9"/>
      <c r="F1634" s="10"/>
      <c r="G1634" s="11"/>
    </row>
    <row r="1635" spans="1:7" x14ac:dyDescent="0.3">
      <c r="A1635" s="7"/>
      <c r="B1635" s="8"/>
      <c r="C1635" s="8"/>
      <c r="D1635" s="9"/>
      <c r="E1635" s="9"/>
      <c r="F1635" s="10"/>
      <c r="G1635" s="11"/>
    </row>
    <row r="1636" spans="1:7" x14ac:dyDescent="0.3">
      <c r="A1636" s="7"/>
      <c r="B1636" s="8"/>
      <c r="C1636" s="8"/>
      <c r="D1636" s="9"/>
      <c r="E1636" s="9"/>
      <c r="F1636" s="10"/>
      <c r="G1636" s="11"/>
    </row>
    <row r="1637" spans="1:7" x14ac:dyDescent="0.3">
      <c r="A1637" s="7"/>
      <c r="B1637" s="8"/>
      <c r="C1637" s="8"/>
      <c r="D1637" s="9"/>
      <c r="E1637" s="9"/>
      <c r="F1637" s="10"/>
      <c r="G1637" s="11"/>
    </row>
    <row r="1638" spans="1:7" x14ac:dyDescent="0.3">
      <c r="A1638" s="7"/>
      <c r="B1638" s="8"/>
      <c r="C1638" s="8"/>
      <c r="D1638" s="9"/>
      <c r="E1638" s="9"/>
      <c r="F1638" s="10"/>
      <c r="G1638" s="11"/>
    </row>
    <row r="1639" spans="1:7" x14ac:dyDescent="0.3">
      <c r="A1639" s="7"/>
      <c r="B1639" s="8"/>
      <c r="C1639" s="8"/>
      <c r="D1639" s="9"/>
      <c r="E1639" s="9"/>
      <c r="F1639" s="10"/>
      <c r="G1639" s="11"/>
    </row>
    <row r="1640" spans="1:7" x14ac:dyDescent="0.3">
      <c r="A1640" s="7"/>
      <c r="B1640" s="8"/>
      <c r="C1640" s="8"/>
      <c r="D1640" s="9"/>
      <c r="E1640" s="9"/>
      <c r="F1640" s="10"/>
      <c r="G1640" s="11"/>
    </row>
    <row r="1641" spans="1:7" x14ac:dyDescent="0.3">
      <c r="A1641" s="7"/>
      <c r="B1641" s="8"/>
      <c r="C1641" s="8"/>
      <c r="D1641" s="9"/>
      <c r="E1641" s="9"/>
      <c r="F1641" s="10"/>
      <c r="G1641" s="11"/>
    </row>
    <row r="1642" spans="1:7" x14ac:dyDescent="0.3">
      <c r="A1642" s="7"/>
      <c r="B1642" s="8"/>
      <c r="C1642" s="8"/>
      <c r="D1642" s="9"/>
      <c r="E1642" s="9"/>
      <c r="F1642" s="10"/>
      <c r="G1642" s="11"/>
    </row>
    <row r="1643" spans="1:7" x14ac:dyDescent="0.3">
      <c r="A1643" s="7"/>
      <c r="B1643" s="8"/>
      <c r="C1643" s="8"/>
      <c r="D1643" s="9"/>
      <c r="E1643" s="9"/>
      <c r="F1643" s="10"/>
      <c r="G1643" s="11"/>
    </row>
    <row r="1644" spans="1:7" x14ac:dyDescent="0.3">
      <c r="A1644" s="7"/>
      <c r="B1644" s="8"/>
      <c r="C1644" s="8"/>
      <c r="D1644" s="9"/>
      <c r="E1644" s="9"/>
      <c r="F1644" s="10"/>
      <c r="G1644" s="11"/>
    </row>
    <row r="1645" spans="1:7" x14ac:dyDescent="0.3">
      <c r="A1645" s="7"/>
      <c r="B1645" s="8"/>
      <c r="C1645" s="8"/>
      <c r="D1645" s="9"/>
      <c r="E1645" s="9"/>
      <c r="F1645" s="10"/>
      <c r="G1645" s="11"/>
    </row>
    <row r="1646" spans="1:7" x14ac:dyDescent="0.3">
      <c r="A1646" s="7"/>
      <c r="B1646" s="8"/>
      <c r="C1646" s="8"/>
      <c r="D1646" s="9"/>
      <c r="E1646" s="9"/>
      <c r="F1646" s="10"/>
      <c r="G1646" s="11"/>
    </row>
    <row r="1647" spans="1:7" x14ac:dyDescent="0.3">
      <c r="A1647" s="7"/>
      <c r="B1647" s="8"/>
      <c r="C1647" s="8"/>
      <c r="D1647" s="9"/>
      <c r="E1647" s="9"/>
      <c r="F1647" s="10"/>
      <c r="G1647" s="11"/>
    </row>
    <row r="1648" spans="1:7" x14ac:dyDescent="0.3">
      <c r="A1648" s="7"/>
      <c r="B1648" s="8"/>
      <c r="C1648" s="8"/>
      <c r="D1648" s="9"/>
      <c r="E1648" s="9"/>
      <c r="F1648" s="10"/>
      <c r="G1648" s="11"/>
    </row>
    <row r="1649" spans="1:7" x14ac:dyDescent="0.3">
      <c r="A1649" s="7"/>
      <c r="B1649" s="8"/>
      <c r="C1649" s="8"/>
      <c r="D1649" s="9"/>
      <c r="E1649" s="9"/>
      <c r="F1649" s="10"/>
      <c r="G1649" s="11"/>
    </row>
    <row r="1650" spans="1:7" x14ac:dyDescent="0.3">
      <c r="A1650" s="7"/>
      <c r="B1650" s="8"/>
      <c r="C1650" s="8"/>
      <c r="D1650" s="9"/>
      <c r="E1650" s="9"/>
      <c r="F1650" s="10"/>
      <c r="G1650" s="11"/>
    </row>
    <row r="1651" spans="1:7" x14ac:dyDescent="0.3">
      <c r="A1651" s="7"/>
      <c r="B1651" s="8"/>
      <c r="C1651" s="8"/>
      <c r="D1651" s="9"/>
      <c r="E1651" s="9"/>
      <c r="F1651" s="10"/>
      <c r="G1651" s="11"/>
    </row>
    <row r="1652" spans="1:7" x14ac:dyDescent="0.3">
      <c r="A1652" s="7"/>
      <c r="B1652" s="8"/>
      <c r="C1652" s="8"/>
      <c r="D1652" s="9"/>
      <c r="E1652" s="9"/>
      <c r="F1652" s="10"/>
      <c r="G1652" s="11"/>
    </row>
    <row r="1653" spans="1:7" x14ac:dyDescent="0.3">
      <c r="A1653" s="7"/>
      <c r="B1653" s="8"/>
      <c r="C1653" s="8"/>
      <c r="D1653" s="9"/>
      <c r="E1653" s="9"/>
      <c r="F1653" s="10"/>
      <c r="G1653" s="11"/>
    </row>
    <row r="1654" spans="1:7" x14ac:dyDescent="0.3">
      <c r="A1654" s="7"/>
      <c r="B1654" s="8"/>
      <c r="C1654" s="8"/>
      <c r="D1654" s="9"/>
      <c r="E1654" s="9"/>
      <c r="F1654" s="10"/>
      <c r="G1654" s="11"/>
    </row>
    <row r="1655" spans="1:7" x14ac:dyDescent="0.3">
      <c r="A1655" s="7"/>
      <c r="B1655" s="8"/>
      <c r="C1655" s="8"/>
      <c r="D1655" s="9"/>
      <c r="E1655" s="9"/>
      <c r="F1655" s="10"/>
      <c r="G1655" s="11"/>
    </row>
    <row r="1656" spans="1:7" x14ac:dyDescent="0.3">
      <c r="A1656" s="7"/>
      <c r="B1656" s="8"/>
      <c r="C1656" s="8"/>
      <c r="D1656" s="9"/>
      <c r="E1656" s="9"/>
      <c r="F1656" s="10"/>
      <c r="G1656" s="11"/>
    </row>
    <row r="1657" spans="1:7" x14ac:dyDescent="0.3">
      <c r="A1657" s="7"/>
      <c r="B1657" s="8"/>
      <c r="C1657" s="8"/>
      <c r="D1657" s="9"/>
      <c r="E1657" s="9"/>
      <c r="F1657" s="10"/>
      <c r="G1657" s="11"/>
    </row>
    <row r="1658" spans="1:7" x14ac:dyDescent="0.3">
      <c r="A1658" s="7"/>
      <c r="B1658" s="8"/>
      <c r="C1658" s="8"/>
      <c r="D1658" s="9"/>
      <c r="E1658" s="9"/>
      <c r="F1658" s="10"/>
      <c r="G1658" s="11"/>
    </row>
    <row r="1659" spans="1:7" x14ac:dyDescent="0.3">
      <c r="A1659" s="7"/>
      <c r="B1659" s="8"/>
      <c r="C1659" s="8"/>
      <c r="D1659" s="9"/>
      <c r="E1659" s="9"/>
      <c r="F1659" s="10"/>
      <c r="G1659" s="11"/>
    </row>
    <row r="1660" spans="1:7" x14ac:dyDescent="0.3">
      <c r="A1660" s="7"/>
      <c r="B1660" s="8"/>
      <c r="C1660" s="8"/>
      <c r="D1660" s="9"/>
      <c r="E1660" s="9"/>
      <c r="F1660" s="10"/>
      <c r="G1660" s="11"/>
    </row>
    <row r="1661" spans="1:7" x14ac:dyDescent="0.3">
      <c r="A1661" s="7"/>
      <c r="B1661" s="8"/>
      <c r="C1661" s="8"/>
      <c r="D1661" s="9"/>
      <c r="E1661" s="9"/>
      <c r="F1661" s="10"/>
      <c r="G1661" s="11"/>
    </row>
    <row r="1662" spans="1:7" x14ac:dyDescent="0.3">
      <c r="A1662" s="7"/>
      <c r="B1662" s="8"/>
      <c r="C1662" s="8"/>
      <c r="D1662" s="9"/>
      <c r="E1662" s="9"/>
      <c r="F1662" s="10"/>
      <c r="G1662" s="11"/>
    </row>
    <row r="1663" spans="1:7" x14ac:dyDescent="0.3">
      <c r="A1663" s="7"/>
      <c r="B1663" s="8"/>
      <c r="C1663" s="8"/>
      <c r="D1663" s="9"/>
      <c r="E1663" s="9"/>
      <c r="F1663" s="10"/>
      <c r="G1663" s="11"/>
    </row>
    <row r="1664" spans="1:7" x14ac:dyDescent="0.3">
      <c r="A1664" s="7"/>
      <c r="B1664" s="8"/>
      <c r="C1664" s="8"/>
      <c r="D1664" s="9"/>
      <c r="E1664" s="9"/>
      <c r="F1664" s="10"/>
      <c r="G1664" s="11"/>
    </row>
    <row r="1665" spans="1:7" x14ac:dyDescent="0.3">
      <c r="A1665" s="7"/>
      <c r="B1665" s="8"/>
      <c r="C1665" s="8"/>
      <c r="D1665" s="9"/>
      <c r="E1665" s="9"/>
      <c r="F1665" s="10"/>
      <c r="G1665" s="11"/>
    </row>
    <row r="1666" spans="1:7" x14ac:dyDescent="0.3">
      <c r="A1666" s="7"/>
      <c r="B1666" s="8"/>
      <c r="C1666" s="8"/>
      <c r="D1666" s="9"/>
      <c r="E1666" s="9"/>
      <c r="F1666" s="10"/>
      <c r="G1666" s="11"/>
    </row>
    <row r="1667" spans="1:7" x14ac:dyDescent="0.3">
      <c r="A1667" s="7"/>
      <c r="B1667" s="8"/>
      <c r="C1667" s="8"/>
      <c r="D1667" s="9"/>
      <c r="E1667" s="9"/>
      <c r="F1667" s="10"/>
      <c r="G1667" s="11"/>
    </row>
    <row r="1668" spans="1:7" x14ac:dyDescent="0.3">
      <c r="A1668" s="7"/>
      <c r="B1668" s="8"/>
      <c r="C1668" s="8"/>
      <c r="D1668" s="9"/>
      <c r="E1668" s="9"/>
      <c r="F1668" s="10"/>
      <c r="G1668" s="11"/>
    </row>
    <row r="1669" spans="1:7" x14ac:dyDescent="0.3">
      <c r="A1669" s="7"/>
      <c r="B1669" s="8"/>
      <c r="C1669" s="8"/>
      <c r="D1669" s="9"/>
      <c r="E1669" s="9"/>
      <c r="F1669" s="10"/>
      <c r="G1669" s="11"/>
    </row>
    <row r="1670" spans="1:7" x14ac:dyDescent="0.3">
      <c r="A1670" s="7"/>
      <c r="B1670" s="8"/>
      <c r="C1670" s="8"/>
      <c r="D1670" s="9"/>
      <c r="E1670" s="9"/>
      <c r="F1670" s="10"/>
      <c r="G1670" s="11"/>
    </row>
    <row r="1671" spans="1:7" x14ac:dyDescent="0.3">
      <c r="A1671" s="7"/>
      <c r="B1671" s="8"/>
      <c r="C1671" s="8"/>
      <c r="D1671" s="9"/>
      <c r="E1671" s="9"/>
      <c r="F1671" s="10"/>
      <c r="G1671" s="11"/>
    </row>
    <row r="1672" spans="1:7" x14ac:dyDescent="0.3">
      <c r="A1672" s="7"/>
      <c r="B1672" s="8"/>
      <c r="C1672" s="8"/>
      <c r="D1672" s="9"/>
      <c r="E1672" s="9"/>
      <c r="F1672" s="10"/>
      <c r="G1672" s="11"/>
    </row>
    <row r="1673" spans="1:7" x14ac:dyDescent="0.3">
      <c r="A1673" s="7"/>
      <c r="B1673" s="8"/>
      <c r="C1673" s="8"/>
      <c r="D1673" s="9"/>
      <c r="E1673" s="9"/>
      <c r="F1673" s="10"/>
      <c r="G1673" s="11"/>
    </row>
    <row r="1674" spans="1:7" x14ac:dyDescent="0.3">
      <c r="A1674" s="7"/>
      <c r="B1674" s="8"/>
      <c r="C1674" s="8"/>
      <c r="D1674" s="9"/>
      <c r="E1674" s="9"/>
      <c r="F1674" s="10"/>
      <c r="G1674" s="11"/>
    </row>
    <row r="1675" spans="1:7" x14ac:dyDescent="0.3">
      <c r="A1675" s="7"/>
      <c r="B1675" s="8"/>
      <c r="C1675" s="8"/>
      <c r="D1675" s="9"/>
      <c r="E1675" s="9"/>
      <c r="F1675" s="10"/>
      <c r="G1675" s="11"/>
    </row>
    <row r="1676" spans="1:7" x14ac:dyDescent="0.3">
      <c r="A1676" s="7"/>
      <c r="B1676" s="8"/>
      <c r="C1676" s="8"/>
      <c r="D1676" s="9"/>
      <c r="E1676" s="9"/>
      <c r="F1676" s="10"/>
      <c r="G1676" s="11"/>
    </row>
    <row r="1677" spans="1:7" x14ac:dyDescent="0.3">
      <c r="A1677" s="7"/>
      <c r="B1677" s="8"/>
      <c r="C1677" s="8"/>
      <c r="D1677" s="9"/>
      <c r="E1677" s="9"/>
      <c r="F1677" s="10"/>
      <c r="G1677" s="11"/>
    </row>
    <row r="1678" spans="1:7" x14ac:dyDescent="0.3">
      <c r="A1678" s="7"/>
      <c r="B1678" s="8"/>
      <c r="C1678" s="8"/>
      <c r="D1678" s="9"/>
      <c r="E1678" s="9"/>
      <c r="F1678" s="10"/>
      <c r="G1678" s="11"/>
    </row>
    <row r="1679" spans="1:7" x14ac:dyDescent="0.3">
      <c r="A1679" s="7"/>
      <c r="B1679" s="8"/>
      <c r="C1679" s="8"/>
      <c r="D1679" s="9"/>
      <c r="E1679" s="9"/>
      <c r="F1679" s="10"/>
      <c r="G1679" s="11"/>
    </row>
    <row r="1680" spans="1:7" x14ac:dyDescent="0.3">
      <c r="A1680" s="7"/>
      <c r="B1680" s="8"/>
      <c r="C1680" s="8"/>
      <c r="D1680" s="9"/>
      <c r="E1680" s="9"/>
      <c r="F1680" s="10"/>
      <c r="G1680" s="11"/>
    </row>
    <row r="1681" spans="1:7" x14ac:dyDescent="0.3">
      <c r="A1681" s="7"/>
      <c r="B1681" s="8"/>
      <c r="C1681" s="8"/>
      <c r="D1681" s="9"/>
      <c r="E1681" s="9"/>
      <c r="F1681" s="10"/>
      <c r="G1681" s="11"/>
    </row>
    <row r="1682" spans="1:7" x14ac:dyDescent="0.3">
      <c r="A1682" s="7"/>
      <c r="B1682" s="8"/>
      <c r="C1682" s="8"/>
      <c r="D1682" s="9"/>
      <c r="E1682" s="9"/>
      <c r="F1682" s="10"/>
      <c r="G1682" s="11"/>
    </row>
    <row r="1683" spans="1:7" x14ac:dyDescent="0.3">
      <c r="A1683" s="7"/>
      <c r="B1683" s="8"/>
      <c r="C1683" s="8"/>
      <c r="D1683" s="9"/>
      <c r="E1683" s="9"/>
      <c r="F1683" s="10"/>
      <c r="G1683" s="11"/>
    </row>
    <row r="1684" spans="1:7" x14ac:dyDescent="0.3">
      <c r="A1684" s="7"/>
      <c r="B1684" s="8"/>
      <c r="C1684" s="8"/>
      <c r="D1684" s="9"/>
      <c r="E1684" s="9"/>
      <c r="F1684" s="10"/>
      <c r="G1684" s="11"/>
    </row>
    <row r="1685" spans="1:7" x14ac:dyDescent="0.3">
      <c r="A1685" s="7"/>
      <c r="B1685" s="8"/>
      <c r="C1685" s="8"/>
      <c r="D1685" s="9"/>
      <c r="E1685" s="9"/>
      <c r="F1685" s="10"/>
      <c r="G1685" s="11"/>
    </row>
    <row r="1686" spans="1:7" x14ac:dyDescent="0.3">
      <c r="A1686" s="7"/>
      <c r="B1686" s="8"/>
      <c r="C1686" s="8"/>
      <c r="D1686" s="9"/>
      <c r="E1686" s="9"/>
      <c r="F1686" s="10"/>
      <c r="G1686" s="11"/>
    </row>
    <row r="1687" spans="1:7" x14ac:dyDescent="0.3">
      <c r="A1687" s="7"/>
      <c r="B1687" s="8"/>
      <c r="C1687" s="8"/>
      <c r="D1687" s="9"/>
      <c r="E1687" s="9"/>
      <c r="F1687" s="10"/>
      <c r="G1687" s="11"/>
    </row>
    <row r="1688" spans="1:7" x14ac:dyDescent="0.3">
      <c r="A1688" s="7"/>
      <c r="B1688" s="8"/>
      <c r="C1688" s="8"/>
      <c r="D1688" s="9"/>
      <c r="E1688" s="9"/>
      <c r="F1688" s="10"/>
      <c r="G1688" s="11"/>
    </row>
    <row r="1689" spans="1:7" x14ac:dyDescent="0.3">
      <c r="A1689" s="7"/>
      <c r="B1689" s="8"/>
      <c r="C1689" s="8"/>
      <c r="D1689" s="9"/>
      <c r="E1689" s="9"/>
      <c r="F1689" s="10"/>
      <c r="G1689" s="11"/>
    </row>
    <row r="1690" spans="1:7" x14ac:dyDescent="0.3">
      <c r="A1690" s="7"/>
      <c r="B1690" s="8"/>
      <c r="C1690" s="8"/>
      <c r="D1690" s="9"/>
      <c r="E1690" s="9"/>
      <c r="F1690" s="10"/>
      <c r="G1690" s="11"/>
    </row>
    <row r="1691" spans="1:7" x14ac:dyDescent="0.3">
      <c r="A1691" s="7"/>
      <c r="B1691" s="8"/>
      <c r="C1691" s="8"/>
      <c r="D1691" s="9"/>
      <c r="E1691" s="9"/>
      <c r="F1691" s="10"/>
      <c r="G1691" s="11"/>
    </row>
    <row r="1692" spans="1:7" x14ac:dyDescent="0.3">
      <c r="A1692" s="7"/>
      <c r="B1692" s="8"/>
      <c r="C1692" s="8"/>
      <c r="D1692" s="9"/>
      <c r="E1692" s="9"/>
      <c r="F1692" s="10"/>
      <c r="G1692" s="11"/>
    </row>
    <row r="1693" spans="1:7" x14ac:dyDescent="0.3">
      <c r="A1693" s="7"/>
      <c r="B1693" s="8"/>
      <c r="C1693" s="8"/>
      <c r="D1693" s="9"/>
      <c r="E1693" s="9"/>
      <c r="F1693" s="10"/>
      <c r="G1693" s="11"/>
    </row>
    <row r="1694" spans="1:7" x14ac:dyDescent="0.3">
      <c r="A1694" s="7"/>
      <c r="B1694" s="8"/>
      <c r="C1694" s="8"/>
      <c r="D1694" s="9"/>
      <c r="E1694" s="9"/>
      <c r="F1694" s="10"/>
      <c r="G1694" s="11"/>
    </row>
    <row r="1695" spans="1:7" x14ac:dyDescent="0.3">
      <c r="A1695" s="7"/>
      <c r="B1695" s="8"/>
      <c r="C1695" s="8"/>
      <c r="D1695" s="9"/>
      <c r="E1695" s="9"/>
      <c r="F1695" s="10"/>
      <c r="G1695" s="11"/>
    </row>
    <row r="1696" spans="1:7" x14ac:dyDescent="0.3">
      <c r="A1696" s="7"/>
      <c r="B1696" s="8"/>
      <c r="C1696" s="8"/>
      <c r="D1696" s="9"/>
      <c r="E1696" s="9"/>
      <c r="F1696" s="10"/>
      <c r="G1696" s="11"/>
    </row>
    <row r="1697" spans="1:7" x14ac:dyDescent="0.3">
      <c r="A1697" s="7"/>
      <c r="B1697" s="8"/>
      <c r="C1697" s="8"/>
      <c r="D1697" s="9"/>
      <c r="E1697" s="9"/>
      <c r="F1697" s="10"/>
      <c r="G1697" s="11"/>
    </row>
    <row r="1698" spans="1:7" x14ac:dyDescent="0.3">
      <c r="A1698" s="7"/>
      <c r="B1698" s="8"/>
      <c r="C1698" s="8"/>
      <c r="D1698" s="9"/>
      <c r="E1698" s="9"/>
      <c r="F1698" s="10"/>
      <c r="G1698" s="11"/>
    </row>
    <row r="1699" spans="1:7" x14ac:dyDescent="0.3">
      <c r="A1699" s="7"/>
      <c r="B1699" s="8"/>
      <c r="C1699" s="8"/>
      <c r="D1699" s="9"/>
      <c r="E1699" s="9"/>
      <c r="F1699" s="10"/>
      <c r="G1699" s="11"/>
    </row>
    <row r="1700" spans="1:7" x14ac:dyDescent="0.3">
      <c r="A1700" s="7"/>
      <c r="B1700" s="8"/>
      <c r="C1700" s="8"/>
      <c r="D1700" s="9"/>
      <c r="E1700" s="9"/>
      <c r="F1700" s="10"/>
      <c r="G1700" s="11"/>
    </row>
    <row r="1701" spans="1:7" x14ac:dyDescent="0.3">
      <c r="A1701" s="7"/>
      <c r="B1701" s="8"/>
      <c r="C1701" s="8"/>
      <c r="D1701" s="9"/>
      <c r="E1701" s="9"/>
      <c r="F1701" s="10"/>
      <c r="G1701" s="11"/>
    </row>
    <row r="1702" spans="1:7" x14ac:dyDescent="0.3">
      <c r="A1702" s="7"/>
      <c r="B1702" s="8"/>
      <c r="C1702" s="8"/>
      <c r="D1702" s="9"/>
      <c r="E1702" s="9"/>
      <c r="F1702" s="10"/>
      <c r="G1702" s="11"/>
    </row>
    <row r="1703" spans="1:7" x14ac:dyDescent="0.3">
      <c r="A1703" s="7"/>
      <c r="B1703" s="8"/>
      <c r="C1703" s="8"/>
      <c r="D1703" s="9"/>
      <c r="E1703" s="9"/>
      <c r="F1703" s="10"/>
      <c r="G1703" s="11"/>
    </row>
    <row r="1704" spans="1:7" x14ac:dyDescent="0.3">
      <c r="A1704" s="7"/>
      <c r="B1704" s="8"/>
      <c r="C1704" s="8"/>
      <c r="D1704" s="9"/>
      <c r="E1704" s="9"/>
      <c r="F1704" s="10"/>
      <c r="G1704" s="11"/>
    </row>
    <row r="1705" spans="1:7" x14ac:dyDescent="0.3">
      <c r="A1705" s="7"/>
      <c r="B1705" s="8"/>
      <c r="C1705" s="8"/>
      <c r="D1705" s="9"/>
      <c r="E1705" s="9"/>
      <c r="F1705" s="10"/>
      <c r="G1705" s="11"/>
    </row>
    <row r="1706" spans="1:7" x14ac:dyDescent="0.3">
      <c r="A1706" s="7"/>
      <c r="B1706" s="8"/>
      <c r="C1706" s="8"/>
      <c r="D1706" s="9"/>
      <c r="E1706" s="9"/>
      <c r="F1706" s="10"/>
      <c r="G1706" s="11"/>
    </row>
    <row r="1707" spans="1:7" x14ac:dyDescent="0.3">
      <c r="A1707" s="7"/>
      <c r="B1707" s="8"/>
      <c r="C1707" s="8"/>
      <c r="D1707" s="9"/>
      <c r="E1707" s="9"/>
      <c r="F1707" s="10"/>
      <c r="G1707" s="11"/>
    </row>
    <row r="1708" spans="1:7" x14ac:dyDescent="0.3">
      <c r="A1708" s="7"/>
      <c r="B1708" s="8"/>
      <c r="C1708" s="8"/>
      <c r="D1708" s="9"/>
      <c r="E1708" s="9"/>
      <c r="F1708" s="10"/>
      <c r="G1708" s="11"/>
    </row>
    <row r="1709" spans="1:7" x14ac:dyDescent="0.3">
      <c r="A1709" s="7"/>
      <c r="B1709" s="8"/>
      <c r="C1709" s="8"/>
      <c r="D1709" s="9"/>
      <c r="E1709" s="9"/>
      <c r="F1709" s="10"/>
      <c r="G1709" s="11"/>
    </row>
    <row r="1710" spans="1:7" x14ac:dyDescent="0.3">
      <c r="A1710" s="7"/>
      <c r="B1710" s="8"/>
      <c r="C1710" s="8"/>
      <c r="D1710" s="9"/>
      <c r="E1710" s="9"/>
      <c r="F1710" s="10"/>
      <c r="G1710" s="11"/>
    </row>
    <row r="1711" spans="1:7" x14ac:dyDescent="0.3">
      <c r="A1711" s="7"/>
      <c r="B1711" s="8"/>
      <c r="C1711" s="8"/>
      <c r="D1711" s="9"/>
      <c r="E1711" s="9"/>
      <c r="F1711" s="10"/>
      <c r="G1711" s="11"/>
    </row>
    <row r="1712" spans="1:7" x14ac:dyDescent="0.3">
      <c r="A1712" s="7"/>
      <c r="B1712" s="8"/>
      <c r="C1712" s="8"/>
      <c r="D1712" s="9"/>
      <c r="E1712" s="9"/>
      <c r="F1712" s="10"/>
      <c r="G1712" s="11"/>
    </row>
    <row r="1713" spans="1:7" x14ac:dyDescent="0.3">
      <c r="A1713" s="7"/>
      <c r="B1713" s="8"/>
      <c r="C1713" s="8"/>
      <c r="D1713" s="9"/>
      <c r="E1713" s="9"/>
      <c r="F1713" s="10"/>
      <c r="G1713" s="11"/>
    </row>
    <row r="1714" spans="1:7" x14ac:dyDescent="0.3">
      <c r="A1714" s="7"/>
      <c r="B1714" s="8"/>
      <c r="C1714" s="8"/>
      <c r="D1714" s="9"/>
      <c r="E1714" s="9"/>
      <c r="F1714" s="10"/>
      <c r="G1714" s="11"/>
    </row>
    <row r="1715" spans="1:7" x14ac:dyDescent="0.3">
      <c r="A1715" s="7"/>
      <c r="B1715" s="8"/>
      <c r="C1715" s="8"/>
      <c r="D1715" s="9"/>
      <c r="E1715" s="9"/>
      <c r="F1715" s="10"/>
      <c r="G1715" s="11"/>
    </row>
    <row r="1716" spans="1:7" x14ac:dyDescent="0.3">
      <c r="A1716" s="7"/>
      <c r="B1716" s="8"/>
      <c r="C1716" s="8"/>
      <c r="D1716" s="9"/>
      <c r="E1716" s="9"/>
      <c r="F1716" s="10"/>
      <c r="G1716" s="11"/>
    </row>
    <row r="1717" spans="1:7" x14ac:dyDescent="0.3">
      <c r="A1717" s="7"/>
      <c r="B1717" s="8"/>
      <c r="C1717" s="8"/>
      <c r="D1717" s="9"/>
      <c r="E1717" s="9"/>
      <c r="F1717" s="10"/>
      <c r="G1717" s="11"/>
    </row>
    <row r="1718" spans="1:7" x14ac:dyDescent="0.3">
      <c r="A1718" s="7"/>
      <c r="B1718" s="8"/>
      <c r="C1718" s="8"/>
      <c r="D1718" s="9"/>
      <c r="E1718" s="9"/>
      <c r="F1718" s="10"/>
      <c r="G1718" s="11"/>
    </row>
    <row r="1719" spans="1:7" x14ac:dyDescent="0.3">
      <c r="A1719" s="7"/>
      <c r="B1719" s="8"/>
      <c r="C1719" s="8"/>
      <c r="D1719" s="9"/>
      <c r="E1719" s="9"/>
      <c r="F1719" s="10"/>
      <c r="G1719" s="11"/>
    </row>
    <row r="1720" spans="1:7" x14ac:dyDescent="0.3">
      <c r="A1720" s="7"/>
      <c r="B1720" s="8"/>
      <c r="C1720" s="8"/>
      <c r="D1720" s="9"/>
      <c r="E1720" s="9"/>
      <c r="F1720" s="10"/>
      <c r="G1720" s="11"/>
    </row>
    <row r="1721" spans="1:7" x14ac:dyDescent="0.3">
      <c r="A1721" s="7"/>
      <c r="B1721" s="8"/>
      <c r="C1721" s="8"/>
      <c r="D1721" s="9"/>
      <c r="E1721" s="9"/>
      <c r="F1721" s="10"/>
      <c r="G1721" s="11"/>
    </row>
    <row r="1722" spans="1:7" x14ac:dyDescent="0.3">
      <c r="A1722" s="7"/>
      <c r="B1722" s="8"/>
      <c r="C1722" s="8"/>
      <c r="D1722" s="9"/>
      <c r="E1722" s="9"/>
      <c r="F1722" s="10"/>
      <c r="G1722" s="11"/>
    </row>
    <row r="1723" spans="1:7" x14ac:dyDescent="0.3">
      <c r="A1723" s="7"/>
      <c r="B1723" s="8"/>
      <c r="C1723" s="8"/>
      <c r="D1723" s="9"/>
      <c r="E1723" s="9"/>
      <c r="F1723" s="10"/>
      <c r="G1723" s="11"/>
    </row>
    <row r="1724" spans="1:7" x14ac:dyDescent="0.3">
      <c r="A1724" s="7"/>
      <c r="B1724" s="8"/>
      <c r="C1724" s="8"/>
      <c r="D1724" s="9"/>
      <c r="E1724" s="9"/>
      <c r="F1724" s="10"/>
      <c r="G1724" s="11"/>
    </row>
    <row r="1725" spans="1:7" x14ac:dyDescent="0.3">
      <c r="A1725" s="7"/>
      <c r="B1725" s="8"/>
      <c r="C1725" s="8"/>
      <c r="D1725" s="9"/>
      <c r="E1725" s="9"/>
      <c r="F1725" s="10"/>
      <c r="G1725" s="11"/>
    </row>
    <row r="1726" spans="1:7" x14ac:dyDescent="0.3">
      <c r="A1726" s="7"/>
      <c r="B1726" s="8"/>
      <c r="C1726" s="8"/>
      <c r="D1726" s="9"/>
      <c r="E1726" s="9"/>
      <c r="F1726" s="10"/>
      <c r="G1726" s="11"/>
    </row>
    <row r="1727" spans="1:7" x14ac:dyDescent="0.3">
      <c r="A1727" s="7"/>
      <c r="B1727" s="8"/>
      <c r="C1727" s="8"/>
      <c r="D1727" s="9"/>
      <c r="E1727" s="9"/>
      <c r="F1727" s="10"/>
      <c r="G1727" s="11"/>
    </row>
    <row r="1728" spans="1:7" x14ac:dyDescent="0.3">
      <c r="A1728" s="7"/>
      <c r="B1728" s="8"/>
      <c r="C1728" s="8"/>
      <c r="D1728" s="9"/>
      <c r="E1728" s="9"/>
      <c r="F1728" s="10"/>
      <c r="G1728" s="11"/>
    </row>
    <row r="1729" spans="1:7" x14ac:dyDescent="0.3">
      <c r="A1729" s="7"/>
      <c r="B1729" s="8"/>
      <c r="C1729" s="8"/>
      <c r="D1729" s="9"/>
      <c r="E1729" s="9"/>
      <c r="F1729" s="10"/>
      <c r="G1729" s="11"/>
    </row>
    <row r="1730" spans="1:7" x14ac:dyDescent="0.3">
      <c r="A1730" s="7"/>
      <c r="B1730" s="8"/>
      <c r="C1730" s="8"/>
      <c r="D1730" s="9"/>
      <c r="E1730" s="9"/>
      <c r="F1730" s="10"/>
      <c r="G1730" s="11"/>
    </row>
    <row r="1731" spans="1:7" x14ac:dyDescent="0.3">
      <c r="A1731" s="7"/>
      <c r="B1731" s="8"/>
      <c r="C1731" s="8"/>
      <c r="D1731" s="9"/>
      <c r="E1731" s="9"/>
      <c r="F1731" s="10"/>
      <c r="G1731" s="11"/>
    </row>
    <row r="1732" spans="1:7" x14ac:dyDescent="0.3">
      <c r="A1732" s="7"/>
      <c r="B1732" s="8"/>
      <c r="C1732" s="8"/>
      <c r="D1732" s="9"/>
      <c r="E1732" s="9"/>
      <c r="F1732" s="10"/>
      <c r="G1732" s="11"/>
    </row>
    <row r="1733" spans="1:7" x14ac:dyDescent="0.3">
      <c r="A1733" s="7"/>
      <c r="B1733" s="8"/>
      <c r="C1733" s="8"/>
      <c r="D1733" s="9"/>
      <c r="E1733" s="9"/>
      <c r="F1733" s="10"/>
      <c r="G1733" s="11"/>
    </row>
    <row r="1734" spans="1:7" x14ac:dyDescent="0.3">
      <c r="A1734" s="7"/>
      <c r="B1734" s="8"/>
      <c r="C1734" s="8"/>
      <c r="D1734" s="9"/>
      <c r="E1734" s="9"/>
      <c r="F1734" s="10"/>
      <c r="G1734" s="11"/>
    </row>
    <row r="1735" spans="1:7" x14ac:dyDescent="0.3">
      <c r="A1735" s="7"/>
      <c r="B1735" s="8"/>
      <c r="C1735" s="8"/>
      <c r="D1735" s="9"/>
      <c r="E1735" s="9"/>
      <c r="F1735" s="10"/>
      <c r="G1735" s="11"/>
    </row>
    <row r="1736" spans="1:7" x14ac:dyDescent="0.3">
      <c r="A1736" s="7"/>
      <c r="B1736" s="8"/>
      <c r="C1736" s="8"/>
      <c r="D1736" s="9"/>
      <c r="E1736" s="9"/>
      <c r="F1736" s="10"/>
      <c r="G1736" s="11"/>
    </row>
    <row r="1737" spans="1:7" x14ac:dyDescent="0.3">
      <c r="A1737" s="7"/>
      <c r="B1737" s="8"/>
      <c r="C1737" s="8"/>
      <c r="D1737" s="9"/>
      <c r="E1737" s="9"/>
      <c r="F1737" s="10"/>
      <c r="G1737" s="11"/>
    </row>
    <row r="1738" spans="1:7" x14ac:dyDescent="0.3">
      <c r="A1738" s="7"/>
      <c r="B1738" s="8"/>
      <c r="C1738" s="8"/>
      <c r="D1738" s="9"/>
      <c r="E1738" s="9"/>
      <c r="F1738" s="10"/>
      <c r="G1738" s="11"/>
    </row>
    <row r="1739" spans="1:7" x14ac:dyDescent="0.3">
      <c r="A1739" s="7"/>
      <c r="B1739" s="8"/>
      <c r="C1739" s="8"/>
      <c r="D1739" s="9"/>
      <c r="E1739" s="9"/>
      <c r="F1739" s="10"/>
      <c r="G1739" s="11"/>
    </row>
    <row r="1740" spans="1:7" x14ac:dyDescent="0.3">
      <c r="A1740" s="7"/>
      <c r="B1740" s="8"/>
      <c r="C1740" s="8"/>
      <c r="D1740" s="9"/>
      <c r="E1740" s="9"/>
      <c r="F1740" s="10"/>
      <c r="G1740" s="11"/>
    </row>
    <row r="1741" spans="1:7" x14ac:dyDescent="0.3">
      <c r="A1741" s="7"/>
      <c r="B1741" s="8"/>
      <c r="C1741" s="8"/>
      <c r="D1741" s="9"/>
      <c r="E1741" s="9"/>
      <c r="F1741" s="10"/>
      <c r="G1741" s="11"/>
    </row>
    <row r="1742" spans="1:7" x14ac:dyDescent="0.3">
      <c r="A1742" s="7"/>
      <c r="B1742" s="8"/>
      <c r="C1742" s="8"/>
      <c r="D1742" s="9"/>
      <c r="E1742" s="9"/>
      <c r="F1742" s="10"/>
      <c r="G1742" s="11"/>
    </row>
    <row r="1743" spans="1:7" x14ac:dyDescent="0.3">
      <c r="A1743" s="7"/>
      <c r="B1743" s="8"/>
      <c r="C1743" s="8"/>
      <c r="D1743" s="9"/>
      <c r="E1743" s="9"/>
      <c r="F1743" s="10"/>
      <c r="G1743" s="11"/>
    </row>
    <row r="1744" spans="1:7" x14ac:dyDescent="0.3">
      <c r="A1744" s="7"/>
      <c r="B1744" s="8"/>
      <c r="C1744" s="8"/>
      <c r="D1744" s="9"/>
      <c r="E1744" s="9"/>
      <c r="F1744" s="10"/>
      <c r="G1744" s="11"/>
    </row>
    <row r="1745" spans="1:7" x14ac:dyDescent="0.3">
      <c r="A1745" s="7"/>
      <c r="B1745" s="8"/>
      <c r="C1745" s="8"/>
      <c r="D1745" s="9"/>
      <c r="E1745" s="9"/>
      <c r="F1745" s="10"/>
      <c r="G1745" s="11"/>
    </row>
    <row r="1746" spans="1:7" x14ac:dyDescent="0.3">
      <c r="A1746" s="7"/>
      <c r="B1746" s="8"/>
      <c r="C1746" s="8"/>
      <c r="D1746" s="9"/>
      <c r="E1746" s="9"/>
      <c r="F1746" s="10"/>
      <c r="G1746" s="11"/>
    </row>
    <row r="1747" spans="1:7" x14ac:dyDescent="0.3">
      <c r="A1747" s="7"/>
      <c r="B1747" s="8"/>
      <c r="C1747" s="8"/>
      <c r="D1747" s="9"/>
      <c r="E1747" s="9"/>
      <c r="F1747" s="10"/>
      <c r="G1747" s="11"/>
    </row>
    <row r="1748" spans="1:7" x14ac:dyDescent="0.3">
      <c r="A1748" s="7"/>
      <c r="B1748" s="8"/>
      <c r="C1748" s="8"/>
      <c r="D1748" s="9"/>
      <c r="E1748" s="9"/>
      <c r="F1748" s="10"/>
      <c r="G1748" s="11"/>
    </row>
    <row r="1749" spans="1:7" x14ac:dyDescent="0.3">
      <c r="A1749" s="7"/>
      <c r="B1749" s="8"/>
      <c r="C1749" s="8"/>
      <c r="D1749" s="9"/>
      <c r="E1749" s="9"/>
      <c r="F1749" s="10"/>
      <c r="G1749" s="11"/>
    </row>
    <row r="1750" spans="1:7" x14ac:dyDescent="0.3">
      <c r="A1750" s="7"/>
      <c r="B1750" s="8"/>
      <c r="C1750" s="8"/>
      <c r="D1750" s="9"/>
      <c r="E1750" s="9"/>
      <c r="F1750" s="10"/>
      <c r="G1750" s="11"/>
    </row>
    <row r="1751" spans="1:7" x14ac:dyDescent="0.3">
      <c r="A1751" s="7"/>
      <c r="B1751" s="8"/>
      <c r="C1751" s="8"/>
      <c r="D1751" s="9"/>
      <c r="E1751" s="9"/>
      <c r="F1751" s="10"/>
      <c r="G1751" s="11"/>
    </row>
    <row r="1752" spans="1:7" x14ac:dyDescent="0.3">
      <c r="A1752" s="7"/>
      <c r="B1752" s="8"/>
      <c r="C1752" s="8"/>
      <c r="D1752" s="9"/>
      <c r="E1752" s="9"/>
      <c r="F1752" s="10"/>
      <c r="G1752" s="11"/>
    </row>
    <row r="1753" spans="1:7" x14ac:dyDescent="0.3">
      <c r="A1753" s="7"/>
      <c r="B1753" s="8"/>
      <c r="C1753" s="8"/>
      <c r="D1753" s="9"/>
      <c r="E1753" s="9"/>
      <c r="F1753" s="10"/>
      <c r="G1753" s="11"/>
    </row>
    <row r="1754" spans="1:7" x14ac:dyDescent="0.3">
      <c r="A1754" s="7"/>
      <c r="B1754" s="8"/>
      <c r="C1754" s="8"/>
      <c r="D1754" s="9"/>
      <c r="E1754" s="9"/>
      <c r="F1754" s="10"/>
      <c r="G1754" s="11"/>
    </row>
    <row r="1755" spans="1:7" x14ac:dyDescent="0.3">
      <c r="A1755" s="7"/>
      <c r="B1755" s="8"/>
      <c r="C1755" s="8"/>
      <c r="D1755" s="9"/>
      <c r="E1755" s="9"/>
      <c r="F1755" s="10"/>
      <c r="G1755" s="11"/>
    </row>
    <row r="1756" spans="1:7" x14ac:dyDescent="0.3">
      <c r="A1756" s="7"/>
      <c r="B1756" s="8"/>
      <c r="C1756" s="8"/>
      <c r="D1756" s="9"/>
      <c r="E1756" s="9"/>
      <c r="F1756" s="10"/>
      <c r="G1756" s="11"/>
    </row>
    <row r="1757" spans="1:7" x14ac:dyDescent="0.3">
      <c r="A1757" s="7"/>
      <c r="B1757" s="8"/>
      <c r="C1757" s="8"/>
      <c r="D1757" s="9"/>
      <c r="E1757" s="9"/>
      <c r="F1757" s="10"/>
      <c r="G1757" s="11"/>
    </row>
    <row r="1758" spans="1:7" x14ac:dyDescent="0.3">
      <c r="A1758" s="7"/>
      <c r="B1758" s="8"/>
      <c r="C1758" s="8"/>
      <c r="D1758" s="9"/>
      <c r="E1758" s="9"/>
      <c r="F1758" s="10"/>
      <c r="G1758" s="11"/>
    </row>
    <row r="1759" spans="1:7" x14ac:dyDescent="0.3">
      <c r="A1759" s="7"/>
      <c r="B1759" s="8"/>
      <c r="C1759" s="8"/>
      <c r="D1759" s="9"/>
      <c r="E1759" s="9"/>
      <c r="F1759" s="10"/>
      <c r="G1759" s="11"/>
    </row>
    <row r="1760" spans="1:7" x14ac:dyDescent="0.3">
      <c r="A1760" s="7"/>
      <c r="B1760" s="8"/>
      <c r="C1760" s="8"/>
      <c r="D1760" s="9"/>
      <c r="E1760" s="9"/>
      <c r="F1760" s="10"/>
      <c r="G1760" s="11"/>
    </row>
    <row r="1761" spans="1:7" x14ac:dyDescent="0.3">
      <c r="A1761" s="7"/>
      <c r="B1761" s="8"/>
      <c r="C1761" s="8"/>
      <c r="D1761" s="9"/>
      <c r="E1761" s="9"/>
      <c r="F1761" s="10"/>
      <c r="G1761" s="11"/>
    </row>
    <row r="1762" spans="1:7" x14ac:dyDescent="0.3">
      <c r="A1762" s="7"/>
      <c r="B1762" s="8"/>
      <c r="C1762" s="8"/>
      <c r="D1762" s="9"/>
      <c r="E1762" s="9"/>
      <c r="F1762" s="10"/>
      <c r="G1762" s="11"/>
    </row>
    <row r="1763" spans="1:7" x14ac:dyDescent="0.3">
      <c r="A1763" s="7"/>
      <c r="B1763" s="8"/>
      <c r="C1763" s="8"/>
      <c r="D1763" s="9"/>
      <c r="E1763" s="9"/>
      <c r="F1763" s="10"/>
      <c r="G1763" s="11"/>
    </row>
    <row r="1764" spans="1:7" x14ac:dyDescent="0.3">
      <c r="A1764" s="7"/>
      <c r="B1764" s="8"/>
      <c r="C1764" s="8"/>
      <c r="D1764" s="9"/>
      <c r="E1764" s="9"/>
      <c r="F1764" s="10"/>
      <c r="G1764" s="11"/>
    </row>
    <row r="1765" spans="1:7" x14ac:dyDescent="0.3">
      <c r="A1765" s="7"/>
      <c r="B1765" s="8"/>
      <c r="C1765" s="8"/>
      <c r="D1765" s="9"/>
      <c r="E1765" s="9"/>
      <c r="F1765" s="10"/>
      <c r="G1765" s="11"/>
    </row>
    <row r="1766" spans="1:7" x14ac:dyDescent="0.3">
      <c r="A1766" s="7"/>
      <c r="B1766" s="8"/>
      <c r="C1766" s="8"/>
      <c r="D1766" s="9"/>
      <c r="E1766" s="9"/>
      <c r="F1766" s="10"/>
      <c r="G1766" s="11"/>
    </row>
    <row r="1767" spans="1:7" x14ac:dyDescent="0.3">
      <c r="A1767" s="7"/>
      <c r="B1767" s="8"/>
      <c r="C1767" s="8"/>
      <c r="D1767" s="9"/>
      <c r="E1767" s="9"/>
      <c r="F1767" s="10"/>
      <c r="G1767" s="11"/>
    </row>
    <row r="1768" spans="1:7" x14ac:dyDescent="0.3">
      <c r="A1768" s="7"/>
      <c r="B1768" s="8"/>
      <c r="C1768" s="8"/>
      <c r="D1768" s="9"/>
      <c r="E1768" s="9"/>
      <c r="F1768" s="10"/>
      <c r="G1768" s="11"/>
    </row>
    <row r="1769" spans="1:7" x14ac:dyDescent="0.3">
      <c r="A1769" s="7"/>
      <c r="B1769" s="8"/>
      <c r="C1769" s="8"/>
      <c r="D1769" s="9"/>
      <c r="E1769" s="9"/>
      <c r="F1769" s="10"/>
      <c r="G1769" s="11"/>
    </row>
    <row r="1770" spans="1:7" x14ac:dyDescent="0.3">
      <c r="A1770" s="7"/>
      <c r="B1770" s="8"/>
      <c r="C1770" s="8"/>
      <c r="D1770" s="9"/>
      <c r="E1770" s="9"/>
      <c r="F1770" s="10"/>
      <c r="G1770" s="11"/>
    </row>
    <row r="1771" spans="1:7" x14ac:dyDescent="0.3">
      <c r="A1771" s="7"/>
      <c r="B1771" s="8"/>
      <c r="C1771" s="8"/>
      <c r="D1771" s="9"/>
      <c r="E1771" s="9"/>
      <c r="F1771" s="10"/>
      <c r="G1771" s="11"/>
    </row>
    <row r="1772" spans="1:7" x14ac:dyDescent="0.3">
      <c r="A1772" s="7"/>
      <c r="B1772" s="8"/>
      <c r="C1772" s="8"/>
      <c r="D1772" s="9"/>
      <c r="E1772" s="9"/>
      <c r="F1772" s="10"/>
      <c r="G1772" s="11"/>
    </row>
    <row r="1773" spans="1:7" x14ac:dyDescent="0.3">
      <c r="A1773" s="7"/>
      <c r="B1773" s="8"/>
      <c r="C1773" s="8"/>
      <c r="D1773" s="9"/>
      <c r="E1773" s="9"/>
      <c r="F1773" s="10"/>
      <c r="G1773" s="11"/>
    </row>
    <row r="1774" spans="1:7" x14ac:dyDescent="0.3">
      <c r="A1774" s="7"/>
      <c r="B1774" s="8"/>
      <c r="C1774" s="8"/>
      <c r="D1774" s="9"/>
      <c r="E1774" s="9"/>
      <c r="F1774" s="10"/>
      <c r="G1774" s="11"/>
    </row>
    <row r="1775" spans="1:7" x14ac:dyDescent="0.3">
      <c r="A1775" s="7"/>
      <c r="B1775" s="8"/>
      <c r="C1775" s="8"/>
      <c r="D1775" s="9"/>
      <c r="E1775" s="9"/>
      <c r="F1775" s="10"/>
      <c r="G1775" s="11"/>
    </row>
    <row r="1776" spans="1:7" x14ac:dyDescent="0.3">
      <c r="A1776" s="7"/>
      <c r="B1776" s="8"/>
      <c r="C1776" s="8"/>
      <c r="D1776" s="9"/>
      <c r="E1776" s="9"/>
      <c r="F1776" s="10"/>
      <c r="G1776" s="11"/>
    </row>
    <row r="1777" spans="1:7" x14ac:dyDescent="0.3">
      <c r="A1777" s="7"/>
      <c r="B1777" s="8"/>
      <c r="C1777" s="8"/>
      <c r="D1777" s="9"/>
      <c r="E1777" s="9"/>
      <c r="F1777" s="10"/>
      <c r="G1777" s="11"/>
    </row>
    <row r="1778" spans="1:7" x14ac:dyDescent="0.3">
      <c r="A1778" s="7"/>
      <c r="B1778" s="8"/>
      <c r="C1778" s="8"/>
      <c r="D1778" s="9"/>
      <c r="E1778" s="9"/>
      <c r="F1778" s="10"/>
      <c r="G1778" s="11"/>
    </row>
    <row r="1779" spans="1:7" x14ac:dyDescent="0.3">
      <c r="A1779" s="7"/>
      <c r="B1779" s="8"/>
      <c r="C1779" s="8"/>
      <c r="D1779" s="9"/>
      <c r="E1779" s="9"/>
      <c r="F1779" s="10"/>
      <c r="G1779" s="11"/>
    </row>
    <row r="1780" spans="1:7" x14ac:dyDescent="0.3">
      <c r="A1780" s="7"/>
      <c r="B1780" s="8"/>
      <c r="C1780" s="8"/>
      <c r="D1780" s="9"/>
      <c r="E1780" s="9"/>
      <c r="F1780" s="10"/>
      <c r="G1780" s="11"/>
    </row>
    <row r="1781" spans="1:7" x14ac:dyDescent="0.3">
      <c r="A1781" s="7"/>
      <c r="B1781" s="8"/>
      <c r="C1781" s="8"/>
      <c r="D1781" s="9"/>
      <c r="E1781" s="9"/>
      <c r="F1781" s="10"/>
      <c r="G1781" s="11"/>
    </row>
    <row r="1782" spans="1:7" x14ac:dyDescent="0.3">
      <c r="A1782" s="7"/>
      <c r="B1782" s="8"/>
      <c r="C1782" s="8"/>
      <c r="D1782" s="9"/>
      <c r="E1782" s="9"/>
      <c r="F1782" s="10"/>
      <c r="G1782" s="11"/>
    </row>
    <row r="1783" spans="1:7" x14ac:dyDescent="0.3">
      <c r="A1783" s="7"/>
      <c r="B1783" s="8"/>
      <c r="C1783" s="8"/>
      <c r="D1783" s="9"/>
      <c r="E1783" s="9"/>
      <c r="F1783" s="10"/>
      <c r="G1783" s="11"/>
    </row>
    <row r="1784" spans="1:7" x14ac:dyDescent="0.3">
      <c r="A1784" s="7"/>
      <c r="B1784" s="8"/>
      <c r="C1784" s="8"/>
      <c r="D1784" s="9"/>
      <c r="E1784" s="9"/>
      <c r="F1784" s="10"/>
      <c r="G1784" s="11"/>
    </row>
    <row r="1785" spans="1:7" x14ac:dyDescent="0.3">
      <c r="A1785" s="7"/>
      <c r="B1785" s="8"/>
      <c r="C1785" s="8"/>
      <c r="D1785" s="9"/>
      <c r="E1785" s="9"/>
      <c r="F1785" s="10"/>
      <c r="G1785" s="11"/>
    </row>
    <row r="1786" spans="1:7" x14ac:dyDescent="0.3">
      <c r="A1786" s="7"/>
      <c r="B1786" s="8"/>
      <c r="C1786" s="8"/>
      <c r="D1786" s="9"/>
      <c r="E1786" s="9"/>
      <c r="F1786" s="10"/>
      <c r="G1786" s="11"/>
    </row>
    <row r="1787" spans="1:7" x14ac:dyDescent="0.3">
      <c r="A1787" s="7"/>
      <c r="B1787" s="8"/>
      <c r="C1787" s="8"/>
      <c r="D1787" s="9"/>
      <c r="E1787" s="9"/>
      <c r="F1787" s="10"/>
      <c r="G1787" s="11"/>
    </row>
    <row r="1788" spans="1:7" x14ac:dyDescent="0.3">
      <c r="A1788" s="7"/>
      <c r="B1788" s="8"/>
      <c r="C1788" s="8"/>
      <c r="D1788" s="9"/>
      <c r="E1788" s="9"/>
      <c r="F1788" s="10"/>
      <c r="G1788" s="11"/>
    </row>
    <row r="1789" spans="1:7" x14ac:dyDescent="0.3">
      <c r="A1789" s="7"/>
      <c r="B1789" s="8"/>
      <c r="C1789" s="8"/>
      <c r="D1789" s="9"/>
      <c r="E1789" s="9"/>
      <c r="F1789" s="10"/>
      <c r="G1789" s="11"/>
    </row>
    <row r="1790" spans="1:7" x14ac:dyDescent="0.3">
      <c r="A1790" s="7"/>
      <c r="B1790" s="8"/>
      <c r="C1790" s="8"/>
      <c r="D1790" s="9"/>
      <c r="E1790" s="9"/>
      <c r="F1790" s="10"/>
      <c r="G1790" s="11"/>
    </row>
    <row r="1791" spans="1:7" x14ac:dyDescent="0.3">
      <c r="A1791" s="7"/>
      <c r="B1791" s="8"/>
      <c r="C1791" s="8"/>
      <c r="D1791" s="9"/>
      <c r="E1791" s="9"/>
      <c r="F1791" s="10"/>
      <c r="G1791" s="11"/>
    </row>
    <row r="1792" spans="1:7" x14ac:dyDescent="0.3">
      <c r="A1792" s="7"/>
      <c r="B1792" s="8"/>
      <c r="C1792" s="8"/>
      <c r="D1792" s="9"/>
      <c r="E1792" s="9"/>
      <c r="F1792" s="10"/>
      <c r="G1792" s="11"/>
    </row>
    <row r="1793" spans="1:7" x14ac:dyDescent="0.3">
      <c r="A1793" s="7"/>
      <c r="B1793" s="8"/>
      <c r="C1793" s="8"/>
      <c r="D1793" s="9"/>
      <c r="E1793" s="9"/>
      <c r="F1793" s="10"/>
      <c r="G1793" s="11"/>
    </row>
    <row r="1794" spans="1:7" x14ac:dyDescent="0.3">
      <c r="A1794" s="7"/>
      <c r="B1794" s="8"/>
      <c r="C1794" s="8"/>
      <c r="D1794" s="9"/>
      <c r="E1794" s="9"/>
      <c r="F1794" s="10"/>
      <c r="G1794" s="11"/>
    </row>
    <row r="1795" spans="1:7" x14ac:dyDescent="0.3">
      <c r="A1795" s="7"/>
      <c r="B1795" s="8"/>
      <c r="C1795" s="8"/>
      <c r="D1795" s="9"/>
      <c r="E1795" s="9"/>
      <c r="F1795" s="10"/>
      <c r="G1795" s="11"/>
    </row>
    <row r="1796" spans="1:7" x14ac:dyDescent="0.3">
      <c r="A1796" s="7"/>
      <c r="B1796" s="8"/>
      <c r="C1796" s="8"/>
      <c r="D1796" s="9"/>
      <c r="E1796" s="9"/>
      <c r="F1796" s="10"/>
      <c r="G1796" s="11"/>
    </row>
    <row r="1797" spans="1:7" x14ac:dyDescent="0.3">
      <c r="A1797" s="7"/>
      <c r="B1797" s="8"/>
      <c r="C1797" s="8"/>
      <c r="D1797" s="9"/>
      <c r="E1797" s="9"/>
      <c r="F1797" s="10"/>
      <c r="G1797" s="11"/>
    </row>
    <row r="1798" spans="1:7" x14ac:dyDescent="0.3">
      <c r="A1798" s="7"/>
      <c r="B1798" s="8"/>
      <c r="C1798" s="8"/>
      <c r="D1798" s="9"/>
      <c r="E1798" s="9"/>
      <c r="F1798" s="10"/>
      <c r="G1798" s="11"/>
    </row>
    <row r="1799" spans="1:7" x14ac:dyDescent="0.3">
      <c r="A1799" s="7"/>
      <c r="B1799" s="8"/>
      <c r="C1799" s="8"/>
      <c r="D1799" s="9"/>
      <c r="E1799" s="9"/>
      <c r="F1799" s="10"/>
      <c r="G1799" s="11"/>
    </row>
    <row r="1800" spans="1:7" x14ac:dyDescent="0.3">
      <c r="A1800" s="7"/>
      <c r="B1800" s="8"/>
      <c r="C1800" s="8"/>
      <c r="D1800" s="9"/>
      <c r="E1800" s="9"/>
      <c r="F1800" s="10"/>
      <c r="G1800" s="11"/>
    </row>
    <row r="1801" spans="1:7" x14ac:dyDescent="0.3">
      <c r="A1801" s="7"/>
      <c r="B1801" s="8"/>
      <c r="C1801" s="8"/>
      <c r="D1801" s="9"/>
      <c r="E1801" s="9"/>
      <c r="F1801" s="10"/>
      <c r="G1801" s="11"/>
    </row>
    <row r="1802" spans="1:7" x14ac:dyDescent="0.3">
      <c r="A1802" s="7"/>
      <c r="B1802" s="8"/>
      <c r="C1802" s="8"/>
      <c r="D1802" s="9"/>
      <c r="E1802" s="9"/>
      <c r="F1802" s="10"/>
      <c r="G1802" s="11"/>
    </row>
    <row r="1803" spans="1:7" x14ac:dyDescent="0.3">
      <c r="A1803" s="7"/>
      <c r="B1803" s="8"/>
      <c r="C1803" s="8"/>
      <c r="D1803" s="9"/>
      <c r="E1803" s="9"/>
      <c r="F1803" s="10"/>
      <c r="G1803" s="11"/>
    </row>
    <row r="1804" spans="1:7" x14ac:dyDescent="0.3">
      <c r="A1804" s="7"/>
      <c r="B1804" s="8"/>
      <c r="C1804" s="8"/>
      <c r="D1804" s="9"/>
      <c r="E1804" s="9"/>
      <c r="F1804" s="10"/>
      <c r="G1804" s="11"/>
    </row>
    <row r="1805" spans="1:7" x14ac:dyDescent="0.3">
      <c r="A1805" s="7"/>
      <c r="B1805" s="8"/>
      <c r="C1805" s="8"/>
      <c r="D1805" s="9"/>
      <c r="E1805" s="9"/>
      <c r="F1805" s="10"/>
      <c r="G1805" s="11"/>
    </row>
    <row r="1806" spans="1:7" x14ac:dyDescent="0.3">
      <c r="A1806" s="7"/>
      <c r="B1806" s="8"/>
      <c r="C1806" s="8"/>
      <c r="D1806" s="9"/>
      <c r="E1806" s="9"/>
      <c r="F1806" s="10"/>
      <c r="G1806" s="11"/>
    </row>
    <row r="1807" spans="1:7" x14ac:dyDescent="0.3">
      <c r="A1807" s="7"/>
      <c r="B1807" s="8"/>
      <c r="C1807" s="8"/>
      <c r="D1807" s="9"/>
      <c r="E1807" s="9"/>
      <c r="F1807" s="10"/>
      <c r="G1807" s="11"/>
    </row>
    <row r="1808" spans="1:7" x14ac:dyDescent="0.3">
      <c r="A1808" s="7"/>
      <c r="B1808" s="8"/>
      <c r="C1808" s="8"/>
      <c r="D1808" s="9"/>
      <c r="E1808" s="9"/>
      <c r="F1808" s="10"/>
      <c r="G1808" s="11"/>
    </row>
    <row r="1809" spans="1:7" x14ac:dyDescent="0.3">
      <c r="A1809" s="7"/>
      <c r="B1809" s="8"/>
      <c r="C1809" s="8"/>
      <c r="D1809" s="9"/>
      <c r="E1809" s="9"/>
      <c r="F1809" s="10"/>
      <c r="G1809" s="11"/>
    </row>
    <row r="1810" spans="1:7" x14ac:dyDescent="0.3">
      <c r="A1810" s="7"/>
      <c r="B1810" s="8"/>
      <c r="C1810" s="8"/>
      <c r="D1810" s="9"/>
      <c r="E1810" s="9"/>
      <c r="F1810" s="10"/>
      <c r="G1810" s="11"/>
    </row>
    <row r="1811" spans="1:7" x14ac:dyDescent="0.3">
      <c r="A1811" s="7"/>
      <c r="B1811" s="8"/>
      <c r="C1811" s="8"/>
      <c r="D1811" s="9"/>
      <c r="E1811" s="9"/>
      <c r="F1811" s="10"/>
      <c r="G1811" s="11"/>
    </row>
    <row r="1812" spans="1:7" x14ac:dyDescent="0.3">
      <c r="A1812" s="7"/>
      <c r="B1812" s="8"/>
      <c r="C1812" s="8"/>
      <c r="D1812" s="9"/>
      <c r="E1812" s="9"/>
      <c r="F1812" s="10"/>
      <c r="G1812" s="11"/>
    </row>
    <row r="1813" spans="1:7" x14ac:dyDescent="0.3">
      <c r="A1813" s="7"/>
      <c r="B1813" s="8"/>
      <c r="C1813" s="8"/>
      <c r="D1813" s="9"/>
      <c r="E1813" s="9"/>
      <c r="F1813" s="10"/>
      <c r="G1813" s="11"/>
    </row>
    <row r="1814" spans="1:7" x14ac:dyDescent="0.3">
      <c r="A1814" s="7"/>
      <c r="B1814" s="8"/>
      <c r="C1814" s="8"/>
      <c r="D1814" s="9"/>
      <c r="E1814" s="9"/>
      <c r="F1814" s="10"/>
      <c r="G1814" s="11"/>
    </row>
    <row r="1815" spans="1:7" x14ac:dyDescent="0.3">
      <c r="A1815" s="7"/>
      <c r="B1815" s="8"/>
      <c r="C1815" s="8"/>
      <c r="D1815" s="9"/>
      <c r="E1815" s="9"/>
      <c r="F1815" s="10"/>
      <c r="G1815" s="11"/>
    </row>
    <row r="1816" spans="1:7" x14ac:dyDescent="0.3">
      <c r="A1816" s="7"/>
      <c r="B1816" s="8"/>
      <c r="C1816" s="8"/>
      <c r="D1816" s="9"/>
      <c r="E1816" s="9"/>
      <c r="F1816" s="10"/>
      <c r="G1816" s="11"/>
    </row>
    <row r="1817" spans="1:7" x14ac:dyDescent="0.3">
      <c r="A1817" s="7"/>
      <c r="B1817" s="8"/>
      <c r="C1817" s="8"/>
      <c r="D1817" s="9"/>
      <c r="E1817" s="9"/>
      <c r="F1817" s="10"/>
      <c r="G1817" s="11"/>
    </row>
    <row r="1818" spans="1:7" x14ac:dyDescent="0.3">
      <c r="A1818" s="7"/>
      <c r="B1818" s="8"/>
      <c r="C1818" s="8"/>
      <c r="D1818" s="9"/>
      <c r="E1818" s="9"/>
      <c r="F1818" s="10"/>
      <c r="G1818" s="11"/>
    </row>
    <row r="1819" spans="1:7" x14ac:dyDescent="0.3">
      <c r="A1819" s="7"/>
      <c r="B1819" s="8"/>
      <c r="C1819" s="8"/>
      <c r="D1819" s="9"/>
      <c r="E1819" s="9"/>
      <c r="F1819" s="10"/>
      <c r="G1819" s="11"/>
    </row>
    <row r="1820" spans="1:7" x14ac:dyDescent="0.3">
      <c r="A1820" s="7"/>
      <c r="B1820" s="8"/>
      <c r="C1820" s="8"/>
      <c r="D1820" s="9"/>
      <c r="E1820" s="9"/>
      <c r="F1820" s="10"/>
      <c r="G1820" s="11"/>
    </row>
    <row r="1821" spans="1:7" x14ac:dyDescent="0.3">
      <c r="A1821" s="7"/>
      <c r="B1821" s="8"/>
      <c r="C1821" s="8"/>
      <c r="D1821" s="9"/>
      <c r="E1821" s="9"/>
      <c r="F1821" s="10"/>
      <c r="G1821" s="11"/>
    </row>
    <row r="1822" spans="1:7" x14ac:dyDescent="0.3">
      <c r="A1822" s="7"/>
      <c r="B1822" s="8"/>
      <c r="C1822" s="8"/>
      <c r="D1822" s="9"/>
      <c r="E1822" s="9"/>
      <c r="F1822" s="10"/>
      <c r="G1822" s="11"/>
    </row>
    <row r="1823" spans="1:7" x14ac:dyDescent="0.3">
      <c r="A1823" s="7"/>
      <c r="B1823" s="8"/>
      <c r="C1823" s="8"/>
      <c r="D1823" s="9"/>
      <c r="E1823" s="9"/>
      <c r="F1823" s="10"/>
      <c r="G1823" s="11"/>
    </row>
    <row r="1824" spans="1:7" x14ac:dyDescent="0.3">
      <c r="A1824" s="7"/>
      <c r="B1824" s="8"/>
      <c r="C1824" s="8"/>
      <c r="D1824" s="9"/>
      <c r="E1824" s="9"/>
      <c r="F1824" s="10"/>
      <c r="G1824" s="11"/>
    </row>
    <row r="1825" spans="1:7" x14ac:dyDescent="0.3">
      <c r="A1825" s="7"/>
      <c r="B1825" s="8"/>
      <c r="C1825" s="8"/>
      <c r="D1825" s="9"/>
      <c r="E1825" s="9"/>
      <c r="F1825" s="10"/>
      <c r="G1825" s="11"/>
    </row>
    <row r="1826" spans="1:7" x14ac:dyDescent="0.3">
      <c r="A1826" s="7"/>
      <c r="B1826" s="8"/>
      <c r="C1826" s="8"/>
      <c r="D1826" s="9"/>
      <c r="E1826" s="9"/>
      <c r="F1826" s="10"/>
      <c r="G1826" s="11"/>
    </row>
    <row r="1827" spans="1:7" x14ac:dyDescent="0.3">
      <c r="A1827" s="7"/>
      <c r="B1827" s="8"/>
      <c r="C1827" s="8"/>
      <c r="D1827" s="9"/>
      <c r="E1827" s="9"/>
      <c r="F1827" s="10"/>
      <c r="G1827" s="11"/>
    </row>
    <row r="1828" spans="1:7" x14ac:dyDescent="0.3">
      <c r="A1828" s="7"/>
      <c r="B1828" s="8"/>
      <c r="C1828" s="8"/>
      <c r="D1828" s="9"/>
      <c r="E1828" s="9"/>
      <c r="F1828" s="10"/>
      <c r="G1828" s="11"/>
    </row>
    <row r="1829" spans="1:7" x14ac:dyDescent="0.3">
      <c r="A1829" s="7"/>
      <c r="B1829" s="8"/>
      <c r="C1829" s="8"/>
      <c r="D1829" s="9"/>
      <c r="E1829" s="9"/>
      <c r="F1829" s="10"/>
      <c r="G1829" s="11"/>
    </row>
    <row r="1830" spans="1:7" x14ac:dyDescent="0.3">
      <c r="A1830" s="7"/>
      <c r="B1830" s="8"/>
      <c r="C1830" s="8"/>
      <c r="D1830" s="9"/>
      <c r="E1830" s="9"/>
      <c r="F1830" s="10"/>
      <c r="G1830" s="11"/>
    </row>
    <row r="1831" spans="1:7" x14ac:dyDescent="0.3">
      <c r="A1831" s="7"/>
      <c r="B1831" s="8"/>
      <c r="C1831" s="8"/>
      <c r="D1831" s="9"/>
      <c r="E1831" s="9"/>
      <c r="F1831" s="10"/>
      <c r="G1831" s="11"/>
    </row>
    <row r="1832" spans="1:7" x14ac:dyDescent="0.3">
      <c r="A1832" s="7"/>
      <c r="B1832" s="8"/>
      <c r="C1832" s="8"/>
      <c r="D1832" s="9"/>
      <c r="E1832" s="9"/>
      <c r="F1832" s="10"/>
      <c r="G1832" s="11"/>
    </row>
    <row r="1833" spans="1:7" x14ac:dyDescent="0.3">
      <c r="A1833" s="7"/>
      <c r="B1833" s="8"/>
      <c r="C1833" s="8"/>
      <c r="D1833" s="9"/>
      <c r="E1833" s="9"/>
      <c r="F1833" s="10"/>
      <c r="G1833" s="11"/>
    </row>
    <row r="1834" spans="1:7" x14ac:dyDescent="0.3">
      <c r="A1834" s="7"/>
      <c r="B1834" s="8"/>
      <c r="C1834" s="8"/>
      <c r="D1834" s="9"/>
      <c r="E1834" s="9"/>
      <c r="F1834" s="10"/>
      <c r="G1834" s="11"/>
    </row>
    <row r="1835" spans="1:7" x14ac:dyDescent="0.3">
      <c r="A1835" s="7"/>
      <c r="B1835" s="8"/>
      <c r="C1835" s="8"/>
      <c r="D1835" s="9"/>
      <c r="E1835" s="9"/>
      <c r="F1835" s="10"/>
      <c r="G1835" s="11"/>
    </row>
    <row r="1836" spans="1:7" x14ac:dyDescent="0.3">
      <c r="A1836" s="7"/>
      <c r="B1836" s="8"/>
      <c r="C1836" s="8"/>
      <c r="D1836" s="9"/>
      <c r="E1836" s="9"/>
      <c r="F1836" s="10"/>
      <c r="G1836" s="11"/>
    </row>
    <row r="1837" spans="1:7" x14ac:dyDescent="0.3">
      <c r="A1837" s="7"/>
      <c r="B1837" s="8"/>
      <c r="C1837" s="8"/>
      <c r="D1837" s="9"/>
      <c r="E1837" s="9"/>
      <c r="F1837" s="10"/>
      <c r="G1837" s="11"/>
    </row>
    <row r="1838" spans="1:7" x14ac:dyDescent="0.3">
      <c r="A1838" s="7"/>
      <c r="B1838" s="8"/>
      <c r="C1838" s="8"/>
      <c r="D1838" s="9"/>
      <c r="E1838" s="9"/>
      <c r="F1838" s="10"/>
      <c r="G1838" s="11"/>
    </row>
    <row r="1839" spans="1:7" x14ac:dyDescent="0.3">
      <c r="A1839" s="7"/>
      <c r="B1839" s="8"/>
      <c r="C1839" s="8"/>
      <c r="D1839" s="9"/>
      <c r="E1839" s="9"/>
      <c r="F1839" s="10"/>
      <c r="G1839" s="11"/>
    </row>
    <row r="1840" spans="1:7" x14ac:dyDescent="0.3">
      <c r="A1840" s="7"/>
      <c r="B1840" s="8"/>
      <c r="C1840" s="8"/>
      <c r="D1840" s="9"/>
      <c r="E1840" s="9"/>
      <c r="F1840" s="10"/>
      <c r="G1840" s="11"/>
    </row>
    <row r="1841" spans="1:7" x14ac:dyDescent="0.3">
      <c r="A1841" s="7"/>
      <c r="B1841" s="8"/>
      <c r="C1841" s="8"/>
      <c r="D1841" s="9"/>
      <c r="E1841" s="9"/>
      <c r="F1841" s="10"/>
      <c r="G1841" s="11"/>
    </row>
    <row r="1842" spans="1:7" x14ac:dyDescent="0.3">
      <c r="A1842" s="7"/>
      <c r="B1842" s="8"/>
      <c r="C1842" s="8"/>
      <c r="D1842" s="9"/>
      <c r="E1842" s="9"/>
      <c r="F1842" s="10"/>
      <c r="G1842" s="11"/>
    </row>
    <row r="1843" spans="1:7" x14ac:dyDescent="0.3">
      <c r="A1843" s="7"/>
      <c r="B1843" s="8"/>
      <c r="C1843" s="8"/>
      <c r="D1843" s="9"/>
      <c r="E1843" s="9"/>
      <c r="F1843" s="10"/>
      <c r="G1843" s="11"/>
    </row>
    <row r="1844" spans="1:7" x14ac:dyDescent="0.3">
      <c r="A1844" s="7"/>
      <c r="B1844" s="8"/>
      <c r="C1844" s="8"/>
      <c r="D1844" s="9"/>
      <c r="E1844" s="9"/>
      <c r="F1844" s="10"/>
      <c r="G1844" s="11"/>
    </row>
    <row r="1845" spans="1:7" x14ac:dyDescent="0.3">
      <c r="A1845" s="7"/>
      <c r="B1845" s="8"/>
      <c r="C1845" s="8"/>
      <c r="D1845" s="9"/>
      <c r="E1845" s="9"/>
      <c r="F1845" s="10"/>
      <c r="G1845" s="11"/>
    </row>
    <row r="1846" spans="1:7" x14ac:dyDescent="0.3">
      <c r="A1846" s="7"/>
      <c r="B1846" s="8"/>
      <c r="C1846" s="8"/>
      <c r="D1846" s="9"/>
      <c r="E1846" s="9"/>
      <c r="F1846" s="10"/>
      <c r="G1846" s="11"/>
    </row>
    <row r="1847" spans="1:7" x14ac:dyDescent="0.3">
      <c r="A1847" s="7"/>
      <c r="B1847" s="8"/>
      <c r="C1847" s="8"/>
      <c r="D1847" s="9"/>
      <c r="E1847" s="9"/>
      <c r="F1847" s="10"/>
      <c r="G1847" s="11"/>
    </row>
    <row r="1848" spans="1:7" x14ac:dyDescent="0.3">
      <c r="A1848" s="7"/>
      <c r="B1848" s="8"/>
      <c r="C1848" s="8"/>
      <c r="D1848" s="9"/>
      <c r="E1848" s="9"/>
      <c r="F1848" s="10"/>
      <c r="G1848" s="11"/>
    </row>
    <row r="1849" spans="1:7" x14ac:dyDescent="0.3">
      <c r="A1849" s="7"/>
      <c r="B1849" s="8"/>
      <c r="C1849" s="8"/>
      <c r="D1849" s="9"/>
      <c r="E1849" s="9"/>
      <c r="F1849" s="10"/>
      <c r="G1849" s="11"/>
    </row>
    <row r="1850" spans="1:7" x14ac:dyDescent="0.3">
      <c r="A1850" s="7"/>
      <c r="B1850" s="8"/>
      <c r="C1850" s="8"/>
      <c r="D1850" s="9"/>
      <c r="E1850" s="9"/>
      <c r="F1850" s="10"/>
      <c r="G1850" s="11"/>
    </row>
    <row r="1851" spans="1:7" x14ac:dyDescent="0.3">
      <c r="A1851" s="7"/>
      <c r="B1851" s="8"/>
      <c r="C1851" s="8"/>
      <c r="D1851" s="9"/>
      <c r="E1851" s="9"/>
      <c r="F1851" s="10"/>
      <c r="G1851" s="11"/>
    </row>
    <row r="1852" spans="1:7" x14ac:dyDescent="0.3">
      <c r="A1852" s="7"/>
      <c r="B1852" s="8"/>
      <c r="C1852" s="8"/>
      <c r="D1852" s="9"/>
      <c r="E1852" s="9"/>
      <c r="F1852" s="10"/>
      <c r="G1852" s="11"/>
    </row>
    <row r="1853" spans="1:7" x14ac:dyDescent="0.3">
      <c r="A1853" s="7"/>
      <c r="B1853" s="8"/>
      <c r="C1853" s="8"/>
      <c r="D1853" s="9"/>
      <c r="E1853" s="9"/>
      <c r="F1853" s="10"/>
      <c r="G1853" s="11"/>
    </row>
    <row r="1854" spans="1:7" x14ac:dyDescent="0.3">
      <c r="A1854" s="7"/>
      <c r="B1854" s="8"/>
      <c r="C1854" s="8"/>
      <c r="D1854" s="9"/>
      <c r="E1854" s="9"/>
      <c r="F1854" s="10"/>
      <c r="G1854" s="11"/>
    </row>
    <row r="1855" spans="1:7" x14ac:dyDescent="0.3">
      <c r="A1855" s="7"/>
      <c r="B1855" s="8"/>
      <c r="C1855" s="8"/>
      <c r="D1855" s="9"/>
      <c r="E1855" s="9"/>
      <c r="F1855" s="10"/>
      <c r="G1855" s="11"/>
    </row>
    <row r="1856" spans="1:7" x14ac:dyDescent="0.3">
      <c r="A1856" s="7"/>
      <c r="B1856" s="8"/>
      <c r="C1856" s="8"/>
      <c r="D1856" s="9"/>
      <c r="E1856" s="9"/>
      <c r="F1856" s="10"/>
      <c r="G1856" s="11"/>
    </row>
    <row r="1857" spans="1:7" x14ac:dyDescent="0.3">
      <c r="A1857" s="7"/>
      <c r="B1857" s="8"/>
      <c r="C1857" s="8"/>
      <c r="D1857" s="9"/>
      <c r="E1857" s="9"/>
      <c r="F1857" s="10"/>
      <c r="G1857" s="11"/>
    </row>
    <row r="1858" spans="1:7" x14ac:dyDescent="0.3">
      <c r="A1858" s="7"/>
      <c r="B1858" s="8"/>
      <c r="C1858" s="8"/>
      <c r="D1858" s="9"/>
      <c r="E1858" s="9"/>
      <c r="F1858" s="10"/>
      <c r="G1858" s="11"/>
    </row>
    <row r="1859" spans="1:7" x14ac:dyDescent="0.3">
      <c r="A1859" s="7"/>
      <c r="B1859" s="8"/>
      <c r="C1859" s="8"/>
      <c r="D1859" s="9"/>
      <c r="E1859" s="9"/>
      <c r="F1859" s="10"/>
      <c r="G1859" s="11"/>
    </row>
    <row r="1860" spans="1:7" x14ac:dyDescent="0.3">
      <c r="A1860" s="7"/>
      <c r="B1860" s="8"/>
      <c r="C1860" s="8"/>
      <c r="D1860" s="9"/>
      <c r="E1860" s="9"/>
      <c r="F1860" s="10"/>
      <c r="G1860" s="11"/>
    </row>
    <row r="1861" spans="1:7" x14ac:dyDescent="0.3">
      <c r="A1861" s="7"/>
      <c r="B1861" s="8"/>
      <c r="C1861" s="8"/>
      <c r="D1861" s="9"/>
      <c r="E1861" s="9"/>
      <c r="F1861" s="10"/>
      <c r="G1861" s="11"/>
    </row>
    <row r="1862" spans="1:7" x14ac:dyDescent="0.3">
      <c r="A1862" s="7"/>
      <c r="B1862" s="8"/>
      <c r="C1862" s="8"/>
      <c r="D1862" s="9"/>
      <c r="E1862" s="9"/>
      <c r="F1862" s="10"/>
      <c r="G1862" s="11"/>
    </row>
    <row r="1863" spans="1:7" x14ac:dyDescent="0.3">
      <c r="A1863" s="7"/>
      <c r="B1863" s="8"/>
      <c r="C1863" s="8"/>
      <c r="D1863" s="9"/>
      <c r="E1863" s="9"/>
      <c r="F1863" s="10"/>
      <c r="G1863" s="11"/>
    </row>
    <row r="1864" spans="1:7" x14ac:dyDescent="0.3">
      <c r="A1864" s="7"/>
      <c r="B1864" s="8"/>
      <c r="C1864" s="8"/>
      <c r="D1864" s="9"/>
      <c r="E1864" s="9"/>
      <c r="F1864" s="10"/>
      <c r="G1864" s="11"/>
    </row>
    <row r="1865" spans="1:7" x14ac:dyDescent="0.3">
      <c r="A1865" s="7"/>
      <c r="B1865" s="8"/>
      <c r="C1865" s="8"/>
      <c r="D1865" s="9"/>
      <c r="E1865" s="9"/>
      <c r="F1865" s="10"/>
      <c r="G1865" s="11"/>
    </row>
    <row r="1866" spans="1:7" x14ac:dyDescent="0.3">
      <c r="A1866" s="7"/>
      <c r="B1866" s="8"/>
      <c r="C1866" s="8"/>
      <c r="D1866" s="9"/>
      <c r="E1866" s="9"/>
      <c r="F1866" s="10"/>
      <c r="G1866" s="11"/>
    </row>
    <row r="1867" spans="1:7" x14ac:dyDescent="0.3">
      <c r="A1867" s="7"/>
      <c r="B1867" s="8"/>
      <c r="C1867" s="8"/>
      <c r="D1867" s="9"/>
      <c r="E1867" s="9"/>
      <c r="F1867" s="10"/>
      <c r="G1867" s="11"/>
    </row>
    <row r="1868" spans="1:7" x14ac:dyDescent="0.3">
      <c r="A1868" s="7"/>
      <c r="B1868" s="8"/>
      <c r="C1868" s="8"/>
      <c r="D1868" s="9"/>
      <c r="E1868" s="9"/>
      <c r="F1868" s="10"/>
      <c r="G1868" s="11"/>
    </row>
    <row r="1869" spans="1:7" x14ac:dyDescent="0.3">
      <c r="A1869" s="7"/>
      <c r="B1869" s="8"/>
      <c r="C1869" s="8"/>
      <c r="D1869" s="9"/>
      <c r="E1869" s="9"/>
      <c r="F1869" s="10"/>
      <c r="G1869" s="11"/>
    </row>
    <row r="1870" spans="1:7" x14ac:dyDescent="0.3">
      <c r="A1870" s="7"/>
      <c r="B1870" s="8"/>
      <c r="C1870" s="8"/>
      <c r="D1870" s="9"/>
      <c r="E1870" s="9"/>
      <c r="F1870" s="10"/>
      <c r="G1870" s="11"/>
    </row>
    <row r="1871" spans="1:7" x14ac:dyDescent="0.3">
      <c r="A1871" s="7"/>
      <c r="B1871" s="8"/>
      <c r="C1871" s="8"/>
      <c r="D1871" s="9"/>
      <c r="E1871" s="9"/>
      <c r="F1871" s="10"/>
      <c r="G1871" s="11"/>
    </row>
    <row r="1872" spans="1:7" x14ac:dyDescent="0.3">
      <c r="A1872" s="7"/>
      <c r="B1872" s="8"/>
      <c r="C1872" s="8"/>
      <c r="D1872" s="9"/>
      <c r="E1872" s="9"/>
      <c r="F1872" s="10"/>
      <c r="G1872" s="11"/>
    </row>
    <row r="1873" spans="1:7" x14ac:dyDescent="0.3">
      <c r="A1873" s="7"/>
      <c r="B1873" s="8"/>
      <c r="C1873" s="8"/>
      <c r="D1873" s="9"/>
      <c r="E1873" s="9"/>
      <c r="F1873" s="10"/>
      <c r="G1873" s="11"/>
    </row>
    <row r="1874" spans="1:7" x14ac:dyDescent="0.3">
      <c r="A1874" s="7"/>
      <c r="B1874" s="8"/>
      <c r="C1874" s="8"/>
      <c r="D1874" s="9"/>
      <c r="E1874" s="9"/>
      <c r="F1874" s="10"/>
      <c r="G1874" s="11"/>
    </row>
    <row r="1875" spans="1:7" x14ac:dyDescent="0.3">
      <c r="A1875" s="7"/>
      <c r="B1875" s="8"/>
      <c r="C1875" s="8"/>
      <c r="D1875" s="9"/>
      <c r="E1875" s="9"/>
      <c r="F1875" s="10"/>
      <c r="G1875" s="11"/>
    </row>
    <row r="1876" spans="1:7" x14ac:dyDescent="0.3">
      <c r="A1876" s="7"/>
      <c r="B1876" s="8"/>
      <c r="C1876" s="8"/>
      <c r="D1876" s="9"/>
      <c r="E1876" s="9"/>
      <c r="F1876" s="10"/>
      <c r="G1876" s="11"/>
    </row>
    <row r="1877" spans="1:7" x14ac:dyDescent="0.3">
      <c r="A1877" s="7"/>
      <c r="B1877" s="8"/>
      <c r="C1877" s="8"/>
      <c r="D1877" s="9"/>
      <c r="E1877" s="9"/>
      <c r="F1877" s="10"/>
      <c r="G1877" s="11"/>
    </row>
    <row r="1878" spans="1:7" x14ac:dyDescent="0.3">
      <c r="A1878" s="7"/>
      <c r="B1878" s="8"/>
      <c r="C1878" s="8"/>
      <c r="D1878" s="9"/>
      <c r="E1878" s="9"/>
      <c r="F1878" s="10"/>
      <c r="G1878" s="11"/>
    </row>
    <row r="1879" spans="1:7" x14ac:dyDescent="0.3">
      <c r="A1879" s="7"/>
      <c r="B1879" s="8"/>
      <c r="C1879" s="8"/>
      <c r="D1879" s="9"/>
      <c r="E1879" s="9"/>
      <c r="F1879" s="10"/>
      <c r="G1879" s="11"/>
    </row>
    <row r="1880" spans="1:7" x14ac:dyDescent="0.3">
      <c r="A1880" s="7"/>
      <c r="B1880" s="8"/>
      <c r="C1880" s="8"/>
      <c r="D1880" s="9"/>
      <c r="E1880" s="9"/>
      <c r="F1880" s="10"/>
      <c r="G1880" s="11"/>
    </row>
    <row r="1881" spans="1:7" x14ac:dyDescent="0.3">
      <c r="A1881" s="7"/>
      <c r="B1881" s="8"/>
      <c r="C1881" s="8"/>
      <c r="D1881" s="9"/>
      <c r="E1881" s="9"/>
      <c r="F1881" s="10"/>
      <c r="G1881" s="11"/>
    </row>
    <row r="1882" spans="1:7" x14ac:dyDescent="0.3">
      <c r="A1882" s="7"/>
      <c r="B1882" s="8"/>
      <c r="C1882" s="8"/>
      <c r="D1882" s="9"/>
      <c r="E1882" s="9"/>
      <c r="F1882" s="10"/>
      <c r="G1882" s="11"/>
    </row>
    <row r="1883" spans="1:7" x14ac:dyDescent="0.3">
      <c r="A1883" s="7"/>
      <c r="B1883" s="8"/>
      <c r="C1883" s="8"/>
      <c r="D1883" s="9"/>
      <c r="E1883" s="9"/>
      <c r="F1883" s="10"/>
      <c r="G1883" s="11"/>
    </row>
    <row r="1884" spans="1:7" x14ac:dyDescent="0.3">
      <c r="A1884" s="7"/>
      <c r="B1884" s="8"/>
      <c r="C1884" s="8"/>
      <c r="D1884" s="9"/>
      <c r="E1884" s="9"/>
      <c r="F1884" s="10"/>
      <c r="G1884" s="11"/>
    </row>
    <row r="1885" spans="1:7" x14ac:dyDescent="0.3">
      <c r="A1885" s="7"/>
      <c r="B1885" s="8"/>
      <c r="C1885" s="8"/>
      <c r="D1885" s="9"/>
      <c r="E1885" s="9"/>
      <c r="F1885" s="10"/>
      <c r="G1885" s="11"/>
    </row>
    <row r="1886" spans="1:7" x14ac:dyDescent="0.3">
      <c r="A1886" s="7"/>
      <c r="B1886" s="8"/>
      <c r="C1886" s="8"/>
      <c r="D1886" s="9"/>
      <c r="E1886" s="9"/>
      <c r="F1886" s="10"/>
      <c r="G1886" s="11"/>
    </row>
    <row r="1887" spans="1:7" x14ac:dyDescent="0.3">
      <c r="A1887" s="7"/>
      <c r="B1887" s="8"/>
      <c r="C1887" s="8"/>
      <c r="D1887" s="9"/>
      <c r="E1887" s="9"/>
      <c r="F1887" s="10"/>
      <c r="G1887" s="11"/>
    </row>
    <row r="1888" spans="1:7" x14ac:dyDescent="0.3">
      <c r="A1888" s="7"/>
      <c r="B1888" s="8"/>
      <c r="C1888" s="8"/>
      <c r="D1888" s="9"/>
      <c r="E1888" s="9"/>
      <c r="F1888" s="10"/>
      <c r="G1888" s="11"/>
    </row>
    <row r="1889" spans="1:7" x14ac:dyDescent="0.3">
      <c r="A1889" s="7"/>
      <c r="B1889" s="8"/>
      <c r="C1889" s="8"/>
      <c r="D1889" s="9"/>
      <c r="E1889" s="9"/>
      <c r="F1889" s="10"/>
      <c r="G1889" s="11"/>
    </row>
    <row r="1890" spans="1:7" x14ac:dyDescent="0.3">
      <c r="A1890" s="7"/>
      <c r="B1890" s="8"/>
      <c r="C1890" s="8"/>
      <c r="D1890" s="9"/>
      <c r="E1890" s="9"/>
      <c r="F1890" s="10"/>
      <c r="G1890" s="11"/>
    </row>
    <row r="1891" spans="1:7" x14ac:dyDescent="0.3">
      <c r="A1891" s="7"/>
      <c r="B1891" s="8"/>
      <c r="C1891" s="8"/>
      <c r="D1891" s="9"/>
      <c r="E1891" s="9"/>
      <c r="F1891" s="10"/>
      <c r="G1891" s="11"/>
    </row>
    <row r="1892" spans="1:7" x14ac:dyDescent="0.3">
      <c r="A1892" s="7"/>
      <c r="B1892" s="8"/>
      <c r="C1892" s="8"/>
      <c r="D1892" s="9"/>
      <c r="E1892" s="9"/>
      <c r="F1892" s="10"/>
      <c r="G1892" s="11"/>
    </row>
    <row r="1893" spans="1:7" x14ac:dyDescent="0.3">
      <c r="A1893" s="7"/>
      <c r="B1893" s="8"/>
      <c r="C1893" s="8"/>
      <c r="D1893" s="9"/>
      <c r="E1893" s="9"/>
      <c r="F1893" s="10"/>
      <c r="G1893" s="11"/>
    </row>
    <row r="1894" spans="1:7" x14ac:dyDescent="0.3">
      <c r="A1894" s="7"/>
      <c r="B1894" s="8"/>
      <c r="C1894" s="8"/>
      <c r="D1894" s="9"/>
      <c r="E1894" s="9"/>
      <c r="F1894" s="10"/>
      <c r="G1894" s="11"/>
    </row>
    <row r="1895" spans="1:7" x14ac:dyDescent="0.3">
      <c r="A1895" s="7"/>
      <c r="B1895" s="8"/>
      <c r="C1895" s="8"/>
      <c r="D1895" s="9"/>
      <c r="E1895" s="9"/>
      <c r="F1895" s="10"/>
      <c r="G1895" s="11"/>
    </row>
    <row r="1896" spans="1:7" x14ac:dyDescent="0.3">
      <c r="A1896" s="7"/>
      <c r="B1896" s="8"/>
      <c r="C1896" s="8"/>
      <c r="D1896" s="9"/>
      <c r="E1896" s="9"/>
      <c r="F1896" s="10"/>
      <c r="G1896" s="11"/>
    </row>
    <row r="1897" spans="1:7" x14ac:dyDescent="0.3">
      <c r="A1897" s="7"/>
      <c r="B1897" s="8"/>
      <c r="C1897" s="8"/>
      <c r="D1897" s="9"/>
      <c r="E1897" s="9"/>
      <c r="F1897" s="10"/>
      <c r="G1897" s="11"/>
    </row>
    <row r="1898" spans="1:7" x14ac:dyDescent="0.3">
      <c r="A1898" s="7"/>
      <c r="B1898" s="8"/>
      <c r="C1898" s="8"/>
      <c r="D1898" s="9"/>
      <c r="E1898" s="9"/>
      <c r="F1898" s="10"/>
      <c r="G1898" s="11"/>
    </row>
    <row r="1899" spans="1:7" x14ac:dyDescent="0.3">
      <c r="A1899" s="7"/>
      <c r="B1899" s="8"/>
      <c r="C1899" s="8"/>
      <c r="D1899" s="9"/>
      <c r="E1899" s="9"/>
      <c r="F1899" s="10"/>
      <c r="G1899" s="11"/>
    </row>
    <row r="1900" spans="1:7" x14ac:dyDescent="0.3">
      <c r="A1900" s="7"/>
      <c r="B1900" s="8"/>
      <c r="C1900" s="8"/>
      <c r="D1900" s="9"/>
      <c r="E1900" s="9"/>
      <c r="F1900" s="10"/>
      <c r="G1900" s="11"/>
    </row>
    <row r="1901" spans="1:7" x14ac:dyDescent="0.3">
      <c r="A1901" s="7"/>
      <c r="B1901" s="8"/>
      <c r="C1901" s="8"/>
      <c r="D1901" s="9"/>
      <c r="E1901" s="9"/>
      <c r="F1901" s="10"/>
      <c r="G1901" s="11"/>
    </row>
    <row r="1902" spans="1:7" x14ac:dyDescent="0.3">
      <c r="A1902" s="7"/>
      <c r="B1902" s="8"/>
      <c r="C1902" s="8"/>
      <c r="D1902" s="9"/>
      <c r="E1902" s="9"/>
      <c r="F1902" s="10"/>
      <c r="G1902" s="11"/>
    </row>
    <row r="1903" spans="1:7" x14ac:dyDescent="0.3">
      <c r="A1903" s="7"/>
      <c r="B1903" s="8"/>
      <c r="C1903" s="8"/>
      <c r="D1903" s="9"/>
      <c r="E1903" s="9"/>
      <c r="F1903" s="10"/>
      <c r="G1903" s="11"/>
    </row>
    <row r="1904" spans="1:7" x14ac:dyDescent="0.3">
      <c r="A1904" s="7"/>
      <c r="B1904" s="8"/>
      <c r="C1904" s="8"/>
      <c r="D1904" s="9"/>
      <c r="E1904" s="9"/>
      <c r="F1904" s="10"/>
      <c r="G1904" s="11"/>
    </row>
    <row r="1905" spans="1:7" x14ac:dyDescent="0.3">
      <c r="A1905" s="7"/>
      <c r="B1905" s="8"/>
      <c r="C1905" s="8"/>
      <c r="D1905" s="9"/>
      <c r="E1905" s="9"/>
      <c r="F1905" s="10"/>
      <c r="G1905" s="11"/>
    </row>
    <row r="1906" spans="1:7" x14ac:dyDescent="0.3">
      <c r="A1906" s="7"/>
      <c r="B1906" s="8"/>
      <c r="C1906" s="8"/>
      <c r="D1906" s="9"/>
      <c r="E1906" s="9"/>
      <c r="F1906" s="10"/>
      <c r="G1906" s="11"/>
    </row>
    <row r="1907" spans="1:7" x14ac:dyDescent="0.3">
      <c r="A1907" s="7"/>
      <c r="B1907" s="8"/>
      <c r="C1907" s="8"/>
      <c r="D1907" s="9"/>
      <c r="E1907" s="9"/>
      <c r="F1907" s="10"/>
      <c r="G1907" s="11"/>
    </row>
    <row r="1908" spans="1:7" x14ac:dyDescent="0.3">
      <c r="A1908" s="7"/>
      <c r="B1908" s="8"/>
      <c r="C1908" s="8"/>
      <c r="D1908" s="9"/>
      <c r="E1908" s="9"/>
      <c r="F1908" s="10"/>
      <c r="G1908" s="11"/>
    </row>
    <row r="1909" spans="1:7" x14ac:dyDescent="0.3">
      <c r="A1909" s="7"/>
      <c r="B1909" s="8"/>
      <c r="C1909" s="8"/>
      <c r="D1909" s="9"/>
      <c r="E1909" s="9"/>
      <c r="F1909" s="10"/>
      <c r="G1909" s="11"/>
    </row>
    <row r="1910" spans="1:7" x14ac:dyDescent="0.3">
      <c r="A1910" s="7"/>
      <c r="B1910" s="8"/>
      <c r="C1910" s="8"/>
      <c r="D1910" s="9"/>
      <c r="E1910" s="9"/>
      <c r="F1910" s="10"/>
      <c r="G1910" s="11"/>
    </row>
    <row r="1911" spans="1:7" x14ac:dyDescent="0.3">
      <c r="A1911" s="7"/>
      <c r="B1911" s="8"/>
      <c r="C1911" s="8"/>
      <c r="D1911" s="9"/>
      <c r="E1911" s="9"/>
      <c r="F1911" s="10"/>
      <c r="G1911" s="11"/>
    </row>
    <row r="1912" spans="1:7" x14ac:dyDescent="0.3">
      <c r="A1912" s="7"/>
      <c r="B1912" s="8"/>
      <c r="C1912" s="8"/>
      <c r="D1912" s="9"/>
      <c r="E1912" s="9"/>
      <c r="F1912" s="10"/>
      <c r="G1912" s="11"/>
    </row>
    <row r="1913" spans="1:7" x14ac:dyDescent="0.3">
      <c r="A1913" s="7"/>
      <c r="B1913" s="8"/>
      <c r="C1913" s="8"/>
      <c r="D1913" s="9"/>
      <c r="E1913" s="9"/>
      <c r="F1913" s="10"/>
      <c r="G1913" s="11"/>
    </row>
    <row r="1914" spans="1:7" x14ac:dyDescent="0.3">
      <c r="A1914" s="7"/>
      <c r="B1914" s="8"/>
      <c r="C1914" s="8"/>
      <c r="D1914" s="9"/>
      <c r="E1914" s="9"/>
      <c r="F1914" s="10"/>
      <c r="G1914" s="11"/>
    </row>
    <row r="1915" spans="1:7" x14ac:dyDescent="0.3">
      <c r="A1915" s="7"/>
      <c r="B1915" s="8"/>
      <c r="C1915" s="8"/>
      <c r="D1915" s="9"/>
      <c r="E1915" s="9"/>
      <c r="F1915" s="10"/>
      <c r="G1915" s="11"/>
    </row>
    <row r="1916" spans="1:7" x14ac:dyDescent="0.3">
      <c r="A1916" s="7"/>
      <c r="B1916" s="8"/>
      <c r="C1916" s="8"/>
      <c r="D1916" s="9"/>
      <c r="E1916" s="9"/>
      <c r="F1916" s="10"/>
      <c r="G1916" s="11"/>
    </row>
    <row r="1917" spans="1:7" x14ac:dyDescent="0.3">
      <c r="A1917" s="7"/>
      <c r="B1917" s="8"/>
      <c r="C1917" s="8"/>
      <c r="D1917" s="9"/>
      <c r="E1917" s="9"/>
      <c r="F1917" s="10"/>
      <c r="G1917" s="11"/>
    </row>
    <row r="1918" spans="1:7" x14ac:dyDescent="0.3">
      <c r="A1918" s="7"/>
      <c r="B1918" s="8"/>
      <c r="C1918" s="8"/>
      <c r="D1918" s="9"/>
      <c r="E1918" s="9"/>
      <c r="F1918" s="10"/>
      <c r="G1918" s="11"/>
    </row>
    <row r="1919" spans="1:7" x14ac:dyDescent="0.3">
      <c r="A1919" s="7"/>
      <c r="B1919" s="8"/>
      <c r="C1919" s="8"/>
      <c r="D1919" s="9"/>
      <c r="E1919" s="9"/>
      <c r="F1919" s="10"/>
      <c r="G1919" s="11"/>
    </row>
    <row r="1920" spans="1:7" x14ac:dyDescent="0.3">
      <c r="A1920" s="7"/>
      <c r="B1920" s="8"/>
      <c r="C1920" s="8"/>
      <c r="D1920" s="9"/>
      <c r="E1920" s="9"/>
      <c r="F1920" s="10"/>
      <c r="G1920" s="11"/>
    </row>
    <row r="1921" spans="1:7" x14ac:dyDescent="0.3">
      <c r="A1921" s="7"/>
      <c r="B1921" s="8"/>
      <c r="C1921" s="8"/>
      <c r="D1921" s="9"/>
      <c r="E1921" s="9"/>
      <c r="F1921" s="10"/>
      <c r="G1921" s="11"/>
    </row>
  </sheetData>
  <autoFilter ref="A1:J1080" xr:uid="{785A45B6-20D0-434C-838F-190BEE952224}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E447-5FAC-4882-8E12-22D8C1403F40}">
  <sheetPr>
    <tabColor theme="5"/>
  </sheetPr>
  <dimension ref="A1:E27"/>
  <sheetViews>
    <sheetView zoomScale="85" zoomScaleNormal="85" workbookViewId="0">
      <selection activeCell="B19" sqref="B19"/>
    </sheetView>
  </sheetViews>
  <sheetFormatPr defaultRowHeight="14.4" x14ac:dyDescent="0.3"/>
  <cols>
    <col min="1" max="1" width="34.109375" bestFit="1" customWidth="1"/>
    <col min="2" max="2" width="24.44140625" bestFit="1" customWidth="1"/>
    <col min="3" max="3" width="21.88671875" bestFit="1" customWidth="1"/>
    <col min="4" max="4" width="7.33203125" bestFit="1" customWidth="1"/>
    <col min="5" max="5" width="7.88671875" bestFit="1" customWidth="1"/>
  </cols>
  <sheetData>
    <row r="1" spans="1:5" x14ac:dyDescent="0.3">
      <c r="A1" s="1" t="s">
        <v>140</v>
      </c>
      <c r="B1" s="1" t="s">
        <v>143</v>
      </c>
      <c r="C1" s="1" t="s">
        <v>147</v>
      </c>
      <c r="D1" s="1" t="s">
        <v>148</v>
      </c>
      <c r="E1" s="1" t="s">
        <v>50</v>
      </c>
    </row>
    <row r="2" spans="1:5" x14ac:dyDescent="0.3">
      <c r="A2" t="s">
        <v>7</v>
      </c>
      <c r="B2" t="s">
        <v>7</v>
      </c>
      <c r="C2" t="s">
        <v>10</v>
      </c>
      <c r="E2" t="s">
        <v>2</v>
      </c>
    </row>
    <row r="3" spans="1:5" x14ac:dyDescent="0.3">
      <c r="A3" t="s">
        <v>337</v>
      </c>
      <c r="B3" t="s">
        <v>13</v>
      </c>
      <c r="E3" t="s">
        <v>2</v>
      </c>
    </row>
    <row r="4" spans="1:5" x14ac:dyDescent="0.3">
      <c r="A4" t="s">
        <v>338</v>
      </c>
      <c r="B4" t="s">
        <v>16</v>
      </c>
      <c r="E4" t="s">
        <v>2</v>
      </c>
    </row>
    <row r="5" spans="1:5" x14ac:dyDescent="0.3">
      <c r="A5" t="s">
        <v>339</v>
      </c>
      <c r="B5" t="s">
        <v>11</v>
      </c>
      <c r="E5" t="s">
        <v>2</v>
      </c>
    </row>
    <row r="6" spans="1:5" x14ac:dyDescent="0.3">
      <c r="A6" t="s">
        <v>310</v>
      </c>
      <c r="C6" t="s">
        <v>310</v>
      </c>
      <c r="E6" t="s">
        <v>122</v>
      </c>
    </row>
    <row r="7" spans="1:5" x14ac:dyDescent="0.3">
      <c r="A7" t="s">
        <v>340</v>
      </c>
      <c r="B7" t="s">
        <v>32</v>
      </c>
      <c r="E7" t="s">
        <v>86</v>
      </c>
    </row>
    <row r="8" spans="1:5" x14ac:dyDescent="0.3">
      <c r="A8" t="s">
        <v>341</v>
      </c>
      <c r="B8" t="s">
        <v>32</v>
      </c>
      <c r="E8" t="s">
        <v>86</v>
      </c>
    </row>
    <row r="9" spans="1:5" x14ac:dyDescent="0.3">
      <c r="A9" t="s">
        <v>146</v>
      </c>
      <c r="B9" t="s">
        <v>24</v>
      </c>
      <c r="E9" t="s">
        <v>86</v>
      </c>
    </row>
    <row r="10" spans="1:5" x14ac:dyDescent="0.3">
      <c r="A10" t="s">
        <v>342</v>
      </c>
      <c r="E10" t="s">
        <v>122</v>
      </c>
    </row>
    <row r="11" spans="1:5" x14ac:dyDescent="0.3">
      <c r="A11" t="s">
        <v>343</v>
      </c>
      <c r="B11" t="s">
        <v>30</v>
      </c>
      <c r="E11" t="s">
        <v>86</v>
      </c>
    </row>
    <row r="12" spans="1:5" x14ac:dyDescent="0.3">
      <c r="A12" t="s">
        <v>344</v>
      </c>
      <c r="B12" t="s">
        <v>26</v>
      </c>
      <c r="E12" t="s">
        <v>86</v>
      </c>
    </row>
    <row r="13" spans="1:5" x14ac:dyDescent="0.3">
      <c r="A13" t="s">
        <v>345</v>
      </c>
      <c r="B13" t="s">
        <v>24</v>
      </c>
      <c r="E13" t="s">
        <v>86</v>
      </c>
    </row>
    <row r="14" spans="1:5" x14ac:dyDescent="0.3">
      <c r="A14" t="s">
        <v>34</v>
      </c>
      <c r="B14" t="s">
        <v>34</v>
      </c>
      <c r="E14" t="s">
        <v>86</v>
      </c>
    </row>
    <row r="15" spans="1:5" x14ac:dyDescent="0.3">
      <c r="A15" t="s">
        <v>346</v>
      </c>
      <c r="B15" t="s">
        <v>28</v>
      </c>
      <c r="E15" t="s">
        <v>86</v>
      </c>
    </row>
    <row r="16" spans="1:5" x14ac:dyDescent="0.3">
      <c r="A16" t="s">
        <v>347</v>
      </c>
      <c r="B16" t="s">
        <v>70</v>
      </c>
      <c r="E16" t="s">
        <v>86</v>
      </c>
    </row>
    <row r="17" spans="1:5" x14ac:dyDescent="0.3">
      <c r="A17" t="s">
        <v>348</v>
      </c>
      <c r="B17" t="s">
        <v>19</v>
      </c>
      <c r="E17" t="s">
        <v>86</v>
      </c>
    </row>
    <row r="18" spans="1:5" x14ac:dyDescent="0.3">
      <c r="A18" t="s">
        <v>349</v>
      </c>
      <c r="B18" t="s">
        <v>32</v>
      </c>
      <c r="E18" t="s">
        <v>86</v>
      </c>
    </row>
    <row r="19" spans="1:5" x14ac:dyDescent="0.3">
      <c r="A19" t="s">
        <v>81</v>
      </c>
      <c r="B19" t="s">
        <v>32</v>
      </c>
      <c r="E19" t="s">
        <v>86</v>
      </c>
    </row>
    <row r="20" spans="1:5" x14ac:dyDescent="0.3">
      <c r="A20" t="s">
        <v>350</v>
      </c>
      <c r="B20" t="s">
        <v>31</v>
      </c>
      <c r="E20" t="s">
        <v>86</v>
      </c>
    </row>
    <row r="21" spans="1:5" x14ac:dyDescent="0.3">
      <c r="A21" t="s">
        <v>351</v>
      </c>
      <c r="B21" t="s">
        <v>26</v>
      </c>
      <c r="E21" t="s">
        <v>86</v>
      </c>
    </row>
    <row r="22" spans="1:5" x14ac:dyDescent="0.3">
      <c r="A22" t="s">
        <v>352</v>
      </c>
      <c r="B22" t="s">
        <v>27</v>
      </c>
      <c r="E22" t="s">
        <v>86</v>
      </c>
    </row>
    <row r="23" spans="1:5" x14ac:dyDescent="0.3">
      <c r="A23" t="s">
        <v>353</v>
      </c>
      <c r="B23" t="s">
        <v>23</v>
      </c>
      <c r="E23" t="s">
        <v>86</v>
      </c>
    </row>
    <row r="24" spans="1:5" x14ac:dyDescent="0.3">
      <c r="A24" t="s">
        <v>354</v>
      </c>
      <c r="B24" t="s">
        <v>33</v>
      </c>
      <c r="E24" t="s">
        <v>86</v>
      </c>
    </row>
    <row r="25" spans="1:5" x14ac:dyDescent="0.3">
      <c r="A25" t="s">
        <v>355</v>
      </c>
      <c r="E25" t="s">
        <v>122</v>
      </c>
    </row>
    <row r="26" spans="1:5" x14ac:dyDescent="0.3">
      <c r="A26" t="s">
        <v>356</v>
      </c>
      <c r="C26" t="s">
        <v>37</v>
      </c>
      <c r="E26" t="s">
        <v>122</v>
      </c>
    </row>
    <row r="27" spans="1:5" x14ac:dyDescent="0.3">
      <c r="A27" t="s">
        <v>38</v>
      </c>
      <c r="C27" t="s">
        <v>38</v>
      </c>
      <c r="E27" t="s">
        <v>122</v>
      </c>
    </row>
  </sheetData>
  <autoFilter ref="A1:E70" xr:uid="{777FE447-5FAC-4882-8E12-22D8C1403F4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564F-FD72-4115-A21D-8BA8C20CB262}">
  <sheetPr>
    <pageSetUpPr fitToPage="1"/>
  </sheetPr>
  <dimension ref="B2:V175"/>
  <sheetViews>
    <sheetView topLeftCell="A66" zoomScale="70" zoomScaleNormal="70" workbookViewId="0">
      <selection activeCell="F71" sqref="F71"/>
    </sheetView>
  </sheetViews>
  <sheetFormatPr defaultRowHeight="14.4" outlineLevelCol="1" x14ac:dyDescent="0.3"/>
  <cols>
    <col min="2" max="2" width="32.44140625" customWidth="1"/>
    <col min="3" max="6" width="19.44140625" customWidth="1"/>
    <col min="7" max="7" width="23.109375" customWidth="1"/>
    <col min="8" max="8" width="12.44140625" customWidth="1"/>
    <col min="10" max="10" width="13.33203125" customWidth="1" outlineLevel="1"/>
    <col min="11" max="11" width="9.44140625" customWidth="1" outlineLevel="1"/>
    <col min="12" max="14" width="10.33203125" customWidth="1" outlineLevel="1"/>
    <col min="15" max="15" width="12.6640625" customWidth="1" outlineLevel="1"/>
    <col min="16" max="17" width="8.88671875" customWidth="1"/>
    <col min="22" max="22" width="12" bestFit="1" customWidth="1"/>
  </cols>
  <sheetData>
    <row r="2" spans="2:22" ht="19.8" x14ac:dyDescent="0.45">
      <c r="B2" s="387" t="s">
        <v>177</v>
      </c>
    </row>
    <row r="4" spans="2:22" ht="15.6" x14ac:dyDescent="0.35">
      <c r="B4" s="388" t="s">
        <v>178</v>
      </c>
      <c r="G4" s="488" t="s">
        <v>187</v>
      </c>
      <c r="H4" s="19"/>
    </row>
    <row r="5" spans="2:22" ht="15" x14ac:dyDescent="0.35">
      <c r="B5" s="409" t="s">
        <v>179</v>
      </c>
      <c r="C5" s="38"/>
      <c r="D5" s="409" t="s">
        <v>180</v>
      </c>
      <c r="E5" s="38"/>
      <c r="G5" s="436" t="s">
        <v>59</v>
      </c>
      <c r="H5" s="489">
        <f>'Inputs &amp; Drivers'!E14</f>
        <v>14000000</v>
      </c>
    </row>
    <row r="6" spans="2:22" ht="15" x14ac:dyDescent="0.35">
      <c r="B6" s="389" t="s">
        <v>181</v>
      </c>
      <c r="C6" s="391">
        <f>'Inputs &amp; Drivers'!I19</f>
        <v>9100000</v>
      </c>
      <c r="D6" s="389" t="s">
        <v>59</v>
      </c>
      <c r="E6" s="391">
        <f>'Inputs &amp; Drivers'!E14</f>
        <v>14000000</v>
      </c>
      <c r="G6" s="436" t="s">
        <v>176</v>
      </c>
      <c r="H6" s="490">
        <f>'Inputs &amp; Drivers'!I30</f>
        <v>4.5309752857142858E-2</v>
      </c>
    </row>
    <row r="7" spans="2:22" ht="15" x14ac:dyDescent="0.35">
      <c r="B7" s="389" t="s">
        <v>182</v>
      </c>
      <c r="C7" s="391">
        <f>E13-C6</f>
        <v>5065000</v>
      </c>
      <c r="D7" s="389" t="s">
        <v>183</v>
      </c>
      <c r="E7" s="391">
        <f>'Inputs &amp; Drivers'!E15*'Inputs &amp; Drivers'!E14</f>
        <v>140000</v>
      </c>
      <c r="G7" s="436" t="str">
        <f>"All-In Interest Rate (SOFR+"&amp;TEXT('Inputs &amp; Drivers'!I15*10000,"0")&amp;"bps)"</f>
        <v>All-In Interest Rate (SOFR+200bps)</v>
      </c>
      <c r="H7" s="490">
        <f>'Inputs &amp; Drivers'!I16</f>
        <v>6.3E-2</v>
      </c>
    </row>
    <row r="8" spans="2:22" ht="15" x14ac:dyDescent="0.35">
      <c r="G8" s="436" t="s">
        <v>188</v>
      </c>
      <c r="H8" s="491">
        <f>'Inputs &amp; Drivers'!I13</f>
        <v>0.65</v>
      </c>
    </row>
    <row r="9" spans="2:22" ht="15" x14ac:dyDescent="0.35">
      <c r="D9" s="389" t="s">
        <v>184</v>
      </c>
      <c r="E9" s="391">
        <f>'Inputs &amp; Drivers'!I22</f>
        <v>25000</v>
      </c>
      <c r="G9" s="436" t="s">
        <v>166</v>
      </c>
      <c r="H9" s="489">
        <f>'Inputs &amp; Drivers'!I19</f>
        <v>9100000</v>
      </c>
    </row>
    <row r="10" spans="2:22" ht="15" x14ac:dyDescent="0.35">
      <c r="G10" s="436" t="s">
        <v>189</v>
      </c>
      <c r="H10" s="489">
        <f>C7</f>
        <v>5065000</v>
      </c>
    </row>
    <row r="11" spans="2:22" ht="15" x14ac:dyDescent="0.35">
      <c r="G11" s="436" t="s">
        <v>170</v>
      </c>
      <c r="H11" s="489">
        <f>'Inputs &amp; Drivers'!I24</f>
        <v>25000</v>
      </c>
    </row>
    <row r="12" spans="2:22" ht="15.6" thickBot="1" x14ac:dyDescent="0.4">
      <c r="G12" s="436" t="s">
        <v>55</v>
      </c>
      <c r="H12" s="492">
        <f>'Inputs &amp; Drivers'!E10</f>
        <v>89350</v>
      </c>
    </row>
    <row r="13" spans="2:22" ht="15.6" thickBot="1" x14ac:dyDescent="0.4">
      <c r="B13" s="412" t="s">
        <v>185</v>
      </c>
      <c r="C13" s="413">
        <f>C6+C7</f>
        <v>14165000</v>
      </c>
      <c r="D13" s="412" t="s">
        <v>186</v>
      </c>
      <c r="E13" s="413">
        <f>E6+E7+E9</f>
        <v>14165000</v>
      </c>
      <c r="G13" s="436" t="s">
        <v>190</v>
      </c>
      <c r="H13" s="493">
        <f>H5/H12</f>
        <v>156.68718522663681</v>
      </c>
    </row>
    <row r="14" spans="2:22" ht="15.6" thickTop="1" x14ac:dyDescent="0.35">
      <c r="G14" s="494" t="s">
        <v>318</v>
      </c>
      <c r="H14" s="495">
        <f>'Inputs &amp; Drivers'!I31</f>
        <v>75000</v>
      </c>
    </row>
    <row r="15" spans="2:22" ht="15.6" x14ac:dyDescent="0.35">
      <c r="B15" s="388" t="s">
        <v>191</v>
      </c>
      <c r="V15">
        <f>850000/16600000</f>
        <v>5.1204819277108432E-2</v>
      </c>
    </row>
    <row r="16" spans="2:22" ht="15" x14ac:dyDescent="0.35">
      <c r="B16" s="414"/>
      <c r="C16" s="414" t="s">
        <v>192</v>
      </c>
      <c r="D16" s="414" t="s">
        <v>193</v>
      </c>
      <c r="E16" s="414" t="s">
        <v>194</v>
      </c>
      <c r="F16" s="414" t="s">
        <v>195</v>
      </c>
      <c r="G16" s="414" t="s">
        <v>196</v>
      </c>
    </row>
    <row r="17" spans="2:7" ht="15" x14ac:dyDescent="0.35">
      <c r="B17" s="389" t="s">
        <v>197</v>
      </c>
      <c r="C17" s="395">
        <f>'Inputs &amp; Drivers'!I19</f>
        <v>9100000</v>
      </c>
      <c r="D17" s="395">
        <f>C22</f>
        <v>8945141.4975155927</v>
      </c>
      <c r="E17" s="395">
        <f>D22</f>
        <v>8780240.2138030119</v>
      </c>
      <c r="F17" s="395">
        <f>E22</f>
        <v>8604644.8610532023</v>
      </c>
      <c r="G17" s="395">
        <f>F22</f>
        <v>8417661.9145706706</v>
      </c>
    </row>
    <row r="18" spans="2:7" ht="15" x14ac:dyDescent="0.35">
      <c r="B18" s="389" t="s">
        <v>198</v>
      </c>
      <c r="C18" s="395">
        <f>-PMT('Inputs &amp; Drivers'!I16/12, 'Inputs &amp; Drivers'!I17*12, 'Inputs &amp; Drivers'!I19)*12</f>
        <v>723737.6905711866</v>
      </c>
      <c r="D18" s="395">
        <f>C18</f>
        <v>723737.6905711866</v>
      </c>
      <c r="E18" s="395">
        <f>C18</f>
        <v>723737.6905711866</v>
      </c>
      <c r="F18" s="395">
        <f>C18</f>
        <v>723737.6905711866</v>
      </c>
      <c r="G18" s="395">
        <f>C18</f>
        <v>723737.6905711866</v>
      </c>
    </row>
    <row r="19" spans="2:7" ht="15" x14ac:dyDescent="0.35">
      <c r="B19" s="389" t="s">
        <v>199</v>
      </c>
      <c r="C19" s="395">
        <f>-CUMIPMT('Inputs &amp; Drivers'!I16/12, 'Inputs &amp; Drivers'!I17*12, 'Inputs &amp; Drivers'!I19, 1, 12, 0)</f>
        <v>568879.18808677839</v>
      </c>
      <c r="D19" s="395">
        <f>-CUMIPMT('Inputs &amp; Drivers'!I16/12, 'Inputs &amp; Drivers'!I17*12, 'Inputs &amp; Drivers'!I19, 13, 24, 0)</f>
        <v>558836.4068586058</v>
      </c>
      <c r="E19" s="395">
        <f>-CUMIPMT('Inputs &amp; Drivers'!I16/12, 'Inputs &amp; Drivers'!I17*12, 'Inputs &amp; Drivers'!I19, 25, 36, 0)</f>
        <v>548142.33782137604</v>
      </c>
      <c r="F19" s="395">
        <f>-CUMIPMT('Inputs &amp; Drivers'!I16/12, 'Inputs &amp; Drivers'!I17*12, 'Inputs &amp; Drivers'!I19, 37, 48, 0)</f>
        <v>536754.74408865417</v>
      </c>
      <c r="G19" s="395">
        <f>-CUMIPMT('Inputs &amp; Drivers'!I16/12, 'Inputs &amp; Drivers'!I17*12, 'Inputs &amp; Drivers'!I19, 49, 60, 0)</f>
        <v>524628.64965536818</v>
      </c>
    </row>
    <row r="20" spans="2:7" ht="15" x14ac:dyDescent="0.35">
      <c r="B20" s="389" t="s">
        <v>200</v>
      </c>
      <c r="C20" s="395">
        <f>C18-C19</f>
        <v>154858.50248440821</v>
      </c>
      <c r="D20" s="395">
        <f>D18-D19</f>
        <v>164901.2837125808</v>
      </c>
      <c r="E20" s="395">
        <f>E18-E19</f>
        <v>175595.35274981055</v>
      </c>
      <c r="F20" s="395">
        <f>F18-F19</f>
        <v>186982.94648253242</v>
      </c>
      <c r="G20" s="395">
        <f>G18-G19</f>
        <v>199109.04091581842</v>
      </c>
    </row>
    <row r="21" spans="2:7" ht="15.6" thickBot="1" x14ac:dyDescent="0.4">
      <c r="B21" s="390" t="s">
        <v>201</v>
      </c>
      <c r="C21" s="396">
        <f>C26/C18</f>
        <v>1.3841087385735702</v>
      </c>
      <c r="D21" s="396">
        <f>D26/D18</f>
        <v>1.4165995355550629</v>
      </c>
      <c r="E21" s="396">
        <f>E26/E18</f>
        <v>1.4634036340718057</v>
      </c>
      <c r="F21" s="396">
        <f>F26/F18</f>
        <v>1.5227886081126869</v>
      </c>
      <c r="G21" s="396">
        <f>G26/G18</f>
        <v>1.5859185362395201</v>
      </c>
    </row>
    <row r="22" spans="2:7" ht="15" x14ac:dyDescent="0.35">
      <c r="B22" s="416" t="s">
        <v>202</v>
      </c>
      <c r="C22" s="417">
        <f>C17-C20</f>
        <v>8945141.4975155927</v>
      </c>
      <c r="D22" s="417">
        <f>D17-D20</f>
        <v>8780240.2138030119</v>
      </c>
      <c r="E22" s="417">
        <f>E17-E20</f>
        <v>8604644.8610532023</v>
      </c>
      <c r="F22" s="417">
        <f>F17-F20</f>
        <v>8417661.9145706706</v>
      </c>
      <c r="G22" s="417">
        <f>G17-G20</f>
        <v>8218552.8736548517</v>
      </c>
    </row>
    <row r="24" spans="2:7" ht="15.6" x14ac:dyDescent="0.35">
      <c r="B24" s="388" t="s">
        <v>203</v>
      </c>
    </row>
    <row r="25" spans="2:7" ht="15" x14ac:dyDescent="0.35">
      <c r="B25" s="414"/>
      <c r="C25" s="414" t="s">
        <v>192</v>
      </c>
      <c r="D25" s="414" t="s">
        <v>193</v>
      </c>
      <c r="E25" s="414" t="s">
        <v>194</v>
      </c>
      <c r="F25" s="414" t="s">
        <v>195</v>
      </c>
      <c r="G25" s="414" t="s">
        <v>196</v>
      </c>
    </row>
    <row r="26" spans="2:7" ht="15" x14ac:dyDescent="0.35">
      <c r="B26" s="389" t="s">
        <v>38</v>
      </c>
      <c r="C26" s="397">
        <f>'5 Year Proforma'!G47</f>
        <v>1001731.661954634</v>
      </c>
      <c r="D26" s="397">
        <f>'5 Year Proforma'!L47</f>
        <v>1025246.4763268367</v>
      </c>
      <c r="E26" s="397">
        <f>'5 Year Proforma'!Q47</f>
        <v>1059120.3664966105</v>
      </c>
      <c r="F26" s="397">
        <f>'5 Year Proforma'!V47</f>
        <v>1102099.5104635877</v>
      </c>
      <c r="G26" s="397">
        <f>'5 Year Proforma'!AA47</f>
        <v>1147789.0188520269</v>
      </c>
    </row>
    <row r="27" spans="2:7" ht="15" x14ac:dyDescent="0.35">
      <c r="B27" s="389" t="s">
        <v>204</v>
      </c>
      <c r="C27" s="398">
        <f>-'Inputs &amp; Drivers'!I23</f>
        <v>0</v>
      </c>
      <c r="D27" s="398">
        <f>-'Inputs &amp; Drivers'!I25</f>
        <v>0</v>
      </c>
      <c r="E27" s="398">
        <f>-'Inputs &amp; Drivers'!I25</f>
        <v>0</v>
      </c>
      <c r="F27" s="398">
        <f>-'Inputs &amp; Drivers'!I25</f>
        <v>0</v>
      </c>
      <c r="G27" s="398">
        <f>-'Inputs &amp; Drivers'!I25</f>
        <v>0</v>
      </c>
    </row>
    <row r="28" spans="2:7" ht="15" x14ac:dyDescent="0.35">
      <c r="B28" s="389" t="s">
        <v>205</v>
      </c>
      <c r="C28" s="398">
        <f>-C18</f>
        <v>-723737.6905711866</v>
      </c>
      <c r="D28" s="398">
        <f>-D18</f>
        <v>-723737.6905711866</v>
      </c>
      <c r="E28" s="398">
        <f>-E18</f>
        <v>-723737.6905711866</v>
      </c>
      <c r="F28" s="398">
        <f>-F18</f>
        <v>-723737.6905711866</v>
      </c>
      <c r="G28" s="398">
        <f>-G18</f>
        <v>-723737.6905711866</v>
      </c>
    </row>
    <row r="29" spans="2:7" ht="15.6" thickBot="1" x14ac:dyDescent="0.4">
      <c r="B29" s="470" t="s">
        <v>317</v>
      </c>
      <c r="C29" s="471">
        <f>-'Inputs &amp; Drivers'!I31</f>
        <v>-75000</v>
      </c>
      <c r="D29" s="471">
        <f>-'Inputs &amp; Drivers'!I31</f>
        <v>-75000</v>
      </c>
      <c r="E29" s="471">
        <f>-'Inputs &amp; Drivers'!I31</f>
        <v>-75000</v>
      </c>
      <c r="F29" s="471">
        <f>-'Inputs &amp; Drivers'!I31</f>
        <v>-75000</v>
      </c>
      <c r="G29" s="471">
        <f>-'Inputs &amp; Drivers'!I31</f>
        <v>-75000</v>
      </c>
    </row>
    <row r="30" spans="2:7" ht="15" x14ac:dyDescent="0.35">
      <c r="B30" s="390" t="s">
        <v>203</v>
      </c>
      <c r="C30" s="399">
        <f>SUM(C26:C29)</f>
        <v>202993.97138344741</v>
      </c>
      <c r="D30" s="399">
        <f>SUM(D26:D29)</f>
        <v>226508.78575565014</v>
      </c>
      <c r="E30" s="399">
        <f>SUM(E26:E29)</f>
        <v>260382.67592542386</v>
      </c>
      <c r="F30" s="399">
        <f>SUM(F26:F29)</f>
        <v>303361.81989240111</v>
      </c>
      <c r="G30" s="399">
        <f>SUM(G26:G29)</f>
        <v>349051.3282808403</v>
      </c>
    </row>
    <row r="32" spans="2:7" ht="15" x14ac:dyDescent="0.35">
      <c r="B32" s="415" t="s">
        <v>206</v>
      </c>
      <c r="C32" s="419">
        <f>C30/C7</f>
        <v>4.0077783096435816E-2</v>
      </c>
      <c r="D32" s="419">
        <f>D30/C7</f>
        <v>4.4720392054422534E-2</v>
      </c>
      <c r="E32" s="419">
        <f>E30/C7</f>
        <v>5.1408228218247552E-2</v>
      </c>
      <c r="F32" s="419">
        <f>F30/C7</f>
        <v>5.9893745289713939E-2</v>
      </c>
      <c r="G32" s="419">
        <f>G30/C7</f>
        <v>6.8914378732643694E-2</v>
      </c>
    </row>
    <row r="33" spans="2:13" ht="15" x14ac:dyDescent="0.35">
      <c r="B33" s="390" t="s">
        <v>314</v>
      </c>
      <c r="C33" s="468">
        <f>C26/E13</f>
        <v>7.071879011328161E-2</v>
      </c>
      <c r="D33" s="468">
        <f>D26/E13</f>
        <v>7.23788546647961E-2</v>
      </c>
      <c r="E33" s="468">
        <f>E26/E13</f>
        <v>7.4770234133188174E-2</v>
      </c>
      <c r="F33" s="468">
        <f>F26/E13</f>
        <v>7.7804413022491192E-2</v>
      </c>
      <c r="G33" s="468">
        <f>G26/E13</f>
        <v>8.1029934264174153E-2</v>
      </c>
    </row>
    <row r="34" spans="2:13" ht="15" x14ac:dyDescent="0.35">
      <c r="B34" s="390"/>
      <c r="C34" s="468"/>
      <c r="D34" s="468"/>
      <c r="E34" s="468"/>
      <c r="F34" s="468"/>
      <c r="G34" s="468"/>
    </row>
    <row r="35" spans="2:13" ht="19.8" x14ac:dyDescent="0.45">
      <c r="B35" s="387" t="s">
        <v>259</v>
      </c>
    </row>
    <row r="37" spans="2:13" ht="15" x14ac:dyDescent="0.35">
      <c r="B37" s="444"/>
      <c r="C37" s="414" t="s">
        <v>260</v>
      </c>
      <c r="D37" s="455" t="s">
        <v>261</v>
      </c>
      <c r="E37" s="414" t="s">
        <v>262</v>
      </c>
      <c r="J37" t="s">
        <v>274</v>
      </c>
    </row>
    <row r="38" spans="2:13" ht="15" x14ac:dyDescent="0.35">
      <c r="B38" s="390" t="s">
        <v>173</v>
      </c>
      <c r="J38" s="392">
        <f>-C7</f>
        <v>-5065000</v>
      </c>
      <c r="K38" s="402">
        <f>C30</f>
        <v>202993.97138344741</v>
      </c>
      <c r="L38" s="402">
        <f>D30</f>
        <v>226508.78575565014</v>
      </c>
      <c r="M38" s="402">
        <f>E30+C45</f>
        <v>8927025.4554057475</v>
      </c>
    </row>
    <row r="39" spans="2:13" ht="15" x14ac:dyDescent="0.35">
      <c r="B39" s="389" t="s">
        <v>263</v>
      </c>
      <c r="C39" s="395">
        <f>E26</f>
        <v>1059120.3664966105</v>
      </c>
      <c r="D39" s="451">
        <f>G26</f>
        <v>1147789.0188520269</v>
      </c>
      <c r="E39" s="395">
        <f>G26*(1+'Inputs &amp; Drivers'!E65)^2</f>
        <v>1241448.6027903524</v>
      </c>
      <c r="J39" t="s">
        <v>275</v>
      </c>
    </row>
    <row r="40" spans="2:13" ht="15" x14ac:dyDescent="0.35">
      <c r="B40" s="389" t="s">
        <v>264</v>
      </c>
      <c r="C40" s="395">
        <f>C39*(1+'Inputs &amp; Drivers'!E63)</f>
        <v>1101485.1811564749</v>
      </c>
      <c r="D40" s="451">
        <f>D39*(1+'Inputs &amp; Drivers'!E65)</f>
        <v>1193700.5796061079</v>
      </c>
      <c r="E40" s="395">
        <f>E39*(1+'Inputs &amp; Drivers'!E65)</f>
        <v>1291106.5469019667</v>
      </c>
      <c r="J40" s="392">
        <f>-D98</f>
        <v>-506500</v>
      </c>
      <c r="K40" s="402">
        <f>C120</f>
        <v>20299.397138344742</v>
      </c>
      <c r="L40" s="402">
        <f>D120</f>
        <v>22650.878575565017</v>
      </c>
      <c r="M40">
        <f>E120+C45*C98+MAX(E30+C45-548480-D100,0)*(C103+(1-C103)*C98)-MAX(E30+C45-548480-D100,0)*(C103+(1-C103)*C98)+C45*0</f>
        <v>892702.54554057471</v>
      </c>
    </row>
    <row r="41" spans="2:13" ht="15" x14ac:dyDescent="0.35">
      <c r="B41" s="389" t="s">
        <v>209</v>
      </c>
      <c r="C41" s="395">
        <f>C40/'Inputs &amp; Drivers'!I28</f>
        <v>17623762.898503598</v>
      </c>
      <c r="D41" s="451">
        <f>D40/'Inputs &amp; Drivers'!I28</f>
        <v>19099209.273697726</v>
      </c>
      <c r="E41" s="395">
        <f>E40/'Inputs &amp; Drivers'!I28</f>
        <v>20657704.750431467</v>
      </c>
    </row>
    <row r="42" spans="2:13" ht="15.6" thickBot="1" x14ac:dyDescent="0.4">
      <c r="B42" s="389" t="s">
        <v>175</v>
      </c>
      <c r="C42" s="398">
        <f>-C41*'Inputs &amp; Drivers'!I29</f>
        <v>-352475.25797007198</v>
      </c>
      <c r="D42" s="452">
        <f>-D41*'Inputs &amp; Drivers'!I29</f>
        <v>-381984.18547395454</v>
      </c>
      <c r="E42" s="398">
        <f>-E41*'Inputs &amp; Drivers'!I29</f>
        <v>-413154.09500862937</v>
      </c>
      <c r="J42" t="s">
        <v>276</v>
      </c>
    </row>
    <row r="43" spans="2:13" ht="15" x14ac:dyDescent="0.35">
      <c r="B43" s="416" t="s">
        <v>211</v>
      </c>
      <c r="C43" s="417">
        <f>C41+C42</f>
        <v>17271287.640533525</v>
      </c>
      <c r="D43" s="456">
        <f>D41+D42</f>
        <v>18717225.08822377</v>
      </c>
      <c r="E43" s="417">
        <f>E41+E42</f>
        <v>20244550.655422837</v>
      </c>
      <c r="J43" s="402">
        <f>C30+D30+E30+C45</f>
        <v>9356528.2125448454</v>
      </c>
    </row>
    <row r="44" spans="2:13" ht="15.6" thickBot="1" x14ac:dyDescent="0.4">
      <c r="B44" s="389" t="s">
        <v>265</v>
      </c>
      <c r="C44" s="395">
        <f>E22</f>
        <v>8604644.8610532023</v>
      </c>
      <c r="D44" s="451">
        <f>G22</f>
        <v>8218552.8736548517</v>
      </c>
      <c r="E44" s="395">
        <f>'Inputs &amp; Drivers'!I19+CUMPRINC('Inputs &amp; Drivers'!I16/12,'Inputs &amp; Drivers'!I17*12,'Inputs &amp; Drivers'!I19,1,84,0)</f>
        <v>7780759.9360154402</v>
      </c>
      <c r="J44" s="437">
        <f>3*D100*C102</f>
        <v>1215600</v>
      </c>
    </row>
    <row r="45" spans="2:13" ht="15" x14ac:dyDescent="0.35">
      <c r="B45" s="416" t="s">
        <v>266</v>
      </c>
      <c r="C45" s="417">
        <f>C43-C44</f>
        <v>8666642.7794803232</v>
      </c>
      <c r="D45" s="456">
        <f>D43-D44</f>
        <v>10498672.214568919</v>
      </c>
      <c r="E45" s="417">
        <f>E43-E44</f>
        <v>12463790.719407396</v>
      </c>
      <c r="J45">
        <f>MIN(J44, MAX(J43,0))</f>
        <v>1215600</v>
      </c>
    </row>
    <row r="46" spans="2:13" x14ac:dyDescent="0.3">
      <c r="J46">
        <f>MIN(MAX(J43-J45,0), D100)</f>
        <v>5065000</v>
      </c>
    </row>
    <row r="47" spans="2:13" ht="15" x14ac:dyDescent="0.35">
      <c r="B47" s="393" t="s">
        <v>267</v>
      </c>
      <c r="J47">
        <f>MAX(J43-J45-J46,0)</f>
        <v>3075928.2125448454</v>
      </c>
    </row>
    <row r="48" spans="2:13" ht="17.399999999999999" x14ac:dyDescent="0.4">
      <c r="B48" s="403" t="s">
        <v>218</v>
      </c>
      <c r="C48" s="443">
        <f>J151</f>
        <v>0.23391533865296243</v>
      </c>
      <c r="D48" s="453">
        <f>C67</f>
        <v>0.19581797372758292</v>
      </c>
      <c r="E48" s="443">
        <f>J175</f>
        <v>0.17950314343355855</v>
      </c>
      <c r="J48">
        <f>J45*C98 + J46*C98 + J47*(C103 + (1-C103)*C98)</f>
        <v>1627736.6690770746</v>
      </c>
    </row>
    <row r="49" spans="2:10" ht="17.399999999999999" x14ac:dyDescent="0.4">
      <c r="B49" s="403" t="s">
        <v>219</v>
      </c>
      <c r="C49" s="442">
        <f>(SUM(K38:M38))/-J38</f>
        <v>1.8472908613119141</v>
      </c>
      <c r="D49" s="454">
        <f>C68</f>
        <v>2.3378027237525529</v>
      </c>
      <c r="E49" s="442">
        <f>(SUM(K158:Q158))/-J158</f>
        <v>2.9207824485487159</v>
      </c>
      <c r="J49" s="402">
        <f>J43-J48</f>
        <v>7728791.5434677713</v>
      </c>
    </row>
    <row r="51" spans="2:10" ht="15.6" x14ac:dyDescent="0.35">
      <c r="B51" s="496" t="s">
        <v>335</v>
      </c>
      <c r="C51" s="497"/>
    </row>
    <row r="53" spans="2:10" ht="15" x14ac:dyDescent="0.35">
      <c r="B53" t="s">
        <v>174</v>
      </c>
      <c r="G53" s="374">
        <f>'Inputs &amp; Drivers'!I28</f>
        <v>6.25E-2</v>
      </c>
    </row>
    <row r="54" spans="2:10" ht="15" x14ac:dyDescent="0.35">
      <c r="B54" s="389" t="s">
        <v>207</v>
      </c>
      <c r="G54" s="391">
        <f>G26*(1+'Inputs &amp; Drivers'!E65)</f>
        <v>1193700.5796061079</v>
      </c>
      <c r="H54" s="400" t="s">
        <v>208</v>
      </c>
    </row>
    <row r="55" spans="2:10" ht="15" x14ac:dyDescent="0.35">
      <c r="B55" s="389" t="s">
        <v>209</v>
      </c>
      <c r="G55" s="391">
        <f>G54/G53</f>
        <v>19099209.273697726</v>
      </c>
    </row>
    <row r="56" spans="2:10" ht="15.6" thickBot="1" x14ac:dyDescent="0.4">
      <c r="B56" s="389" t="s">
        <v>210</v>
      </c>
      <c r="G56" s="401">
        <f>-G55*'Inputs &amp; Drivers'!I29</f>
        <v>-381984.18547395454</v>
      </c>
    </row>
    <row r="57" spans="2:10" ht="15" x14ac:dyDescent="0.35">
      <c r="B57" s="416" t="s">
        <v>211</v>
      </c>
      <c r="C57" s="420"/>
      <c r="D57" s="420"/>
      <c r="E57" s="420"/>
      <c r="F57" s="420"/>
      <c r="G57" s="421">
        <f>G55+G56</f>
        <v>18717225.08822377</v>
      </c>
    </row>
    <row r="58" spans="2:10" ht="15.6" thickBot="1" x14ac:dyDescent="0.4">
      <c r="B58" s="389" t="s">
        <v>212</v>
      </c>
      <c r="G58" s="401">
        <f>-G22</f>
        <v>-8218552.8736548517</v>
      </c>
    </row>
    <row r="59" spans="2:10" ht="15" x14ac:dyDescent="0.35">
      <c r="B59" s="410" t="s">
        <v>213</v>
      </c>
      <c r="C59" s="422"/>
      <c r="D59" s="422"/>
      <c r="E59" s="422"/>
      <c r="F59" s="422"/>
      <c r="G59" s="411">
        <f>G57+G58</f>
        <v>10498672.214568919</v>
      </c>
    </row>
    <row r="62" spans="2:10" ht="15.6" x14ac:dyDescent="0.35">
      <c r="B62" s="388" t="s">
        <v>214</v>
      </c>
    </row>
    <row r="64" spans="2:10" ht="15" x14ac:dyDescent="0.35">
      <c r="B64" s="390" t="s">
        <v>215</v>
      </c>
      <c r="C64" s="394" t="s">
        <v>216</v>
      </c>
      <c r="D64" s="394" t="s">
        <v>192</v>
      </c>
      <c r="E64" s="394" t="s">
        <v>193</v>
      </c>
      <c r="F64" s="394" t="s">
        <v>194</v>
      </c>
      <c r="G64" s="394" t="s">
        <v>195</v>
      </c>
      <c r="H64" s="394" t="s">
        <v>196</v>
      </c>
    </row>
    <row r="65" spans="2:15" ht="15" x14ac:dyDescent="0.35">
      <c r="B65" s="389" t="s">
        <v>217</v>
      </c>
      <c r="C65" s="398">
        <f>-C7</f>
        <v>-5065000</v>
      </c>
      <c r="D65" s="398">
        <f>C30</f>
        <v>202993.97138344741</v>
      </c>
      <c r="E65" s="398">
        <f>D30</f>
        <v>226508.78575565014</v>
      </c>
      <c r="F65" s="398">
        <f>E30</f>
        <v>260382.67592542386</v>
      </c>
      <c r="G65" s="398">
        <f>F30</f>
        <v>303361.81989240111</v>
      </c>
      <c r="H65" s="398">
        <f>G30+G59</f>
        <v>10847723.542849759</v>
      </c>
    </row>
    <row r="66" spans="2:15" ht="15" thickBot="1" x14ac:dyDescent="0.35"/>
    <row r="67" spans="2:15" ht="17.399999999999999" x14ac:dyDescent="0.4">
      <c r="B67" s="424" t="s">
        <v>218</v>
      </c>
      <c r="C67" s="425">
        <f>IRR(C65:H65)</f>
        <v>0.19581797372758292</v>
      </c>
    </row>
    <row r="68" spans="2:15" ht="17.399999999999999" x14ac:dyDescent="0.4">
      <c r="B68" s="403" t="s">
        <v>219</v>
      </c>
      <c r="C68" s="423">
        <f>(SUM(D65:H65))/-C65</f>
        <v>2.3378027237525529</v>
      </c>
    </row>
    <row r="69" spans="2:15" ht="18" thickBot="1" x14ac:dyDescent="0.45">
      <c r="B69" s="426" t="s">
        <v>220</v>
      </c>
      <c r="C69" s="427">
        <f>AVERAGE(C32:G32)</f>
        <v>5.3002905478292714E-2</v>
      </c>
    </row>
    <row r="72" spans="2:15" ht="15.6" x14ac:dyDescent="0.35">
      <c r="B72" s="404" t="s">
        <v>221</v>
      </c>
    </row>
    <row r="74" spans="2:15" ht="15" x14ac:dyDescent="0.35">
      <c r="B74" s="390" t="s">
        <v>222</v>
      </c>
    </row>
    <row r="75" spans="2:15" ht="15" x14ac:dyDescent="0.35">
      <c r="B75" s="428" t="s">
        <v>174</v>
      </c>
      <c r="C75" s="414" t="s">
        <v>223</v>
      </c>
      <c r="D75" s="414" t="s">
        <v>224</v>
      </c>
      <c r="E75" s="414" t="s">
        <v>225</v>
      </c>
      <c r="F75" s="414" t="s">
        <v>219</v>
      </c>
      <c r="G75" s="414" t="s">
        <v>218</v>
      </c>
      <c r="J75" s="394" t="s">
        <v>226</v>
      </c>
    </row>
    <row r="76" spans="2:15" ht="15" x14ac:dyDescent="0.35">
      <c r="B76" s="429">
        <v>5.5E-2</v>
      </c>
      <c r="C76" s="391">
        <f t="shared" ref="C76:C83" si="0">$G$54/B76</f>
        <v>21703646.901929233</v>
      </c>
      <c r="D76" s="391">
        <f>C76*(1-'Inputs &amp; Drivers'!$I$29)</f>
        <v>21269573.963890649</v>
      </c>
      <c r="E76" s="391">
        <f t="shared" ref="E76:E83" si="1">D76-$G$22</f>
        <v>13051021.090235798</v>
      </c>
      <c r="F76" s="405">
        <f t="shared" ref="F76:F83" si="2">(SUM($C$30:$G$30)+E76)/$C$7</f>
        <v>2.8417215540915222</v>
      </c>
      <c r="G76" s="407">
        <f t="shared" ref="G76:G83" si="3">IRR(J76:O76)</f>
        <v>0.24422561461593539</v>
      </c>
      <c r="J76" s="402">
        <f t="shared" ref="J76:J83" si="4">$C$65</f>
        <v>-5065000</v>
      </c>
      <c r="K76" s="402">
        <f t="shared" ref="K76:K83" si="5">$D$65</f>
        <v>202993.97138344741</v>
      </c>
      <c r="L76" s="402">
        <f t="shared" ref="L76:L83" si="6">$E$65</f>
        <v>226508.78575565014</v>
      </c>
      <c r="M76" s="402">
        <f t="shared" ref="M76:M83" si="7">$F$65</f>
        <v>260382.67592542386</v>
      </c>
      <c r="N76" s="402">
        <f t="shared" ref="N76:N83" si="8">$G$65</f>
        <v>303361.81989240111</v>
      </c>
      <c r="O76" s="402">
        <f t="shared" ref="O76:O83" si="9">$G$30+E76</f>
        <v>13400072.418516638</v>
      </c>
    </row>
    <row r="77" spans="2:15" ht="15" x14ac:dyDescent="0.35">
      <c r="B77" s="429">
        <v>5.7500000000000002E-2</v>
      </c>
      <c r="C77" s="391">
        <f t="shared" si="0"/>
        <v>20760010.080106225</v>
      </c>
      <c r="D77" s="391">
        <f>C77*(1-'Inputs &amp; Drivers'!$I$29)</f>
        <v>20344809.878504101</v>
      </c>
      <c r="E77" s="391">
        <f t="shared" si="1"/>
        <v>12126257.004849249</v>
      </c>
      <c r="F77" s="405">
        <f t="shared" si="2"/>
        <v>2.6591422677368239</v>
      </c>
      <c r="G77" s="407">
        <f t="shared" si="3"/>
        <v>0.22758547784037142</v>
      </c>
      <c r="J77" s="402">
        <f t="shared" si="4"/>
        <v>-5065000</v>
      </c>
      <c r="K77" s="402">
        <f t="shared" si="5"/>
        <v>202993.97138344741</v>
      </c>
      <c r="L77" s="402">
        <f t="shared" si="6"/>
        <v>226508.78575565014</v>
      </c>
      <c r="M77" s="402">
        <f t="shared" si="7"/>
        <v>260382.67592542386</v>
      </c>
      <c r="N77" s="402">
        <f t="shared" si="8"/>
        <v>303361.81989240111</v>
      </c>
      <c r="O77" s="402">
        <f t="shared" si="9"/>
        <v>12475308.33313009</v>
      </c>
    </row>
    <row r="78" spans="2:15" ht="15" x14ac:dyDescent="0.35">
      <c r="B78" s="429">
        <v>0.06</v>
      </c>
      <c r="C78" s="391">
        <f t="shared" si="0"/>
        <v>19895009.660101797</v>
      </c>
      <c r="D78" s="391">
        <f>C78*(1-'Inputs &amp; Drivers'!$I$29)</f>
        <v>19497109.46689976</v>
      </c>
      <c r="E78" s="391">
        <f t="shared" si="1"/>
        <v>11278556.593244908</v>
      </c>
      <c r="F78" s="405">
        <f t="shared" si="2"/>
        <v>2.4917779219116825</v>
      </c>
      <c r="G78" s="407">
        <f t="shared" si="3"/>
        <v>0.21146934571986287</v>
      </c>
      <c r="J78" s="402">
        <f t="shared" si="4"/>
        <v>-5065000</v>
      </c>
      <c r="K78" s="402">
        <f t="shared" si="5"/>
        <v>202993.97138344741</v>
      </c>
      <c r="L78" s="402">
        <f t="shared" si="6"/>
        <v>226508.78575565014</v>
      </c>
      <c r="M78" s="402">
        <f t="shared" si="7"/>
        <v>260382.67592542386</v>
      </c>
      <c r="N78" s="402">
        <f t="shared" si="8"/>
        <v>303361.81989240111</v>
      </c>
      <c r="O78" s="402">
        <f t="shared" si="9"/>
        <v>11627607.921525748</v>
      </c>
    </row>
    <row r="79" spans="2:15" ht="15" x14ac:dyDescent="0.35">
      <c r="B79" s="430">
        <v>6.5000000000000002E-2</v>
      </c>
      <c r="C79" s="431">
        <f t="shared" si="0"/>
        <v>18364624.30163243</v>
      </c>
      <c r="D79" s="431">
        <f>C79*(1-'Inputs &amp; Drivers'!$I$29)</f>
        <v>17997331.815599781</v>
      </c>
      <c r="E79" s="431">
        <f t="shared" si="1"/>
        <v>9778778.9419449288</v>
      </c>
      <c r="F79" s="406">
        <f t="shared" si="2"/>
        <v>2.1956717716056646</v>
      </c>
      <c r="G79" s="408">
        <f t="shared" si="3"/>
        <v>0.18057853246256594</v>
      </c>
      <c r="J79" s="402">
        <f t="shared" si="4"/>
        <v>-5065000</v>
      </c>
      <c r="K79" s="402">
        <f t="shared" si="5"/>
        <v>202993.97138344741</v>
      </c>
      <c r="L79" s="402">
        <f t="shared" si="6"/>
        <v>226508.78575565014</v>
      </c>
      <c r="M79" s="402">
        <f t="shared" si="7"/>
        <v>260382.67592542386</v>
      </c>
      <c r="N79" s="402">
        <f t="shared" si="8"/>
        <v>303361.81989240111</v>
      </c>
      <c r="O79" s="402">
        <f t="shared" si="9"/>
        <v>10127830.270225769</v>
      </c>
    </row>
    <row r="80" spans="2:15" ht="15" x14ac:dyDescent="0.35">
      <c r="B80" s="429">
        <v>7.0000000000000007E-2</v>
      </c>
      <c r="C80" s="391">
        <f t="shared" si="0"/>
        <v>17052865.422944397</v>
      </c>
      <c r="D80" s="391">
        <f>C80*(1-'Inputs &amp; Drivers'!$I$29)</f>
        <v>16711808.114485508</v>
      </c>
      <c r="E80" s="391">
        <f t="shared" si="1"/>
        <v>8493255.2408306561</v>
      </c>
      <c r="F80" s="405">
        <f t="shared" si="2"/>
        <v>1.9418664999147917</v>
      </c>
      <c r="G80" s="407">
        <f t="shared" si="3"/>
        <v>0.15114973415064004</v>
      </c>
      <c r="J80" s="402">
        <f t="shared" si="4"/>
        <v>-5065000</v>
      </c>
      <c r="K80" s="402">
        <f t="shared" si="5"/>
        <v>202993.97138344741</v>
      </c>
      <c r="L80" s="402">
        <f t="shared" si="6"/>
        <v>226508.78575565014</v>
      </c>
      <c r="M80" s="402">
        <f t="shared" si="7"/>
        <v>260382.67592542386</v>
      </c>
      <c r="N80" s="402">
        <f t="shared" si="8"/>
        <v>303361.81989240111</v>
      </c>
      <c r="O80" s="402">
        <f t="shared" si="9"/>
        <v>8842306.5691114962</v>
      </c>
    </row>
    <row r="81" spans="2:15" ht="15" x14ac:dyDescent="0.35">
      <c r="B81" s="429">
        <v>7.4999999999999997E-2</v>
      </c>
      <c r="C81" s="391">
        <f t="shared" si="0"/>
        <v>15916007.728081439</v>
      </c>
      <c r="D81" s="391">
        <f>C81*(1-'Inputs &amp; Drivers'!$I$29)</f>
        <v>15597687.573519809</v>
      </c>
      <c r="E81" s="391">
        <f t="shared" si="1"/>
        <v>7379134.6998649575</v>
      </c>
      <c r="F81" s="405">
        <f t="shared" si="2"/>
        <v>1.7219019311160357</v>
      </c>
      <c r="G81" s="407">
        <f t="shared" si="3"/>
        <v>0.12285096553001562</v>
      </c>
      <c r="J81" s="402">
        <f t="shared" si="4"/>
        <v>-5065000</v>
      </c>
      <c r="K81" s="402">
        <f t="shared" si="5"/>
        <v>202993.97138344741</v>
      </c>
      <c r="L81" s="402">
        <f t="shared" si="6"/>
        <v>226508.78575565014</v>
      </c>
      <c r="M81" s="402">
        <f t="shared" si="7"/>
        <v>260382.67592542386</v>
      </c>
      <c r="N81" s="402">
        <f t="shared" si="8"/>
        <v>303361.81989240111</v>
      </c>
      <c r="O81" s="402">
        <f t="shared" si="9"/>
        <v>7728186.0281457976</v>
      </c>
    </row>
    <row r="82" spans="2:15" ht="15" x14ac:dyDescent="0.35">
      <c r="B82" s="429">
        <v>0.08</v>
      </c>
      <c r="C82" s="391">
        <f t="shared" si="0"/>
        <v>14921257.245076349</v>
      </c>
      <c r="D82" s="391">
        <f>C82*(1-'Inputs &amp; Drivers'!$I$29)</f>
        <v>14622832.100174822</v>
      </c>
      <c r="E82" s="391">
        <f t="shared" si="1"/>
        <v>6404279.2265199702</v>
      </c>
      <c r="F82" s="405">
        <f t="shared" si="2"/>
        <v>1.5294329334171242</v>
      </c>
      <c r="G82" s="407">
        <f t="shared" si="3"/>
        <v>9.5398608747398805E-2</v>
      </c>
      <c r="J82" s="402">
        <f t="shared" si="4"/>
        <v>-5065000</v>
      </c>
      <c r="K82" s="402">
        <f t="shared" si="5"/>
        <v>202993.97138344741</v>
      </c>
      <c r="L82" s="402">
        <f t="shared" si="6"/>
        <v>226508.78575565014</v>
      </c>
      <c r="M82" s="402">
        <f t="shared" si="7"/>
        <v>260382.67592542386</v>
      </c>
      <c r="N82" s="402">
        <f t="shared" si="8"/>
        <v>303361.81989240111</v>
      </c>
      <c r="O82" s="402">
        <f t="shared" si="9"/>
        <v>6753330.5548008103</v>
      </c>
    </row>
    <row r="83" spans="2:15" ht="15" x14ac:dyDescent="0.35">
      <c r="B83" s="432">
        <v>8.5000000000000006E-2</v>
      </c>
      <c r="C83" s="433">
        <f t="shared" si="0"/>
        <v>14043536.230660092</v>
      </c>
      <c r="D83" s="433">
        <f>C83*(1-'Inputs &amp; Drivers'!$I$29)</f>
        <v>13762665.506046889</v>
      </c>
      <c r="E83" s="433">
        <f t="shared" si="1"/>
        <v>5544112.6323920377</v>
      </c>
      <c r="F83" s="434">
        <f t="shared" si="2"/>
        <v>1.3596073472122014</v>
      </c>
      <c r="G83" s="435">
        <f t="shared" si="3"/>
        <v>6.8540323933669045E-2</v>
      </c>
      <c r="J83" s="402">
        <f t="shared" si="4"/>
        <v>-5065000</v>
      </c>
      <c r="K83" s="402">
        <f t="shared" si="5"/>
        <v>202993.97138344741</v>
      </c>
      <c r="L83" s="402">
        <f t="shared" si="6"/>
        <v>226508.78575565014</v>
      </c>
      <c r="M83" s="402">
        <f t="shared" si="7"/>
        <v>260382.67592542386</v>
      </c>
      <c r="N83" s="402">
        <f t="shared" si="8"/>
        <v>303361.81989240111</v>
      </c>
      <c r="O83" s="402">
        <f t="shared" si="9"/>
        <v>5893163.9606728777</v>
      </c>
    </row>
    <row r="85" spans="2:15" ht="15" x14ac:dyDescent="0.35">
      <c r="B85" s="473" t="s">
        <v>322</v>
      </c>
      <c r="J85" s="482" t="s">
        <v>324</v>
      </c>
    </row>
    <row r="86" spans="2:15" ht="15" x14ac:dyDescent="0.35">
      <c r="J86" s="482" t="s">
        <v>325</v>
      </c>
      <c r="K86" s="483">
        <f>C87</f>
        <v>5.2999999999999999E-2</v>
      </c>
      <c r="L86" s="483">
        <f>D87</f>
        <v>5.8000000000000003E-2</v>
      </c>
      <c r="M86" s="483">
        <f>E87</f>
        <v>6.3E-2</v>
      </c>
      <c r="N86" s="483">
        <f>F87</f>
        <v>6.8000000000000005E-2</v>
      </c>
      <c r="O86" s="483">
        <f>G87</f>
        <v>7.2999999999999995E-2</v>
      </c>
    </row>
    <row r="87" spans="2:15" ht="15" x14ac:dyDescent="0.35">
      <c r="B87" s="474" t="s">
        <v>323</v>
      </c>
      <c r="C87" s="478">
        <v>5.2999999999999999E-2</v>
      </c>
      <c r="D87" s="478">
        <v>5.8000000000000003E-2</v>
      </c>
      <c r="E87" s="481">
        <v>6.3E-2</v>
      </c>
      <c r="F87" s="478">
        <v>6.8000000000000005E-2</v>
      </c>
      <c r="G87" s="478">
        <v>7.2999999999999995E-2</v>
      </c>
      <c r="J87" s="482" t="s">
        <v>326</v>
      </c>
      <c r="K87" s="484">
        <f>-PMT(K86/12,'Inputs &amp; Drivers'!$I$17*12,'Inputs &amp; Drivers'!$I$19)*12</f>
        <v>657603.70631167502</v>
      </c>
      <c r="L87" s="484">
        <f>-PMT(L86/12,'Inputs &amp; Drivers'!$I$17*12,'Inputs &amp; Drivers'!$I$19)*12</f>
        <v>690287.50382058567</v>
      </c>
      <c r="M87" s="484">
        <f>-PMT(M86/12,'Inputs &amp; Drivers'!$I$17*12,'Inputs &amp; Drivers'!$I$19)*12</f>
        <v>723737.6905711866</v>
      </c>
      <c r="N87" s="484">
        <f>-PMT(N86/12,'Inputs &amp; Drivers'!$I$17*12,'Inputs &amp; Drivers'!$I$19)*12</f>
        <v>757926.73369403335</v>
      </c>
      <c r="O87" s="484">
        <f>-PMT(O86/12,'Inputs &amp; Drivers'!$I$17*12,'Inputs &amp; Drivers'!$I$19)*12</f>
        <v>792826.18260810152</v>
      </c>
    </row>
    <row r="88" spans="2:15" ht="15" x14ac:dyDescent="0.35">
      <c r="B88" s="476">
        <v>5.5E-2</v>
      </c>
      <c r="C88" s="476">
        <f>IRR(CHOOSE({1,2,3,4,5,6},K$88,K$89,K$90,K$91,K$92,K96))</f>
        <v>0.25570745831191433</v>
      </c>
      <c r="D88" s="476">
        <f>IRR(CHOOSE({1,2,3,4,5,6},L$88,L$89,L$90,L$91,L$92,L96))</f>
        <v>0.24999877914084401</v>
      </c>
      <c r="E88" s="477">
        <f>IRR(CHOOSE({1,2,3,4,5,6},M$88,M$89,M$90,M$91,M$92,M96))</f>
        <v>0.24422561461593539</v>
      </c>
      <c r="F88" s="477">
        <f>IRR(CHOOSE({1,2,3,4,5,6},N$88,N$89,N$90,N$91,N$92,N96))</f>
        <v>0.2383930191426924</v>
      </c>
      <c r="G88" s="477">
        <f>IRR(CHOOSE({1,2,3,4,5,6},O$88,O$89,O$90,O$91,O$92,O96))</f>
        <v>0.23250602795436803</v>
      </c>
      <c r="J88" s="482" t="s">
        <v>327</v>
      </c>
      <c r="K88" s="485">
        <f>-$C$7</f>
        <v>-5065000</v>
      </c>
      <c r="L88" s="485">
        <f>-$C$7</f>
        <v>-5065000</v>
      </c>
      <c r="M88" s="485">
        <f>-$C$7</f>
        <v>-5065000</v>
      </c>
      <c r="N88" s="485">
        <f>-$C$7</f>
        <v>-5065000</v>
      </c>
      <c r="O88" s="485">
        <f>-$C$7</f>
        <v>-5065000</v>
      </c>
    </row>
    <row r="89" spans="2:15" ht="15" x14ac:dyDescent="0.35">
      <c r="B89" s="480">
        <v>0.06</v>
      </c>
      <c r="C89" s="477">
        <f>IRR(CHOOSE({1,2,3,4,5,6},K$88,K$89,K$90,K$91,K$92,K97))</f>
        <v>0.22362663770378455</v>
      </c>
      <c r="D89" s="477">
        <f>IRR(CHOOSE({1,2,3,4,5,6},L$88,L$89,L$90,L$91,L$92,L97))</f>
        <v>0.21758234584555569</v>
      </c>
      <c r="E89" s="477">
        <f>IRR(CHOOSE({1,2,3,4,5,6},M$88,M$89,M$90,M$91,M$92,M97))</f>
        <v>0.21146934571986287</v>
      </c>
      <c r="F89" s="477">
        <f>IRR(CHOOSE({1,2,3,4,5,6},N$88,N$89,N$90,N$91,N$92,N97))</f>
        <v>0.20529293095585022</v>
      </c>
      <c r="G89" s="477">
        <f>IRR(CHOOSE({1,2,3,4,5,6},O$88,O$89,O$90,O$91,O$92,O97))</f>
        <v>0.19905837718364339</v>
      </c>
      <c r="J89" s="482" t="s">
        <v>328</v>
      </c>
      <c r="K89" s="485">
        <f>$C$26-K$87-'Inputs &amp; Drivers'!$I$31</f>
        <v>269127.95564295899</v>
      </c>
      <c r="L89" s="485">
        <f>$C$26-L$87-'Inputs &amp; Drivers'!$I$31</f>
        <v>236444.15813404834</v>
      </c>
      <c r="M89" s="485">
        <f>$C$26-M$87-'Inputs &amp; Drivers'!$I$31</f>
        <v>202993.97138344741</v>
      </c>
      <c r="N89" s="485">
        <f>$C$26-N$87-'Inputs &amp; Drivers'!$I$31</f>
        <v>168804.92826060066</v>
      </c>
      <c r="O89" s="485">
        <f>$C$26-O$87-'Inputs &amp; Drivers'!$I$31</f>
        <v>133905.47934653249</v>
      </c>
    </row>
    <row r="90" spans="2:15" ht="15" x14ac:dyDescent="0.35">
      <c r="B90" s="475">
        <v>6.5000000000000002E-2</v>
      </c>
      <c r="C90" s="477">
        <f>IRR(CHOOSE({1,2,3,4,5,6},K$88,K$89,K$90,K$91,K$92,K98))</f>
        <v>0.19344992543851158</v>
      </c>
      <c r="D90" s="477">
        <f>IRR(CHOOSE({1,2,3,4,5,6},L$88,L$89,L$90,L$91,L$92,L98))</f>
        <v>0.18705118659920061</v>
      </c>
      <c r="E90" s="477">
        <f>IRR(CHOOSE({1,2,3,4,5,6},M$88,M$89,M$90,M$91,M$92,M98))</f>
        <v>0.18057853246256594</v>
      </c>
      <c r="F90" s="477">
        <f>IRR(CHOOSE({1,2,3,4,5,6},N$88,N$89,N$90,N$91,N$92,N98))</f>
        <v>0.17403748733275992</v>
      </c>
      <c r="G90" s="477">
        <f>IRR(CHOOSE({1,2,3,4,5,6},O$88,O$89,O$90,O$91,O$92,O98))</f>
        <v>0.16743356096679984</v>
      </c>
      <c r="J90" s="482" t="s">
        <v>329</v>
      </c>
      <c r="K90" s="485">
        <f>$D$26-K$87-'Inputs &amp; Drivers'!$I$31</f>
        <v>292642.77001516172</v>
      </c>
      <c r="L90" s="485">
        <f>$D$26-L$87-'Inputs &amp; Drivers'!$I$31</f>
        <v>259958.97250625107</v>
      </c>
      <c r="M90" s="485">
        <f>$D$26-M$87-'Inputs &amp; Drivers'!$I$31</f>
        <v>226508.78575565014</v>
      </c>
      <c r="N90" s="485">
        <f>$D$26-N$87-'Inputs &amp; Drivers'!$I$31</f>
        <v>192319.74263280339</v>
      </c>
      <c r="O90" s="485">
        <f>$D$26-O$87-'Inputs &amp; Drivers'!$I$31</f>
        <v>157420.29371873522</v>
      </c>
    </row>
    <row r="91" spans="2:15" ht="15" x14ac:dyDescent="0.35">
      <c r="B91" s="475">
        <v>7.0000000000000007E-2</v>
      </c>
      <c r="C91" s="475">
        <f>IRR(CHOOSE({1,2,3,4,5,6},K$88,K$89,K$90,K$91,K$92,K99))</f>
        <v>0.16478198332551908</v>
      </c>
      <c r="D91" s="475">
        <f>IRR(CHOOSE({1,2,3,4,5,6},L$88,L$89,L$90,L$91,L$92,L99))</f>
        <v>0.15800604170121435</v>
      </c>
      <c r="E91" s="475">
        <f>IRR(CHOOSE({1,2,3,4,5,6},M$88,M$89,M$90,M$91,M$92,M99))</f>
        <v>0.15114973415064026</v>
      </c>
      <c r="F91" s="477">
        <f>IRR(CHOOSE({1,2,3,4,5,6},N$88,N$89,N$90,N$91,N$92,N99))</f>
        <v>0.14421879718027042</v>
      </c>
      <c r="G91" s="477">
        <f>IRR(CHOOSE({1,2,3,4,5,6},O$88,O$89,O$90,O$91,O$92,O99))</f>
        <v>0.13721895881379775</v>
      </c>
      <c r="J91" s="482" t="s">
        <v>330</v>
      </c>
      <c r="K91" s="485">
        <f>$E$26-K$87-'Inputs &amp; Drivers'!$I$31</f>
        <v>326516.66018493543</v>
      </c>
      <c r="L91" s="485">
        <f>$E$26-L$87-'Inputs &amp; Drivers'!$I$31</f>
        <v>293832.86267602479</v>
      </c>
      <c r="M91" s="485">
        <f>$E$26-M$87-'Inputs &amp; Drivers'!$I$31</f>
        <v>260382.67592542386</v>
      </c>
      <c r="N91" s="485">
        <f>$E$26-N$87-'Inputs &amp; Drivers'!$I$31</f>
        <v>226193.63280257711</v>
      </c>
      <c r="O91" s="485">
        <f>$E$26-O$87-'Inputs &amp; Drivers'!$I$31</f>
        <v>191294.18388850894</v>
      </c>
    </row>
    <row r="92" spans="2:15" ht="15" x14ac:dyDescent="0.35">
      <c r="B92" s="479">
        <v>7.4999999999999997E-2</v>
      </c>
      <c r="C92" s="479">
        <f>IRR(CHOOSE({1,2,3,4,5,6},K$88,K$89,K$90,K$91,K$92,K100))</f>
        <v>0.13730036475689777</v>
      </c>
      <c r="D92" s="479">
        <f>IRR(CHOOSE({1,2,3,4,5,6},L$88,L$89,L$90,L$91,L$92,L100))</f>
        <v>0.13011986611729864</v>
      </c>
      <c r="E92" s="479">
        <f>IRR(CHOOSE({1,2,3,4,5,6},M$88,M$89,M$90,M$91,M$92,M100))</f>
        <v>0.12285096553001584</v>
      </c>
      <c r="F92" s="479">
        <f>IRR(CHOOSE({1,2,3,4,5,6},N$88,N$89,N$90,N$91,N$92,N100))</f>
        <v>0.11549957692784063</v>
      </c>
      <c r="G92" s="479">
        <f>IRR(CHOOSE({1,2,3,4,5,6},O$88,O$89,O$90,O$91,O$92,O100))</f>
        <v>0.10807161461979531</v>
      </c>
      <c r="J92" s="482" t="s">
        <v>331</v>
      </c>
      <c r="K92" s="485">
        <f>$F$26-K$87-'Inputs &amp; Drivers'!$I$31</f>
        <v>369495.80415191269</v>
      </c>
      <c r="L92" s="485">
        <f>$F$26-L$87-'Inputs &amp; Drivers'!$I$31</f>
        <v>336812.00664300204</v>
      </c>
      <c r="M92" s="485">
        <f>$F$26-M$87-'Inputs &amp; Drivers'!$I$31</f>
        <v>303361.81989240111</v>
      </c>
      <c r="N92" s="485">
        <f>$F$26-N$87-'Inputs &amp; Drivers'!$I$31</f>
        <v>269172.77676955436</v>
      </c>
      <c r="O92" s="485">
        <f>$F$26-O$87-'Inputs &amp; Drivers'!$I$31</f>
        <v>234273.32785548619</v>
      </c>
    </row>
    <row r="93" spans="2:15" ht="15" x14ac:dyDescent="0.35">
      <c r="J93" s="482" t="s">
        <v>332</v>
      </c>
      <c r="K93" s="485">
        <f>$G$26-K$87-'Inputs &amp; Drivers'!$I$31</f>
        <v>415185.31254035188</v>
      </c>
      <c r="L93" s="485">
        <f>$G$26-L$87-'Inputs &amp; Drivers'!$I$31</f>
        <v>382501.51503144123</v>
      </c>
      <c r="M93" s="485">
        <f>$G$26-M$87-'Inputs &amp; Drivers'!$I$31</f>
        <v>349051.3282808403</v>
      </c>
      <c r="N93" s="485">
        <f>$G$26-N$87-'Inputs &amp; Drivers'!$I$31</f>
        <v>314862.28515799355</v>
      </c>
      <c r="O93" s="485">
        <f>$G$26-O$87-'Inputs &amp; Drivers'!$I$31</f>
        <v>279962.83624392538</v>
      </c>
    </row>
    <row r="94" spans="2:15" ht="19.8" x14ac:dyDescent="0.45">
      <c r="B94" s="387" t="s">
        <v>227</v>
      </c>
      <c r="J94" s="482" t="s">
        <v>333</v>
      </c>
      <c r="K94" s="484">
        <f>'Inputs &amp; Drivers'!$I$19+CUMPRINC(K86/12,'Inputs &amp; Drivers'!$I$17*12,'Inputs &amp; Drivers'!$I$19,1,60,0)</f>
        <v>8098881.3575304653</v>
      </c>
      <c r="L94" s="484">
        <f>'Inputs &amp; Drivers'!$I$19+CUMPRINC(L86/12,'Inputs &amp; Drivers'!$I$17*12,'Inputs &amp; Drivers'!$I$19,1,60,0)</f>
        <v>8160110.061447625</v>
      </c>
      <c r="M94" s="484">
        <f>'Inputs &amp; Drivers'!$I$19+CUMPRINC(M86/12,'Inputs &amp; Drivers'!$I$17*12,'Inputs &amp; Drivers'!$I$19,1,60,0)</f>
        <v>8218552.8736548489</v>
      </c>
      <c r="N94" s="484">
        <f>'Inputs &amp; Drivers'!$I$19+CUMPRINC(N86/12,'Inputs &amp; Drivers'!$I$17*12,'Inputs &amp; Drivers'!$I$19,1,60,0)</f>
        <v>8274242.1289758496</v>
      </c>
      <c r="O94" s="484">
        <f>'Inputs &amp; Drivers'!$I$19+CUMPRINC(O86/12,'Inputs &amp; Drivers'!$I$17*12,'Inputs &amp; Drivers'!$I$19,1,60,0)</f>
        <v>8327219.4703157954</v>
      </c>
    </row>
    <row r="95" spans="2:15" ht="15" x14ac:dyDescent="0.35">
      <c r="J95" s="482" t="s">
        <v>334</v>
      </c>
    </row>
    <row r="96" spans="2:15" ht="15.6" x14ac:dyDescent="0.35">
      <c r="B96" s="388" t="s">
        <v>228</v>
      </c>
      <c r="J96" s="486">
        <f>$B88</f>
        <v>5.5E-2</v>
      </c>
      <c r="K96" s="487">
        <f>K$93+($G$54/$J96)*(1-'Inputs &amp; Drivers'!$I$29)-K$94</f>
        <v>13585877.918900536</v>
      </c>
      <c r="L96" s="487">
        <f>L$93+($G$54/$J96)*(1-'Inputs &amp; Drivers'!$I$29)-L$94</f>
        <v>13491965.417474467</v>
      </c>
      <c r="M96" s="487">
        <f>M$93+($G$54/$J96)*(1-'Inputs &amp; Drivers'!$I$29)-M$94</f>
        <v>13400072.41851664</v>
      </c>
      <c r="N96" s="487">
        <f>N$93+($G$54/$J96)*(1-'Inputs &amp; Drivers'!$I$29)-N$94</f>
        <v>13310194.120072793</v>
      </c>
      <c r="O96" s="487">
        <f>O$93+($G$54/$J96)*(1-'Inputs &amp; Drivers'!$I$29)-O$94</f>
        <v>13222317.329818778</v>
      </c>
    </row>
    <row r="97" spans="2:15" ht="15" x14ac:dyDescent="0.35">
      <c r="B97" s="444"/>
      <c r="C97" s="414" t="s">
        <v>66</v>
      </c>
      <c r="D97" s="414" t="s">
        <v>182</v>
      </c>
      <c r="J97" s="486">
        <f>$B89</f>
        <v>0.06</v>
      </c>
      <c r="K97" s="487">
        <f>K$93+($G$54/$J97)*(1-'Inputs &amp; Drivers'!$I$29)-K$94</f>
        <v>11813413.421909647</v>
      </c>
      <c r="L97" s="487">
        <f>L$93+($G$54/$J97)*(1-'Inputs &amp; Drivers'!$I$29)-L$94</f>
        <v>11719500.920483578</v>
      </c>
      <c r="M97" s="487">
        <f>M$93+($G$54/$J97)*(1-'Inputs &amp; Drivers'!$I$29)-M$94</f>
        <v>11627607.92152575</v>
      </c>
      <c r="N97" s="487">
        <f>N$93+($G$54/$J97)*(1-'Inputs &amp; Drivers'!$I$29)-N$94</f>
        <v>11537729.623081904</v>
      </c>
      <c r="O97" s="487">
        <f>O$93+($G$54/$J97)*(1-'Inputs &amp; Drivers'!$I$29)-O$94</f>
        <v>11449852.832827888</v>
      </c>
    </row>
    <row r="98" spans="2:15" ht="15" x14ac:dyDescent="0.35">
      <c r="B98" s="389" t="s">
        <v>229</v>
      </c>
      <c r="C98" s="182">
        <f>'Inputs &amp; Drivers'!D79</f>
        <v>0.1</v>
      </c>
      <c r="D98" s="391">
        <f>C98*$C$7</f>
        <v>506500</v>
      </c>
      <c r="J98" s="486">
        <f>$B90</f>
        <v>6.5000000000000002E-2</v>
      </c>
      <c r="K98" s="487">
        <f>K$93+($G$54/$J98)*(1-'Inputs &amp; Drivers'!$I$29)-K$94</f>
        <v>10313635.770609668</v>
      </c>
      <c r="L98" s="487">
        <f>L$93+($G$54/$J98)*(1-'Inputs &amp; Drivers'!$I$29)-L$94</f>
        <v>10219723.269183598</v>
      </c>
      <c r="M98" s="487">
        <f>M$93+($G$54/$J98)*(1-'Inputs &amp; Drivers'!$I$29)-M$94</f>
        <v>10127830.270225771</v>
      </c>
      <c r="N98" s="487">
        <f>N$93+($G$54/$J98)*(1-'Inputs &amp; Drivers'!$I$29)-N$94</f>
        <v>10037951.971781924</v>
      </c>
      <c r="O98" s="487">
        <f>O$93+($G$54/$J98)*(1-'Inputs &amp; Drivers'!$I$29)-O$94</f>
        <v>9950075.1815279089</v>
      </c>
    </row>
    <row r="99" spans="2:15" ht="15.6" thickBot="1" x14ac:dyDescent="0.4">
      <c r="B99" s="389" t="s">
        <v>230</v>
      </c>
      <c r="C99" s="407">
        <f>1-C98</f>
        <v>0.9</v>
      </c>
      <c r="D99" s="391">
        <f>C99*$C$7</f>
        <v>4558500</v>
      </c>
      <c r="J99" s="486">
        <f>$B91</f>
        <v>7.0000000000000007E-2</v>
      </c>
      <c r="K99" s="487">
        <f>K$93+($G$54/$J99)*(1-'Inputs &amp; Drivers'!$I$29)-K$94</f>
        <v>9028112.069495393</v>
      </c>
      <c r="L99" s="487">
        <f>L$93+($G$54/$J99)*(1-'Inputs &amp; Drivers'!$I$29)-L$94</f>
        <v>8934199.5680693239</v>
      </c>
      <c r="M99" s="487">
        <f>M$93+($G$54/$J99)*(1-'Inputs &amp; Drivers'!$I$29)-M$94</f>
        <v>8842306.5691114999</v>
      </c>
      <c r="N99" s="487">
        <f>N$93+($G$54/$J99)*(1-'Inputs &amp; Drivers'!$I$29)-N$94</f>
        <v>8752428.2706676535</v>
      </c>
      <c r="O99" s="487">
        <f>O$93+($G$54/$J99)*(1-'Inputs &amp; Drivers'!$I$29)-O$94</f>
        <v>8664551.4804136381</v>
      </c>
    </row>
    <row r="100" spans="2:15" ht="15" x14ac:dyDescent="0.35">
      <c r="B100" s="416" t="s">
        <v>231</v>
      </c>
      <c r="C100" s="445">
        <v>1</v>
      </c>
      <c r="D100" s="421">
        <f>$C$7</f>
        <v>5065000</v>
      </c>
      <c r="J100" s="486">
        <f>$B92</f>
        <v>7.4999999999999997E-2</v>
      </c>
      <c r="K100" s="487">
        <f>K$93+($G$54/$J100)*(1-'Inputs &amp; Drivers'!$I$29)-K$94</f>
        <v>7913991.5285296962</v>
      </c>
      <c r="L100" s="487">
        <f>L$93+($G$54/$J100)*(1-'Inputs &amp; Drivers'!$I$29)-L$94</f>
        <v>7820079.0271036262</v>
      </c>
      <c r="M100" s="487">
        <f>M$93+($G$54/$J100)*(1-'Inputs &amp; Drivers'!$I$29)-M$94</f>
        <v>7728186.0281458003</v>
      </c>
      <c r="N100" s="487">
        <f>N$93+($G$54/$J100)*(1-'Inputs &amp; Drivers'!$I$29)-N$94</f>
        <v>7638307.729701953</v>
      </c>
      <c r="O100" s="487">
        <f>O$93+($G$54/$J100)*(1-'Inputs &amp; Drivers'!$I$29)-O$94</f>
        <v>7550430.9394479394</v>
      </c>
    </row>
    <row r="102" spans="2:15" ht="15" x14ac:dyDescent="0.35">
      <c r="B102" s="389" t="s">
        <v>232</v>
      </c>
      <c r="C102" s="182">
        <f>'Inputs &amp; Drivers'!D81</f>
        <v>0.08</v>
      </c>
    </row>
    <row r="103" spans="2:15" ht="15" x14ac:dyDescent="0.35">
      <c r="B103" s="389" t="s">
        <v>233</v>
      </c>
      <c r="C103" s="182">
        <f>'Inputs &amp; Drivers'!D83</f>
        <v>0.25</v>
      </c>
    </row>
    <row r="105" spans="2:15" ht="15.6" x14ac:dyDescent="0.35">
      <c r="B105" s="388" t="s">
        <v>234</v>
      </c>
    </row>
    <row r="106" spans="2:15" ht="15" x14ac:dyDescent="0.35">
      <c r="B106" s="414"/>
      <c r="C106" s="414" t="s">
        <v>192</v>
      </c>
      <c r="D106" s="414" t="s">
        <v>193</v>
      </c>
      <c r="E106" s="414" t="s">
        <v>194</v>
      </c>
      <c r="F106" s="414" t="s">
        <v>195</v>
      </c>
      <c r="G106" s="414" t="s">
        <v>196</v>
      </c>
      <c r="H106" s="414" t="s">
        <v>65</v>
      </c>
    </row>
    <row r="107" spans="2:15" ht="15" x14ac:dyDescent="0.35">
      <c r="B107" s="389" t="s">
        <v>235</v>
      </c>
      <c r="C107" s="398">
        <f>C30</f>
        <v>202993.97138344741</v>
      </c>
      <c r="D107" s="398">
        <f>D30</f>
        <v>226508.78575565014</v>
      </c>
      <c r="E107" s="398">
        <f>E30</f>
        <v>260382.67592542386</v>
      </c>
      <c r="F107" s="398">
        <f>F30</f>
        <v>303361.81989240111</v>
      </c>
      <c r="G107" s="398">
        <f>G30+G59</f>
        <v>10847723.542849759</v>
      </c>
      <c r="H107" s="399">
        <f>SUM(C107:G107)</f>
        <v>11840970.795806682</v>
      </c>
    </row>
    <row r="109" spans="2:15" ht="16.8" x14ac:dyDescent="0.45">
      <c r="B109" s="118" t="s">
        <v>236</v>
      </c>
      <c r="C109" s="395">
        <f>$D$100*$C$102</f>
        <v>405200</v>
      </c>
      <c r="D109" s="395">
        <f>$D$100*$C$102</f>
        <v>405200</v>
      </c>
      <c r="E109" s="395">
        <f>$D$100*$C$102</f>
        <v>405200</v>
      </c>
      <c r="F109" s="395">
        <f>$D$100*$C$102</f>
        <v>405200</v>
      </c>
      <c r="G109" s="395">
        <f>$D$100*$C$102</f>
        <v>405200</v>
      </c>
      <c r="H109" s="395">
        <f>SUM(C109:G109)</f>
        <v>2026000</v>
      </c>
    </row>
    <row r="110" spans="2:15" ht="16.8" x14ac:dyDescent="0.45">
      <c r="B110" s="118" t="s">
        <v>237</v>
      </c>
      <c r="C110" s="395">
        <f>C109</f>
        <v>405200</v>
      </c>
      <c r="D110" s="395">
        <f>C110-C111+D109</f>
        <v>607406.02861655259</v>
      </c>
      <c r="E110" s="395">
        <f>D110-D111+E109</f>
        <v>786097.24286090245</v>
      </c>
      <c r="F110" s="395">
        <f>E110-E111+F109</f>
        <v>930914.56693547859</v>
      </c>
      <c r="G110" s="395">
        <f>F110-F111+G109</f>
        <v>1032752.7470430775</v>
      </c>
    </row>
    <row r="111" spans="2:15" ht="15" x14ac:dyDescent="0.35">
      <c r="B111" s="389" t="s">
        <v>238</v>
      </c>
      <c r="C111" s="398">
        <f>MIN(C110, MAX(C107,0))</f>
        <v>202993.97138344741</v>
      </c>
      <c r="D111" s="398">
        <f>MIN(D110, MAX(D107,0))</f>
        <v>226508.78575565014</v>
      </c>
      <c r="E111" s="398">
        <f>MIN(E110, MAX(E107,0))</f>
        <v>260382.67592542386</v>
      </c>
      <c r="F111" s="398">
        <f>MIN(F110, MAX(F107,0))</f>
        <v>303361.81989240111</v>
      </c>
      <c r="G111" s="398">
        <f>MIN(G110, MAX(G107,0))</f>
        <v>1032752.7470430775</v>
      </c>
      <c r="H111" s="398">
        <f>SUM(C111:G111)</f>
        <v>2026000</v>
      </c>
    </row>
    <row r="112" spans="2:15" ht="15.6" thickBot="1" x14ac:dyDescent="0.4">
      <c r="B112" s="389" t="s">
        <v>239</v>
      </c>
      <c r="C112" s="398">
        <f>MIN(MAX(C107-C111,0), D100)</f>
        <v>0</v>
      </c>
      <c r="D112" s="398">
        <f>MIN(MAX(D107-D111,0), D100-C112)</f>
        <v>0</v>
      </c>
      <c r="E112" s="398">
        <f>MIN(MAX(E107-E111,0), D100-C112-D112)</f>
        <v>0</v>
      </c>
      <c r="F112" s="398">
        <f>MIN(MAX(F107-F111,0), D100-C112-D112-E112)</f>
        <v>0</v>
      </c>
      <c r="G112" s="398">
        <f>MIN(MAX(G107-G111,0), D100-C112-D112-E112-F112)</f>
        <v>5065000</v>
      </c>
      <c r="H112" s="398">
        <f>SUM(C112:G112)</f>
        <v>5065000</v>
      </c>
    </row>
    <row r="113" spans="2:8" ht="15" x14ac:dyDescent="0.35">
      <c r="B113" s="416" t="s">
        <v>240</v>
      </c>
      <c r="C113" s="418">
        <f>MAX(C107-C111-C112,0)</f>
        <v>0</v>
      </c>
      <c r="D113" s="418">
        <f>MAX(D107-D111-D112,0)</f>
        <v>0</v>
      </c>
      <c r="E113" s="418">
        <f>MAX(E107-E111-E112,0)</f>
        <v>0</v>
      </c>
      <c r="F113" s="418">
        <f>MAX(F107-F111-F112,0)</f>
        <v>0</v>
      </c>
      <c r="G113" s="418">
        <f>MAX(G107-G111-G112,0)</f>
        <v>4749970.7958066817</v>
      </c>
      <c r="H113" s="418">
        <f>SUM(C113:G113)</f>
        <v>4749970.7958066817</v>
      </c>
    </row>
    <row r="115" spans="2:8" ht="15" x14ac:dyDescent="0.35">
      <c r="B115" s="438" t="s">
        <v>241</v>
      </c>
    </row>
    <row r="116" spans="2:8" ht="15" x14ac:dyDescent="0.35">
      <c r="B116" s="389" t="s">
        <v>242</v>
      </c>
      <c r="C116" s="398">
        <f t="shared" ref="C116:G117" si="10">C111*$C$98</f>
        <v>20299.397138344742</v>
      </c>
      <c r="D116" s="398">
        <f t="shared" si="10"/>
        <v>22650.878575565017</v>
      </c>
      <c r="E116" s="398">
        <f t="shared" si="10"/>
        <v>26038.267592542386</v>
      </c>
      <c r="F116" s="398">
        <f t="shared" si="10"/>
        <v>30336.181989240111</v>
      </c>
      <c r="G116" s="398">
        <f t="shared" si="10"/>
        <v>103275.27470430775</v>
      </c>
      <c r="H116" s="398">
        <f>SUM(C116:G116)</f>
        <v>202600</v>
      </c>
    </row>
    <row r="117" spans="2:8" ht="15" x14ac:dyDescent="0.35">
      <c r="B117" s="389" t="s">
        <v>243</v>
      </c>
      <c r="C117" s="398">
        <f t="shared" si="10"/>
        <v>0</v>
      </c>
      <c r="D117" s="398">
        <f t="shared" si="10"/>
        <v>0</v>
      </c>
      <c r="E117" s="398">
        <f t="shared" si="10"/>
        <v>0</v>
      </c>
      <c r="F117" s="398">
        <f t="shared" si="10"/>
        <v>0</v>
      </c>
      <c r="G117" s="398">
        <f t="shared" si="10"/>
        <v>506500</v>
      </c>
      <c r="H117" s="398">
        <f>SUM(C117:G117)</f>
        <v>506500</v>
      </c>
    </row>
    <row r="118" spans="2:8" ht="15" x14ac:dyDescent="0.35">
      <c r="B118" s="389" t="s">
        <v>244</v>
      </c>
      <c r="C118" s="398">
        <f>C113*$C$103</f>
        <v>0</v>
      </c>
      <c r="D118" s="398">
        <f>D113*$C$103</f>
        <v>0</v>
      </c>
      <c r="E118" s="398">
        <f>E113*$C$103</f>
        <v>0</v>
      </c>
      <c r="F118" s="398">
        <f>F113*$C$103</f>
        <v>0</v>
      </c>
      <c r="G118" s="398">
        <f>G113*$C$103</f>
        <v>1187492.6989516704</v>
      </c>
      <c r="H118" s="398">
        <f>SUM(C118:G118)</f>
        <v>1187492.6989516704</v>
      </c>
    </row>
    <row r="119" spans="2:8" ht="15.6" thickBot="1" x14ac:dyDescent="0.4">
      <c r="B119" s="389" t="s">
        <v>245</v>
      </c>
      <c r="C119" s="398">
        <f>C113*(1-$C$103)*$C$98</f>
        <v>0</v>
      </c>
      <c r="D119" s="398">
        <f>D113*(1-$C$103)*$C$98</f>
        <v>0</v>
      </c>
      <c r="E119" s="398">
        <f>E113*(1-$C$103)*$C$98</f>
        <v>0</v>
      </c>
      <c r="F119" s="398">
        <f>F113*(1-$C$103)*$C$98</f>
        <v>0</v>
      </c>
      <c r="G119" s="398">
        <f>G113*(1-$C$103)*$C$98</f>
        <v>356247.80968550115</v>
      </c>
      <c r="H119" s="398">
        <f>SUM(C119:G119)</f>
        <v>356247.80968550115</v>
      </c>
    </row>
    <row r="120" spans="2:8" ht="15" x14ac:dyDescent="0.35">
      <c r="B120" s="446" t="s">
        <v>246</v>
      </c>
      <c r="C120" s="447">
        <f t="shared" ref="C120:H120" si="11">SUM(C116:C119)</f>
        <v>20299.397138344742</v>
      </c>
      <c r="D120" s="447">
        <f t="shared" si="11"/>
        <v>22650.878575565017</v>
      </c>
      <c r="E120" s="447">
        <f t="shared" si="11"/>
        <v>26038.267592542386</v>
      </c>
      <c r="F120" s="447">
        <f t="shared" si="11"/>
        <v>30336.181989240111</v>
      </c>
      <c r="G120" s="447">
        <f t="shared" si="11"/>
        <v>2153515.7833414795</v>
      </c>
      <c r="H120" s="447">
        <f t="shared" si="11"/>
        <v>2252840.5086371717</v>
      </c>
    </row>
    <row r="122" spans="2:8" ht="15" x14ac:dyDescent="0.35">
      <c r="B122" s="438" t="s">
        <v>247</v>
      </c>
    </row>
    <row r="123" spans="2:8" ht="15" x14ac:dyDescent="0.35">
      <c r="B123" s="389" t="s">
        <v>242</v>
      </c>
      <c r="C123" s="398">
        <f t="shared" ref="C123:G124" si="12">C111*$C$99</f>
        <v>182694.57424510267</v>
      </c>
      <c r="D123" s="398">
        <f t="shared" si="12"/>
        <v>203857.90718008514</v>
      </c>
      <c r="E123" s="398">
        <f t="shared" si="12"/>
        <v>234344.40833288149</v>
      </c>
      <c r="F123" s="398">
        <f t="shared" si="12"/>
        <v>273025.637903161</v>
      </c>
      <c r="G123" s="398">
        <f t="shared" si="12"/>
        <v>929477.4723387697</v>
      </c>
      <c r="H123" s="398">
        <f>SUM(C123:G123)</f>
        <v>1823400</v>
      </c>
    </row>
    <row r="124" spans="2:8" ht="15" x14ac:dyDescent="0.35">
      <c r="B124" s="389" t="s">
        <v>243</v>
      </c>
      <c r="C124" s="398">
        <f t="shared" si="12"/>
        <v>0</v>
      </c>
      <c r="D124" s="398">
        <f t="shared" si="12"/>
        <v>0</v>
      </c>
      <c r="E124" s="398">
        <f t="shared" si="12"/>
        <v>0</v>
      </c>
      <c r="F124" s="398">
        <f t="shared" si="12"/>
        <v>0</v>
      </c>
      <c r="G124" s="398">
        <f t="shared" si="12"/>
        <v>4558500</v>
      </c>
      <c r="H124" s="398">
        <f>SUM(C124:G124)</f>
        <v>4558500</v>
      </c>
    </row>
    <row r="125" spans="2:8" ht="15.6" thickBot="1" x14ac:dyDescent="0.4">
      <c r="B125" s="389" t="s">
        <v>245</v>
      </c>
      <c r="C125" s="398">
        <f>C113*(1-$C$103)*$C$99</f>
        <v>0</v>
      </c>
      <c r="D125" s="398">
        <f>D113*(1-$C$103)*$C$99</f>
        <v>0</v>
      </c>
      <c r="E125" s="398">
        <f>E113*(1-$C$103)*$C$99</f>
        <v>0</v>
      </c>
      <c r="F125" s="398">
        <f>F113*(1-$C$103)*$C$99</f>
        <v>0</v>
      </c>
      <c r="G125" s="398">
        <f>G113*(1-$C$103)*$C$99</f>
        <v>3206230.28716951</v>
      </c>
      <c r="H125" s="398">
        <f>SUM(C125:G125)</f>
        <v>3206230.28716951</v>
      </c>
    </row>
    <row r="126" spans="2:8" ht="15" x14ac:dyDescent="0.35">
      <c r="B126" s="446" t="s">
        <v>248</v>
      </c>
      <c r="C126" s="447">
        <f t="shared" ref="C126:H126" si="13">SUM(C123:C125)</f>
        <v>182694.57424510267</v>
      </c>
      <c r="D126" s="447">
        <f t="shared" si="13"/>
        <v>203857.90718008514</v>
      </c>
      <c r="E126" s="447">
        <f t="shared" si="13"/>
        <v>234344.40833288149</v>
      </c>
      <c r="F126" s="447">
        <f t="shared" si="13"/>
        <v>273025.637903161</v>
      </c>
      <c r="G126" s="447">
        <f t="shared" si="13"/>
        <v>8694207.7595082801</v>
      </c>
      <c r="H126" s="447">
        <f t="shared" si="13"/>
        <v>9588130.2871695105</v>
      </c>
    </row>
    <row r="128" spans="2:8" ht="15" x14ac:dyDescent="0.35">
      <c r="B128" s="400" t="s">
        <v>249</v>
      </c>
      <c r="C128" s="439">
        <f t="shared" ref="C128:H128" si="14">C120+C126-C107</f>
        <v>0</v>
      </c>
      <c r="D128" s="439">
        <f t="shared" si="14"/>
        <v>0</v>
      </c>
      <c r="E128" s="439">
        <f t="shared" si="14"/>
        <v>0</v>
      </c>
      <c r="F128" s="439">
        <f t="shared" si="14"/>
        <v>0</v>
      </c>
      <c r="G128" s="439">
        <f t="shared" si="14"/>
        <v>0</v>
      </c>
      <c r="H128" s="439">
        <f t="shared" si="14"/>
        <v>0</v>
      </c>
    </row>
    <row r="131" spans="2:15" ht="15.6" x14ac:dyDescent="0.35">
      <c r="B131" s="388" t="s">
        <v>250</v>
      </c>
    </row>
    <row r="133" spans="2:15" ht="15" x14ac:dyDescent="0.35">
      <c r="B133" s="409"/>
      <c r="C133" s="448" t="s">
        <v>251</v>
      </c>
      <c r="D133" s="448" t="s">
        <v>252</v>
      </c>
    </row>
    <row r="134" spans="2:15" ht="15" x14ac:dyDescent="0.35">
      <c r="B134" s="389" t="s">
        <v>253</v>
      </c>
      <c r="C134" s="440">
        <f>D98</f>
        <v>506500</v>
      </c>
      <c r="D134" s="440">
        <f>D99</f>
        <v>4558500</v>
      </c>
    </row>
    <row r="135" spans="2:15" ht="15" x14ac:dyDescent="0.35">
      <c r="B135" s="389" t="s">
        <v>254</v>
      </c>
      <c r="C135" s="440">
        <f>H120</f>
        <v>2252840.5086371717</v>
      </c>
      <c r="D135" s="440">
        <f>H126</f>
        <v>9588130.2871695105</v>
      </c>
    </row>
    <row r="136" spans="2:15" ht="15" x14ac:dyDescent="0.35">
      <c r="B136" s="389" t="s">
        <v>255</v>
      </c>
      <c r="C136" s="441">
        <f>C135-C134</f>
        <v>1746340.5086371717</v>
      </c>
      <c r="D136" s="441">
        <f>D135-D134</f>
        <v>5029630.2871695105</v>
      </c>
    </row>
    <row r="137" spans="2:15" ht="15" thickBot="1" x14ac:dyDescent="0.35"/>
    <row r="138" spans="2:15" ht="17.399999999999999" x14ac:dyDescent="0.4">
      <c r="B138" s="424" t="s">
        <v>256</v>
      </c>
      <c r="C138" s="449">
        <f>IRR(J138:O138)</f>
        <v>0.36155355086521279</v>
      </c>
      <c r="D138" s="449">
        <f>IRR(J139:O139)</f>
        <v>0.17022602769406991</v>
      </c>
      <c r="J138" s="402">
        <f>-D98</f>
        <v>-506500</v>
      </c>
      <c r="K138" s="402">
        <f>C120</f>
        <v>20299.397138344742</v>
      </c>
      <c r="L138" s="402">
        <f>D120</f>
        <v>22650.878575565017</v>
      </c>
      <c r="M138" s="402">
        <f>E120</f>
        <v>26038.267592542386</v>
      </c>
      <c r="N138" s="402">
        <f>F120</f>
        <v>30336.181989240111</v>
      </c>
      <c r="O138" s="402">
        <f>G120</f>
        <v>2153515.7833414795</v>
      </c>
    </row>
    <row r="139" spans="2:15" ht="18" thickBot="1" x14ac:dyDescent="0.45">
      <c r="B139" s="426" t="s">
        <v>219</v>
      </c>
      <c r="C139" s="450">
        <f>C135/C134</f>
        <v>4.4478588521957985</v>
      </c>
      <c r="D139" s="450">
        <f>D135/D134</f>
        <v>2.1033520428144148</v>
      </c>
      <c r="J139" s="402">
        <f>-D99</f>
        <v>-4558500</v>
      </c>
      <c r="K139" s="402">
        <f>C126</f>
        <v>182694.57424510267</v>
      </c>
      <c r="L139" s="402">
        <f>D126</f>
        <v>203857.90718008514</v>
      </c>
      <c r="M139" s="402">
        <f>E126</f>
        <v>234344.40833288149</v>
      </c>
      <c r="N139" s="402">
        <f>F126</f>
        <v>273025.637903161</v>
      </c>
      <c r="O139" s="402">
        <f>G126</f>
        <v>8694207.7595082801</v>
      </c>
    </row>
    <row r="140" spans="2:15" ht="15" x14ac:dyDescent="0.35">
      <c r="B140" s="389" t="s">
        <v>257</v>
      </c>
      <c r="C140" s="407">
        <f>C136/(C136+D136)</f>
        <v>0.25772550698091806</v>
      </c>
      <c r="D140" s="407">
        <f>D136/(C136+D136)</f>
        <v>0.74227449301908199</v>
      </c>
    </row>
    <row r="141" spans="2:15" ht="15" x14ac:dyDescent="0.35">
      <c r="B141" s="389" t="s">
        <v>258</v>
      </c>
      <c r="C141" s="407">
        <f>AVERAGE(C120:F120)/C135</f>
        <v>1.1022165674277752E-2</v>
      </c>
      <c r="D141" s="407">
        <f>AVERAGE(C126:F126)/D135</f>
        <v>2.3308051228127478E-2</v>
      </c>
    </row>
    <row r="145" spans="2:17" ht="15" x14ac:dyDescent="0.35">
      <c r="B145" s="393" t="s">
        <v>268</v>
      </c>
      <c r="J145" t="s">
        <v>277</v>
      </c>
    </row>
    <row r="146" spans="2:17" ht="17.399999999999999" x14ac:dyDescent="0.4">
      <c r="B146" s="403" t="s">
        <v>269</v>
      </c>
      <c r="C146" s="443">
        <f>K151</f>
        <v>0.48638251319055703</v>
      </c>
      <c r="D146" s="453">
        <f>C138</f>
        <v>0.36155355086521279</v>
      </c>
      <c r="E146" s="443">
        <f>K175</f>
        <v>0.4069841397449776</v>
      </c>
      <c r="J146" s="392">
        <f>-D98</f>
        <v>-506500</v>
      </c>
      <c r="K146" s="402">
        <f>C120</f>
        <v>20299.397138344742</v>
      </c>
      <c r="L146" s="402">
        <f>D120</f>
        <v>22650.878575565017</v>
      </c>
      <c r="M146" s="402">
        <f>J48-C120-D120</f>
        <v>1584786.3933631647</v>
      </c>
    </row>
    <row r="147" spans="2:17" ht="17.399999999999999" x14ac:dyDescent="0.4">
      <c r="B147" s="403" t="s">
        <v>270</v>
      </c>
      <c r="C147" s="442">
        <f>J48/D98</f>
        <v>3.2136952992637209</v>
      </c>
      <c r="D147" s="454">
        <f>C139</f>
        <v>4.4478588521957985</v>
      </c>
      <c r="E147" s="442">
        <f>J166/D98</f>
        <v>5.982542957783326</v>
      </c>
      <c r="J147" t="s">
        <v>278</v>
      </c>
    </row>
    <row r="148" spans="2:17" x14ac:dyDescent="0.3">
      <c r="J148" s="392">
        <f>-D99</f>
        <v>-4558500</v>
      </c>
      <c r="K148" s="402">
        <f>C126</f>
        <v>182694.57424510267</v>
      </c>
      <c r="L148" s="402">
        <f>D126</f>
        <v>203857.90718008514</v>
      </c>
      <c r="M148" s="402">
        <f>J49-C126-D126</f>
        <v>7342239.0620425837</v>
      </c>
    </row>
    <row r="149" spans="2:17" ht="15" x14ac:dyDescent="0.35">
      <c r="B149" s="393" t="s">
        <v>271</v>
      </c>
    </row>
    <row r="150" spans="2:17" ht="17.399999999999999" x14ac:dyDescent="0.4">
      <c r="B150" s="403" t="s">
        <v>272</v>
      </c>
      <c r="C150" s="443">
        <f>L151</f>
        <v>0.19857366402930188</v>
      </c>
      <c r="D150" s="453">
        <f>D138</f>
        <v>0.17022602769406991</v>
      </c>
      <c r="E150" s="443">
        <f>L175</f>
        <v>0.20672743342390598</v>
      </c>
      <c r="J150" t="s">
        <v>279</v>
      </c>
    </row>
    <row r="151" spans="2:17" ht="17.399999999999999" x14ac:dyDescent="0.4">
      <c r="B151" s="403" t="s">
        <v>273</v>
      </c>
      <c r="C151" s="442">
        <f>J49/D99</f>
        <v>1.6954681459839358</v>
      </c>
      <c r="D151" s="454">
        <f>D139</f>
        <v>2.1033520428144148</v>
      </c>
      <c r="E151" s="442">
        <f>J167/D99</f>
        <v>2.5805868364115367</v>
      </c>
      <c r="J151" s="130">
        <f>IRR(J38:M38)</f>
        <v>0.23391533865296243</v>
      </c>
      <c r="K151" s="130">
        <f>IRR(J146:M146)</f>
        <v>0.48638251319055703</v>
      </c>
      <c r="L151" s="130">
        <f>IRR(J148:M148)</f>
        <v>0.19857366402930188</v>
      </c>
    </row>
    <row r="153" spans="2:17" x14ac:dyDescent="0.3">
      <c r="J153" t="s">
        <v>280</v>
      </c>
    </row>
    <row r="154" spans="2:17" x14ac:dyDescent="0.3">
      <c r="J154">
        <f>G26*(1+'Inputs &amp; Drivers'!E65)</f>
        <v>1193700.5796061079</v>
      </c>
      <c r="K154">
        <f>J154*(1+'Inputs &amp; Drivers'!E65)</f>
        <v>1241448.6027903522</v>
      </c>
    </row>
    <row r="155" spans="2:17" x14ac:dyDescent="0.3">
      <c r="J155" s="392">
        <f>J154-C18-'Inputs &amp; Drivers'!I25</f>
        <v>469962.8890349213</v>
      </c>
      <c r="K155" s="392">
        <f>K154-C18-'Inputs &amp; Drivers'!I25</f>
        <v>517710.91221916559</v>
      </c>
    </row>
    <row r="157" spans="2:17" x14ac:dyDescent="0.3">
      <c r="J157" t="s">
        <v>281</v>
      </c>
    </row>
    <row r="158" spans="2:17" x14ac:dyDescent="0.3">
      <c r="J158" s="392">
        <f>-C7</f>
        <v>-5065000</v>
      </c>
      <c r="K158" s="402">
        <f>C30</f>
        <v>202993.97138344741</v>
      </c>
      <c r="L158" s="402">
        <f>D30</f>
        <v>226508.78575565014</v>
      </c>
      <c r="M158" s="402">
        <f>E30</f>
        <v>260382.67592542386</v>
      </c>
      <c r="N158" s="402">
        <f>F30</f>
        <v>303361.81989240111</v>
      </c>
      <c r="O158" s="402">
        <f>G30</f>
        <v>349051.3282808403</v>
      </c>
      <c r="P158" s="392">
        <f>J155</f>
        <v>469962.8890349213</v>
      </c>
      <c r="Q158" s="392">
        <f>K155+E45</f>
        <v>12981501.631626561</v>
      </c>
    </row>
    <row r="160" spans="2:17" x14ac:dyDescent="0.3">
      <c r="J160" t="s">
        <v>282</v>
      </c>
    </row>
    <row r="161" spans="10:17" x14ac:dyDescent="0.3">
      <c r="J161">
        <f>SUM(K158:Q158)</f>
        <v>14793763.101899246</v>
      </c>
    </row>
    <row r="162" spans="10:17" x14ac:dyDescent="0.3">
      <c r="J162" s="437">
        <f>7*D100*C102</f>
        <v>2836400</v>
      </c>
    </row>
    <row r="163" spans="10:17" x14ac:dyDescent="0.3">
      <c r="J163">
        <f>MIN(J162, MAX(J161,0))</f>
        <v>2836400</v>
      </c>
    </row>
    <row r="164" spans="10:17" x14ac:dyDescent="0.3">
      <c r="J164">
        <f>MIN(MAX(J161-J163,0), D100)</f>
        <v>5065000</v>
      </c>
    </row>
    <row r="165" spans="10:17" x14ac:dyDescent="0.3">
      <c r="J165">
        <f>MAX(J161-J163-J164,0)</f>
        <v>6892363.1018992458</v>
      </c>
    </row>
    <row r="166" spans="10:17" x14ac:dyDescent="0.3">
      <c r="J166">
        <f>J163*C98 + J164*C98 + J165*(C103 + (1-C103)*C98)</f>
        <v>3030158.0081172548</v>
      </c>
    </row>
    <row r="167" spans="10:17" x14ac:dyDescent="0.3">
      <c r="J167">
        <f>J161-J166</f>
        <v>11763605.093781991</v>
      </c>
    </row>
    <row r="169" spans="10:17" x14ac:dyDescent="0.3">
      <c r="J169" t="s">
        <v>283</v>
      </c>
    </row>
    <row r="170" spans="10:17" x14ac:dyDescent="0.3">
      <c r="J170" s="392">
        <f>-D98</f>
        <v>-506500</v>
      </c>
      <c r="K170" s="402">
        <f>C120</f>
        <v>20299.397138344742</v>
      </c>
      <c r="L170" s="402">
        <f>D120</f>
        <v>22650.878575565017</v>
      </c>
      <c r="M170" s="402">
        <f>E120</f>
        <v>26038.267592542386</v>
      </c>
      <c r="N170" s="402">
        <f>F120</f>
        <v>30336.181989240111</v>
      </c>
      <c r="O170" s="402">
        <f>G120</f>
        <v>2153515.7833414795</v>
      </c>
      <c r="P170">
        <f>J155*C98</f>
        <v>46996.288903492132</v>
      </c>
      <c r="Q170">
        <f>J166-C120-D120-E120-F120-G120-J155*C98</f>
        <v>730321.21057659143</v>
      </c>
    </row>
    <row r="171" spans="10:17" x14ac:dyDescent="0.3">
      <c r="J171" t="s">
        <v>284</v>
      </c>
    </row>
    <row r="172" spans="10:17" x14ac:dyDescent="0.3">
      <c r="J172" s="392">
        <f>-D99</f>
        <v>-4558500</v>
      </c>
      <c r="K172" s="402">
        <f>C126</f>
        <v>182694.57424510267</v>
      </c>
      <c r="L172" s="402">
        <f>D126</f>
        <v>203857.90718008514</v>
      </c>
      <c r="M172" s="402">
        <f>E126</f>
        <v>234344.40833288149</v>
      </c>
      <c r="N172" s="402">
        <f>F126</f>
        <v>273025.637903161</v>
      </c>
      <c r="O172" s="402">
        <f>G126</f>
        <v>8694207.7595082801</v>
      </c>
      <c r="P172">
        <f>J155*C99</f>
        <v>422966.60013142921</v>
      </c>
      <c r="Q172">
        <f>J167-C126-D126-E126-F126-G126-J155*C99</f>
        <v>1752508.2064810512</v>
      </c>
    </row>
    <row r="174" spans="10:17" x14ac:dyDescent="0.3">
      <c r="J174" t="s">
        <v>285</v>
      </c>
    </row>
    <row r="175" spans="10:17" x14ac:dyDescent="0.3">
      <c r="J175" s="130">
        <f>IRR(J158:Q158)</f>
        <v>0.17950314343355855</v>
      </c>
      <c r="K175" s="130">
        <f>IRR(J170:Q170)</f>
        <v>0.4069841397449776</v>
      </c>
      <c r="L175" s="130">
        <f>IRR(J172:Q172)</f>
        <v>0.20672743342390598</v>
      </c>
    </row>
  </sheetData>
  <pageMargins left="0.25" right="0.25" top="0.75" bottom="0.75" header="0.3" footer="0.3"/>
  <pageSetup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DF3E-ED3F-4DB9-945F-8E30C5D16D8E}">
  <dimension ref="A1:F10"/>
  <sheetViews>
    <sheetView workbookViewId="0">
      <selection activeCell="C3" sqref="C3"/>
    </sheetView>
  </sheetViews>
  <sheetFormatPr defaultRowHeight="14.4" x14ac:dyDescent="0.3"/>
  <cols>
    <col min="1" max="1" width="9.21875" customWidth="1"/>
    <col min="2" max="2" width="14.77734375" customWidth="1"/>
    <col min="3" max="3" width="46.33203125" customWidth="1"/>
    <col min="4" max="4" width="37" customWidth="1"/>
    <col min="5" max="5" width="55.5546875" customWidth="1"/>
    <col min="6" max="6" width="46.33203125" customWidth="1"/>
  </cols>
  <sheetData>
    <row r="1" spans="1:6" x14ac:dyDescent="0.3">
      <c r="A1" s="500" t="s">
        <v>366</v>
      </c>
      <c r="B1" s="500" t="s">
        <v>367</v>
      </c>
      <c r="C1" s="500" t="s">
        <v>368</v>
      </c>
      <c r="D1" s="500" t="s">
        <v>369</v>
      </c>
      <c r="E1" s="500" t="s">
        <v>370</v>
      </c>
      <c r="F1" s="500" t="s">
        <v>371</v>
      </c>
    </row>
    <row r="2" spans="1:6" ht="57.6" x14ac:dyDescent="0.3">
      <c r="A2" s="502">
        <v>46024</v>
      </c>
      <c r="B2" s="503">
        <v>45849</v>
      </c>
      <c r="C2" s="504" t="s">
        <v>372</v>
      </c>
      <c r="D2" s="504" t="s">
        <v>373</v>
      </c>
      <c r="E2" s="504" t="s">
        <v>374</v>
      </c>
      <c r="F2" s="504" t="s">
        <v>375</v>
      </c>
    </row>
    <row r="3" spans="1:6" ht="57.6" x14ac:dyDescent="0.3">
      <c r="A3" s="504">
        <v>3</v>
      </c>
      <c r="B3" s="503">
        <v>45849</v>
      </c>
      <c r="C3" s="504" t="s">
        <v>376</v>
      </c>
      <c r="D3" s="504" t="s">
        <v>377</v>
      </c>
      <c r="E3" s="504" t="s">
        <v>378</v>
      </c>
      <c r="F3" s="504" t="s">
        <v>379</v>
      </c>
    </row>
    <row r="4" spans="1:6" x14ac:dyDescent="0.3">
      <c r="A4">
        <v>4</v>
      </c>
      <c r="B4" s="501">
        <v>45849</v>
      </c>
      <c r="C4" t="s">
        <v>381</v>
      </c>
      <c r="D4" t="s">
        <v>382</v>
      </c>
      <c r="E4" t="s">
        <v>383</v>
      </c>
      <c r="F4" t="s">
        <v>384</v>
      </c>
    </row>
    <row r="5" spans="1:6" x14ac:dyDescent="0.3">
      <c r="A5">
        <v>5</v>
      </c>
      <c r="B5" s="501">
        <v>45849</v>
      </c>
      <c r="C5" t="s">
        <v>385</v>
      </c>
      <c r="D5" t="s">
        <v>386</v>
      </c>
      <c r="E5" t="s">
        <v>387</v>
      </c>
      <c r="F5" t="s">
        <v>388</v>
      </c>
    </row>
    <row r="6" spans="1:6" x14ac:dyDescent="0.3">
      <c r="A6">
        <v>6</v>
      </c>
      <c r="B6" s="501">
        <v>45849</v>
      </c>
      <c r="C6" t="s">
        <v>484</v>
      </c>
      <c r="D6" t="s">
        <v>485</v>
      </c>
      <c r="E6" t="s">
        <v>486</v>
      </c>
      <c r="F6" t="s">
        <v>487</v>
      </c>
    </row>
    <row r="7" spans="1:6" x14ac:dyDescent="0.3">
      <c r="A7">
        <v>7</v>
      </c>
      <c r="B7" s="501">
        <v>45849</v>
      </c>
      <c r="C7" t="s">
        <v>489</v>
      </c>
      <c r="D7" t="s">
        <v>490</v>
      </c>
      <c r="E7" t="s">
        <v>491</v>
      </c>
      <c r="F7" t="s">
        <v>492</v>
      </c>
    </row>
    <row r="8" spans="1:6" x14ac:dyDescent="0.3">
      <c r="A8">
        <v>8</v>
      </c>
      <c r="B8" s="501">
        <v>45849</v>
      </c>
      <c r="C8" t="s">
        <v>493</v>
      </c>
      <c r="D8" t="s">
        <v>494</v>
      </c>
      <c r="E8" t="s">
        <v>495</v>
      </c>
      <c r="F8" t="s">
        <v>496</v>
      </c>
    </row>
    <row r="9" spans="1:6" x14ac:dyDescent="0.3">
      <c r="A9">
        <v>9</v>
      </c>
      <c r="B9" s="501">
        <v>45854</v>
      </c>
      <c r="C9" t="s">
        <v>497</v>
      </c>
      <c r="D9" t="s">
        <v>498</v>
      </c>
      <c r="E9" t="s">
        <v>499</v>
      </c>
      <c r="F9" t="s">
        <v>500</v>
      </c>
    </row>
    <row r="10" spans="1:6" x14ac:dyDescent="0.3">
      <c r="A10">
        <v>10</v>
      </c>
      <c r="B10" s="501">
        <v>45856</v>
      </c>
      <c r="C10" t="s">
        <v>501</v>
      </c>
      <c r="D10" t="s">
        <v>502</v>
      </c>
      <c r="E10" t="s">
        <v>503</v>
      </c>
      <c r="F10" t="s">
        <v>504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6E24-39B1-4FE7-8853-425DB21C016B}">
  <dimension ref="A1:D63"/>
  <sheetViews>
    <sheetView workbookViewId="0"/>
  </sheetViews>
  <sheetFormatPr defaultRowHeight="14.4" x14ac:dyDescent="0.3"/>
  <cols>
    <col min="1" max="1" width="40.77734375" customWidth="1"/>
    <col min="2" max="2" width="22.21875" customWidth="1"/>
    <col min="3" max="3" width="33.33203125" customWidth="1"/>
    <col min="4" max="4" width="74.109375" customWidth="1"/>
  </cols>
  <sheetData>
    <row r="1" spans="1:4" ht="18" x14ac:dyDescent="0.35">
      <c r="A1" s="505" t="s">
        <v>389</v>
      </c>
    </row>
    <row r="3" spans="1:4" ht="15.6" x14ac:dyDescent="0.3">
      <c r="A3" s="506" t="s">
        <v>396</v>
      </c>
      <c r="B3" s="506"/>
      <c r="C3" s="506"/>
      <c r="D3" s="506"/>
    </row>
    <row r="5" spans="1:4" x14ac:dyDescent="0.3">
      <c r="A5" s="507" t="s">
        <v>390</v>
      </c>
    </row>
    <row r="6" spans="1:4" x14ac:dyDescent="0.3">
      <c r="A6" s="508" t="s">
        <v>391</v>
      </c>
      <c r="B6" s="508" t="s">
        <v>392</v>
      </c>
      <c r="C6" s="508" t="s">
        <v>393</v>
      </c>
      <c r="D6" s="508" t="s">
        <v>394</v>
      </c>
    </row>
    <row r="7" spans="1:4" ht="43.2" x14ac:dyDescent="0.3">
      <c r="A7" t="s">
        <v>395</v>
      </c>
      <c r="B7" s="392">
        <v>1092495</v>
      </c>
      <c r="C7" t="s">
        <v>397</v>
      </c>
      <c r="D7" s="514" t="s">
        <v>398</v>
      </c>
    </row>
    <row r="8" spans="1:4" ht="28.8" x14ac:dyDescent="0.3">
      <c r="A8" t="s">
        <v>399</v>
      </c>
      <c r="B8" s="392">
        <v>0</v>
      </c>
      <c r="C8" t="s">
        <v>400</v>
      </c>
      <c r="D8" s="514" t="s">
        <v>401</v>
      </c>
    </row>
    <row r="9" spans="1:4" ht="28.8" x14ac:dyDescent="0.3">
      <c r="A9" t="s">
        <v>9</v>
      </c>
      <c r="B9" s="509">
        <v>-40023</v>
      </c>
      <c r="C9" t="s">
        <v>402</v>
      </c>
      <c r="D9" s="514" t="s">
        <v>403</v>
      </c>
    </row>
    <row r="10" spans="1:4" x14ac:dyDescent="0.3">
      <c r="A10" s="499" t="s">
        <v>10</v>
      </c>
      <c r="B10" s="510">
        <v>1052471</v>
      </c>
      <c r="C10" s="499"/>
      <c r="D10" s="515" t="s">
        <v>404</v>
      </c>
    </row>
    <row r="11" spans="1:4" ht="28.8" x14ac:dyDescent="0.3">
      <c r="A11" t="s">
        <v>405</v>
      </c>
      <c r="B11" s="392">
        <v>79276</v>
      </c>
      <c r="C11" t="s">
        <v>406</v>
      </c>
      <c r="D11" s="514" t="s">
        <v>407</v>
      </c>
    </row>
    <row r="12" spans="1:4" x14ac:dyDescent="0.3">
      <c r="A12" s="499" t="s">
        <v>17</v>
      </c>
      <c r="B12" s="510">
        <v>1131747</v>
      </c>
      <c r="C12" s="499"/>
      <c r="D12" s="515"/>
    </row>
    <row r="13" spans="1:4" ht="28.8" x14ac:dyDescent="0.3">
      <c r="A13" t="s">
        <v>37</v>
      </c>
      <c r="B13" s="392">
        <v>329280</v>
      </c>
      <c r="D13" s="514" t="s">
        <v>408</v>
      </c>
    </row>
    <row r="14" spans="1:4" x14ac:dyDescent="0.3">
      <c r="A14" s="507" t="s">
        <v>409</v>
      </c>
      <c r="B14" s="511">
        <v>802467</v>
      </c>
      <c r="C14" s="507"/>
      <c r="D14" s="516"/>
    </row>
    <row r="16" spans="1:4" x14ac:dyDescent="0.3">
      <c r="A16" s="507" t="s">
        <v>410</v>
      </c>
    </row>
    <row r="17" spans="1:4" x14ac:dyDescent="0.3">
      <c r="A17" s="508" t="s">
        <v>391</v>
      </c>
      <c r="B17" s="508" t="s">
        <v>392</v>
      </c>
      <c r="C17" s="508" t="s">
        <v>393</v>
      </c>
      <c r="D17" s="508" t="s">
        <v>394</v>
      </c>
    </row>
    <row r="18" spans="1:4" ht="28.8" x14ac:dyDescent="0.3">
      <c r="A18" t="s">
        <v>395</v>
      </c>
      <c r="B18" s="392">
        <v>1108648</v>
      </c>
      <c r="C18" t="s">
        <v>411</v>
      </c>
      <c r="D18" s="514" t="s">
        <v>412</v>
      </c>
    </row>
    <row r="19" spans="1:4" ht="28.8" x14ac:dyDescent="0.3">
      <c r="A19" t="s">
        <v>399</v>
      </c>
      <c r="B19" s="392">
        <v>107755</v>
      </c>
      <c r="C19" t="s">
        <v>413</v>
      </c>
      <c r="D19" s="514" t="s">
        <v>414</v>
      </c>
    </row>
    <row r="20" spans="1:4" x14ac:dyDescent="0.3">
      <c r="A20" t="s">
        <v>9</v>
      </c>
      <c r="B20" s="509">
        <v>-40023</v>
      </c>
      <c r="C20" t="s">
        <v>415</v>
      </c>
      <c r="D20" s="514" t="s">
        <v>416</v>
      </c>
    </row>
    <row r="21" spans="1:4" x14ac:dyDescent="0.3">
      <c r="A21" s="499" t="s">
        <v>10</v>
      </c>
      <c r="B21" s="510">
        <v>1176379</v>
      </c>
      <c r="C21" s="499"/>
      <c r="D21" s="515" t="s">
        <v>417</v>
      </c>
    </row>
    <row r="22" spans="1:4" x14ac:dyDescent="0.3">
      <c r="A22" t="s">
        <v>79</v>
      </c>
      <c r="B22" s="392">
        <v>81569</v>
      </c>
      <c r="C22" t="s">
        <v>418</v>
      </c>
      <c r="D22" s="514" t="s">
        <v>419</v>
      </c>
    </row>
    <row r="23" spans="1:4" x14ac:dyDescent="0.3">
      <c r="A23" s="499" t="s">
        <v>17</v>
      </c>
      <c r="B23" s="510">
        <v>1257949</v>
      </c>
      <c r="C23" s="499"/>
      <c r="D23" s="515"/>
    </row>
    <row r="24" spans="1:4" ht="28.8" x14ac:dyDescent="0.3">
      <c r="A24" t="s">
        <v>37</v>
      </c>
      <c r="B24" s="392">
        <v>295845</v>
      </c>
      <c r="D24" s="514" t="s">
        <v>420</v>
      </c>
    </row>
    <row r="25" spans="1:4" x14ac:dyDescent="0.3">
      <c r="A25" s="507" t="s">
        <v>421</v>
      </c>
      <c r="B25" s="511">
        <v>962104</v>
      </c>
      <c r="C25" s="507"/>
      <c r="D25" s="516" t="s">
        <v>422</v>
      </c>
    </row>
    <row r="27" spans="1:4" x14ac:dyDescent="0.3">
      <c r="A27" s="507" t="s">
        <v>423</v>
      </c>
    </row>
    <row r="28" spans="1:4" x14ac:dyDescent="0.3">
      <c r="A28" s="508" t="s">
        <v>424</v>
      </c>
      <c r="B28" s="508" t="s">
        <v>425</v>
      </c>
      <c r="C28" s="508" t="s">
        <v>426</v>
      </c>
      <c r="D28" s="508" t="s">
        <v>427</v>
      </c>
    </row>
    <row r="29" spans="1:4" x14ac:dyDescent="0.3">
      <c r="A29" t="s">
        <v>428</v>
      </c>
      <c r="B29" s="392">
        <v>107755</v>
      </c>
      <c r="C29" s="130">
        <v>0.67</v>
      </c>
      <c r="D29" s="514" t="s">
        <v>429</v>
      </c>
    </row>
    <row r="30" spans="1:4" x14ac:dyDescent="0.3">
      <c r="A30" t="s">
        <v>430</v>
      </c>
      <c r="B30" s="392">
        <v>16153</v>
      </c>
      <c r="C30" s="130">
        <v>0.1</v>
      </c>
      <c r="D30" s="514" t="s">
        <v>431</v>
      </c>
    </row>
    <row r="31" spans="1:4" x14ac:dyDescent="0.3">
      <c r="A31" t="s">
        <v>432</v>
      </c>
      <c r="B31" s="392">
        <v>2294</v>
      </c>
      <c r="C31" s="130">
        <v>0.01</v>
      </c>
      <c r="D31" s="514" t="s">
        <v>433</v>
      </c>
    </row>
    <row r="32" spans="1:4" x14ac:dyDescent="0.3">
      <c r="A32" t="s">
        <v>434</v>
      </c>
      <c r="B32" s="392">
        <v>33435</v>
      </c>
      <c r="C32" s="130">
        <v>0.21</v>
      </c>
      <c r="D32" s="514" t="s">
        <v>435</v>
      </c>
    </row>
    <row r="33" spans="1:4" x14ac:dyDescent="0.3">
      <c r="A33" s="508" t="s">
        <v>436</v>
      </c>
      <c r="B33" s="512">
        <v>159636</v>
      </c>
      <c r="C33" s="513">
        <v>1</v>
      </c>
      <c r="D33" s="517" t="s">
        <v>437</v>
      </c>
    </row>
    <row r="35" spans="1:4" ht="15.6" x14ac:dyDescent="0.3">
      <c r="A35" s="506" t="s">
        <v>438</v>
      </c>
      <c r="B35" s="506"/>
      <c r="C35" s="506"/>
      <c r="D35" s="506"/>
    </row>
    <row r="36" spans="1:4" x14ac:dyDescent="0.3">
      <c r="A36" s="508" t="s">
        <v>64</v>
      </c>
      <c r="B36" s="508" t="s">
        <v>439</v>
      </c>
      <c r="C36" s="508" t="s">
        <v>440</v>
      </c>
    </row>
    <row r="37" spans="1:4" ht="28.8" x14ac:dyDescent="0.3">
      <c r="A37" t="s">
        <v>68</v>
      </c>
      <c r="B37" t="s">
        <v>441</v>
      </c>
      <c r="C37" s="514" t="s">
        <v>442</v>
      </c>
    </row>
    <row r="38" spans="1:4" ht="28.8" x14ac:dyDescent="0.3">
      <c r="A38" t="s">
        <v>443</v>
      </c>
      <c r="B38" t="s">
        <v>444</v>
      </c>
      <c r="C38" s="514" t="s">
        <v>445</v>
      </c>
    </row>
    <row r="39" spans="1:4" ht="28.8" x14ac:dyDescent="0.3">
      <c r="A39" t="s">
        <v>446</v>
      </c>
      <c r="B39" t="s">
        <v>447</v>
      </c>
      <c r="C39" s="514" t="s">
        <v>448</v>
      </c>
    </row>
    <row r="40" spans="1:4" x14ac:dyDescent="0.3">
      <c r="A40" t="s">
        <v>449</v>
      </c>
      <c r="B40" t="s">
        <v>450</v>
      </c>
      <c r="C40" s="514" t="s">
        <v>451</v>
      </c>
    </row>
    <row r="41" spans="1:4" x14ac:dyDescent="0.3">
      <c r="A41" t="s">
        <v>452</v>
      </c>
      <c r="B41" t="s">
        <v>453</v>
      </c>
      <c r="C41" s="514" t="s">
        <v>454</v>
      </c>
    </row>
    <row r="42" spans="1:4" x14ac:dyDescent="0.3">
      <c r="A42" t="s">
        <v>455</v>
      </c>
      <c r="B42" t="s">
        <v>456</v>
      </c>
      <c r="C42" s="514" t="s">
        <v>457</v>
      </c>
    </row>
    <row r="43" spans="1:4" x14ac:dyDescent="0.3">
      <c r="A43" t="s">
        <v>458</v>
      </c>
      <c r="B43" t="s">
        <v>459</v>
      </c>
      <c r="C43" s="514" t="s">
        <v>460</v>
      </c>
    </row>
    <row r="44" spans="1:4" ht="28.8" x14ac:dyDescent="0.3">
      <c r="A44" t="s">
        <v>151</v>
      </c>
      <c r="B44" t="s">
        <v>461</v>
      </c>
      <c r="C44" s="514" t="s">
        <v>462</v>
      </c>
    </row>
    <row r="45" spans="1:4" x14ac:dyDescent="0.3">
      <c r="A45" t="s">
        <v>463</v>
      </c>
      <c r="B45" t="s">
        <v>464</v>
      </c>
      <c r="C45" s="514" t="s">
        <v>465</v>
      </c>
    </row>
    <row r="46" spans="1:4" x14ac:dyDescent="0.3">
      <c r="A46" t="s">
        <v>466</v>
      </c>
      <c r="B46" t="s">
        <v>467</v>
      </c>
      <c r="C46" s="514" t="s">
        <v>468</v>
      </c>
    </row>
    <row r="47" spans="1:4" ht="28.8" x14ac:dyDescent="0.3">
      <c r="A47" t="s">
        <v>35</v>
      </c>
      <c r="B47" s="518" t="s">
        <v>469</v>
      </c>
      <c r="C47" s="519" t="s">
        <v>470</v>
      </c>
    </row>
    <row r="48" spans="1:4" ht="28.8" x14ac:dyDescent="0.3">
      <c r="A48" t="s">
        <v>36</v>
      </c>
      <c r="B48" s="518" t="s">
        <v>469</v>
      </c>
      <c r="C48" s="519" t="s">
        <v>471</v>
      </c>
    </row>
    <row r="49" spans="1:4" ht="28.8" x14ac:dyDescent="0.3">
      <c r="A49" t="s">
        <v>472</v>
      </c>
      <c r="B49" t="s">
        <v>473</v>
      </c>
      <c r="C49" s="514" t="s">
        <v>474</v>
      </c>
    </row>
    <row r="51" spans="1:4" ht="15.6" x14ac:dyDescent="0.3">
      <c r="A51" s="520" t="s">
        <v>475</v>
      </c>
      <c r="B51" s="520"/>
      <c r="C51" s="520"/>
      <c r="D51" s="520"/>
    </row>
    <row r="53" spans="1:4" x14ac:dyDescent="0.3">
      <c r="A53" s="521" t="s">
        <v>476</v>
      </c>
    </row>
    <row r="54" spans="1:4" ht="244.8" x14ac:dyDescent="0.3">
      <c r="A54" s="514" t="s">
        <v>477</v>
      </c>
    </row>
    <row r="56" spans="1:4" x14ac:dyDescent="0.3">
      <c r="A56" s="521" t="s">
        <v>478</v>
      </c>
    </row>
    <row r="57" spans="1:4" ht="57.6" x14ac:dyDescent="0.3">
      <c r="A57" s="514" t="s">
        <v>479</v>
      </c>
    </row>
    <row r="59" spans="1:4" x14ac:dyDescent="0.3">
      <c r="A59" s="521" t="s">
        <v>480</v>
      </c>
    </row>
    <row r="60" spans="1:4" ht="86.4" x14ac:dyDescent="0.3">
      <c r="A60" s="514" t="s">
        <v>481</v>
      </c>
    </row>
    <row r="62" spans="1:4" x14ac:dyDescent="0.3">
      <c r="A62" s="521" t="s">
        <v>482</v>
      </c>
    </row>
    <row r="63" spans="1:4" ht="86.4" x14ac:dyDescent="0.3">
      <c r="A63" s="514" t="s">
        <v>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e80442-bb6c-4ca6-b884-6b6a27147056" xsi:nil="true"/>
    <lcf76f155ced4ddcb4097134ff3c332f xmlns="fc53b424-d44d-4363-b9d8-ce68fda510d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80D19D55C2747B5DEB7B9BB783644" ma:contentTypeVersion="15" ma:contentTypeDescription="Create a new document." ma:contentTypeScope="" ma:versionID="e27423594da0769c476960e2026fd18f">
  <xsd:schema xmlns:xsd="http://www.w3.org/2001/XMLSchema" xmlns:xs="http://www.w3.org/2001/XMLSchema" xmlns:p="http://schemas.microsoft.com/office/2006/metadata/properties" xmlns:ns2="30e80442-bb6c-4ca6-b884-6b6a27147056" xmlns:ns3="fc53b424-d44d-4363-b9d8-ce68fda510d3" targetNamespace="http://schemas.microsoft.com/office/2006/metadata/properties" ma:root="true" ma:fieldsID="c0952fcacd137fedb99760a862a0a958" ns2:_="" ns3:_="">
    <xsd:import namespace="30e80442-bb6c-4ca6-b884-6b6a27147056"/>
    <xsd:import namespace="fc53b424-d44d-4363-b9d8-ce68fda510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80442-bb6c-4ca6-b884-6b6a271470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aaaafd-3952-42d6-b6be-75952dac691c}" ma:internalName="TaxCatchAll" ma:showField="CatchAllData" ma:web="30e80442-bb6c-4ca6-b884-6b6a271470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3b424-d44d-4363-b9d8-ce68fda51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acf59-fbec-445e-9abb-175c1232f9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8EC64A-24A0-43F1-B5B7-FF2A4E4C6D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D6185F-C99D-48AC-BFBC-EC1686FCBFBB}">
  <ds:schemaRefs>
    <ds:schemaRef ds:uri="http://schemas.microsoft.com/office/2006/metadata/properties"/>
    <ds:schemaRef ds:uri="http://schemas.microsoft.com/office/infopath/2007/PartnerControls"/>
    <ds:schemaRef ds:uri="30e80442-bb6c-4ca6-b884-6b6a27147056"/>
    <ds:schemaRef ds:uri="fc53b424-d44d-4363-b9d8-ce68fda510d3"/>
  </ds:schemaRefs>
</ds:datastoreItem>
</file>

<file path=customXml/itemProps3.xml><?xml version="1.0" encoding="utf-8"?>
<ds:datastoreItem xmlns:ds="http://schemas.openxmlformats.org/officeDocument/2006/customXml" ds:itemID="{A1B5196B-367B-40A9-BFDC-8D77BC05EA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80442-bb6c-4ca6-b884-6b6a27147056"/>
    <ds:schemaRef ds:uri="fc53b424-d44d-4363-b9d8-ce68fda510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Proforma</vt:lpstr>
      <vt:lpstr>5 Year Proforma</vt:lpstr>
      <vt:lpstr>Inputs &amp; Drivers</vt:lpstr>
      <vt:lpstr>Model2.0</vt:lpstr>
      <vt:lpstr>P-Builder</vt:lpstr>
      <vt:lpstr>Data Drop</vt:lpstr>
      <vt:lpstr>COA Translation</vt:lpstr>
      <vt:lpstr>Valuation Sheet</vt:lpstr>
      <vt:lpstr>Claude Log</vt:lpstr>
      <vt:lpstr>Roadmap</vt:lpstr>
      <vt:lpstr>'Valuation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Gonzalez</dc:creator>
  <cp:keywords/>
  <dc:description/>
  <cp:lastModifiedBy>Javier Gonzalez</cp:lastModifiedBy>
  <cp:revision/>
  <cp:lastPrinted>2026-03-11T21:14:12Z</cp:lastPrinted>
  <dcterms:created xsi:type="dcterms:W3CDTF">2026-01-05T20:30:35Z</dcterms:created>
  <dcterms:modified xsi:type="dcterms:W3CDTF">2026-03-12T22:47:49Z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0x010100AFB80D19D55C2747B5DEB7B9BB783644</vt:lpwstr>
  </property>
  <property fmtid="{D5CDD505-2E9C-101B-9397-08002B2CF9AE}" pid="3" name="MediaServiceImageTags">
    <vt:lpwstr/>
  </property>
</Properties>
</file>