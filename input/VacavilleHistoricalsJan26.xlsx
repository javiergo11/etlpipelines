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storspacesmanagement-my.sharepoint.com/personal/javier_storestorage_com/Documents/Desktop/JaviWorkingFOlder/3.10 Proformas/Vacaville/"/>
    </mc:Choice>
  </mc:AlternateContent>
  <xr:revisionPtr revIDLastSave="2896" documentId="13_ncr:1_{FD4313C8-0205-45D3-A960-FDC54E9B67D4}" xr6:coauthVersionLast="47" xr6:coauthVersionMax="47" xr10:uidLastSave="{6AE574AC-5F28-45B4-92D0-C2D48220C6D6}"/>
  <bookViews>
    <workbookView xWindow="57480" yWindow="-120" windowWidth="29040" windowHeight="15720" tabRatio="785" firstSheet="2" activeTab="2" xr2:uid="{00000000-000D-0000-FFFF-FFFF00000000}"/>
  </bookViews>
  <sheets>
    <sheet name="CrossfireHiddenWorksheet" sheetId="2" state="veryHidden" r:id="rId1"/>
    <sheet name="OfficeConnectCellHighlights" sheetId="3" state="veryHidden" r:id="rId2"/>
    <sheet name="IS" sheetId="1" r:id="rId3"/>
    <sheet name="BS" sheetId="4" r:id="rId4"/>
    <sheet name="YOY" sheetId="9" r:id="rId5"/>
    <sheet name="Act v Bud" sheetId="10" r:id="rId6"/>
    <sheet name="IS.BS.Detail" sheetId="26" r:id="rId7"/>
    <sheet name="Monthly Activity" sheetId="32" r:id="rId8"/>
    <sheet name="Trial Balance" sheetId="33" r:id="rId9"/>
    <sheet name="GL" sheetId="34" r:id="rId10"/>
    <sheet name="Rent Roll" sheetId="35" r:id="rId11"/>
  </sheets>
  <definedNames>
    <definedName name="_xlnm._FilterDatabase" localSheetId="9" hidden="1">GL!$A$1:$N$784</definedName>
    <definedName name="_xlnm._FilterDatabase" localSheetId="7" hidden="1">'Monthly Activity'!$A$1:$P$139</definedName>
    <definedName name="_xlnm._FilterDatabase" localSheetId="8" hidden="1">'Trial Balance'!$A$1:$E$143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92" i="2" l="1"/>
  <c r="DE189" i="2"/>
  <c r="DE190" i="2"/>
  <c r="DE191" i="2"/>
  <c r="DE181" i="2"/>
  <c r="DE182" i="2"/>
  <c r="DE183" i="2"/>
  <c r="DE184" i="2"/>
  <c r="DE185" i="2"/>
  <c r="DE186" i="2"/>
  <c r="DE187" i="2"/>
  <c r="DE188" i="2"/>
  <c r="DE179" i="2"/>
  <c r="DE180" i="2"/>
  <c r="DE178" i="2"/>
  <c r="DE177" i="2"/>
  <c r="DE175" i="2"/>
  <c r="DE176" i="2"/>
  <c r="DE172" i="2"/>
  <c r="DE173" i="2"/>
  <c r="DE174" i="2"/>
  <c r="DE171" i="2"/>
  <c r="DE164" i="2"/>
  <c r="DE165" i="2"/>
  <c r="DE166" i="2"/>
  <c r="DE167" i="2"/>
  <c r="DE168" i="2"/>
  <c r="DE169" i="2"/>
  <c r="DE170" i="2"/>
  <c r="DE163" i="2"/>
  <c r="DE159" i="2"/>
  <c r="DE160" i="2"/>
  <c r="DE161" i="2"/>
  <c r="DE162" i="2"/>
  <c r="DE158" i="2"/>
  <c r="DE147" i="2"/>
  <c r="DE148" i="2"/>
  <c r="DE149" i="2"/>
  <c r="DE150" i="2"/>
  <c r="DE151" i="2"/>
  <c r="DE152" i="2"/>
  <c r="DE153" i="2"/>
  <c r="DE154" i="2"/>
  <c r="DE155" i="2"/>
  <c r="DE156" i="2"/>
  <c r="DE157" i="2"/>
  <c r="DE145" i="2"/>
  <c r="DE146" i="2"/>
  <c r="DE144" i="2"/>
  <c r="DE143" i="2"/>
  <c r="DE135" i="2"/>
  <c r="DE136" i="2"/>
  <c r="DE137" i="2"/>
  <c r="DE138" i="2"/>
  <c r="DE139" i="2"/>
  <c r="DE140" i="2"/>
  <c r="DE141" i="2"/>
  <c r="DE142" i="2"/>
  <c r="DE109" i="2"/>
  <c r="DE110" i="2"/>
  <c r="DE111" i="2"/>
  <c r="DE112" i="2"/>
  <c r="DE113" i="2"/>
  <c r="DE114" i="2"/>
  <c r="DE115" i="2"/>
  <c r="DE116" i="2"/>
  <c r="DE117" i="2"/>
  <c r="DE118" i="2"/>
  <c r="DE119" i="2"/>
  <c r="DE120" i="2"/>
  <c r="DE121" i="2"/>
  <c r="DE122" i="2"/>
  <c r="DE123" i="2"/>
  <c r="DE124" i="2"/>
  <c r="DE125" i="2"/>
  <c r="DE126" i="2"/>
  <c r="DE127" i="2"/>
  <c r="DE128" i="2"/>
  <c r="DE129" i="2"/>
  <c r="DE130" i="2"/>
  <c r="DE131" i="2"/>
  <c r="DE132" i="2"/>
  <c r="DE133" i="2"/>
  <c r="DE134" i="2"/>
  <c r="DE105" i="2"/>
  <c r="DE106" i="2"/>
  <c r="DE107" i="2"/>
  <c r="DE108" i="2"/>
  <c r="DE70" i="2"/>
  <c r="DE71" i="2"/>
  <c r="DE72" i="2"/>
  <c r="DE73" i="2"/>
  <c r="DE74" i="2"/>
  <c r="DE75" i="2"/>
  <c r="DE76" i="2"/>
  <c r="DE77" i="2"/>
  <c r="DE78" i="2"/>
  <c r="DE79" i="2"/>
  <c r="DE80" i="2"/>
  <c r="DE81" i="2"/>
  <c r="DE82" i="2"/>
  <c r="DE83" i="2"/>
  <c r="DE84" i="2"/>
  <c r="DE85" i="2"/>
  <c r="DE86" i="2"/>
  <c r="DE87" i="2"/>
  <c r="DE88" i="2"/>
  <c r="DE89" i="2"/>
  <c r="DE90" i="2"/>
  <c r="DE91" i="2"/>
  <c r="DE92" i="2"/>
  <c r="DE93" i="2"/>
  <c r="DE94" i="2"/>
  <c r="DE95" i="2"/>
  <c r="DE96" i="2"/>
  <c r="DE97" i="2"/>
  <c r="DE98" i="2"/>
  <c r="DE99" i="2"/>
  <c r="DE100" i="2"/>
  <c r="DE101" i="2"/>
  <c r="DE102" i="2"/>
  <c r="DE103" i="2"/>
  <c r="DE104" i="2"/>
  <c r="DE68" i="2"/>
  <c r="DE69" i="2"/>
  <c r="DE66" i="2"/>
  <c r="DE67" i="2"/>
  <c r="DE62" i="2"/>
  <c r="DE63" i="2"/>
  <c r="DE64" i="2"/>
  <c r="DE65" i="2"/>
  <c r="DE61" i="2"/>
  <c r="DE60" i="2"/>
  <c r="DE59" i="2"/>
  <c r="DE57" i="2"/>
  <c r="DE58" i="2"/>
  <c r="DE56" i="2"/>
  <c r="DE50" i="2"/>
  <c r="DE51" i="2"/>
  <c r="DE52" i="2"/>
  <c r="DE53" i="2"/>
  <c r="DE54" i="2"/>
  <c r="DE55" i="2"/>
  <c r="DE49" i="2"/>
  <c r="C14" i="1"/>
  <c r="C41" i="1" s="1"/>
  <c r="C54" i="1" s="1"/>
  <c r="C60" i="1" s="1"/>
  <c r="C70" i="1" s="1"/>
  <c r="D14" i="1"/>
  <c r="E14" i="1"/>
  <c r="F14" i="1"/>
  <c r="F41" i="1" s="1"/>
  <c r="F54" i="1" s="1"/>
  <c r="F60" i="1" s="1"/>
  <c r="F70" i="1" s="1"/>
  <c r="G14" i="1"/>
  <c r="H14" i="1"/>
  <c r="I14" i="1"/>
  <c r="I41" i="1" s="1"/>
  <c r="I54" i="1" s="1"/>
  <c r="I60" i="1" s="1"/>
  <c r="I70" i="1" s="1"/>
  <c r="J14" i="1"/>
  <c r="K14" i="1"/>
  <c r="L14" i="1"/>
  <c r="L41" i="1" s="1"/>
  <c r="L54" i="1" s="1"/>
  <c r="L60" i="1" s="1"/>
  <c r="L70" i="1" s="1"/>
  <c r="M14" i="1"/>
  <c r="N14" i="1"/>
  <c r="O14" i="1"/>
  <c r="O41" i="1" s="1"/>
  <c r="O54" i="1" s="1"/>
  <c r="O60" i="1" s="1"/>
  <c r="O70" i="1" s="1"/>
  <c r="C20" i="1"/>
  <c r="D20" i="1"/>
  <c r="D39" i="1" s="1"/>
  <c r="D41" i="1" s="1"/>
  <c r="D54" i="1" s="1"/>
  <c r="D60" i="1" s="1"/>
  <c r="D70" i="1" s="1"/>
  <c r="E20" i="1"/>
  <c r="E39" i="1" s="1"/>
  <c r="F20" i="1"/>
  <c r="G20" i="1"/>
  <c r="G39" i="1" s="1"/>
  <c r="G41" i="1" s="1"/>
  <c r="G54" i="1" s="1"/>
  <c r="G60" i="1" s="1"/>
  <c r="G70" i="1" s="1"/>
  <c r="H20" i="1"/>
  <c r="I20" i="1"/>
  <c r="J20" i="1"/>
  <c r="J39" i="1" s="1"/>
  <c r="J41" i="1" s="1"/>
  <c r="J54" i="1" s="1"/>
  <c r="J60" i="1" s="1"/>
  <c r="J70" i="1" s="1"/>
  <c r="K20" i="1"/>
  <c r="K39" i="1" s="1"/>
  <c r="L20" i="1"/>
  <c r="M20" i="1"/>
  <c r="M39" i="1" s="1"/>
  <c r="M41" i="1" s="1"/>
  <c r="M54" i="1" s="1"/>
  <c r="M60" i="1" s="1"/>
  <c r="M70" i="1" s="1"/>
  <c r="N20" i="1"/>
  <c r="O20" i="1"/>
  <c r="C37" i="1"/>
  <c r="D37" i="1"/>
  <c r="E37" i="1"/>
  <c r="F37" i="1"/>
  <c r="F39" i="1" s="1"/>
  <c r="G37" i="1"/>
  <c r="H37" i="1"/>
  <c r="I37" i="1"/>
  <c r="J37" i="1"/>
  <c r="K37" i="1"/>
  <c r="L37" i="1"/>
  <c r="L39" i="1" s="1"/>
  <c r="M37" i="1"/>
  <c r="N37" i="1"/>
  <c r="O37" i="1"/>
  <c r="C39" i="1"/>
  <c r="H39" i="1"/>
  <c r="I39" i="1"/>
  <c r="N39" i="1"/>
  <c r="O39" i="1"/>
  <c r="H41" i="1"/>
  <c r="H54" i="1" s="1"/>
  <c r="H60" i="1" s="1"/>
  <c r="H70" i="1" s="1"/>
  <c r="N41" i="1"/>
  <c r="N54" i="1" s="1"/>
  <c r="N60" i="1" s="1"/>
  <c r="N70" i="1" s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F10" i="10"/>
  <c r="G10" i="10" s="1"/>
  <c r="K10" i="10"/>
  <c r="L10" i="10" s="1"/>
  <c r="F11" i="10"/>
  <c r="G11" i="10"/>
  <c r="K11" i="10"/>
  <c r="L11" i="10" s="1"/>
  <c r="F12" i="10"/>
  <c r="G12" i="10" s="1"/>
  <c r="K12" i="10"/>
  <c r="L12" i="10"/>
  <c r="F13" i="10"/>
  <c r="G13" i="10" s="1"/>
  <c r="K13" i="10"/>
  <c r="L13" i="10" s="1"/>
  <c r="D14" i="10"/>
  <c r="E14" i="10"/>
  <c r="F14" i="10"/>
  <c r="G14" i="10" s="1"/>
  <c r="I14" i="10"/>
  <c r="K14" i="10" s="1"/>
  <c r="L14" i="10" s="1"/>
  <c r="J14" i="10"/>
  <c r="J41" i="10" s="1"/>
  <c r="N14" i="10"/>
  <c r="N41" i="10" s="1"/>
  <c r="O14" i="10"/>
  <c r="F17" i="10"/>
  <c r="G17" i="10" s="1"/>
  <c r="K17" i="10"/>
  <c r="L17" i="10"/>
  <c r="F18" i="10"/>
  <c r="G18" i="10" s="1"/>
  <c r="K18" i="10"/>
  <c r="L18" i="10" s="1"/>
  <c r="F19" i="10"/>
  <c r="G19" i="10"/>
  <c r="K19" i="10"/>
  <c r="L19" i="10" s="1"/>
  <c r="D20" i="10"/>
  <c r="F20" i="10" s="1"/>
  <c r="G20" i="10" s="1"/>
  <c r="E20" i="10"/>
  <c r="E39" i="10" s="1"/>
  <c r="I20" i="10"/>
  <c r="J20" i="10"/>
  <c r="N20" i="10"/>
  <c r="O20" i="10"/>
  <c r="O39" i="10" s="1"/>
  <c r="O41" i="10" s="1"/>
  <c r="F23" i="10"/>
  <c r="G23" i="10" s="1"/>
  <c r="K23" i="10"/>
  <c r="L23" i="10" s="1"/>
  <c r="F24" i="10"/>
  <c r="G24" i="10"/>
  <c r="K24" i="10"/>
  <c r="L24" i="10" s="1"/>
  <c r="F25" i="10"/>
  <c r="G25" i="10" s="1"/>
  <c r="K25" i="10"/>
  <c r="L25" i="10"/>
  <c r="F26" i="10"/>
  <c r="G26" i="10" s="1"/>
  <c r="K26" i="10"/>
  <c r="L26" i="10" s="1"/>
  <c r="F27" i="10"/>
  <c r="G27" i="10"/>
  <c r="K27" i="10"/>
  <c r="L27" i="10" s="1"/>
  <c r="F28" i="10"/>
  <c r="G28" i="10" s="1"/>
  <c r="K28" i="10"/>
  <c r="L28" i="10"/>
  <c r="F29" i="10"/>
  <c r="G29" i="10" s="1"/>
  <c r="K29" i="10"/>
  <c r="L29" i="10" s="1"/>
  <c r="F30" i="10"/>
  <c r="G30" i="10"/>
  <c r="K30" i="10"/>
  <c r="L30" i="10" s="1"/>
  <c r="F31" i="10"/>
  <c r="G31" i="10" s="1"/>
  <c r="K31" i="10"/>
  <c r="L31" i="10"/>
  <c r="F32" i="10"/>
  <c r="G32" i="10" s="1"/>
  <c r="K32" i="10"/>
  <c r="L32" i="10" s="1"/>
  <c r="F33" i="10"/>
  <c r="G33" i="10"/>
  <c r="K33" i="10"/>
  <c r="L33" i="10" s="1"/>
  <c r="F34" i="10"/>
  <c r="G34" i="10" s="1"/>
  <c r="K34" i="10"/>
  <c r="L34" i="10"/>
  <c r="F35" i="10"/>
  <c r="G35" i="10" s="1"/>
  <c r="K35" i="10"/>
  <c r="L35" i="10" s="1"/>
  <c r="F36" i="10"/>
  <c r="G36" i="10"/>
  <c r="K36" i="10"/>
  <c r="L36" i="10" s="1"/>
  <c r="D37" i="10"/>
  <c r="F37" i="10" s="1"/>
  <c r="G37" i="10" s="1"/>
  <c r="E37" i="10"/>
  <c r="I37" i="10"/>
  <c r="K37" i="10" s="1"/>
  <c r="L37" i="10" s="1"/>
  <c r="J37" i="10"/>
  <c r="N37" i="10"/>
  <c r="O37" i="10"/>
  <c r="D39" i="10"/>
  <c r="J39" i="10"/>
  <c r="N39" i="10"/>
  <c r="F40" i="10"/>
  <c r="G40" i="10"/>
  <c r="K40" i="10"/>
  <c r="L40" i="10" s="1"/>
  <c r="F44" i="10"/>
  <c r="G44" i="10" s="1"/>
  <c r="K44" i="10"/>
  <c r="L44" i="10" s="1"/>
  <c r="F45" i="10"/>
  <c r="G45" i="10"/>
  <c r="K45" i="10"/>
  <c r="L45" i="10" s="1"/>
  <c r="F46" i="10"/>
  <c r="G46" i="10" s="1"/>
  <c r="K46" i="10"/>
  <c r="L46" i="10"/>
  <c r="F47" i="10"/>
  <c r="G47" i="10" s="1"/>
  <c r="K47" i="10"/>
  <c r="L47" i="10" s="1"/>
  <c r="F48" i="10"/>
  <c r="G48" i="10"/>
  <c r="K48" i="10"/>
  <c r="L48" i="10" s="1"/>
  <c r="F49" i="10"/>
  <c r="G49" i="10" s="1"/>
  <c r="K49" i="10"/>
  <c r="L49" i="10"/>
  <c r="F50" i="10"/>
  <c r="G50" i="10" s="1"/>
  <c r="K50" i="10"/>
  <c r="L50" i="10" s="1"/>
  <c r="F51" i="10"/>
  <c r="G51" i="10"/>
  <c r="K51" i="10"/>
  <c r="L51" i="10" s="1"/>
  <c r="F10" i="9"/>
  <c r="G10" i="9" s="1"/>
  <c r="K10" i="9"/>
  <c r="L10" i="9"/>
  <c r="F11" i="9"/>
  <c r="G11" i="9" s="1"/>
  <c r="K11" i="9"/>
  <c r="L11" i="9" s="1"/>
  <c r="F12" i="9"/>
  <c r="G12" i="9"/>
  <c r="K12" i="9"/>
  <c r="L12" i="9" s="1"/>
  <c r="F13" i="9"/>
  <c r="G13" i="9" s="1"/>
  <c r="K13" i="9"/>
  <c r="L13" i="9"/>
  <c r="D14" i="9"/>
  <c r="E14" i="9"/>
  <c r="I14" i="9"/>
  <c r="J14" i="9"/>
  <c r="K14" i="9"/>
  <c r="L14" i="9" s="1"/>
  <c r="N14" i="9"/>
  <c r="O14" i="9"/>
  <c r="F17" i="9"/>
  <c r="G17" i="9"/>
  <c r="K17" i="9"/>
  <c r="L17" i="9" s="1"/>
  <c r="F18" i="9"/>
  <c r="G18" i="9" s="1"/>
  <c r="K18" i="9"/>
  <c r="L18" i="9"/>
  <c r="F19" i="9"/>
  <c r="G19" i="9" s="1"/>
  <c r="K19" i="9"/>
  <c r="L19" i="9" s="1"/>
  <c r="D20" i="9"/>
  <c r="E20" i="9"/>
  <c r="E39" i="9" s="1"/>
  <c r="E41" i="9" s="1"/>
  <c r="F20" i="9"/>
  <c r="G20" i="9" s="1"/>
  <c r="I20" i="9"/>
  <c r="K20" i="9" s="1"/>
  <c r="L20" i="9" s="1"/>
  <c r="J20" i="9"/>
  <c r="N20" i="9"/>
  <c r="O20" i="9"/>
  <c r="F23" i="9"/>
  <c r="G23" i="9" s="1"/>
  <c r="K23" i="9"/>
  <c r="L23" i="9"/>
  <c r="F24" i="9"/>
  <c r="G24" i="9" s="1"/>
  <c r="K24" i="9"/>
  <c r="L24" i="9" s="1"/>
  <c r="F25" i="9"/>
  <c r="G25" i="9"/>
  <c r="K25" i="9"/>
  <c r="L25" i="9" s="1"/>
  <c r="F26" i="9"/>
  <c r="G26" i="9" s="1"/>
  <c r="K26" i="9"/>
  <c r="L26" i="9"/>
  <c r="F27" i="9"/>
  <c r="G27" i="9" s="1"/>
  <c r="K27" i="9"/>
  <c r="L27" i="9" s="1"/>
  <c r="F28" i="9"/>
  <c r="G28" i="9"/>
  <c r="K28" i="9"/>
  <c r="L28" i="9" s="1"/>
  <c r="F29" i="9"/>
  <c r="G29" i="9" s="1"/>
  <c r="K29" i="9"/>
  <c r="L29" i="9"/>
  <c r="F30" i="9"/>
  <c r="G30" i="9" s="1"/>
  <c r="K30" i="9"/>
  <c r="L30" i="9" s="1"/>
  <c r="F31" i="9"/>
  <c r="G31" i="9"/>
  <c r="K31" i="9"/>
  <c r="L31" i="9" s="1"/>
  <c r="F32" i="9"/>
  <c r="G32" i="9" s="1"/>
  <c r="K32" i="9"/>
  <c r="L32" i="9"/>
  <c r="F33" i="9"/>
  <c r="G33" i="9" s="1"/>
  <c r="K33" i="9"/>
  <c r="L33" i="9" s="1"/>
  <c r="F34" i="9"/>
  <c r="G34" i="9"/>
  <c r="K34" i="9"/>
  <c r="L34" i="9" s="1"/>
  <c r="F35" i="9"/>
  <c r="G35" i="9" s="1"/>
  <c r="K35" i="9"/>
  <c r="L35" i="9"/>
  <c r="F36" i="9"/>
  <c r="G36" i="9" s="1"/>
  <c r="K36" i="9"/>
  <c r="L36" i="9" s="1"/>
  <c r="D37" i="9"/>
  <c r="E37" i="9"/>
  <c r="F37" i="9"/>
  <c r="G37" i="9" s="1"/>
  <c r="I37" i="9"/>
  <c r="K37" i="9" s="1"/>
  <c r="L37" i="9" s="1"/>
  <c r="J37" i="9"/>
  <c r="J39" i="9" s="1"/>
  <c r="N37" i="9"/>
  <c r="O37" i="9"/>
  <c r="D39" i="9"/>
  <c r="I39" i="9"/>
  <c r="O39" i="9"/>
  <c r="O41" i="9" s="1"/>
  <c r="F40" i="9"/>
  <c r="G40" i="9" s="1"/>
  <c r="K40" i="9"/>
  <c r="L40" i="9" s="1"/>
  <c r="F44" i="9"/>
  <c r="G44" i="9" s="1"/>
  <c r="K44" i="9"/>
  <c r="L44" i="9"/>
  <c r="F45" i="9"/>
  <c r="G45" i="9" s="1"/>
  <c r="K45" i="9"/>
  <c r="L45" i="9" s="1"/>
  <c r="F46" i="9"/>
  <c r="G46" i="9"/>
  <c r="K46" i="9"/>
  <c r="L46" i="9" s="1"/>
  <c r="F47" i="9"/>
  <c r="G47" i="9" s="1"/>
  <c r="K47" i="9"/>
  <c r="L47" i="9"/>
  <c r="F48" i="9"/>
  <c r="G48" i="9" s="1"/>
  <c r="K48" i="9"/>
  <c r="L48" i="9" s="1"/>
  <c r="F49" i="9"/>
  <c r="G49" i="9"/>
  <c r="K49" i="9"/>
  <c r="L49" i="9" s="1"/>
  <c r="F50" i="9"/>
  <c r="G50" i="9" s="1"/>
  <c r="K50" i="9"/>
  <c r="L50" i="9"/>
  <c r="F51" i="9"/>
  <c r="G51" i="9" s="1"/>
  <c r="K51" i="9"/>
  <c r="L51" i="9" s="1"/>
  <c r="F10" i="4"/>
  <c r="F11" i="4"/>
  <c r="F12" i="4"/>
  <c r="F13" i="4"/>
  <c r="F14" i="4"/>
  <c r="F15" i="4"/>
  <c r="F16" i="4"/>
  <c r="D17" i="4"/>
  <c r="E17" i="4"/>
  <c r="H17" i="4"/>
  <c r="I17" i="4"/>
  <c r="F20" i="4"/>
  <c r="F21" i="4"/>
  <c r="F22" i="4"/>
  <c r="F23" i="4"/>
  <c r="F24" i="4"/>
  <c r="F25" i="4"/>
  <c r="D26" i="4"/>
  <c r="E26" i="4"/>
  <c r="F26" i="4"/>
  <c r="H26" i="4"/>
  <c r="I26" i="4"/>
  <c r="F29" i="4"/>
  <c r="F30" i="4"/>
  <c r="F31" i="4"/>
  <c r="N39" i="9" l="1"/>
  <c r="N41" i="9" s="1"/>
  <c r="F39" i="9"/>
  <c r="G39" i="9" s="1"/>
  <c r="D41" i="9"/>
  <c r="F41" i="9" s="1"/>
  <c r="G41" i="9" s="1"/>
  <c r="F14" i="9"/>
  <c r="G14" i="9" s="1"/>
  <c r="F17" i="4"/>
  <c r="E41" i="10"/>
  <c r="I39" i="10"/>
  <c r="K20" i="10"/>
  <c r="L20" i="10" s="1"/>
  <c r="K41" i="1"/>
  <c r="K54" i="1" s="1"/>
  <c r="K60" i="1" s="1"/>
  <c r="K70" i="1" s="1"/>
  <c r="E41" i="1"/>
  <c r="E54" i="1" s="1"/>
  <c r="E60" i="1" s="1"/>
  <c r="E70" i="1" s="1"/>
  <c r="F39" i="10"/>
  <c r="G39" i="10" s="1"/>
  <c r="D41" i="10"/>
  <c r="F41" i="10" s="1"/>
  <c r="G41" i="10" s="1"/>
  <c r="J41" i="9"/>
  <c r="K39" i="9"/>
  <c r="L39" i="9" s="1"/>
  <c r="I41" i="9"/>
  <c r="K41" i="9" s="1"/>
  <c r="L41" i="9" s="1"/>
  <c r="P52" i="1"/>
  <c r="P37" i="9"/>
  <c r="Q37" i="9" s="1"/>
  <c r="P14" i="9"/>
  <c r="Q14" i="9" s="1"/>
  <c r="J26" i="4"/>
  <c r="A43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G5" i="2"/>
  <c r="DG6" i="2"/>
  <c r="DG7" i="2"/>
  <c r="DG8" i="2"/>
  <c r="DG9" i="2"/>
  <c r="DG10" i="2"/>
  <c r="DG11" i="2"/>
  <c r="DG12" i="2"/>
  <c r="DG13" i="2"/>
  <c r="DG14" i="2"/>
  <c r="DG15" i="2"/>
  <c r="DG16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31" i="2"/>
  <c r="DE32" i="2"/>
  <c r="DE33" i="2"/>
  <c r="DE34" i="2"/>
  <c r="DE35" i="2"/>
  <c r="DE36" i="2"/>
  <c r="DE37" i="2"/>
  <c r="DE38" i="2"/>
  <c r="DE39" i="2"/>
  <c r="DE40" i="2"/>
  <c r="DE41" i="2"/>
  <c r="DE42" i="2"/>
  <c r="DE43" i="2"/>
  <c r="DE44" i="2"/>
  <c r="DE45" i="2"/>
  <c r="DE46" i="2"/>
  <c r="DE47" i="2"/>
  <c r="DE48" i="2"/>
  <c r="P68" i="1"/>
  <c r="P10" i="1"/>
  <c r="P11" i="1"/>
  <c r="P12" i="1"/>
  <c r="P13" i="1"/>
  <c r="P17" i="1"/>
  <c r="P18" i="1"/>
  <c r="P19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44" i="1"/>
  <c r="P45" i="1"/>
  <c r="P46" i="1"/>
  <c r="P47" i="1"/>
  <c r="P48" i="1"/>
  <c r="P49" i="1"/>
  <c r="P50" i="1"/>
  <c r="P51" i="1"/>
  <c r="P62" i="1"/>
  <c r="P63" i="1"/>
  <c r="P64" i="1"/>
  <c r="P65" i="1"/>
  <c r="P66" i="1"/>
  <c r="P67" i="1"/>
  <c r="P69" i="1"/>
  <c r="P71" i="1"/>
  <c r="P72" i="1"/>
  <c r="C13" i="2"/>
  <c r="E19" i="2"/>
  <c r="C17" i="2"/>
  <c r="E18" i="2"/>
  <c r="E17" i="2"/>
  <c r="E16" i="2"/>
  <c r="E15" i="2"/>
  <c r="E14" i="2"/>
  <c r="E13" i="2"/>
  <c r="E12" i="2"/>
  <c r="E11" i="2"/>
  <c r="E10" i="2"/>
  <c r="E9" i="2"/>
  <c r="E8" i="2"/>
  <c r="E7" i="2"/>
  <c r="C5" i="2"/>
  <c r="C6" i="2"/>
  <c r="C7" i="2"/>
  <c r="C8" i="2"/>
  <c r="C9" i="2"/>
  <c r="C10" i="2"/>
  <c r="C11" i="2"/>
  <c r="C12" i="2"/>
  <c r="C15" i="2"/>
  <c r="C16" i="2"/>
  <c r="AA10" i="2"/>
  <c r="AA9" i="2"/>
  <c r="AA8" i="2"/>
  <c r="P14" i="10"/>
  <c r="Q14" i="10" s="1"/>
  <c r="P10" i="10"/>
  <c r="Q10" i="10" s="1"/>
  <c r="P11" i="10"/>
  <c r="Q11" i="10" s="1"/>
  <c r="P12" i="10"/>
  <c r="Q12" i="10" s="1"/>
  <c r="P13" i="10"/>
  <c r="Q13" i="10" s="1"/>
  <c r="P17" i="10"/>
  <c r="Q17" i="10" s="1"/>
  <c r="P18" i="10"/>
  <c r="Q18" i="10" s="1"/>
  <c r="P19" i="10"/>
  <c r="Q19" i="10" s="1"/>
  <c r="P20" i="10"/>
  <c r="Q20" i="10" s="1"/>
  <c r="P23" i="10"/>
  <c r="Q23" i="10" s="1"/>
  <c r="P24" i="10"/>
  <c r="Q24" i="10" s="1"/>
  <c r="P25" i="10"/>
  <c r="Q25" i="10" s="1"/>
  <c r="P26" i="10"/>
  <c r="Q26" i="10" s="1"/>
  <c r="P27" i="10"/>
  <c r="Q27" i="10" s="1"/>
  <c r="P28" i="10"/>
  <c r="Q28" i="10" s="1"/>
  <c r="P29" i="10"/>
  <c r="Q29" i="10" s="1"/>
  <c r="P30" i="10"/>
  <c r="Q30" i="10" s="1"/>
  <c r="P31" i="10"/>
  <c r="Q31" i="10" s="1"/>
  <c r="P32" i="10"/>
  <c r="Q32" i="10" s="1"/>
  <c r="P33" i="10"/>
  <c r="Q33" i="10" s="1"/>
  <c r="P34" i="10"/>
  <c r="Q34" i="10" s="1"/>
  <c r="P35" i="10"/>
  <c r="Q35" i="10" s="1"/>
  <c r="P36" i="10"/>
  <c r="Q36" i="10" s="1"/>
  <c r="P40" i="10"/>
  <c r="Q40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AG10" i="2"/>
  <c r="AG9" i="2"/>
  <c r="AE33" i="2"/>
  <c r="Y33" i="2"/>
  <c r="A42" i="2"/>
  <c r="A41" i="2"/>
  <c r="A40" i="2"/>
  <c r="K10" i="2"/>
  <c r="K9" i="2"/>
  <c r="K8" i="2"/>
  <c r="K7" i="2"/>
  <c r="K6" i="2"/>
  <c r="J31" i="4"/>
  <c r="J30" i="4"/>
  <c r="J29" i="4"/>
  <c r="J25" i="4"/>
  <c r="J24" i="4"/>
  <c r="J23" i="4"/>
  <c r="J22" i="4"/>
  <c r="J21" i="4"/>
  <c r="J20" i="4"/>
  <c r="J16" i="4"/>
  <c r="J15" i="4"/>
  <c r="J14" i="4"/>
  <c r="J13" i="4"/>
  <c r="J12" i="4"/>
  <c r="J11" i="4"/>
  <c r="J10" i="4"/>
  <c r="AI5" i="2"/>
  <c r="AI6" i="2"/>
  <c r="AG5" i="2"/>
  <c r="AG6" i="2"/>
  <c r="AG7" i="2"/>
  <c r="AG8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O52" i="10"/>
  <c r="N52" i="10"/>
  <c r="J52" i="10"/>
  <c r="I52" i="10"/>
  <c r="E52" i="10"/>
  <c r="D52" i="10"/>
  <c r="P51" i="9"/>
  <c r="Q51" i="9" s="1"/>
  <c r="P50" i="9"/>
  <c r="Q50" i="9" s="1"/>
  <c r="P49" i="9"/>
  <c r="Q49" i="9" s="1"/>
  <c r="P48" i="9"/>
  <c r="Q48" i="9" s="1"/>
  <c r="P47" i="9"/>
  <c r="Q47" i="9" s="1"/>
  <c r="P46" i="9"/>
  <c r="Q46" i="9" s="1"/>
  <c r="P45" i="9"/>
  <c r="Q45" i="9" s="1"/>
  <c r="P44" i="9"/>
  <c r="Q44" i="9" s="1"/>
  <c r="P40" i="9"/>
  <c r="Q40" i="9" s="1"/>
  <c r="P36" i="9"/>
  <c r="Q36" i="9" s="1"/>
  <c r="P35" i="9"/>
  <c r="Q35" i="9" s="1"/>
  <c r="P34" i="9"/>
  <c r="Q34" i="9" s="1"/>
  <c r="P33" i="9"/>
  <c r="Q33" i="9" s="1"/>
  <c r="P32" i="9"/>
  <c r="Q32" i="9" s="1"/>
  <c r="P31" i="9"/>
  <c r="Q31" i="9" s="1"/>
  <c r="P30" i="9"/>
  <c r="Q30" i="9" s="1"/>
  <c r="P29" i="9"/>
  <c r="Q29" i="9" s="1"/>
  <c r="P28" i="9"/>
  <c r="Q28" i="9" s="1"/>
  <c r="P27" i="9"/>
  <c r="Q27" i="9" s="1"/>
  <c r="P26" i="9"/>
  <c r="Q26" i="9" s="1"/>
  <c r="P25" i="9"/>
  <c r="Q25" i="9" s="1"/>
  <c r="P24" i="9"/>
  <c r="Q24" i="9" s="1"/>
  <c r="P23" i="9"/>
  <c r="Q23" i="9" s="1"/>
  <c r="P19" i="9"/>
  <c r="Q19" i="9" s="1"/>
  <c r="P18" i="9"/>
  <c r="Q18" i="9" s="1"/>
  <c r="P17" i="9"/>
  <c r="Q17" i="9" s="1"/>
  <c r="P13" i="9"/>
  <c r="Q13" i="9" s="1"/>
  <c r="P12" i="9"/>
  <c r="Q12" i="9" s="1"/>
  <c r="P11" i="9"/>
  <c r="Q11" i="9" s="1"/>
  <c r="P10" i="9"/>
  <c r="Q10" i="9" s="1"/>
  <c r="O52" i="9"/>
  <c r="N52" i="9"/>
  <c r="J52" i="9"/>
  <c r="I52" i="9"/>
  <c r="E52" i="9"/>
  <c r="D52" i="9"/>
  <c r="AA7" i="2"/>
  <c r="AC12" i="2"/>
  <c r="AC11" i="2"/>
  <c r="AC10" i="2"/>
  <c r="AC9" i="2"/>
  <c r="AC8" i="2"/>
  <c r="AC7" i="2"/>
  <c r="AA6" i="2"/>
  <c r="AA5" i="2"/>
  <c r="AC5" i="2"/>
  <c r="AC6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I32" i="4"/>
  <c r="H32" i="4"/>
  <c r="E32" i="4"/>
  <c r="D32" i="4"/>
  <c r="I8" i="2"/>
  <c r="I7" i="2"/>
  <c r="I6" i="2"/>
  <c r="I5" i="2"/>
  <c r="K5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E6" i="2"/>
  <c r="E5" i="2"/>
  <c r="A8" i="2"/>
  <c r="A7" i="2"/>
  <c r="A6" i="2"/>
  <c r="A5" i="2"/>
  <c r="F52" i="10" l="1"/>
  <c r="G52" i="10" s="1"/>
  <c r="I41" i="10"/>
  <c r="K41" i="10" s="1"/>
  <c r="L41" i="10" s="1"/>
  <c r="K39" i="10"/>
  <c r="L39" i="10" s="1"/>
  <c r="K52" i="10"/>
  <c r="L52" i="10" s="1"/>
  <c r="C14" i="2"/>
  <c r="D73" i="1"/>
  <c r="J17" i="4"/>
  <c r="F52" i="9"/>
  <c r="G52" i="9" s="1"/>
  <c r="P52" i="10"/>
  <c r="Q52" i="10" s="1"/>
  <c r="F32" i="4"/>
  <c r="F73" i="1"/>
  <c r="J73" i="1"/>
  <c r="I73" i="1"/>
  <c r="I34" i="4"/>
  <c r="D34" i="4"/>
  <c r="E34" i="4"/>
  <c r="N73" i="1"/>
  <c r="E73" i="1"/>
  <c r="M73" i="1"/>
  <c r="O73" i="1"/>
  <c r="G73" i="1"/>
  <c r="H73" i="1"/>
  <c r="L73" i="1"/>
  <c r="P37" i="10"/>
  <c r="Q37" i="10" s="1"/>
  <c r="P37" i="1"/>
  <c r="P20" i="1"/>
  <c r="K73" i="1"/>
  <c r="P14" i="1"/>
  <c r="P20" i="9"/>
  <c r="Q20" i="9" s="1"/>
  <c r="O54" i="9"/>
  <c r="N54" i="10"/>
  <c r="K52" i="9"/>
  <c r="L52" i="9" s="1"/>
  <c r="H34" i="4"/>
  <c r="P41" i="9"/>
  <c r="Q41" i="9" s="1"/>
  <c r="P39" i="9"/>
  <c r="Q39" i="9" s="1"/>
  <c r="N54" i="9"/>
  <c r="P52" i="9"/>
  <c r="Q52" i="9" s="1"/>
  <c r="E54" i="9"/>
  <c r="J32" i="4"/>
  <c r="J54" i="10" l="1"/>
  <c r="F34" i="4"/>
  <c r="J54" i="9"/>
  <c r="J34" i="4"/>
  <c r="P39" i="1"/>
  <c r="P54" i="9"/>
  <c r="Q54" i="9" s="1"/>
  <c r="P39" i="10"/>
  <c r="Q39" i="10" s="1"/>
  <c r="P41" i="1"/>
  <c r="O54" i="10"/>
  <c r="P54" i="10" s="1"/>
  <c r="Q54" i="10" s="1"/>
  <c r="P41" i="10"/>
  <c r="Q41" i="10" s="1"/>
  <c r="D54" i="9"/>
  <c r="F54" i="9" s="1"/>
  <c r="G54" i="9" s="1"/>
  <c r="I54" i="9" l="1"/>
  <c r="K54" i="9" s="1"/>
  <c r="L54" i="9" s="1"/>
  <c r="E54" i="10"/>
  <c r="P54" i="1"/>
  <c r="D54" i="10"/>
  <c r="I54" i="10"/>
  <c r="K54" i="10" s="1"/>
  <c r="L54" i="10" s="1"/>
  <c r="F54" i="10" l="1"/>
  <c r="G54" i="10" s="1"/>
  <c r="P60" i="1"/>
  <c r="P70" i="1" l="1"/>
  <c r="C73" i="1"/>
  <c r="P73" i="1" s="1"/>
</calcChain>
</file>

<file path=xl/sharedStrings.xml><?xml version="1.0" encoding="utf-8"?>
<sst xmlns="http://schemas.openxmlformats.org/spreadsheetml/2006/main" count="19059" uniqueCount="2927">
  <si>
    <t>7f9cd215-a3a3-4337-9d33-54c7f7ced498</t>
  </si>
  <si>
    <t>Rental Income</t>
  </si>
  <si>
    <t>Tenant Insurance RMASA Fee</t>
  </si>
  <si>
    <t>Merchandise Sales</t>
  </si>
  <si>
    <t>Admin Fees, Late Fees, and Other Fees</t>
  </si>
  <si>
    <t>Revenue</t>
  </si>
  <si>
    <t>Total Revenue</t>
  </si>
  <si>
    <t>Jan-2025</t>
  </si>
  <si>
    <t>Feb-2025</t>
  </si>
  <si>
    <t>Mar-2025</t>
  </si>
  <si>
    <t>Apr-2025</t>
  </si>
  <si>
    <t>May-2025</t>
  </si>
  <si>
    <t>Jun-2025</t>
  </si>
  <si>
    <t>Contractually set fees</t>
  </si>
  <si>
    <t>Property Management Software</t>
  </si>
  <si>
    <t>Management Fees</t>
  </si>
  <si>
    <t>Total Contractually set fees</t>
  </si>
  <si>
    <t>Customer Care Center</t>
  </si>
  <si>
    <t>Other Expenses</t>
  </si>
  <si>
    <t>Cost of Goods Sold</t>
  </si>
  <si>
    <t>Payroll - Property Manager</t>
  </si>
  <si>
    <t>Payroll - District Manager</t>
  </si>
  <si>
    <t>Repairs and Maintenance</t>
  </si>
  <si>
    <t>Credit Card Charges</t>
  </si>
  <si>
    <t>Internet Advertising</t>
  </si>
  <si>
    <t>Network Charges</t>
  </si>
  <si>
    <t>Bank Charges</t>
  </si>
  <si>
    <t>Telephone</t>
  </si>
  <si>
    <t>Tenant Mailings</t>
  </si>
  <si>
    <t>Office Expense</t>
  </si>
  <si>
    <t>Business Licenses and Permits</t>
  </si>
  <si>
    <t>Legal and Evictions</t>
  </si>
  <si>
    <t>Total Other Expenses</t>
  </si>
  <si>
    <t>Total Operating Expenses</t>
  </si>
  <si>
    <t>Net Operating Income</t>
  </si>
  <si>
    <t>Other items</t>
  </si>
  <si>
    <t>Other Income</t>
  </si>
  <si>
    <t>Property Insurance</t>
  </si>
  <si>
    <t>Other Insurance</t>
  </si>
  <si>
    <t>Property Tax</t>
  </si>
  <si>
    <t>Other Taxes</t>
  </si>
  <si>
    <t>Interest Expense</t>
  </si>
  <si>
    <t>Association Fees</t>
  </si>
  <si>
    <t>Professional Fees</t>
  </si>
  <si>
    <t>Total Other items</t>
  </si>
  <si>
    <t>Net Income</t>
  </si>
  <si>
    <t>Distribution Computation</t>
  </si>
  <si>
    <t>Less other impacts to cash flow</t>
  </si>
  <si>
    <t>Inventory</t>
  </si>
  <si>
    <t>Capital Improvements</t>
  </si>
  <si>
    <t>Prepaid and Deposit</t>
  </si>
  <si>
    <t>A/P and Other Liabilities</t>
  </si>
  <si>
    <t>A/P Property Tax</t>
  </si>
  <si>
    <t>Intercompany</t>
  </si>
  <si>
    <t>Distribution due to owner</t>
  </si>
  <si>
    <t>Variance</t>
  </si>
  <si>
    <t>Assets</t>
  </si>
  <si>
    <t>d0c5ccc1-ca05-4a09-8a05-3d3e017a4a48</t>
  </si>
  <si>
    <t>Cash</t>
  </si>
  <si>
    <t>Account Receivable</t>
  </si>
  <si>
    <t>Prepaid and Other</t>
  </si>
  <si>
    <t>Other Assets</t>
  </si>
  <si>
    <t>Land, Building, and Capital Improvements</t>
  </si>
  <si>
    <t>Total Assets</t>
  </si>
  <si>
    <t>Liabilities</t>
  </si>
  <si>
    <t>Accounts Payable</t>
  </si>
  <si>
    <t>Accrued Property Tax</t>
  </si>
  <si>
    <t>Accrued Liabilities</t>
  </si>
  <si>
    <t>Deferred Revenue</t>
  </si>
  <si>
    <t>Other liabilities</t>
  </si>
  <si>
    <t>Notes Payable</t>
  </si>
  <si>
    <t>Total Liabilities</t>
  </si>
  <si>
    <t>Owner's Equity</t>
  </si>
  <si>
    <t>Capital Contribution and Distribution</t>
  </si>
  <si>
    <t>Retained Earnings</t>
  </si>
  <si>
    <t>Current Earnings</t>
  </si>
  <si>
    <t>Total Owner's Equity</t>
  </si>
  <si>
    <t>Total Liabilities and Owner's Equity</t>
  </si>
  <si>
    <t>TTM</t>
  </si>
  <si>
    <t>fb462344-2b2e-4473-8e11-78fc35a5a303</t>
  </si>
  <si>
    <t>af0d0bab-9df8-47f4-a1b4-6d5c796d9b40</t>
  </si>
  <si>
    <t>Var</t>
  </si>
  <si>
    <t>Var %</t>
  </si>
  <si>
    <t>Distribution sent</t>
  </si>
  <si>
    <t>Remaining distribution from prior year</t>
  </si>
  <si>
    <t>YTD</t>
  </si>
  <si>
    <t>400000 - Rental Income-Storge-Rental Income</t>
  </si>
  <si>
    <t>400060 - Rent Refunds-Rental Income</t>
  </si>
  <si>
    <t>400170 - Credit Card ChrgBcks-Rental Income</t>
  </si>
  <si>
    <t>400180 - DpstVrncs-StrgRntRvn-Rental Income</t>
  </si>
  <si>
    <t>400220 - Accrual RevnueAdjmnt-Rental Income</t>
  </si>
  <si>
    <t>426020 - Merchndse Sales-Othr-Merchandise Sales</t>
  </si>
  <si>
    <t>426000 - Merchndse Sales-Lock-Merchandise Sales</t>
  </si>
  <si>
    <t>426010 - Merchndse Sales-Box-Merchandise Sales</t>
  </si>
  <si>
    <t>400020 - NSF Fees-ACH&amp;ChkRtrn-Admin Fees, Late Fees, and Other Fees</t>
  </si>
  <si>
    <t>400070 - Other Income(Prprty)-Admin Fees, Late Fees, and Other Fees</t>
  </si>
  <si>
    <t>400090 - DTM NnTxbl SalesPrcd-Admin Fees, Late Fees, and Other Fees</t>
  </si>
  <si>
    <t>400210 - IVR Convenience Fees-Admin Fees, Late Fees, and Other Fees</t>
  </si>
  <si>
    <t>402020 - Late Charges-Admin Fees, Late Fees, and Other Fees</t>
  </si>
  <si>
    <t>402000 - Lien Fees-Admin Fees, Late Fees, and Other Fees</t>
  </si>
  <si>
    <t>402010 - Lien Sale Fees-Admin Fees, Late Fees, and Other Fees</t>
  </si>
  <si>
    <t>402030 - Administration Fees-Admin Fees, Late Fees, and Other Fees</t>
  </si>
  <si>
    <t>480800 - RMAS Fees Revenue - External-Tenant Insurance RMASA Fee</t>
  </si>
  <si>
    <t>556000 - Management Fees-Management Fees</t>
  </si>
  <si>
    <t>506040 - ComptrHardwr/Softwr-Property Management Software</t>
  </si>
  <si>
    <t>556670 - TPM-Contractual Software Fees-Property Management Software</t>
  </si>
  <si>
    <t>556650 - TPM-TelephnRsrvtnCtr-Call Center Charge</t>
  </si>
  <si>
    <t>Utilities</t>
  </si>
  <si>
    <t>555030 - InvntryAdjstmnt-Lock-Cost of Goods Sold</t>
  </si>
  <si>
    <t>555040 - InventryAdjstmnt-Box-Cost of Goods Sold</t>
  </si>
  <si>
    <t>555050 - InvntryAdjstmnt-Othr-Cost of Goods Sold</t>
  </si>
  <si>
    <t>555020 - CostofMrchSales-Othr-Cost of Goods Sold</t>
  </si>
  <si>
    <t>555000 - CostofMrchSales-Lock-Cost of Goods Sold</t>
  </si>
  <si>
    <t>555010 - CostofMerchSales-Box-Cost of Goods Sold</t>
  </si>
  <si>
    <t>500220 - Prprty Mgr -Resident-Payroll - Property Manager</t>
  </si>
  <si>
    <t>500230 - Prprty Mgr -NonRsdnt-Payroll - Property Manager</t>
  </si>
  <si>
    <t>500250 - Accrued Payroll-Payroll - Property Manager</t>
  </si>
  <si>
    <t>500300 - Overtime Pay-Payroll - Property Manager</t>
  </si>
  <si>
    <t>500310 - MileageReimb-PrpMgrs-Payroll - Property Manager</t>
  </si>
  <si>
    <t>500320 - Uniform-Payroll - Property Manager</t>
  </si>
  <si>
    <t>500330 - Vacation/PTO-Payroll - Property Manager</t>
  </si>
  <si>
    <t>500350 - Sick Pay-Payroll - Property Manager</t>
  </si>
  <si>
    <t>500410 - Payroll Burden-Payroll - Property Manager</t>
  </si>
  <si>
    <t>500420 - ER Social Security-Payroll - Property Manager</t>
  </si>
  <si>
    <t>500430 - ER Medicare-Payroll - Property Manager</t>
  </si>
  <si>
    <t>500440 - ER SUI-Payroll - Property Manager</t>
  </si>
  <si>
    <t>500480 - ER Futa-Payroll - Property Manager</t>
  </si>
  <si>
    <t>500470 - Workers Compensation-Payroll - Property Manager</t>
  </si>
  <si>
    <t>500520 - ER Life-Payroll - Property Manager</t>
  </si>
  <si>
    <t>500530 - ER 401K Plan-Payroll - Property Manager</t>
  </si>
  <si>
    <t>500540 - ER AD &amp; D-Payroll - Property Manager</t>
  </si>
  <si>
    <t>506190 - Credit Card Discount-Credit Card Charges</t>
  </si>
  <si>
    <t>555070 - Ret-CrdtCrdFees-Credit Card Charges</t>
  </si>
  <si>
    <t>505570 - VidAds-TVMedia&amp;Suprt-Internet Advertising</t>
  </si>
  <si>
    <t>505500 - Internet Mktg-Google-Internet Advertising</t>
  </si>
  <si>
    <t>505510 - Internet Mktg -Other-Internet Advertising</t>
  </si>
  <si>
    <t>505530 - Intrnt Mktg-Facebook-Internet Advertising</t>
  </si>
  <si>
    <t>506150 - Network Charges-Network Charges</t>
  </si>
  <si>
    <t>506060 - Telephone-Telephone</t>
  </si>
  <si>
    <t>506080 - CentralzdTnantMailng-Tenant Mailings</t>
  </si>
  <si>
    <t>506010 - Office Supplies-Office Expense</t>
  </si>
  <si>
    <t>506050 - Software Purchases-Office Expense</t>
  </si>
  <si>
    <t>506110 - OfficeBulkSgns/Matrl-Office Expense</t>
  </si>
  <si>
    <t>506020 - Project Padlocks-Office Expense</t>
  </si>
  <si>
    <t>506140 - Eviction Costs-Legal and Evictions</t>
  </si>
  <si>
    <t>500500 - ER Med Self-InsrdPln-Payroll - Property Manager</t>
  </si>
  <si>
    <t>100110 - Cash - Operations-Cash</t>
  </si>
  <si>
    <t>191000 - A/R - DlnqntStrgeRnt-Account Receivable</t>
  </si>
  <si>
    <t>192900 - AR/AP IntrprptyClctn-Account Receivable</t>
  </si>
  <si>
    <t>193000 - Inventory - Lock-Inventory</t>
  </si>
  <si>
    <t>193010 - Inventory - Box-Inventory</t>
  </si>
  <si>
    <t>193020 - Inventory - Other-Inventory</t>
  </si>
  <si>
    <t>129010 - Building and Equipment - Non PS-Land, Building, and Capital Improvements</t>
  </si>
  <si>
    <t>200000 - AP - Trade-Accounts Payable</t>
  </si>
  <si>
    <t>200010 - AP-Trade-RAMPsupplrs-Accounts Payable</t>
  </si>
  <si>
    <t>200100 - A/P - PS Clearing-Accounts Payable</t>
  </si>
  <si>
    <t>200170 - ReceivedNotVouchered-Accounts Payable</t>
  </si>
  <si>
    <t>215060 - DfrrdRvnu-StrgeTnnts-Deferred Revenue</t>
  </si>
  <si>
    <t>350000 - RetaindEarnings-Syst-Retained Earnings</t>
  </si>
  <si>
    <t>Accrued revenue and fees</t>
  </si>
  <si>
    <t>MTD</t>
  </si>
  <si>
    <t>QTD</t>
  </si>
  <si>
    <t>500490 - ER Med Full PremPlan-Payroll - Property Manager</t>
  </si>
  <si>
    <t>506275 - Employee Awards-Payroll - Property Manager</t>
  </si>
  <si>
    <t>510070 - PR/Exp - DTM Manager-Payroll - Property Manager</t>
  </si>
  <si>
    <t>Current Month v Prior Year End</t>
  </si>
  <si>
    <t>Current Month v Prior Month</t>
  </si>
  <si>
    <t>510510 - PR/Exp - Facilities-Payroll - Property Manager</t>
  </si>
  <si>
    <t>Non-cash activity</t>
  </si>
  <si>
    <t>506180 - Bank Charges-Bank Charges</t>
  </si>
  <si>
    <t>295000 - Doc Split Clrng - Ac-Accounts Payable</t>
  </si>
  <si>
    <t>269020 - Distributn 2 Parent-Capital Contribution and Distribution</t>
  </si>
  <si>
    <t>505010 - Electric Utility-505010 - Electric Utility</t>
  </si>
  <si>
    <t>505040 - Water Utility-505040 - Water Utility</t>
  </si>
  <si>
    <t>505100 - UtilitiesProcssngFee-505100 - UtilitiesProcssngFee</t>
  </si>
  <si>
    <t>Income Statement and Distribution Computation</t>
  </si>
  <si>
    <t>Current Year vs Prior Year</t>
  </si>
  <si>
    <t>500730 - Ops-R&amp;M-LdscpMtlyRcr-Repairs and Maintenance</t>
  </si>
  <si>
    <t>501120 - Ops-R&amp;M-OpratnalSign-Repairs and Maintenance</t>
  </si>
  <si>
    <t>501200 - Ops-R&amp;M-BulkSgnsMtrl-Repairs and Maintenance</t>
  </si>
  <si>
    <t>500960 - Ops-R&amp;M-Door Repairs-Repairs and Maintenance</t>
  </si>
  <si>
    <t>501130 - Ops-R&amp;M-TrashCollctn-Repairs and Maintenance</t>
  </si>
  <si>
    <t>501190 - Ops-R&amp;M-MntSplEqpFul-Repairs and Maintenance</t>
  </si>
  <si>
    <t>d4b1939f-8d75-468e-9394-92558626264e</t>
  </si>
  <si>
    <t>Actual vs Budget</t>
  </si>
  <si>
    <t>Actual</t>
  </si>
  <si>
    <t>Budget</t>
  </si>
  <si>
    <t>Balance Sheet</t>
  </si>
  <si>
    <t>IS/BS Detail</t>
  </si>
  <si>
    <t>Accrual Basis</t>
  </si>
  <si>
    <t>Jul-2025</t>
  </si>
  <si>
    <t>480170 - I/C - Revenue - Retail - Lock Sales-Merchandise Sales</t>
  </si>
  <si>
    <t>620410 - I/C - Expense - Retail - Lock Sales-Cost of Goods Sold</t>
  </si>
  <si>
    <t>500400 - Anniversary Pay-Payroll - Property Manager</t>
  </si>
  <si>
    <t>506120 - UniformPurchaseExp-Office Expense</t>
  </si>
  <si>
    <t>Aug-2025</t>
  </si>
  <si>
    <t>400190 - E-Check Depst Varncs-Rental Income</t>
  </si>
  <si>
    <t>400200 - CredtCard DepstVrncs-Rental Income</t>
  </si>
  <si>
    <t>506260 - Processing Fees-Repairs and Maintenance</t>
  </si>
  <si>
    <t>200120 - AP-NonTaxbl ExcssDTM-Accounts Payable</t>
  </si>
  <si>
    <t>501160 - Ops-R&amp;M-AbnGdTrRmvl-Repairs and Maintenance</t>
  </si>
  <si>
    <t>501630 - Fac-R&amp;M-Roof Repairs-Repairs and Maintenance</t>
  </si>
  <si>
    <t>501610 - Fac-R&amp;M-Gate-Repairs and Maintenance</t>
  </si>
  <si>
    <t>129030 - Rebranding - Non PS-Land, Building, and Capital Improvements</t>
  </si>
  <si>
    <t>501090 - Ops-R&amp;M-JntlSrvc&amp;Spl-Repairs and Maintenance</t>
  </si>
  <si>
    <t>500850 - Ops-R&amp;M-PstCtrl-NRcr-Repairs and Maintenance</t>
  </si>
  <si>
    <t>500450 - ER OtherStateP/R Tax-Payroll - Property Manager</t>
  </si>
  <si>
    <t>501690 - Fac-R&amp;M-FirePrvnRprs-Repairs and Maintenance</t>
  </si>
  <si>
    <t>501720 - Fac-R&amp;M-FireExtngshr-Repairs and Maintenance</t>
  </si>
  <si>
    <t>506200 - FraudProtectionSrvcs-Bank Charges</t>
  </si>
  <si>
    <t>506280 - Other Expenses-Property Insurance</t>
  </si>
  <si>
    <t>210050 - AP Sales Tax Collctn-Accounts Payable</t>
  </si>
  <si>
    <t>400080 - DTM Txbl Sales Prcds-Admin Fees, Late Fees, and Other Fees</t>
  </si>
  <si>
    <t>400160 - NSF Checks-Admin Fees, Late Fees, and Other Fees</t>
  </si>
  <si>
    <t>555080 - Ret-FreightCharges-Cost of Goods Sold</t>
  </si>
  <si>
    <t>500930 - Ops-R&amp;M-Office R&amp;M-Repairs and Maintenance</t>
  </si>
  <si>
    <t>501070 - Ops-R&amp;M-Elctrcl&amp;Lght-Repairs and Maintenance</t>
  </si>
  <si>
    <t>501180 - Ops-R&amp;M-Plmbng&amp;Swer-Repairs and Maintenance</t>
  </si>
  <si>
    <t>500740 - Ops-R&amp;M-LdscpNonRcrg-Repairs and Maintenance</t>
  </si>
  <si>
    <t>500900 - Ops-R&amp;M-ScurtyEqpRpr-Repairs and Maintenance</t>
  </si>
  <si>
    <t>501700 - Fac-R&amp;M-FreAlrmMntrg-Repairs and Maintenance</t>
  </si>
  <si>
    <t>501710 - Fac-R&amp;M-FrePrmtInspc-Repairs and Maintenance</t>
  </si>
  <si>
    <t>603175 - Sales &amp; Use Tax-Other Taxes</t>
  </si>
  <si>
    <t>269000 - Contrbtns frm Parent-Capital Contribution and Distribution</t>
  </si>
  <si>
    <t>510050 - PR/Exp - DistrictMgr-Payroll - District Manager</t>
  </si>
  <si>
    <t>510840 - Field Meals&amp;Entrtnmn-Payroll - District Manager</t>
  </si>
  <si>
    <t>501400 - Ops-R&amp;M-SpecialPrjct-Repairs and Maintenance</t>
  </si>
  <si>
    <t>500970 - Ops-R&amp;M-DrRprs BrkIn-Repairs and Maintenance</t>
  </si>
  <si>
    <t>501910 - Fac-R&amp;M-HVAC-Repairs and Maintenance</t>
  </si>
  <si>
    <t>603300 - MerchFxtrs-NewStors-Repairs and Maintenance</t>
  </si>
  <si>
    <t>129020 - Computer &amp; other equipment - Non PS-Land, Building, and Capital Improvements</t>
  </si>
  <si>
    <t>500700 - Ops-R&amp;M-Building-Repairs and Maintenance</t>
  </si>
  <si>
    <t>501020 - Ops-R&amp;M-GnratorReprs-Repairs and Maintenance</t>
  </si>
  <si>
    <t>500840 - Ops-R&amp;M-PstCtrl-Rcrg-Repairs and Maintenance</t>
  </si>
  <si>
    <t>500890 - Ops-R&amp;M-ScurtyGuards-Repairs and Maintenance</t>
  </si>
  <si>
    <t>501850 - Fac-R&amp;M-GntrMtlyMntn-Repairs and Maintenance</t>
  </si>
  <si>
    <t>603310 - MerchFxtrs-Replcmnt-Repairs and Maintenance</t>
  </si>
  <si>
    <t>559100 - Cmmrcl-OffcEqpRental-Office Expense</t>
  </si>
  <si>
    <t>77712 - Wentworth (Vacaville, CA)</t>
  </si>
  <si>
    <t>1/31/2026</t>
  </si>
  <si>
    <t>Jan-2026</t>
  </si>
  <si>
    <t>Dec-2025</t>
  </si>
  <si>
    <t>Sep-2025</t>
  </si>
  <si>
    <t>Oct-2025</t>
  </si>
  <si>
    <t>Nov-2025</t>
  </si>
  <si>
    <t>Jan-2026 YTD</t>
  </si>
  <si>
    <t>200110 - AP-Taxable ExcessDTM-Accounts Payable</t>
  </si>
  <si>
    <t>400030 - Collections-Admin Fees, Late Fees, and Other Fees</t>
  </si>
  <si>
    <t>500360 - Payout Upon Termintn-Payroll - Property Manager</t>
  </si>
  <si>
    <t>500390 - Holiday Bonus-Payroll - Property Manager</t>
  </si>
  <si>
    <t>505110 - EnrgyAudt/BnchmrkFee-505110 - EnrgyAudt/BnchmrkFee</t>
  </si>
  <si>
    <t>500720 - Ops-R&amp;M-Apartment-Repairs and Maintenance</t>
  </si>
  <si>
    <t>501110 - Ops-R&amp;M-GolfCartsRpr-Repairs and Maintenance</t>
  </si>
  <si>
    <t>501580 - Fac-R&amp;M-ElvCttnPnlty-Repairs and Maintenance</t>
  </si>
  <si>
    <t>501590 - Fac-R&amp;M-AccssCtrlRpr-Repairs and Maintenance</t>
  </si>
  <si>
    <t>506210 - Business License-Business Licenses and Permits</t>
  </si>
  <si>
    <t>Roll-up</t>
  </si>
  <si>
    <t>Profit Center</t>
  </si>
  <si>
    <t>G/L Account Number</t>
  </si>
  <si>
    <t>G/L Account Desc</t>
  </si>
  <si>
    <t>capex</t>
  </si>
  <si>
    <t>Bldng&amp;Eqpmnt-NonPS</t>
  </si>
  <si>
    <t>Rebranding - Non PS</t>
  </si>
  <si>
    <t/>
  </si>
  <si>
    <t>AP Sales Tax Collctn</t>
  </si>
  <si>
    <t>Distributn 2 Parent</t>
  </si>
  <si>
    <t>rent</t>
  </si>
  <si>
    <t>Rent Refunds</t>
  </si>
  <si>
    <t>retail</t>
  </si>
  <si>
    <t>Merchndse Sales-Lock</t>
  </si>
  <si>
    <t>PR</t>
  </si>
  <si>
    <t>Prprty Mgr -Resident</t>
  </si>
  <si>
    <t>Prprty Mgr -NonRsdnt</t>
  </si>
  <si>
    <t>Accrued Payroll</t>
  </si>
  <si>
    <t>Overtime Pay</t>
  </si>
  <si>
    <t>MileageReimb-PrpMgrs</t>
  </si>
  <si>
    <t>Uniform</t>
  </si>
  <si>
    <t>Vacation/PTO</t>
  </si>
  <si>
    <t>Sick Pay</t>
  </si>
  <si>
    <t>Payout Upon Termintn</t>
  </si>
  <si>
    <t>Holiday Bonus</t>
  </si>
  <si>
    <t>Anniversary Pay</t>
  </si>
  <si>
    <t>Payroll Burden</t>
  </si>
  <si>
    <t>ER Social Security</t>
  </si>
  <si>
    <t>ER Medicare</t>
  </si>
  <si>
    <t>ER SUI</t>
  </si>
  <si>
    <t>ER OtherStateP/R Tax</t>
  </si>
  <si>
    <t>Workers Compensation</t>
  </si>
  <si>
    <t>ER Futa</t>
  </si>
  <si>
    <t>ER Med Full PremPlan</t>
  </si>
  <si>
    <t>ER Med Self-InsrdPln</t>
  </si>
  <si>
    <t>ER Life</t>
  </si>
  <si>
    <t>ER 401K Plan</t>
  </si>
  <si>
    <t>ER AD &amp; D</t>
  </si>
  <si>
    <t>R&amp;M</t>
  </si>
  <si>
    <t>Ops-R&amp;M-Apartment</t>
  </si>
  <si>
    <t>Ops-R&amp;M-LdscpMtlyRcr</t>
  </si>
  <si>
    <t>Ops-R&amp;M-LdscpNonRcrg</t>
  </si>
  <si>
    <t>Ops-R&amp;M-PstCtrl-Rcrg</t>
  </si>
  <si>
    <t>Ops-R&amp;M-ScurtyEqpRpr</t>
  </si>
  <si>
    <t>Ops-R&amp;M-Office R&amp;M</t>
  </si>
  <si>
    <t>Ops-R&amp;M-Door Repairs</t>
  </si>
  <si>
    <t>Ops-R&amp;M-DrRprs BrkIn</t>
  </si>
  <si>
    <t>Ops-R&amp;M-GnratorReprs</t>
  </si>
  <si>
    <t>Ops-R&amp;M-Elctrcl&amp;Lght</t>
  </si>
  <si>
    <t>Ops-R&amp;M-GolfCartsRpr</t>
  </si>
  <si>
    <t>Ops-R&amp;M-TrashCollctn</t>
  </si>
  <si>
    <t>Ops-R&amp;M-AbnGdTrRmvl</t>
  </si>
  <si>
    <t>Ops-R&amp;M-Plmbng&amp;Swer</t>
  </si>
  <si>
    <t>Ops-R&amp;M-MntSplEqpFul</t>
  </si>
  <si>
    <t>Ops-R&amp;M-BulkSgnsMtrl</t>
  </si>
  <si>
    <t>Ops-R&amp;M-SpecialPrjct</t>
  </si>
  <si>
    <t>Fac-R&amp;M-ElvCttnPnlty</t>
  </si>
  <si>
    <t>Fac-R&amp;M-AccssCtrlRpr</t>
  </si>
  <si>
    <t>Fac-R&amp;M-Gate</t>
  </si>
  <si>
    <t>Fac-R&amp;M-Roof Repairs</t>
  </si>
  <si>
    <t>Fac-R&amp;M-FreAlrmMntrg</t>
  </si>
  <si>
    <t>Fac-R&amp;M-FrePrmtInspc</t>
  </si>
  <si>
    <t>Fac-R&amp;M-FireExtngshr</t>
  </si>
  <si>
    <t>Fac-R&amp;M-GntrMtlyMntn</t>
  </si>
  <si>
    <t>Fac-R&amp;M-HVAC</t>
  </si>
  <si>
    <t>util</t>
  </si>
  <si>
    <t>Electric Utility</t>
  </si>
  <si>
    <t>Water Utility</t>
  </si>
  <si>
    <t>UtilitiesProcssngFee</t>
  </si>
  <si>
    <t>EnrgyAudt/BnchmrkFee</t>
  </si>
  <si>
    <t>intadv</t>
  </si>
  <si>
    <t>Internet Mktg-Google</t>
  </si>
  <si>
    <t>Internet Mktg -Other</t>
  </si>
  <si>
    <t>Intrnt Mktg-Facebook</t>
  </si>
  <si>
    <t>VidAds-TVMedia&amp;Suprt</t>
  </si>
  <si>
    <t>office</t>
  </si>
  <si>
    <t>Office Supplies</t>
  </si>
  <si>
    <t>Project Padlocks</t>
  </si>
  <si>
    <t>comp</t>
  </si>
  <si>
    <t>ComptrHardwr/Softwr</t>
  </si>
  <si>
    <t>Software Purchases</t>
  </si>
  <si>
    <t>tel</t>
  </si>
  <si>
    <t>pstg</t>
  </si>
  <si>
    <t>CentralzdTnantMailng</t>
  </si>
  <si>
    <t>OfficeBulkSgns/Matrl</t>
  </si>
  <si>
    <t>UniformPurchaseExp</t>
  </si>
  <si>
    <t>lgl</t>
  </si>
  <si>
    <t>Eviction Costs</t>
  </si>
  <si>
    <t>ntwrk</t>
  </si>
  <si>
    <t>bc</t>
  </si>
  <si>
    <t>ccdisc</t>
  </si>
  <si>
    <t>Credit Card Discount</t>
  </si>
  <si>
    <t>FraudProtectionSrvcs</t>
  </si>
  <si>
    <t>lic</t>
  </si>
  <si>
    <t>Business License</t>
  </si>
  <si>
    <t>Processing Fees</t>
  </si>
  <si>
    <t>Employee Awards</t>
  </si>
  <si>
    <t>PropIns</t>
  </si>
  <si>
    <t>PRDM</t>
  </si>
  <si>
    <t>PR/Exp - DistrictMgr</t>
  </si>
  <si>
    <t>PR/Exp - DTM Manager</t>
  </si>
  <si>
    <t>PR/Exp - Facilities</t>
  </si>
  <si>
    <t>Field Meals&amp;Entrtnmn</t>
  </si>
  <si>
    <t>mgmt</t>
  </si>
  <si>
    <t>cctr</t>
  </si>
  <si>
    <t>TPM-TelephnRsrvtnCtr</t>
  </si>
  <si>
    <t>TPM-CntractSftwrFees</t>
  </si>
  <si>
    <t>Cash - Operations</t>
  </si>
  <si>
    <t>A/R - DlnqntStrgeRnt</t>
  </si>
  <si>
    <t>AR/AP IntrprptyClctn</t>
  </si>
  <si>
    <t>AP - Trade</t>
  </si>
  <si>
    <t>AP-Trade-RAMPsupplrs</t>
  </si>
  <si>
    <t>A/P - PS Clearing</t>
  </si>
  <si>
    <t>DfrrdRvnu-StrgeTnnts</t>
  </si>
  <si>
    <t>Doc Split Clrng - Ac</t>
  </si>
  <si>
    <t>Rental Income-Storge</t>
  </si>
  <si>
    <t>other</t>
  </si>
  <si>
    <t>NSF Fees-ACH&amp;ChkRtrn</t>
  </si>
  <si>
    <t>Collections</t>
  </si>
  <si>
    <t>Other Income(Prprty)</t>
  </si>
  <si>
    <t>DTM Txbl Sales Prcds</t>
  </si>
  <si>
    <t>DTM NnTxbl SalesPrcd</t>
  </si>
  <si>
    <t>NSF Checks</t>
  </si>
  <si>
    <t>Credit Card ChrgBcks</t>
  </si>
  <si>
    <t>DpstVrncs-StrgRntRvn</t>
  </si>
  <si>
    <t>IVR Convenience Fees</t>
  </si>
  <si>
    <t>Accrual RevnueAdjmnt</t>
  </si>
  <si>
    <t>Lien Fees</t>
  </si>
  <si>
    <t>Lien Sale Fees</t>
  </si>
  <si>
    <t>Late Charges</t>
  </si>
  <si>
    <t>Administration Fees</t>
  </si>
  <si>
    <t>TaxOth</t>
  </si>
  <si>
    <t>Sales &amp; Use Tax</t>
  </si>
  <si>
    <t>COS</t>
  </si>
  <si>
    <t>I/C -Expn-Rtl-LockSl</t>
  </si>
  <si>
    <t>77712A</t>
  </si>
  <si>
    <t>CostofMrchSales-Lock</t>
  </si>
  <si>
    <t>CostofMerchSales-Box</t>
  </si>
  <si>
    <t>CostofMrchSales-Othr</t>
  </si>
  <si>
    <t>InvntryAdjstmnt-Lock</t>
  </si>
  <si>
    <t>InventryAdjstmnt-Box</t>
  </si>
  <si>
    <t>InvntryAdjstmnt-Othr</t>
  </si>
  <si>
    <t>Ret-CrdtCrdFees</t>
  </si>
  <si>
    <t>MerchFxtrs-NewStors</t>
  </si>
  <si>
    <t>Inv</t>
  </si>
  <si>
    <t>Inventory - Lock</t>
  </si>
  <si>
    <t>Inventory - Box</t>
  </si>
  <si>
    <t>Inventory - Other</t>
  </si>
  <si>
    <t>apLiab</t>
  </si>
  <si>
    <t>AP-Taxable ExcessDTM</t>
  </si>
  <si>
    <t>AP-NonTaxbl ExcssDTM</t>
  </si>
  <si>
    <t>ReceivedNotVouchered</t>
  </si>
  <si>
    <t>Merchndse Sales-Box</t>
  </si>
  <si>
    <t>Merchndse Sales-Othr</t>
  </si>
  <si>
    <t>I/C-Rvnu-Rtl-LockSls</t>
  </si>
  <si>
    <t>tenins</t>
  </si>
  <si>
    <t>RMAS FeeRvnu-Externl</t>
  </si>
  <si>
    <t>Building and Equipment - Non PS</t>
  </si>
  <si>
    <t>Computer &amp; other equipment - Non PS</t>
  </si>
  <si>
    <t>AP</t>
  </si>
  <si>
    <t>AP Sales Tax Collections</t>
  </si>
  <si>
    <t>Eqty</t>
  </si>
  <si>
    <t>Distribution to Parent</t>
  </si>
  <si>
    <t>PL</t>
  </si>
  <si>
    <t>Merchandise Sales - Lock</t>
  </si>
  <si>
    <t>Property Manager - Resident</t>
  </si>
  <si>
    <t>Property Manager - Non-Resident</t>
  </si>
  <si>
    <t>Mileage Reimb - Property Mgrs</t>
  </si>
  <si>
    <t>Payout Upon Termination</t>
  </si>
  <si>
    <t>ER Other State P/R Taxes</t>
  </si>
  <si>
    <t>ER Medical Full Premium Plans</t>
  </si>
  <si>
    <t>ER Medical Self-Insured Plans</t>
  </si>
  <si>
    <t>Ops-R&amp;M-Landscaping-Monthly Recurring</t>
  </si>
  <si>
    <t>Ops-R&amp;M-Landscaping-Non-Recurring</t>
  </si>
  <si>
    <t>Ops-R&amp;M-Pest Control-Recurring</t>
  </si>
  <si>
    <t>Ops-R&amp;M-Security Equipment Repairs</t>
  </si>
  <si>
    <t>Ops-R&amp;M-Door Repairs-Break Ins</t>
  </si>
  <si>
    <t>Ops-R&amp;M-Generator Repairs</t>
  </si>
  <si>
    <t>Ops-R&amp;M-Electrical &amp; Lighting</t>
  </si>
  <si>
    <t>Ops-R&amp;M-Golf Carts Repair</t>
  </si>
  <si>
    <t>Ops-R&amp;M-Trash Collection</t>
  </si>
  <si>
    <t>Ops-R&amp;M-Abandoned Goods Trash Removal</t>
  </si>
  <si>
    <t>Ops-R&amp;M-Plumbing &amp; Sewer</t>
  </si>
  <si>
    <t>Ops-R&amp;M-Maint Supplies/Equipment/Fuel</t>
  </si>
  <si>
    <t>Ops-R&amp;M-Bulk Signs/Materials</t>
  </si>
  <si>
    <t>Fac-R&amp;M-Elevator Citations/Penalties</t>
  </si>
  <si>
    <t>Fac-R&amp;M-Access Control Repairs</t>
  </si>
  <si>
    <t>Fac-R&amp;M-Fire Alarm Monitoring</t>
  </si>
  <si>
    <t>Fac-R&amp;M-Fire Permits/Inspections</t>
  </si>
  <si>
    <t>Fac-R&amp;M-Fire Extinguishers</t>
  </si>
  <si>
    <t>Fac-R&amp;M-Generator Monthly Maintenance</t>
  </si>
  <si>
    <t>Utilities Processing Fees</t>
  </si>
  <si>
    <t>Energy Audit/Benchmarking Fees</t>
  </si>
  <si>
    <t>Internet Mktg - Google</t>
  </si>
  <si>
    <t>Internet Mktg - Other</t>
  </si>
  <si>
    <t>Internet Mktg - Facebook</t>
  </si>
  <si>
    <t>Video Ads-TV Media &amp; Support</t>
  </si>
  <si>
    <t>Computer Hardware/Software</t>
  </si>
  <si>
    <t>Software Purchases / Maintenance</t>
  </si>
  <si>
    <t>Centralized Tenant Mailing</t>
  </si>
  <si>
    <t>Office Bulk Signs/Materials</t>
  </si>
  <si>
    <t>Uniform Purchase Expense</t>
  </si>
  <si>
    <t>Credit Card Discounts</t>
  </si>
  <si>
    <t>Fraud Protection Services</t>
  </si>
  <si>
    <t>PR/Exp - District Manager</t>
  </si>
  <si>
    <t>Field Meals and Entertaiment</t>
  </si>
  <si>
    <t>TPM-Telephone Reservation Center</t>
  </si>
  <si>
    <t>TPM-Contractual Software Fees</t>
  </si>
  <si>
    <t>cash</t>
  </si>
  <si>
    <t>AR</t>
  </si>
  <si>
    <t>A/R - Delinquent Storage Rent</t>
  </si>
  <si>
    <t>AR (AP) - Interproperty Collections</t>
  </si>
  <si>
    <t>AP - Trade - RAMP Suppliers</t>
  </si>
  <si>
    <t>DefRev</t>
  </si>
  <si>
    <t>Deferred Revenue - Storage Tenants</t>
  </si>
  <si>
    <t>Contributions from Parent</t>
  </si>
  <si>
    <t>Document Split Clearing Account</t>
  </si>
  <si>
    <t>RE</t>
  </si>
  <si>
    <t>Retained Earnings - System Posting</t>
  </si>
  <si>
    <t>Rental Income - Storage</t>
  </si>
  <si>
    <t>NSF Fees - ACH&amp;Check Returns</t>
  </si>
  <si>
    <t>Other Income (Property)</t>
  </si>
  <si>
    <t>DTM Taxable Sales Proceeds</t>
  </si>
  <si>
    <t>DTM Non-Taxable Sales Proceeds</t>
  </si>
  <si>
    <t>Credit Card Charge-backs</t>
  </si>
  <si>
    <t>Deposit Variances - Storage Rent Revenue</t>
  </si>
  <si>
    <t>Accrual Revenue Adjustment</t>
  </si>
  <si>
    <t>I/C - Expense - Retail - Lock Sales</t>
  </si>
  <si>
    <t>Cost of Merch Sales - Lock</t>
  </si>
  <si>
    <t>Cost of Merch Sales - Box</t>
  </si>
  <si>
    <t>Cost of Merch Sales - Other</t>
  </si>
  <si>
    <t>Inventory Adjustments - Lock</t>
  </si>
  <si>
    <t>Inventory Adjustments - Box</t>
  </si>
  <si>
    <t>Inventory Adjustments - Other</t>
  </si>
  <si>
    <t>Retail - Credit Card Fees</t>
  </si>
  <si>
    <t>Merch Fixtures - New Stores</t>
  </si>
  <si>
    <t>AP-Taxable Excess DTM</t>
  </si>
  <si>
    <t>AP-Non-Taxable Excess DTM</t>
  </si>
  <si>
    <t>Received Not Vouchered</t>
  </si>
  <si>
    <t>Merchandise Sales - Box</t>
  </si>
  <si>
    <t>Merchandise Sales - Other</t>
  </si>
  <si>
    <t>I/C - Revenue - Retail - Lock Sales</t>
  </si>
  <si>
    <t>RMAS Fees Revenue - External</t>
  </si>
  <si>
    <t>Posting Date</t>
  </si>
  <si>
    <t>Doc. Date</t>
  </si>
  <si>
    <t>Journal Entry</t>
  </si>
  <si>
    <t>Journal Entry Type</t>
  </si>
  <si>
    <t>Journal Entry Item Text</t>
  </si>
  <si>
    <t>Journal Entry Text</t>
  </si>
  <si>
    <t>Vendor</t>
  </si>
  <si>
    <t>Vendor Name</t>
  </si>
  <si>
    <t>Offsetting Acc</t>
  </si>
  <si>
    <t>Offsetting Acc Name</t>
  </si>
  <si>
    <t>$</t>
  </si>
  <si>
    <t>01/01/2026</t>
  </si>
  <si>
    <t>11/11/2025</t>
  </si>
  <si>
    <t>830019081</t>
  </si>
  <si>
    <t>YG</t>
  </si>
  <si>
    <t>8310012834696</t>
  </si>
  <si>
    <t>Engie/E78</t>
  </si>
  <si>
    <t>77712</t>
  </si>
  <si>
    <t>506060</t>
  </si>
  <si>
    <t>#</t>
  </si>
  <si>
    <t>R24015609</t>
  </si>
  <si>
    <t>AT&amp;T - UNIVERSAL BILLER</t>
  </si>
  <si>
    <t>200010</t>
  </si>
  <si>
    <t xml:space="preserve"> AT&amp;T - UNIVERSAL BILLER/60197-5019 CAROL STREAM</t>
  </si>
  <si>
    <t>R24022899</t>
  </si>
  <si>
    <t xml:space="preserve"> ELEMENT 78, LLC/60673-5472 CHICAGO</t>
  </si>
  <si>
    <t>850198770</t>
  </si>
  <si>
    <t>CW</t>
  </si>
  <si>
    <t>ACH Cash</t>
  </si>
  <si>
    <t>WebChamp Revenue</t>
  </si>
  <si>
    <t>100110</t>
  </si>
  <si>
    <t>400220</t>
  </si>
  <si>
    <t>Conv Fees - Mini</t>
  </si>
  <si>
    <t>400210</t>
  </si>
  <si>
    <t>191000</t>
  </si>
  <si>
    <t>Current Rent - Mini</t>
  </si>
  <si>
    <t>400000</t>
  </si>
  <si>
    <t>Late Fees - Mini</t>
  </si>
  <si>
    <t>402020</t>
  </si>
  <si>
    <t>402000</t>
  </si>
  <si>
    <t>Master Card</t>
  </si>
  <si>
    <t>Net Change in A/R</t>
  </si>
  <si>
    <t>Net Change in Prepaid Ren</t>
  </si>
  <si>
    <t>215060</t>
  </si>
  <si>
    <t>Visa</t>
  </si>
  <si>
    <t>200100</t>
  </si>
  <si>
    <t>01/02/2026</t>
  </si>
  <si>
    <t>12/29/2025</t>
  </si>
  <si>
    <t>700020106</t>
  </si>
  <si>
    <t>YR</t>
  </si>
  <si>
    <t>Perform Annual Fire Extinguish</t>
  </si>
  <si>
    <t>RAMP AP Invoice</t>
  </si>
  <si>
    <t>501720</t>
  </si>
  <si>
    <t>R196905</t>
  </si>
  <si>
    <t>CINTAS FIRE PROTECTION, LOC#F93</t>
  </si>
  <si>
    <t xml:space="preserve"> CINTAS FIRE PROTECTION, LOC#F93/33916 FORT MYERS</t>
  </si>
  <si>
    <t>850199158</t>
  </si>
  <si>
    <t>AMEX</t>
  </si>
  <si>
    <t>Admin Fees - Mini</t>
  </si>
  <si>
    <t>402030</t>
  </si>
  <si>
    <t>Discover</t>
  </si>
  <si>
    <t>426010</t>
  </si>
  <si>
    <t>426000</t>
  </si>
  <si>
    <t>Sales Tax</t>
  </si>
  <si>
    <t>210050</t>
  </si>
  <si>
    <t>4900200600</t>
  </si>
  <si>
    <t>WA</t>
  </si>
  <si>
    <t>Goods Issue</t>
  </si>
  <si>
    <t>555030</t>
  </si>
  <si>
    <t>193000</t>
  </si>
  <si>
    <t>4900200613</t>
  </si>
  <si>
    <t>4900200924</t>
  </si>
  <si>
    <t>555010</t>
  </si>
  <si>
    <t>193010</t>
  </si>
  <si>
    <t>4900201054</t>
  </si>
  <si>
    <t>555000</t>
  </si>
  <si>
    <t>01/03/2026</t>
  </si>
  <si>
    <t>850199526</t>
  </si>
  <si>
    <t>Check</t>
  </si>
  <si>
    <t>DTM Lock Sales Expense Op</t>
  </si>
  <si>
    <t>620410</t>
  </si>
  <si>
    <t>DTM Lock Sales Revenue Re</t>
  </si>
  <si>
    <t>480170</t>
  </si>
  <si>
    <t>DTM Lock Sales Tax Expens</t>
  </si>
  <si>
    <t>603175</t>
  </si>
  <si>
    <t>DTM Lock Sales Tax Revenu</t>
  </si>
  <si>
    <t>Depot Collections</t>
  </si>
  <si>
    <t>192900</t>
  </si>
  <si>
    <t>4900201359</t>
  </si>
  <si>
    <t>4900201379</t>
  </si>
  <si>
    <t>4900201465</t>
  </si>
  <si>
    <t>4900201472</t>
  </si>
  <si>
    <t>4900201539</t>
  </si>
  <si>
    <t>4900201762</t>
  </si>
  <si>
    <t>4900201763</t>
  </si>
  <si>
    <t>01/04/2026</t>
  </si>
  <si>
    <t>850199893</t>
  </si>
  <si>
    <t>4900202312</t>
  </si>
  <si>
    <t>01/05/2026</t>
  </si>
  <si>
    <t>700020186</t>
  </si>
  <si>
    <t>2025 Recurring Landscaping - 1</t>
  </si>
  <si>
    <t>500730</t>
  </si>
  <si>
    <t>R197521</t>
  </si>
  <si>
    <t>EVID BUILDING SOLUTIONS, INC.</t>
  </si>
  <si>
    <t xml:space="preserve"> EVID BUILDING SOLUTIONS, INC./75205 DALLAS</t>
  </si>
  <si>
    <t>850200277</t>
  </si>
  <si>
    <t>Non-taxable DTM Sale Proc</t>
  </si>
  <si>
    <t>400090</t>
  </si>
  <si>
    <t>4900202555</t>
  </si>
  <si>
    <t>4900202654</t>
  </si>
  <si>
    <t>4900202778</t>
  </si>
  <si>
    <t>4900203064</t>
  </si>
  <si>
    <t>4900203120</t>
  </si>
  <si>
    <t>01/06/2026</t>
  </si>
  <si>
    <t>200023169</t>
  </si>
  <si>
    <t>ZV</t>
  </si>
  <si>
    <t>Payment Clearing</t>
  </si>
  <si>
    <t>200023193</t>
  </si>
  <si>
    <t>850200653</t>
  </si>
  <si>
    <t>4900203287</t>
  </si>
  <si>
    <t>4900203376</t>
  </si>
  <si>
    <t>01/07/2026</t>
  </si>
  <si>
    <t>12/11/2025</t>
  </si>
  <si>
    <t>830019277</t>
  </si>
  <si>
    <t>1050001670</t>
  </si>
  <si>
    <t>ZA</t>
  </si>
  <si>
    <t>401MTCH</t>
  </si>
  <si>
    <t>Payroll Allocation</t>
  </si>
  <si>
    <t>500530</t>
  </si>
  <si>
    <t>AD&amp;DER</t>
  </si>
  <si>
    <t>500540</t>
  </si>
  <si>
    <t>LIFEER</t>
  </si>
  <si>
    <t>500520</t>
  </si>
  <si>
    <t>MERXHRA</t>
  </si>
  <si>
    <t>500490</t>
  </si>
  <si>
    <t>OT</t>
  </si>
  <si>
    <t>500300</t>
  </si>
  <si>
    <t>REGN</t>
  </si>
  <si>
    <t>500220</t>
  </si>
  <si>
    <t>500230</t>
  </si>
  <si>
    <t>WCOMP</t>
  </si>
  <si>
    <t>500470</t>
  </si>
  <si>
    <t>W_CAETT</t>
  </si>
  <si>
    <t>500450</t>
  </si>
  <si>
    <t>W_FUI</t>
  </si>
  <si>
    <t>500480</t>
  </si>
  <si>
    <t>W_MEDER</t>
  </si>
  <si>
    <t>500430</t>
  </si>
  <si>
    <t>W_OASER</t>
  </si>
  <si>
    <t>500420</t>
  </si>
  <si>
    <t>W_SUIER</t>
  </si>
  <si>
    <t>500440</t>
  </si>
  <si>
    <t>200023276</t>
  </si>
  <si>
    <t>ELEMENT 78, LLC</t>
  </si>
  <si>
    <t>200023277</t>
  </si>
  <si>
    <t>850201025</t>
  </si>
  <si>
    <t>01/08/2026</t>
  </si>
  <si>
    <t>12/22/2025</t>
  </si>
  <si>
    <t>10043349</t>
  </si>
  <si>
    <t>SA</t>
  </si>
  <si>
    <t>OPEN TECH-INV360385</t>
  </si>
  <si>
    <t>G/L Account Document</t>
  </si>
  <si>
    <t>506140</t>
  </si>
  <si>
    <t>850201388</t>
  </si>
  <si>
    <t>01/09/2026</t>
  </si>
  <si>
    <t>12/31/2025</t>
  </si>
  <si>
    <t>10043347</t>
  </si>
  <si>
    <t>Vestis-6537808</t>
  </si>
  <si>
    <t>506120</t>
  </si>
  <si>
    <t>850201751</t>
  </si>
  <si>
    <t>Operation Misc Fee</t>
  </si>
  <si>
    <t>400070</t>
  </si>
  <si>
    <t>Payments From Other Sites</t>
  </si>
  <si>
    <t>4900205045</t>
  </si>
  <si>
    <t>4900205054</t>
  </si>
  <si>
    <t>4900205108</t>
  </si>
  <si>
    <t>4900205279</t>
  </si>
  <si>
    <t>4900205356</t>
  </si>
  <si>
    <t>4900205370</t>
  </si>
  <si>
    <t>01/10/2026</t>
  </si>
  <si>
    <t>850202112</t>
  </si>
  <si>
    <t>426020</t>
  </si>
  <si>
    <t>4900205947</t>
  </si>
  <si>
    <t>4900206242</t>
  </si>
  <si>
    <t>555020</t>
  </si>
  <si>
    <t>193020</t>
  </si>
  <si>
    <t>4900206267</t>
  </si>
  <si>
    <t>01/11/2026</t>
  </si>
  <si>
    <t>850202468</t>
  </si>
  <si>
    <t>01/12/2026</t>
  </si>
  <si>
    <t>850202831</t>
  </si>
  <si>
    <t>4900207199</t>
  </si>
  <si>
    <t>4900207319</t>
  </si>
  <si>
    <t>4900207442</t>
  </si>
  <si>
    <t>01/20/2026</t>
  </si>
  <si>
    <t>550005130</t>
  </si>
  <si>
    <t>YO</t>
  </si>
  <si>
    <t>STAXCA</t>
  </si>
  <si>
    <t>OneSource AP</t>
  </si>
  <si>
    <t>R24037590</t>
  </si>
  <si>
    <t>STATE BOARD OF EQUALIZATION</t>
  </si>
  <si>
    <t xml:space="preserve"> STATE BOARD OF EQUALIZATION/94279-0001 SACRAMENTO</t>
  </si>
  <si>
    <t>01/13/2026</t>
  </si>
  <si>
    <t>700020376</t>
  </si>
  <si>
    <t>Conduct monthly recurring pest</t>
  </si>
  <si>
    <t>500840</t>
  </si>
  <si>
    <t>R24052584</t>
  </si>
  <si>
    <t>TERMINIX COMMERCIAL</t>
  </si>
  <si>
    <t xml:space="preserve"> TERMINIX COMMERCIALRENTOKIL NORTH AMERICA INC./38148 Memphis</t>
  </si>
  <si>
    <t>850203195</t>
  </si>
  <si>
    <t>NSFFee</t>
  </si>
  <si>
    <t>400020</t>
  </si>
  <si>
    <t>4900207535</t>
  </si>
  <si>
    <t>4900207687</t>
  </si>
  <si>
    <t>4900207791</t>
  </si>
  <si>
    <t>555050</t>
  </si>
  <si>
    <t>4900207890</t>
  </si>
  <si>
    <t>01/14/2026</t>
  </si>
  <si>
    <t>130000645</t>
  </si>
  <si>
    <t>SK</t>
  </si>
  <si>
    <t>US Bank Fees</t>
  </si>
  <si>
    <t>Cash Document</t>
  </si>
  <si>
    <t>506180</t>
  </si>
  <si>
    <t>850203557</t>
  </si>
  <si>
    <t>4900208191</t>
  </si>
  <si>
    <t>4900208253</t>
  </si>
  <si>
    <t>4900208270</t>
  </si>
  <si>
    <t>4900208461</t>
  </si>
  <si>
    <t>4900208477</t>
  </si>
  <si>
    <t>4900208586</t>
  </si>
  <si>
    <t>01/15/2026</t>
  </si>
  <si>
    <t>10043359</t>
  </si>
  <si>
    <t>LEXISNEXUS-1300223955</t>
  </si>
  <si>
    <t>506200</t>
  </si>
  <si>
    <t>830019584</t>
  </si>
  <si>
    <t>7008486824-2</t>
  </si>
  <si>
    <t>505010</t>
  </si>
  <si>
    <t>R24032890</t>
  </si>
  <si>
    <t>PACIFIC GAS AND ELECTRIC CO</t>
  </si>
  <si>
    <t>R24023071</t>
  </si>
  <si>
    <t xml:space="preserve"> ENGIE INSIGHT SERVICES, INC./60674-8380 CHICAGO</t>
  </si>
  <si>
    <t xml:space="preserve"> PACIFIC GAS AND ELECTRIC CO/95899-7300 SACRAMENTO</t>
  </si>
  <si>
    <t>130000650</t>
  </si>
  <si>
    <t>62578685 (B1020)</t>
  </si>
  <si>
    <t>400030</t>
  </si>
  <si>
    <t>200023709</t>
  </si>
  <si>
    <t>ENGIE INSIGHT SERVICES, INC.</t>
  </si>
  <si>
    <t>850203923</t>
  </si>
  <si>
    <t>4900208996</t>
  </si>
  <si>
    <t>01/16/2026</t>
  </si>
  <si>
    <t>850204299</t>
  </si>
  <si>
    <t>4900209930</t>
  </si>
  <si>
    <t>01/17/2026</t>
  </si>
  <si>
    <t>850204657</t>
  </si>
  <si>
    <t>4900210108</t>
  </si>
  <si>
    <t>4900210372</t>
  </si>
  <si>
    <t>01/18/2026</t>
  </si>
  <si>
    <t>850205005</t>
  </si>
  <si>
    <t>4900210727</t>
  </si>
  <si>
    <t>4900210884</t>
  </si>
  <si>
    <t>01/19/2026</t>
  </si>
  <si>
    <t>10043399</t>
  </si>
  <si>
    <t>Vector97-PS-01.19.26</t>
  </si>
  <si>
    <t>501130</t>
  </si>
  <si>
    <t>850205352</t>
  </si>
  <si>
    <t>10043382</t>
  </si>
  <si>
    <t>Zayo Ntwk+Velocloud Jan 26</t>
  </si>
  <si>
    <t>506150</t>
  </si>
  <si>
    <t>10043361</t>
  </si>
  <si>
    <t>Engie Insight-6124894</t>
  </si>
  <si>
    <t>505100</t>
  </si>
  <si>
    <t>200023858</t>
  </si>
  <si>
    <t>850205703</t>
  </si>
  <si>
    <t>4900211663</t>
  </si>
  <si>
    <t>4900211799</t>
  </si>
  <si>
    <t>4900211896</t>
  </si>
  <si>
    <t>01/21/2026</t>
  </si>
  <si>
    <t>850205600</t>
  </si>
  <si>
    <t>ZW</t>
  </si>
  <si>
    <t>C2032 - 64788941</t>
  </si>
  <si>
    <t>WebChamp Postings</t>
  </si>
  <si>
    <t>400060</t>
  </si>
  <si>
    <t>W117014201</t>
  </si>
  <si>
    <t>Jacqueline Ajlouny</t>
  </si>
  <si>
    <t>200000</t>
  </si>
  <si>
    <t xml:space="preserve"> JacquelineAjlouny/95687-7717 Vacaville</t>
  </si>
  <si>
    <t>850206061</t>
  </si>
  <si>
    <t>4900212403</t>
  </si>
  <si>
    <t>4900212622</t>
  </si>
  <si>
    <t>4900212646</t>
  </si>
  <si>
    <t>01/22/2026</t>
  </si>
  <si>
    <t>1050001686</t>
  </si>
  <si>
    <t>200023901</t>
  </si>
  <si>
    <t>R24021796</t>
  </si>
  <si>
    <t xml:space="preserve"> DEPT OF INDUSTRIAL RELATIONS - PAYMENT PROCESSING/90051-3030 LOS ANGELES</t>
  </si>
  <si>
    <t>DEPT OF INDUSTRIAL RELATIONS - PAYM ENT PROCESSING</t>
  </si>
  <si>
    <t>850206418</t>
  </si>
  <si>
    <t>4900212871</t>
  </si>
  <si>
    <t>4900213024</t>
  </si>
  <si>
    <t>4900213086</t>
  </si>
  <si>
    <t>4900213157</t>
  </si>
  <si>
    <t>01/23/2026</t>
  </si>
  <si>
    <t>700020685</t>
  </si>
  <si>
    <t>The lift is completely inopera</t>
  </si>
  <si>
    <t>129010</t>
  </si>
  <si>
    <t>R196080</t>
  </si>
  <si>
    <t>AJAY EQUIPMENT CORPORATION</t>
  </si>
  <si>
    <t xml:space="preserve"> AJAY EQUIPMENT CORPORATION/91710 CHINO</t>
  </si>
  <si>
    <t>700020686</t>
  </si>
  <si>
    <t>Lift was on its way ascending</t>
  </si>
  <si>
    <t>130000642</t>
  </si>
  <si>
    <t>Cross Property Payment</t>
  </si>
  <si>
    <t>850206789</t>
  </si>
  <si>
    <t>4900213830</t>
  </si>
  <si>
    <t>4900213980</t>
  </si>
  <si>
    <t>01/24/2026</t>
  </si>
  <si>
    <t>850207152</t>
  </si>
  <si>
    <t>4900214181</t>
  </si>
  <si>
    <t>4900214545</t>
  </si>
  <si>
    <t>4900214748</t>
  </si>
  <si>
    <t>01/25/2026</t>
  </si>
  <si>
    <t>850207497</t>
  </si>
  <si>
    <t>295000</t>
  </si>
  <si>
    <t>4900214969</t>
  </si>
  <si>
    <t>4900215052</t>
  </si>
  <si>
    <t>01/26/2026</t>
  </si>
  <si>
    <t>10043371</t>
  </si>
  <si>
    <t>AB</t>
  </si>
  <si>
    <t>WComp Prem true-up Jan 26</t>
  </si>
  <si>
    <t>510017277</t>
  </si>
  <si>
    <t>3PM Dec25 Dist</t>
  </si>
  <si>
    <t>Invoice - Gross</t>
  </si>
  <si>
    <t>269020</t>
  </si>
  <si>
    <t>R24044779</t>
  </si>
  <si>
    <t>WSD- HAMILTON VACAVILLE STORAGE LLC</t>
  </si>
  <si>
    <t xml:space="preserve"> WSD- HAMILTON VACAVILLE STORAGE LLC/85003 PHOENIX</t>
  </si>
  <si>
    <t>850207832</t>
  </si>
  <si>
    <t>01/27/2026</t>
  </si>
  <si>
    <t>10043385</t>
  </si>
  <si>
    <t>OpenTech-INV374603</t>
  </si>
  <si>
    <t>506260</t>
  </si>
  <si>
    <t>700020807</t>
  </si>
  <si>
    <t>2026 Recurring Landscaping</t>
  </si>
  <si>
    <t>200023936</t>
  </si>
  <si>
    <t>200023969</t>
  </si>
  <si>
    <t>200024027</t>
  </si>
  <si>
    <t>850208187</t>
  </si>
  <si>
    <t>01/30/2026</t>
  </si>
  <si>
    <t>1050001706</t>
  </si>
  <si>
    <t>01/28/2026</t>
  </si>
  <si>
    <t>700020819</t>
  </si>
  <si>
    <t>Monthly Scheduled Testing</t>
  </si>
  <si>
    <t>501850</t>
  </si>
  <si>
    <t>R25003479</t>
  </si>
  <si>
    <t>CD &amp; POWER</t>
  </si>
  <si>
    <t xml:space="preserve"> CD &amp; POWERGOT POWER INC./94553 MARTINEZ</t>
  </si>
  <si>
    <t>10043376</t>
  </si>
  <si>
    <t>2025 Acct 042-164530</t>
  </si>
  <si>
    <t>506280</t>
  </si>
  <si>
    <t>10043389</t>
  </si>
  <si>
    <t>10043391</t>
  </si>
  <si>
    <t>200024058</t>
  </si>
  <si>
    <t>850208554</t>
  </si>
  <si>
    <t>01/29/2026</t>
  </si>
  <si>
    <t>850208923</t>
  </si>
  <si>
    <t>4900217316</t>
  </si>
  <si>
    <t>850209294</t>
  </si>
  <si>
    <t>4900218227</t>
  </si>
  <si>
    <t>4900218576</t>
  </si>
  <si>
    <t>4900218944</t>
  </si>
  <si>
    <t>7100120386</t>
  </si>
  <si>
    <t>YA</t>
  </si>
  <si>
    <t>DS076 DTS ALLOC</t>
  </si>
  <si>
    <t>Allocation Postings</t>
  </si>
  <si>
    <t>510070</t>
  </si>
  <si>
    <t>7100124971</t>
  </si>
  <si>
    <t>D0241 Property Manager</t>
  </si>
  <si>
    <t>7100124975</t>
  </si>
  <si>
    <t>7100124979</t>
  </si>
  <si>
    <t>500310</t>
  </si>
  <si>
    <t>7100124983</t>
  </si>
  <si>
    <t>500320</t>
  </si>
  <si>
    <t>7100124987</t>
  </si>
  <si>
    <t>500330</t>
  </si>
  <si>
    <t>7100124992</t>
  </si>
  <si>
    <t>500350</t>
  </si>
  <si>
    <t>7100124997</t>
  </si>
  <si>
    <t>500400</t>
  </si>
  <si>
    <t>7100125004</t>
  </si>
  <si>
    <t>500410</t>
  </si>
  <si>
    <t>7100125011</t>
  </si>
  <si>
    <t>7100125017</t>
  </si>
  <si>
    <t>7100125025</t>
  </si>
  <si>
    <t>7100125033</t>
  </si>
  <si>
    <t>7100125041</t>
  </si>
  <si>
    <t>7100125048</t>
  </si>
  <si>
    <t>7100125055</t>
  </si>
  <si>
    <t>7100125064</t>
  </si>
  <si>
    <t>7100125073</t>
  </si>
  <si>
    <t>7100126746</t>
  </si>
  <si>
    <t>National Facilities 10850 OH&amp;PR ALLOC</t>
  </si>
  <si>
    <t>510510</t>
  </si>
  <si>
    <t>7100126747</t>
  </si>
  <si>
    <t>National Facilities 10854 OH&amp;PR ALLOC</t>
  </si>
  <si>
    <t>7100126768</t>
  </si>
  <si>
    <t>National Facilities 10851 OH&amp;PR ALLOC</t>
  </si>
  <si>
    <t>7100127842</t>
  </si>
  <si>
    <t>D0241 District Manager</t>
  </si>
  <si>
    <t>510050</t>
  </si>
  <si>
    <t>7100128015</t>
  </si>
  <si>
    <t>DM999 DM Incentive</t>
  </si>
  <si>
    <t>7100128324</t>
  </si>
  <si>
    <t>205PI Property IT Costs</t>
  </si>
  <si>
    <t>7100128691</t>
  </si>
  <si>
    <t>206MM Bulk Offc Mtrls Alloc</t>
  </si>
  <si>
    <t>506110</t>
  </si>
  <si>
    <t>7100129058</t>
  </si>
  <si>
    <t>207CM ALLOC</t>
  </si>
  <si>
    <t>506080</t>
  </si>
  <si>
    <t>01/31/2026</t>
  </si>
  <si>
    <t>10043504</t>
  </si>
  <si>
    <t>ZC</t>
  </si>
  <si>
    <t>Amex Merchandise</t>
  </si>
  <si>
    <t>Credit Card Reclass</t>
  </si>
  <si>
    <t>555070</t>
  </si>
  <si>
    <t>Amex Mini</t>
  </si>
  <si>
    <t>506190</t>
  </si>
  <si>
    <t>Discover Merchandise</t>
  </si>
  <si>
    <t>Discover Mini</t>
  </si>
  <si>
    <t>Master Card Merchandise</t>
  </si>
  <si>
    <t>Master Card Mini</t>
  </si>
  <si>
    <t>Visa Merchandise</t>
  </si>
  <si>
    <t>Visa Mini</t>
  </si>
  <si>
    <t>850209667</t>
  </si>
  <si>
    <t>DTM Sales Tax</t>
  </si>
  <si>
    <t>LienSaleFee</t>
  </si>
  <si>
    <t>402010</t>
  </si>
  <si>
    <t>Taxable DTM Sale Proceeds</t>
  </si>
  <si>
    <t>400080</t>
  </si>
  <si>
    <t>Taxable Excess Proceeds</t>
  </si>
  <si>
    <t>200110</t>
  </si>
  <si>
    <t>Tenant Refund</t>
  </si>
  <si>
    <t>4900219179</t>
  </si>
  <si>
    <t>4900219194</t>
  </si>
  <si>
    <t>4900219281</t>
  </si>
  <si>
    <t>02/02/2026</t>
  </si>
  <si>
    <t>960000725</t>
  </si>
  <si>
    <t>TP</t>
  </si>
  <si>
    <t>Management Fees - Jan'26</t>
  </si>
  <si>
    <t>Third Party Entries</t>
  </si>
  <si>
    <t>556000</t>
  </si>
  <si>
    <t>7100129327</t>
  </si>
  <si>
    <t>D0241 District Manager Eviction</t>
  </si>
  <si>
    <t>7100129654</t>
  </si>
  <si>
    <t>7100129663</t>
  </si>
  <si>
    <t>7100129674</t>
  </si>
  <si>
    <t>500360</t>
  </si>
  <si>
    <t>7100129685</t>
  </si>
  <si>
    <t>7100129690</t>
  </si>
  <si>
    <t>7100129695</t>
  </si>
  <si>
    <t>7100129699</t>
  </si>
  <si>
    <t>7100129704</t>
  </si>
  <si>
    <t>7100129853</t>
  </si>
  <si>
    <t>205WS Google</t>
  </si>
  <si>
    <t>505500</t>
  </si>
  <si>
    <t>7100130625</t>
  </si>
  <si>
    <t>7100131497</t>
  </si>
  <si>
    <t>7100131526</t>
  </si>
  <si>
    <t>7100131557</t>
  </si>
  <si>
    <t>7100132427</t>
  </si>
  <si>
    <t>7100133010</t>
  </si>
  <si>
    <t>205WS OTHERS</t>
  </si>
  <si>
    <t>505510</t>
  </si>
  <si>
    <t>02/04/2026</t>
  </si>
  <si>
    <t>960000733</t>
  </si>
  <si>
    <t>556670</t>
  </si>
  <si>
    <t>Telephone Reservation Center</t>
  </si>
  <si>
    <t>556650</t>
  </si>
  <si>
    <t>960000738</t>
  </si>
  <si>
    <t>Insurance - Program Management</t>
  </si>
  <si>
    <t>480800</t>
  </si>
  <si>
    <t>Rent Roll Report (AR, PPD and SD)</t>
  </si>
  <si>
    <t>Webchamp2 Conversion Date:</t>
  </si>
  <si>
    <t>2024-05-16</t>
  </si>
  <si>
    <t>Property:</t>
  </si>
  <si>
    <t>Report Date:</t>
  </si>
  <si>
    <t>Unit #</t>
  </si>
  <si>
    <t>Account #</t>
  </si>
  <si>
    <t>Name</t>
  </si>
  <si>
    <t>Move In Date</t>
  </si>
  <si>
    <t>Rent</t>
  </si>
  <si>
    <t>Paid Through</t>
  </si>
  <si>
    <t>Rent Bal</t>
  </si>
  <si>
    <t>PPD Bal</t>
  </si>
  <si>
    <t>SD Bal</t>
  </si>
  <si>
    <t>Fee Bal</t>
  </si>
  <si>
    <t>A1010</t>
  </si>
  <si>
    <t>15356226</t>
  </si>
  <si>
    <t>Bragg, Mandingo</t>
  </si>
  <si>
    <t>H1007</t>
  </si>
  <si>
    <t>19756559</t>
  </si>
  <si>
    <t>McCarthy, Sean</t>
  </si>
  <si>
    <t>05/23/2025</t>
  </si>
  <si>
    <t>J1047</t>
  </si>
  <si>
    <t>50084404</t>
  </si>
  <si>
    <t>young, gladys</t>
  </si>
  <si>
    <t>02/14/2025</t>
  </si>
  <si>
    <t>J1044</t>
  </si>
  <si>
    <t>53611246</t>
  </si>
  <si>
    <t>Sumner, Meghan</t>
  </si>
  <si>
    <t>08/21/2024</t>
  </si>
  <si>
    <t>G1021</t>
  </si>
  <si>
    <t>55799042</t>
  </si>
  <si>
    <t>Rosell, Jason</t>
  </si>
  <si>
    <t>02/08/2025</t>
  </si>
  <si>
    <t>A1005</t>
  </si>
  <si>
    <t>56761349</t>
  </si>
  <si>
    <t>Mason, Donald</t>
  </si>
  <si>
    <t>10/04/2024</t>
  </si>
  <si>
    <t>C1018</t>
  </si>
  <si>
    <t>60139631</t>
  </si>
  <si>
    <t>Santa, Melanie Della</t>
  </si>
  <si>
    <t>08/30/2024</t>
  </si>
  <si>
    <t>A1011</t>
  </si>
  <si>
    <t>61452495</t>
  </si>
  <si>
    <t>Heber, Larissa</t>
  </si>
  <si>
    <t>10/20/2024</t>
  </si>
  <si>
    <t>A1003</t>
  </si>
  <si>
    <t>61462003</t>
  </si>
  <si>
    <t>prevedelli, Benjamin</t>
  </si>
  <si>
    <t>06/01/2024</t>
  </si>
  <si>
    <t>B2005</t>
  </si>
  <si>
    <t>61480099</t>
  </si>
  <si>
    <t>Kiser, Robert</t>
  </si>
  <si>
    <t>06/04/2024</t>
  </si>
  <si>
    <t>B1016</t>
  </si>
  <si>
    <t>61490489</t>
  </si>
  <si>
    <t>Valenti, Colleen</t>
  </si>
  <si>
    <t>06/07/2024</t>
  </si>
  <si>
    <t>B1020</t>
  </si>
  <si>
    <t>61500959</t>
  </si>
  <si>
    <t>Mizel, Antoine</t>
  </si>
  <si>
    <t>D1010</t>
  </si>
  <si>
    <t>61519819</t>
  </si>
  <si>
    <t>Komon business llc, Jesus</t>
  </si>
  <si>
    <t>10/27/2025</t>
  </si>
  <si>
    <t>E1003</t>
  </si>
  <si>
    <t>08/26/2024</t>
  </si>
  <si>
    <t>J1036</t>
  </si>
  <si>
    <t>61535148</t>
  </si>
  <si>
    <t>L., Mier Faith</t>
  </si>
  <si>
    <t>06/16/2024</t>
  </si>
  <si>
    <t>A1009</t>
  </si>
  <si>
    <t>61545514</t>
  </si>
  <si>
    <t>Plummer, Danielle</t>
  </si>
  <si>
    <t>C1002</t>
  </si>
  <si>
    <t>61562211</t>
  </si>
  <si>
    <t>Singh, Meghan</t>
  </si>
  <si>
    <t>06/25/2024</t>
  </si>
  <si>
    <t>H1009</t>
  </si>
  <si>
    <t>61564091</t>
  </si>
  <si>
    <t>Piper, De Vonte Le Jon</t>
  </si>
  <si>
    <t>E1011</t>
  </si>
  <si>
    <t>61567494</t>
  </si>
  <si>
    <t>calderon, Osbaldo</t>
  </si>
  <si>
    <t>06/21/2024</t>
  </si>
  <si>
    <t>D1001</t>
  </si>
  <si>
    <t>61587214</t>
  </si>
  <si>
    <t>Hutcheson, James</t>
  </si>
  <si>
    <t>06/24/2024</t>
  </si>
  <si>
    <t>G1093</t>
  </si>
  <si>
    <t>61607437</t>
  </si>
  <si>
    <t>Lewis, Steven</t>
  </si>
  <si>
    <t>08/17/2024</t>
  </si>
  <si>
    <t>B2008</t>
  </si>
  <si>
    <t>61639717</t>
  </si>
  <si>
    <t>Anderson, Leigh</t>
  </si>
  <si>
    <t>07/01/2024</t>
  </si>
  <si>
    <t>B2007</t>
  </si>
  <si>
    <t>61650730</t>
  </si>
  <si>
    <t>Hackman, Elizabeth</t>
  </si>
  <si>
    <t>07/10/2024</t>
  </si>
  <si>
    <t>C1049</t>
  </si>
  <si>
    <t>61651808</t>
  </si>
  <si>
    <t>Aquino, Leighanne</t>
  </si>
  <si>
    <t>07/03/2024</t>
  </si>
  <si>
    <t>G1045</t>
  </si>
  <si>
    <t>61676397</t>
  </si>
  <si>
    <t>Maddox, Donald</t>
  </si>
  <si>
    <t>07/24/2024</t>
  </si>
  <si>
    <t>B1043</t>
  </si>
  <si>
    <t>61712763</t>
  </si>
  <si>
    <t>Mooney, Dylan</t>
  </si>
  <si>
    <t>07/14/2024</t>
  </si>
  <si>
    <t>B1042</t>
  </si>
  <si>
    <t>61716693</t>
  </si>
  <si>
    <t>Fukumoto, Lori</t>
  </si>
  <si>
    <t>07/15/2024</t>
  </si>
  <si>
    <t>B1005</t>
  </si>
  <si>
    <t>61776916</t>
  </si>
  <si>
    <t xml:space="preserve">Talivaa, James </t>
  </si>
  <si>
    <t>07/25/2024</t>
  </si>
  <si>
    <t>B1037</t>
  </si>
  <si>
    <t>61778230</t>
  </si>
  <si>
    <t>Trevino, Yolanda</t>
  </si>
  <si>
    <t>07/27/2024</t>
  </si>
  <si>
    <t>B1040</t>
  </si>
  <si>
    <t>61783819</t>
  </si>
  <si>
    <t>hackman, john</t>
  </si>
  <si>
    <t>07/26/2024</t>
  </si>
  <si>
    <t>B1006</t>
  </si>
  <si>
    <t>61823407</t>
  </si>
  <si>
    <t>Mahlberg, Michael</t>
  </si>
  <si>
    <t>08/01/2024</t>
  </si>
  <si>
    <t>B2023</t>
  </si>
  <si>
    <t>61842966</t>
  </si>
  <si>
    <t>Willett, Robert</t>
  </si>
  <si>
    <t>08/03/2024</t>
  </si>
  <si>
    <t>B1010</t>
  </si>
  <si>
    <t>61848796</t>
  </si>
  <si>
    <t>Yoon, Haewon</t>
  </si>
  <si>
    <t>08/23/2024</t>
  </si>
  <si>
    <t>B1017</t>
  </si>
  <si>
    <t>61850580</t>
  </si>
  <si>
    <t>Hall, Zachary</t>
  </si>
  <si>
    <t>05/07/2025</t>
  </si>
  <si>
    <t>C1003</t>
  </si>
  <si>
    <t>61878463</t>
  </si>
  <si>
    <t>Fittro, Christopher</t>
  </si>
  <si>
    <t>08/10/2024</t>
  </si>
  <si>
    <t>H1026</t>
  </si>
  <si>
    <t>61889575</t>
  </si>
  <si>
    <t>Mendez, Karen</t>
  </si>
  <si>
    <t>08/12/2024</t>
  </si>
  <si>
    <t>B2011</t>
  </si>
  <si>
    <t>61896748</t>
  </si>
  <si>
    <t>Chalmers, Amanda</t>
  </si>
  <si>
    <t>08/14/2024</t>
  </si>
  <si>
    <t>C2005</t>
  </si>
  <si>
    <t>61903396</t>
  </si>
  <si>
    <t>mayeux, cortina</t>
  </si>
  <si>
    <t>09/11/2024</t>
  </si>
  <si>
    <t>C1006</t>
  </si>
  <si>
    <t>61915111</t>
  </si>
  <si>
    <t>dickson, alex</t>
  </si>
  <si>
    <t>F1032</t>
  </si>
  <si>
    <t>61919962</t>
  </si>
  <si>
    <t>spencer, betty</t>
  </si>
  <si>
    <t>08/18/2024</t>
  </si>
  <si>
    <t>D1028</t>
  </si>
  <si>
    <t>61920307</t>
  </si>
  <si>
    <t>Martinez, Anthony</t>
  </si>
  <si>
    <t>F1071</t>
  </si>
  <si>
    <t>61925677</t>
  </si>
  <si>
    <t>Boda, Wanda</t>
  </si>
  <si>
    <t>09/02/2024</t>
  </si>
  <si>
    <t>J1004</t>
  </si>
  <si>
    <t>61930750</t>
  </si>
  <si>
    <t>Castro, Alicia</t>
  </si>
  <si>
    <t>08/22/2024</t>
  </si>
  <si>
    <t>02/28/2026</t>
  </si>
  <si>
    <t>J1042</t>
  </si>
  <si>
    <t>61935297</t>
  </si>
  <si>
    <t>Ponder, Marquevious</t>
  </si>
  <si>
    <t>C1033</t>
  </si>
  <si>
    <t>61938544</t>
  </si>
  <si>
    <t>Mcfarland, Kellie</t>
  </si>
  <si>
    <t>08/29/2024</t>
  </si>
  <si>
    <t>F1051</t>
  </si>
  <si>
    <t>61952141</t>
  </si>
  <si>
    <t>Byle, Jason</t>
  </si>
  <si>
    <t>08/24/2024</t>
  </si>
  <si>
    <t>F1004</t>
  </si>
  <si>
    <t>61967252</t>
  </si>
  <si>
    <t>Burton, Anita</t>
  </si>
  <si>
    <t>A1029</t>
  </si>
  <si>
    <t>61967399</t>
  </si>
  <si>
    <t>aragon, aurelio</t>
  </si>
  <si>
    <t>11/01/2024</t>
  </si>
  <si>
    <t>F1073</t>
  </si>
  <si>
    <t>09/21/2025</t>
  </si>
  <si>
    <t>D1008</t>
  </si>
  <si>
    <t>61979822</t>
  </si>
  <si>
    <t>Day, Lori</t>
  </si>
  <si>
    <t>08/28/2024</t>
  </si>
  <si>
    <t>J1007</t>
  </si>
  <si>
    <t>61982356</t>
  </si>
  <si>
    <t>Hamon, Mark</t>
  </si>
  <si>
    <t>08/31/2024</t>
  </si>
  <si>
    <t>E1004</t>
  </si>
  <si>
    <t>61990319</t>
  </si>
  <si>
    <t>mather, Jen</t>
  </si>
  <si>
    <t>D1007</t>
  </si>
  <si>
    <t>61993232</t>
  </si>
  <si>
    <t>Fletcher, Alan</t>
  </si>
  <si>
    <t>F1010</t>
  </si>
  <si>
    <t>61994729</t>
  </si>
  <si>
    <t>kaloi, Raymond</t>
  </si>
  <si>
    <t>J1030</t>
  </si>
  <si>
    <t>61997465</t>
  </si>
  <si>
    <t>Weber, Zachary</t>
  </si>
  <si>
    <t>C1005</t>
  </si>
  <si>
    <t>61997525</t>
  </si>
  <si>
    <t>Duvnernay, Corwyn</t>
  </si>
  <si>
    <t>F1006</t>
  </si>
  <si>
    <t>61997537</t>
  </si>
  <si>
    <t>villegas, Hugo</t>
  </si>
  <si>
    <t>B1049</t>
  </si>
  <si>
    <t>61997552</t>
  </si>
  <si>
    <t>Perez, Brent</t>
  </si>
  <si>
    <t>B2017</t>
  </si>
  <si>
    <t>61997700</t>
  </si>
  <si>
    <t>Portugal, JoAnna</t>
  </si>
  <si>
    <t>B2019</t>
  </si>
  <si>
    <t>62003541</t>
  </si>
  <si>
    <t>roach, camaron</t>
  </si>
  <si>
    <t>B2031</t>
  </si>
  <si>
    <t>62011468</t>
  </si>
  <si>
    <t>Lindsay, Leslie</t>
  </si>
  <si>
    <t>09/15/2024</t>
  </si>
  <si>
    <t>C1009</t>
  </si>
  <si>
    <t>62011516</t>
  </si>
  <si>
    <t>Baluyot, Leandro</t>
  </si>
  <si>
    <t>F1007</t>
  </si>
  <si>
    <t>62011605</t>
  </si>
  <si>
    <t>Reif, Lauryn</t>
  </si>
  <si>
    <t>09/01/2024</t>
  </si>
  <si>
    <t>G1014</t>
  </si>
  <si>
    <t>62014246</t>
  </si>
  <si>
    <t>amir, muhammad</t>
  </si>
  <si>
    <t>09/24/2024</t>
  </si>
  <si>
    <t>A1019</t>
  </si>
  <si>
    <t>62016081</t>
  </si>
  <si>
    <t>Yates, Sharita</t>
  </si>
  <si>
    <t>D1018</t>
  </si>
  <si>
    <t>62017490</t>
  </si>
  <si>
    <t>Zamora, Jesus</t>
  </si>
  <si>
    <t>03/06/2025</t>
  </si>
  <si>
    <t>D1019</t>
  </si>
  <si>
    <t>03/10/2025</t>
  </si>
  <si>
    <t>F1005</t>
  </si>
  <si>
    <t>62018397</t>
  </si>
  <si>
    <t>gilby, Sunday</t>
  </si>
  <si>
    <t>09/04/2024</t>
  </si>
  <si>
    <t>H1054</t>
  </si>
  <si>
    <t>62019716</t>
  </si>
  <si>
    <t>Wysocki, Matthew</t>
  </si>
  <si>
    <t>08/31/2025</t>
  </si>
  <si>
    <t>A1020</t>
  </si>
  <si>
    <t>62027445</t>
  </si>
  <si>
    <t>Austin, Michelle</t>
  </si>
  <si>
    <t>J1029</t>
  </si>
  <si>
    <t>62028702</t>
  </si>
  <si>
    <t>Perez, Amber</t>
  </si>
  <si>
    <t>09/05/2024</t>
  </si>
  <si>
    <t>J1040</t>
  </si>
  <si>
    <t>62033743</t>
  </si>
  <si>
    <t>Martin, Sarah</t>
  </si>
  <si>
    <t>C1026</t>
  </si>
  <si>
    <t>62033944</t>
  </si>
  <si>
    <t>dane, colleen</t>
  </si>
  <si>
    <t>C1028</t>
  </si>
  <si>
    <t>C1030</t>
  </si>
  <si>
    <t>E1005</t>
  </si>
  <si>
    <t>62034307</t>
  </si>
  <si>
    <t>Tippets, Jared A</t>
  </si>
  <si>
    <t>09/07/2024</t>
  </si>
  <si>
    <t>F1009</t>
  </si>
  <si>
    <t>62040169</t>
  </si>
  <si>
    <t>ricketts, Anthony</t>
  </si>
  <si>
    <t>G1012</t>
  </si>
  <si>
    <t>62041864</t>
  </si>
  <si>
    <t>negrete, maria</t>
  </si>
  <si>
    <t>09/10/2024</t>
  </si>
  <si>
    <t>F1011</t>
  </si>
  <si>
    <t>62043962</t>
  </si>
  <si>
    <t>minell oneperkins, denean</t>
  </si>
  <si>
    <t>I1002</t>
  </si>
  <si>
    <t>62044694</t>
  </si>
  <si>
    <t>burns, arthur</t>
  </si>
  <si>
    <t>10/07/2024</t>
  </si>
  <si>
    <t>J1016</t>
  </si>
  <si>
    <t>62045201</t>
  </si>
  <si>
    <t>Chrest, Celeste</t>
  </si>
  <si>
    <t>J1010</t>
  </si>
  <si>
    <t>62045969</t>
  </si>
  <si>
    <t>Smith, Emil</t>
  </si>
  <si>
    <t>09/22/2024</t>
  </si>
  <si>
    <t>J1011</t>
  </si>
  <si>
    <t>62049319</t>
  </si>
  <si>
    <t>Lyons, Ron</t>
  </si>
  <si>
    <t>09/14/2024</t>
  </si>
  <si>
    <t>F1066</t>
  </si>
  <si>
    <t>62050049</t>
  </si>
  <si>
    <t>Supetran, Ryan</t>
  </si>
  <si>
    <t>10/27/2024</t>
  </si>
  <si>
    <t>G1010</t>
  </si>
  <si>
    <t>62051916</t>
  </si>
  <si>
    <t>robles, alejandro</t>
  </si>
  <si>
    <t>J1012</t>
  </si>
  <si>
    <t>62067639</t>
  </si>
  <si>
    <t>Mann, Christopher</t>
  </si>
  <si>
    <t>09/12/2024</t>
  </si>
  <si>
    <t>C2015</t>
  </si>
  <si>
    <t>62074037</t>
  </si>
  <si>
    <t>Olmack, Jeffrey</t>
  </si>
  <si>
    <t>09/16/2024</t>
  </si>
  <si>
    <t>I1049</t>
  </si>
  <si>
    <t>62080440</t>
  </si>
  <si>
    <t>Johnson, Kerry</t>
  </si>
  <si>
    <t>J1014</t>
  </si>
  <si>
    <t>62080695</t>
  </si>
  <si>
    <t>Puligilla, Akshay Kumar</t>
  </si>
  <si>
    <t>C1039</t>
  </si>
  <si>
    <t>62085333</t>
  </si>
  <si>
    <t>ROMEO, Joe</t>
  </si>
  <si>
    <t>09/19/2024</t>
  </si>
  <si>
    <t>F1012</t>
  </si>
  <si>
    <t>62088678</t>
  </si>
  <si>
    <t>Bommersbach, Keith</t>
  </si>
  <si>
    <t>09/21/2024</t>
  </si>
  <si>
    <t>B2018</t>
  </si>
  <si>
    <t>62091351</t>
  </si>
  <si>
    <t>Guidici, Thomas</t>
  </si>
  <si>
    <t>09/17/2024</t>
  </si>
  <si>
    <t>C1010</t>
  </si>
  <si>
    <t>62098222</t>
  </si>
  <si>
    <t>Bay Marine Boat Work, Teresa</t>
  </si>
  <si>
    <t>09/18/2024</t>
  </si>
  <si>
    <t>G1047</t>
  </si>
  <si>
    <t>62100129</t>
  </si>
  <si>
    <t>Robinson, Josean</t>
  </si>
  <si>
    <t>B2020</t>
  </si>
  <si>
    <t>62101140</t>
  </si>
  <si>
    <t>Smith, Sharika</t>
  </si>
  <si>
    <t>F1093</t>
  </si>
  <si>
    <t>62106288</t>
  </si>
  <si>
    <t>Turner, Madison</t>
  </si>
  <si>
    <t>09/28/2024</t>
  </si>
  <si>
    <t>C1024</t>
  </si>
  <si>
    <t>62107169</t>
  </si>
  <si>
    <t>Moores, Kelly</t>
  </si>
  <si>
    <t>E1007</t>
  </si>
  <si>
    <t>62107295</t>
  </si>
  <si>
    <t>Ryan, Jenna</t>
  </si>
  <si>
    <t>09/26/2024</t>
  </si>
  <si>
    <t>H1050</t>
  </si>
  <si>
    <t>62107645</t>
  </si>
  <si>
    <t>blaylock, Kaylee</t>
  </si>
  <si>
    <t>09/20/2024</t>
  </si>
  <si>
    <t>J1018</t>
  </si>
  <si>
    <t>62111842</t>
  </si>
  <si>
    <t>Matthews, Pacey</t>
  </si>
  <si>
    <t>09/30/2025</t>
  </si>
  <si>
    <t>J1020</t>
  </si>
  <si>
    <t>62116764</t>
  </si>
  <si>
    <t>pena, Diana</t>
  </si>
  <si>
    <t>F1014</t>
  </si>
  <si>
    <t>62117715</t>
  </si>
  <si>
    <t>Garcia-Rodriguez, Rosalia</t>
  </si>
  <si>
    <t>F1095</t>
  </si>
  <si>
    <t>62123370</t>
  </si>
  <si>
    <t>williams, Joshua</t>
  </si>
  <si>
    <t>J1008</t>
  </si>
  <si>
    <t>62124298</t>
  </si>
  <si>
    <t>Benning, LaTrell</t>
  </si>
  <si>
    <t>09/23/2024</t>
  </si>
  <si>
    <t>J1009</t>
  </si>
  <si>
    <t>62125819</t>
  </si>
  <si>
    <t>Goeppert, Kimberly</t>
  </si>
  <si>
    <t>09/25/2024</t>
  </si>
  <si>
    <t>C1045</t>
  </si>
  <si>
    <t>62134187</t>
  </si>
  <si>
    <t>Frranklin, Aureon</t>
  </si>
  <si>
    <t>B1007</t>
  </si>
  <si>
    <t>62144030</t>
  </si>
  <si>
    <t>Mitchell, Erica</t>
  </si>
  <si>
    <t>A1008</t>
  </si>
  <si>
    <t>62145000</t>
  </si>
  <si>
    <t>Rhodes, Matthew</t>
  </si>
  <si>
    <t>10/01/2024</t>
  </si>
  <si>
    <t>C2023</t>
  </si>
  <si>
    <t>62145912</t>
  </si>
  <si>
    <t>ramirez, michael</t>
  </si>
  <si>
    <t>E1008</t>
  </si>
  <si>
    <t>62152149</t>
  </si>
  <si>
    <t>Smith, Sandra</t>
  </si>
  <si>
    <t>09/29/2024</t>
  </si>
  <si>
    <t>J1013</t>
  </si>
  <si>
    <t>62152492</t>
  </si>
  <si>
    <t>09/27/2024</t>
  </si>
  <si>
    <t>F1050</t>
  </si>
  <si>
    <t>62161007</t>
  </si>
  <si>
    <t>Mimay, Grant</t>
  </si>
  <si>
    <t>B2001</t>
  </si>
  <si>
    <t>62164333</t>
  </si>
  <si>
    <t>MARK DAMION JOHNSON, Mark</t>
  </si>
  <si>
    <t>09/30/2024</t>
  </si>
  <si>
    <t>C1041</t>
  </si>
  <si>
    <t>62167009</t>
  </si>
  <si>
    <t>Ramirez, Bicente</t>
  </si>
  <si>
    <t>B2016</t>
  </si>
  <si>
    <t>62167269</t>
  </si>
  <si>
    <t>Johnston, Mikaela</t>
  </si>
  <si>
    <t>J1046</t>
  </si>
  <si>
    <t>62168339</t>
  </si>
  <si>
    <t>Hill, Kierra</t>
  </si>
  <si>
    <t>I1022</t>
  </si>
  <si>
    <t>62169108</t>
  </si>
  <si>
    <t>Roberts, Steven</t>
  </si>
  <si>
    <t>E1012</t>
  </si>
  <si>
    <t>62175888</t>
  </si>
  <si>
    <t>Nesbitt, Robert</t>
  </si>
  <si>
    <t>10/06/2024</t>
  </si>
  <si>
    <t>E1014</t>
  </si>
  <si>
    <t>62176412</t>
  </si>
  <si>
    <t>Goodreau, Christine</t>
  </si>
  <si>
    <t>G1066</t>
  </si>
  <si>
    <t>04/13/2025</t>
  </si>
  <si>
    <t>G1062</t>
  </si>
  <si>
    <t>D1011</t>
  </si>
  <si>
    <t>62177035</t>
  </si>
  <si>
    <t>Friesen, Ronnie</t>
  </si>
  <si>
    <t>A1002</t>
  </si>
  <si>
    <t>62181437</t>
  </si>
  <si>
    <t>Michael, Savannah</t>
  </si>
  <si>
    <t>A1026</t>
  </si>
  <si>
    <t>62184147</t>
  </si>
  <si>
    <t>Stewart, Helena</t>
  </si>
  <si>
    <t>D1006</t>
  </si>
  <si>
    <t>62186656</t>
  </si>
  <si>
    <t>Wullenwaber, Debbie</t>
  </si>
  <si>
    <t>D1003</t>
  </si>
  <si>
    <t>62188802</t>
  </si>
  <si>
    <t>johnston, chris</t>
  </si>
  <si>
    <t>10/02/2024</t>
  </si>
  <si>
    <t>G1004</t>
  </si>
  <si>
    <t>62192047</t>
  </si>
  <si>
    <t>Delgado, Oscar</t>
  </si>
  <si>
    <t>I1005</t>
  </si>
  <si>
    <t>62199157</t>
  </si>
  <si>
    <t>SILVA, OLIVER</t>
  </si>
  <si>
    <t>F1052</t>
  </si>
  <si>
    <t>62202275</t>
  </si>
  <si>
    <t>Monteiro, Claude</t>
  </si>
  <si>
    <t>10/05/2024</t>
  </si>
  <si>
    <t>J1001</t>
  </si>
  <si>
    <t>62206524</t>
  </si>
  <si>
    <t>MALIHAN, YARENIT</t>
  </si>
  <si>
    <t>J1017</t>
  </si>
  <si>
    <t>62207458</t>
  </si>
  <si>
    <t>Estoque, Dana</t>
  </si>
  <si>
    <t>10/12/2024</t>
  </si>
  <si>
    <t>E1015</t>
  </si>
  <si>
    <t>62207581</t>
  </si>
  <si>
    <t>Matthew m brazelton construction, Matthew</t>
  </si>
  <si>
    <t>B1028</t>
  </si>
  <si>
    <t>62210507</t>
  </si>
  <si>
    <t>Graze Solano, Maleah</t>
  </si>
  <si>
    <t>A1027</t>
  </si>
  <si>
    <t>62216061</t>
  </si>
  <si>
    <t>NP Health Foods LLC, Sean</t>
  </si>
  <si>
    <t>B1031</t>
  </si>
  <si>
    <t>62220246</t>
  </si>
  <si>
    <t>Goodnight, Nolan</t>
  </si>
  <si>
    <t>B2027</t>
  </si>
  <si>
    <t>62220910</t>
  </si>
  <si>
    <t>Clark, Ronald</t>
  </si>
  <si>
    <t>10/08/2024</t>
  </si>
  <si>
    <t>C2003</t>
  </si>
  <si>
    <t>62224746</t>
  </si>
  <si>
    <t>West, Mary</t>
  </si>
  <si>
    <t>10/14/2024</t>
  </si>
  <si>
    <t>B2025</t>
  </si>
  <si>
    <t>62227061</t>
  </si>
  <si>
    <t>West, Steven</t>
  </si>
  <si>
    <t>10/16/2024</t>
  </si>
  <si>
    <t>F1013</t>
  </si>
  <si>
    <t>62250554</t>
  </si>
  <si>
    <t>Harris, Sandra</t>
  </si>
  <si>
    <t>10/15/2024</t>
  </si>
  <si>
    <t>F1054</t>
  </si>
  <si>
    <t>62258753</t>
  </si>
  <si>
    <t>Rodriguez, Jose</t>
  </si>
  <si>
    <t>10/18/2024</t>
  </si>
  <si>
    <t>F1056</t>
  </si>
  <si>
    <t>62262376</t>
  </si>
  <si>
    <t>pizzuti, krystle</t>
  </si>
  <si>
    <t>F1060</t>
  </si>
  <si>
    <t>62266626</t>
  </si>
  <si>
    <t>Kelsh, Terrence</t>
  </si>
  <si>
    <t>10/17/2024</t>
  </si>
  <si>
    <t>J1002</t>
  </si>
  <si>
    <t>62267597</t>
  </si>
  <si>
    <t>Ferguson, Joseph</t>
  </si>
  <si>
    <t>E1016</t>
  </si>
  <si>
    <t>62271853</t>
  </si>
  <si>
    <t>Ruloph, Veronica</t>
  </si>
  <si>
    <t>F1037</t>
  </si>
  <si>
    <t>11/03/2025</t>
  </si>
  <si>
    <t>B2029</t>
  </si>
  <si>
    <t>62274530</t>
  </si>
  <si>
    <t>Bokum, Veronica</t>
  </si>
  <si>
    <t>10/25/2024</t>
  </si>
  <si>
    <t>F1061</t>
  </si>
  <si>
    <t>62279327</t>
  </si>
  <si>
    <t>Williams, James</t>
  </si>
  <si>
    <t>10/19/2024</t>
  </si>
  <si>
    <t>F1058</t>
  </si>
  <si>
    <t>62279715</t>
  </si>
  <si>
    <t>Rose, Arthur</t>
  </si>
  <si>
    <t>10/22/2024</t>
  </si>
  <si>
    <t>C2029</t>
  </si>
  <si>
    <t>62289152</t>
  </si>
  <si>
    <t>Cabrera, Jennifer</t>
  </si>
  <si>
    <t>F1049</t>
  </si>
  <si>
    <t>62307992</t>
  </si>
  <si>
    <t>Newcomb, Annesia</t>
  </si>
  <si>
    <t>02/25/2025</t>
  </si>
  <si>
    <t>F1063</t>
  </si>
  <si>
    <t>62308065</t>
  </si>
  <si>
    <t>Granillo, Brandon</t>
  </si>
  <si>
    <t>F1065</t>
  </si>
  <si>
    <t>62313179</t>
  </si>
  <si>
    <t>Alderson, Jill</t>
  </si>
  <si>
    <t>F1024</t>
  </si>
  <si>
    <t>01/04/2025</t>
  </si>
  <si>
    <t>C2025</t>
  </si>
  <si>
    <t>62321708</t>
  </si>
  <si>
    <t>Patrick, Michael Jerrome</t>
  </si>
  <si>
    <t>10/29/2024</t>
  </si>
  <si>
    <t>G1090</t>
  </si>
  <si>
    <t>62329208</t>
  </si>
  <si>
    <t>Medina, Ernest</t>
  </si>
  <si>
    <t>11/02/2024</t>
  </si>
  <si>
    <t>C2013</t>
  </si>
  <si>
    <t>62337392</t>
  </si>
  <si>
    <t>Reagan, Erin</t>
  </si>
  <si>
    <t>10/28/2024</t>
  </si>
  <si>
    <t>F1067</t>
  </si>
  <si>
    <t>62338856</t>
  </si>
  <si>
    <t>Melton, Thomas</t>
  </si>
  <si>
    <t>E1013</t>
  </si>
  <si>
    <t>62342487</t>
  </si>
  <si>
    <t>Madsen, Chad</t>
  </si>
  <si>
    <t>B2004</t>
  </si>
  <si>
    <t>62343008</t>
  </si>
  <si>
    <t>Barcelona, Thomas</t>
  </si>
  <si>
    <t>F1069</t>
  </si>
  <si>
    <t>62353037</t>
  </si>
  <si>
    <t>Dahlen, Paul</t>
  </si>
  <si>
    <t>H1022</t>
  </si>
  <si>
    <t>62359361</t>
  </si>
  <si>
    <t>Patrick, Shawn</t>
  </si>
  <si>
    <t>10/31/2024</t>
  </si>
  <si>
    <t>G1079</t>
  </si>
  <si>
    <t>62361460</t>
  </si>
  <si>
    <t>Rahaeuser, Josh</t>
  </si>
  <si>
    <t>11/06/2024</t>
  </si>
  <si>
    <t>G1063</t>
  </si>
  <si>
    <t>62366074</t>
  </si>
  <si>
    <t>Gonzales, Nicholas</t>
  </si>
  <si>
    <t>B1059</t>
  </si>
  <si>
    <t>62370356</t>
  </si>
  <si>
    <t>Onyango, Caroline</t>
  </si>
  <si>
    <t>E1006</t>
  </si>
  <si>
    <t>62378214</t>
  </si>
  <si>
    <t>Ruloph, John</t>
  </si>
  <si>
    <t>11/04/2024</t>
  </si>
  <si>
    <t>F1072</t>
  </si>
  <si>
    <t>62379872</t>
  </si>
  <si>
    <t>Morris, Rachael</t>
  </si>
  <si>
    <t>11/05/2024</t>
  </si>
  <si>
    <t>I1003</t>
  </si>
  <si>
    <t>62385604</t>
  </si>
  <si>
    <t>Delgado Paredes JR., Oscar</t>
  </si>
  <si>
    <t>11/03/2024</t>
  </si>
  <si>
    <t>D1026</t>
  </si>
  <si>
    <t>62390548</t>
  </si>
  <si>
    <t>Villalobos, Jonathan</t>
  </si>
  <si>
    <t>11/08/2024</t>
  </si>
  <si>
    <t>B2022</t>
  </si>
  <si>
    <t>62408043</t>
  </si>
  <si>
    <t>Lovely Roots Collection LLC, Gail</t>
  </si>
  <si>
    <t>C2027</t>
  </si>
  <si>
    <t>62430677</t>
  </si>
  <si>
    <t>avins, josh</t>
  </si>
  <si>
    <t>11/14/2024</t>
  </si>
  <si>
    <t>C1014</t>
  </si>
  <si>
    <t>62434004</t>
  </si>
  <si>
    <t>Fiu, Tamara</t>
  </si>
  <si>
    <t>A1017</t>
  </si>
  <si>
    <t>62434690</t>
  </si>
  <si>
    <t>Heath, Edwin J</t>
  </si>
  <si>
    <t>11/12/2024</t>
  </si>
  <si>
    <t>D1029</t>
  </si>
  <si>
    <t>62437793</t>
  </si>
  <si>
    <t>Quezada, Oracio</t>
  </si>
  <si>
    <t>11/13/2024</t>
  </si>
  <si>
    <t>F1074</t>
  </si>
  <si>
    <t>62439935</t>
  </si>
  <si>
    <t>Holley, Ariana</t>
  </si>
  <si>
    <t>11/18/2024</t>
  </si>
  <si>
    <t>F1075</t>
  </si>
  <si>
    <t>62441619</t>
  </si>
  <si>
    <t>Sittinger, Mitchell</t>
  </si>
  <si>
    <t>B1053</t>
  </si>
  <si>
    <t>62442880</t>
  </si>
  <si>
    <t>Rathnam, Selliah</t>
  </si>
  <si>
    <t>11/15/2024</t>
  </si>
  <si>
    <t>04/30/2026</t>
  </si>
  <si>
    <t>G1052</t>
  </si>
  <si>
    <t>62445474</t>
  </si>
  <si>
    <t>Criss, Genina</t>
  </si>
  <si>
    <t>A1001</t>
  </si>
  <si>
    <t>62446113</t>
  </si>
  <si>
    <t>Gutierrez, Elsa</t>
  </si>
  <si>
    <t>F1015</t>
  </si>
  <si>
    <t>62451024</t>
  </si>
  <si>
    <t>Wigley, Kelly</t>
  </si>
  <si>
    <t>11/16/2024</t>
  </si>
  <si>
    <t>A1006</t>
  </si>
  <si>
    <t>62451149</t>
  </si>
  <si>
    <t>Johansson, Christine</t>
  </si>
  <si>
    <t>A1018</t>
  </si>
  <si>
    <t>62460745</t>
  </si>
  <si>
    <t>wood, jacqueline</t>
  </si>
  <si>
    <t>11/17/2024</t>
  </si>
  <si>
    <t>F1076</t>
  </si>
  <si>
    <t>62471543</t>
  </si>
  <si>
    <t>Perez, Jocelyn</t>
  </si>
  <si>
    <t>11/19/2024</t>
  </si>
  <si>
    <t>G1056</t>
  </si>
  <si>
    <t>62479391</t>
  </si>
  <si>
    <t>Jessup, Veronica L</t>
  </si>
  <si>
    <t>11/21/2024</t>
  </si>
  <si>
    <t>B2032</t>
  </si>
  <si>
    <t>62485655</t>
  </si>
  <si>
    <t>Saunders, Shawn T</t>
  </si>
  <si>
    <t>11/23/2024</t>
  </si>
  <si>
    <t>I1007</t>
  </si>
  <si>
    <t>62490244</t>
  </si>
  <si>
    <t>Hawbaker, Ryan</t>
  </si>
  <si>
    <t>B2013</t>
  </si>
  <si>
    <t>62500764</t>
  </si>
  <si>
    <t>Hamilton, Nancy</t>
  </si>
  <si>
    <t>11/24/2024</t>
  </si>
  <si>
    <t>B2036</t>
  </si>
  <si>
    <t>62507798</t>
  </si>
  <si>
    <t>Marshall, Mylon</t>
  </si>
  <si>
    <t>12/01/2024</t>
  </si>
  <si>
    <t>J1039</t>
  </si>
  <si>
    <t>62515840</t>
  </si>
  <si>
    <t>Hernandez, Griselda</t>
  </si>
  <si>
    <t>11/26/2024</t>
  </si>
  <si>
    <t>B1018</t>
  </si>
  <si>
    <t>62516062</t>
  </si>
  <si>
    <t>Cooper, Jayla</t>
  </si>
  <si>
    <t>F1078</t>
  </si>
  <si>
    <t>62517726</t>
  </si>
  <si>
    <t>Hurley, Sarah</t>
  </si>
  <si>
    <t>G1058</t>
  </si>
  <si>
    <t>62521772</t>
  </si>
  <si>
    <t>Cole, Miranda</t>
  </si>
  <si>
    <t>11/27/2024</t>
  </si>
  <si>
    <t>F1018</t>
  </si>
  <si>
    <t>62527608</t>
  </si>
  <si>
    <t>Simpson, Jamie</t>
  </si>
  <si>
    <t>F1079</t>
  </si>
  <si>
    <t>62529968</t>
  </si>
  <si>
    <t>Springer, Kerry</t>
  </si>
  <si>
    <t>11/29/2024</t>
  </si>
  <si>
    <t>B2026</t>
  </si>
  <si>
    <t>62531776</t>
  </si>
  <si>
    <t>Springer, Daniel</t>
  </si>
  <si>
    <t>C1040</t>
  </si>
  <si>
    <t>62539982</t>
  </si>
  <si>
    <t>Forsythe, Nicholas</t>
  </si>
  <si>
    <t>11/30/2024</t>
  </si>
  <si>
    <t>F1019</t>
  </si>
  <si>
    <t>62541694</t>
  </si>
  <si>
    <t>Kump, Kendal Seth</t>
  </si>
  <si>
    <t>12/04/2024</t>
  </si>
  <si>
    <t>J1035</t>
  </si>
  <si>
    <t>62544631</t>
  </si>
  <si>
    <t>collins, pierre</t>
  </si>
  <si>
    <t>F1080</t>
  </si>
  <si>
    <t>62551462</t>
  </si>
  <si>
    <t>Stephens, Todd</t>
  </si>
  <si>
    <t>12/08/2024</t>
  </si>
  <si>
    <t>F1083</t>
  </si>
  <si>
    <t>62582569</t>
  </si>
  <si>
    <t>Cruz, Vicente</t>
  </si>
  <si>
    <t>C1042</t>
  </si>
  <si>
    <t>62587424</t>
  </si>
  <si>
    <t>Coleman, Meghan</t>
  </si>
  <si>
    <t>12/09/2024</t>
  </si>
  <si>
    <t>C2021</t>
  </si>
  <si>
    <t>62592446</t>
  </si>
  <si>
    <t>Mattson, Cinamon</t>
  </si>
  <si>
    <t>12/10/2024</t>
  </si>
  <si>
    <t>A1014</t>
  </si>
  <si>
    <t>62592988</t>
  </si>
  <si>
    <t>Celeste, Tranquilino</t>
  </si>
  <si>
    <t>I1010</t>
  </si>
  <si>
    <t>62615148</t>
  </si>
  <si>
    <t>Irwin, Gady</t>
  </si>
  <si>
    <t>12/12/2024</t>
  </si>
  <si>
    <t>H1003</t>
  </si>
  <si>
    <t>62617805</t>
  </si>
  <si>
    <t>Coronel, Jose Contreras</t>
  </si>
  <si>
    <t>F1020</t>
  </si>
  <si>
    <t>62622579</t>
  </si>
  <si>
    <t>Stagg, Mark</t>
  </si>
  <si>
    <t>12/13/2024</t>
  </si>
  <si>
    <t>B1046</t>
  </si>
  <si>
    <t>62623715</t>
  </si>
  <si>
    <t>Corral, Jen</t>
  </si>
  <si>
    <t>A1032</t>
  </si>
  <si>
    <t>62628293</t>
  </si>
  <si>
    <t>Johnson, Kristin</t>
  </si>
  <si>
    <t>12/14/2024</t>
  </si>
  <si>
    <t>G1049</t>
  </si>
  <si>
    <t>62634571</t>
  </si>
  <si>
    <t>vaccari, Alfiero</t>
  </si>
  <si>
    <t>12/15/2024</t>
  </si>
  <si>
    <t>J1043</t>
  </si>
  <si>
    <t>62640759</t>
  </si>
  <si>
    <t>irwin, Jessica</t>
  </si>
  <si>
    <t>12/16/2024</t>
  </si>
  <si>
    <t>F1043</t>
  </si>
  <si>
    <t>62655093</t>
  </si>
  <si>
    <t>Fletcher, Susan</t>
  </si>
  <si>
    <t>09/05/2025</t>
  </si>
  <si>
    <t>B1019</t>
  </si>
  <si>
    <t>62663893</t>
  </si>
  <si>
    <t>Jones, Ragan</t>
  </si>
  <si>
    <t>12/21/2024</t>
  </si>
  <si>
    <t>F1086</t>
  </si>
  <si>
    <t>62676992</t>
  </si>
  <si>
    <t>RockHound Collections LLC, Matthew</t>
  </si>
  <si>
    <t>01/02/2025</t>
  </si>
  <si>
    <t>G1065</t>
  </si>
  <si>
    <t>62695001</t>
  </si>
  <si>
    <t xml:space="preserve">Silva, Thayla </t>
  </si>
  <si>
    <t>01/11/2025</t>
  </si>
  <si>
    <t>I1033</t>
  </si>
  <si>
    <t>62707006</t>
  </si>
  <si>
    <t>Gray, Shaman</t>
  </si>
  <si>
    <t>B1057</t>
  </si>
  <si>
    <t>62708773</t>
  </si>
  <si>
    <t>Duff, Rick</t>
  </si>
  <si>
    <t>12/29/2024</t>
  </si>
  <si>
    <t>G1061</t>
  </si>
  <si>
    <t>62715286</t>
  </si>
  <si>
    <t>Whiting-Layne, Jonathan</t>
  </si>
  <si>
    <t>12/30/2024</t>
  </si>
  <si>
    <t>F1022</t>
  </si>
  <si>
    <t>62720870</t>
  </si>
  <si>
    <t>Hulsey, Michael R.</t>
  </si>
  <si>
    <t>01/01/2025</t>
  </si>
  <si>
    <t>B1013</t>
  </si>
  <si>
    <t>62722332</t>
  </si>
  <si>
    <t>Lander, Danielle</t>
  </si>
  <si>
    <t>12/31/2024</t>
  </si>
  <si>
    <t>F1088</t>
  </si>
  <si>
    <t>62722607</t>
  </si>
  <si>
    <t>Cortes, Francisco</t>
  </si>
  <si>
    <t>F1089</t>
  </si>
  <si>
    <t>62723063</t>
  </si>
  <si>
    <t>demaria, Gina</t>
  </si>
  <si>
    <t>I1027</t>
  </si>
  <si>
    <t>62733612</t>
  </si>
  <si>
    <t>lopez, Sandra</t>
  </si>
  <si>
    <t>F1045</t>
  </si>
  <si>
    <t>62739970</t>
  </si>
  <si>
    <t>Britton, Dominisha</t>
  </si>
  <si>
    <t>01/03/2025</t>
  </si>
  <si>
    <t>H1001</t>
  </si>
  <si>
    <t>62749490</t>
  </si>
  <si>
    <t>mulholland, shawn</t>
  </si>
  <si>
    <t>G1042</t>
  </si>
  <si>
    <t>62750297</t>
  </si>
  <si>
    <t>Thomas, Zachary</t>
  </si>
  <si>
    <t>05/02/2025</t>
  </si>
  <si>
    <t>D1015</t>
  </si>
  <si>
    <t>62758259</t>
  </si>
  <si>
    <t>Legacy Pools Inc, Emilio</t>
  </si>
  <si>
    <t>01/06/2025</t>
  </si>
  <si>
    <t>D1016</t>
  </si>
  <si>
    <t>62759406</t>
  </si>
  <si>
    <t>Nardone, Tyler</t>
  </si>
  <si>
    <t>G1048</t>
  </si>
  <si>
    <t>62763171</t>
  </si>
  <si>
    <t>Puryear, Heather</t>
  </si>
  <si>
    <t>02/09/2025</t>
  </si>
  <si>
    <t>D1009</t>
  </si>
  <si>
    <t>62763650</t>
  </si>
  <si>
    <t>Martinez, Maria</t>
  </si>
  <si>
    <t>01/07/2025</t>
  </si>
  <si>
    <t>F1091</t>
  </si>
  <si>
    <t>62770140</t>
  </si>
  <si>
    <t>Watts, Kenneth</t>
  </si>
  <si>
    <t>G1060</t>
  </si>
  <si>
    <t>62775597</t>
  </si>
  <si>
    <t>Morales, Abigail</t>
  </si>
  <si>
    <t>01/09/2025</t>
  </si>
  <si>
    <t>G1064</t>
  </si>
  <si>
    <t>62775817</t>
  </si>
  <si>
    <t>O'Donnell, Goldie</t>
  </si>
  <si>
    <t>01/13/2025</t>
  </si>
  <si>
    <t>C1046</t>
  </si>
  <si>
    <t>62790430</t>
  </si>
  <si>
    <t>DeHart, Elizabeth</t>
  </si>
  <si>
    <t>01/12/2025</t>
  </si>
  <si>
    <t>G1080</t>
  </si>
  <si>
    <t>62790885</t>
  </si>
  <si>
    <t>Perkins, Joseph</t>
  </si>
  <si>
    <t>C1012</t>
  </si>
  <si>
    <t>62803261</t>
  </si>
  <si>
    <t>Rocha, Jennifer</t>
  </si>
  <si>
    <t>01/15/2025</t>
  </si>
  <si>
    <t>G1005</t>
  </si>
  <si>
    <t>62813268</t>
  </si>
  <si>
    <t>01/17/2025</t>
  </si>
  <si>
    <t>G1015</t>
  </si>
  <si>
    <t>62817668</t>
  </si>
  <si>
    <t>Guisihan, Rito</t>
  </si>
  <si>
    <t>F1027</t>
  </si>
  <si>
    <t>62819203</t>
  </si>
  <si>
    <t>Villicana, Adriana</t>
  </si>
  <si>
    <t>01/19/2025</t>
  </si>
  <si>
    <t>G1018</t>
  </si>
  <si>
    <t>62820226</t>
  </si>
  <si>
    <t>Fernandez, Joanna</t>
  </si>
  <si>
    <t>02/01/2025</t>
  </si>
  <si>
    <t>F1028</t>
  </si>
  <si>
    <t>62831640</t>
  </si>
  <si>
    <t>Rangel, Socorro</t>
  </si>
  <si>
    <t>01/20/2025</t>
  </si>
  <si>
    <t>J1023</t>
  </si>
  <si>
    <t>62841245</t>
  </si>
  <si>
    <t>Hampson, Casey</t>
  </si>
  <si>
    <t>G1017</t>
  </si>
  <si>
    <t>62844209</t>
  </si>
  <si>
    <t>Sanderson, Dayton</t>
  </si>
  <si>
    <t>01/23/2025</t>
  </si>
  <si>
    <t>D1017</t>
  </si>
  <si>
    <t>62847677</t>
  </si>
  <si>
    <t>Forrester, JEROMY</t>
  </si>
  <si>
    <t>01/30/2025</t>
  </si>
  <si>
    <t>C2004</t>
  </si>
  <si>
    <t>62847951</t>
  </si>
  <si>
    <t>Russell, Gwendolyn</t>
  </si>
  <si>
    <t>01/25/2025</t>
  </si>
  <si>
    <t>C2002</t>
  </si>
  <si>
    <t>62854069</t>
  </si>
  <si>
    <t>Silay, Lorna</t>
  </si>
  <si>
    <t>G1068</t>
  </si>
  <si>
    <t>62854319</t>
  </si>
  <si>
    <t>Edmundson, Steven</t>
  </si>
  <si>
    <t>B1001</t>
  </si>
  <si>
    <t>62859752</t>
  </si>
  <si>
    <t>Faustino, Abigail</t>
  </si>
  <si>
    <t>05/10/2025</t>
  </si>
  <si>
    <t>F1064</t>
  </si>
  <si>
    <t>62859813</t>
  </si>
  <si>
    <t>Morales, Timothy</t>
  </si>
  <si>
    <t>02/05/2025</t>
  </si>
  <si>
    <t>B1015</t>
  </si>
  <si>
    <t>62867589</t>
  </si>
  <si>
    <t>Bowen, Ruth</t>
  </si>
  <si>
    <t>01/27/2025</t>
  </si>
  <si>
    <t>C2008</t>
  </si>
  <si>
    <t>62923100</t>
  </si>
  <si>
    <t>Brown, Antwon</t>
  </si>
  <si>
    <t>02/06/2025</t>
  </si>
  <si>
    <t>B1034</t>
  </si>
  <si>
    <t>62936954</t>
  </si>
  <si>
    <t>Dixon, Josh</t>
  </si>
  <si>
    <t>02/07/2025</t>
  </si>
  <si>
    <t>H1052</t>
  </si>
  <si>
    <t>62945966</t>
  </si>
  <si>
    <t>DeLuna, Krissie</t>
  </si>
  <si>
    <t>F1031</t>
  </si>
  <si>
    <t>62954017</t>
  </si>
  <si>
    <t>Schikore, Barbara</t>
  </si>
  <si>
    <t>G1072</t>
  </si>
  <si>
    <t>03/01/2025</t>
  </si>
  <si>
    <t>H1024</t>
  </si>
  <si>
    <t>62959959</t>
  </si>
  <si>
    <t>lopez, renea ana</t>
  </si>
  <si>
    <t>02/12/2025</t>
  </si>
  <si>
    <t>03/31/2026</t>
  </si>
  <si>
    <t>B2033</t>
  </si>
  <si>
    <t>62966529</t>
  </si>
  <si>
    <t>Keil, Gerald S</t>
  </si>
  <si>
    <t>02/13/2025</t>
  </si>
  <si>
    <t>C1034</t>
  </si>
  <si>
    <t>62967273</t>
  </si>
  <si>
    <t>Marshall, Dustin</t>
  </si>
  <si>
    <t>G1013</t>
  </si>
  <si>
    <t>10/26/2025</t>
  </si>
  <si>
    <t>G1069</t>
  </si>
  <si>
    <t>62970591</t>
  </si>
  <si>
    <t>Galicha, Keith Robert</t>
  </si>
  <si>
    <t>02/17/2025</t>
  </si>
  <si>
    <t>G1022</t>
  </si>
  <si>
    <t>63010682</t>
  </si>
  <si>
    <t>Anderson, Heather</t>
  </si>
  <si>
    <t>02/22/2025</t>
  </si>
  <si>
    <t>G1050</t>
  </si>
  <si>
    <t>63017646</t>
  </si>
  <si>
    <t>Rogers, David A</t>
  </si>
  <si>
    <t>02/23/2025</t>
  </si>
  <si>
    <t>C2010</t>
  </si>
  <si>
    <t>63022118</t>
  </si>
  <si>
    <t>Smith, Jamie</t>
  </si>
  <si>
    <t>F1084</t>
  </si>
  <si>
    <t>63022830</t>
  </si>
  <si>
    <t>Pajkos, Jennifer</t>
  </si>
  <si>
    <t>G1024</t>
  </si>
  <si>
    <t>63022968</t>
  </si>
  <si>
    <t>Lemus, Pedro</t>
  </si>
  <si>
    <t>02/24/2025</t>
  </si>
  <si>
    <t>F1062</t>
  </si>
  <si>
    <t>63026600</t>
  </si>
  <si>
    <t>Kesete, Mussie</t>
  </si>
  <si>
    <t>G1067</t>
  </si>
  <si>
    <t>63033295</t>
  </si>
  <si>
    <t>seaver, Gina</t>
  </si>
  <si>
    <t>B1044</t>
  </si>
  <si>
    <t>63037568</t>
  </si>
  <si>
    <t>Rodriguez, Alexander</t>
  </si>
  <si>
    <t>G1071</t>
  </si>
  <si>
    <t>63040631</t>
  </si>
  <si>
    <t>Restore Motion, Luis</t>
  </si>
  <si>
    <t>03/03/2025</t>
  </si>
  <si>
    <t>H1053</t>
  </si>
  <si>
    <t>63041548</t>
  </si>
  <si>
    <t>Rinaldi, Philip</t>
  </si>
  <si>
    <t>08/30/2025</t>
  </si>
  <si>
    <t>B1008</t>
  </si>
  <si>
    <t>63042748</t>
  </si>
  <si>
    <t>Njoroge, Marcus</t>
  </si>
  <si>
    <t>02/26/2025</t>
  </si>
  <si>
    <t>APT001</t>
  </si>
  <si>
    <t>63058211</t>
  </si>
  <si>
    <t>Case, Lisa</t>
  </si>
  <si>
    <t>02/28/2025</t>
  </si>
  <si>
    <t>C1019</t>
  </si>
  <si>
    <t>63061646</t>
  </si>
  <si>
    <t>James, Harold</t>
  </si>
  <si>
    <t>I1014</t>
  </si>
  <si>
    <t>63063475</t>
  </si>
  <si>
    <t>Kamaria, Michael</t>
  </si>
  <si>
    <t>J1003</t>
  </si>
  <si>
    <t>63068935</t>
  </si>
  <si>
    <t>Levels, Danielle</t>
  </si>
  <si>
    <t>A1030</t>
  </si>
  <si>
    <t>63071024</t>
  </si>
  <si>
    <t>Campulli, Jesse</t>
  </si>
  <si>
    <t>C2031</t>
  </si>
  <si>
    <t>63071554</t>
  </si>
  <si>
    <t>Marshall, Shaun</t>
  </si>
  <si>
    <t>05/12/2025</t>
  </si>
  <si>
    <t>F1036</t>
  </si>
  <si>
    <t>63079914</t>
  </si>
  <si>
    <t>Palacio, Lori</t>
  </si>
  <si>
    <t>03/09/2025</t>
  </si>
  <si>
    <t>C1050</t>
  </si>
  <si>
    <t>63094167</t>
  </si>
  <si>
    <t>Marciano, Arisdelsy</t>
  </si>
  <si>
    <t>F1038</t>
  </si>
  <si>
    <t>63094748</t>
  </si>
  <si>
    <t>karuzas, john</t>
  </si>
  <si>
    <t>03/08/2025</t>
  </si>
  <si>
    <t>G1073</t>
  </si>
  <si>
    <t>63110282</t>
  </si>
  <si>
    <t>Bati, Buenafe</t>
  </si>
  <si>
    <t>F1040</t>
  </si>
  <si>
    <t>63115358</t>
  </si>
  <si>
    <t>Martinez, Jonathon E</t>
  </si>
  <si>
    <t>F1001</t>
  </si>
  <si>
    <t>63126003</t>
  </si>
  <si>
    <t>Tefft, Brian</t>
  </si>
  <si>
    <t>F1090</t>
  </si>
  <si>
    <t>07/01/2025</t>
  </si>
  <si>
    <t>F1081</t>
  </si>
  <si>
    <t>07/22/2025</t>
  </si>
  <si>
    <t>A1024</t>
  </si>
  <si>
    <t>63130753</t>
  </si>
  <si>
    <t>Riley, Rich</t>
  </si>
  <si>
    <t>03/11/2025</t>
  </si>
  <si>
    <t>A1004</t>
  </si>
  <si>
    <t>63152376</t>
  </si>
  <si>
    <t>Armstorff, Robert</t>
  </si>
  <si>
    <t>03/15/2025</t>
  </si>
  <si>
    <t>D1023</t>
  </si>
  <si>
    <t>I1015</t>
  </si>
  <si>
    <t>63162981</t>
  </si>
  <si>
    <t>Elrod, Jan</t>
  </si>
  <si>
    <t>03/18/2025</t>
  </si>
  <si>
    <t>I1006</t>
  </si>
  <si>
    <t>63169803</t>
  </si>
  <si>
    <t>Davis, Hunter</t>
  </si>
  <si>
    <t>E1001</t>
  </si>
  <si>
    <t>63181798</t>
  </si>
  <si>
    <t>Reyes, Laura</t>
  </si>
  <si>
    <t>03/20/2025</t>
  </si>
  <si>
    <t>D1004</t>
  </si>
  <si>
    <t>63186458</t>
  </si>
  <si>
    <t>Minkin, Lenora</t>
  </si>
  <si>
    <t>03/21/2025</t>
  </si>
  <si>
    <t>C1008</t>
  </si>
  <si>
    <t>63186485</t>
  </si>
  <si>
    <t>Axalta Performance Systems, Jerry</t>
  </si>
  <si>
    <t>I1011</t>
  </si>
  <si>
    <t>63195471</t>
  </si>
  <si>
    <t>marcum, jennifer</t>
  </si>
  <si>
    <t>03/22/2025</t>
  </si>
  <si>
    <t>G1030</t>
  </si>
  <si>
    <t>63198852</t>
  </si>
  <si>
    <t>Zapata, Jessie</t>
  </si>
  <si>
    <t>03/23/2025</t>
  </si>
  <si>
    <t>B1051</t>
  </si>
  <si>
    <t>63221134</t>
  </si>
  <si>
    <t>Shiferaw, Beletech</t>
  </si>
  <si>
    <t>03/26/2025</t>
  </si>
  <si>
    <t>F1087</t>
  </si>
  <si>
    <t>63222820</t>
  </si>
  <si>
    <t>Fleming, Alicia</t>
  </si>
  <si>
    <t>03/29/2025</t>
  </si>
  <si>
    <t>C2001</t>
  </si>
  <si>
    <t>63234085</t>
  </si>
  <si>
    <t>Murphy, Patrick</t>
  </si>
  <si>
    <t>03/28/2025</t>
  </si>
  <si>
    <t>F1041</t>
  </si>
  <si>
    <t>63244742</t>
  </si>
  <si>
    <t>Kalaleh, Cristina</t>
  </si>
  <si>
    <t>03/31/2025</t>
  </si>
  <si>
    <t>B2034</t>
  </si>
  <si>
    <t>63253342</t>
  </si>
  <si>
    <t>Johnson, Nate</t>
  </si>
  <si>
    <t>04/05/2025</t>
  </si>
  <si>
    <t>C2009</t>
  </si>
  <si>
    <t>63258342</t>
  </si>
  <si>
    <t>Dornish, Keshia</t>
  </si>
  <si>
    <t>J1037</t>
  </si>
  <si>
    <t>63260520</t>
  </si>
  <si>
    <t>Ollison, DeShaun</t>
  </si>
  <si>
    <t>05/28/2025</t>
  </si>
  <si>
    <t>J1031</t>
  </si>
  <si>
    <t>63268711</t>
  </si>
  <si>
    <t>Pigg, Lois</t>
  </si>
  <si>
    <t>04/02/2025</t>
  </si>
  <si>
    <t>B1009</t>
  </si>
  <si>
    <t>63275297</t>
  </si>
  <si>
    <t>Chavez, Lorenzo</t>
  </si>
  <si>
    <t>05/27/2025</t>
  </si>
  <si>
    <t>J1033</t>
  </si>
  <si>
    <t>63288871</t>
  </si>
  <si>
    <t>Dupuis, Nicole</t>
  </si>
  <si>
    <t>B1014</t>
  </si>
  <si>
    <t>63293255</t>
  </si>
  <si>
    <t>Kennedy, Anita</t>
  </si>
  <si>
    <t>12/16/2025</t>
  </si>
  <si>
    <t>G1025</t>
  </si>
  <si>
    <t>63299399</t>
  </si>
  <si>
    <t>Caceres, Jolina</t>
  </si>
  <si>
    <t>04/08/2025</t>
  </si>
  <si>
    <t>F1016</t>
  </si>
  <si>
    <t>63304665</t>
  </si>
  <si>
    <t>Dobry, Marissa</t>
  </si>
  <si>
    <t>I1025</t>
  </si>
  <si>
    <t>63308819</t>
  </si>
  <si>
    <t>Ruiz, linda</t>
  </si>
  <si>
    <t>04/09/2025</t>
  </si>
  <si>
    <t>G1085</t>
  </si>
  <si>
    <t>63322195</t>
  </si>
  <si>
    <t>Meade, Nicki</t>
  </si>
  <si>
    <t>04/12/2025</t>
  </si>
  <si>
    <t>F1008</t>
  </si>
  <si>
    <t>63322656</t>
  </si>
  <si>
    <t>Vargas, Miriam</t>
  </si>
  <si>
    <t>04/11/2025</t>
  </si>
  <si>
    <t>G1053</t>
  </si>
  <si>
    <t>63332882</t>
  </si>
  <si>
    <t>Clark, Latoya</t>
  </si>
  <si>
    <t>G1086</t>
  </si>
  <si>
    <t>63421889</t>
  </si>
  <si>
    <t>Leyva, Lauren</t>
  </si>
  <si>
    <t>04/27/2025</t>
  </si>
  <si>
    <t>G1088</t>
  </si>
  <si>
    <t>63427062</t>
  </si>
  <si>
    <t>DELRIO, ROXANA</t>
  </si>
  <si>
    <t>04/28/2025</t>
  </si>
  <si>
    <t>B2015</t>
  </si>
  <si>
    <t>63451364</t>
  </si>
  <si>
    <t>Romain, Ariel St</t>
  </si>
  <si>
    <t>05/01/2025</t>
  </si>
  <si>
    <t>G1036</t>
  </si>
  <si>
    <t>63468487</t>
  </si>
  <si>
    <t>Burks, Tashaira</t>
  </si>
  <si>
    <t>05/03/2025</t>
  </si>
  <si>
    <t>10/31/2025</t>
  </si>
  <si>
    <t>G1038</t>
  </si>
  <si>
    <t>11/30/2025</t>
  </si>
  <si>
    <t>J1034</t>
  </si>
  <si>
    <t>63487281</t>
  </si>
  <si>
    <t>Yeazel, Meagen</t>
  </si>
  <si>
    <t>05/06/2025</t>
  </si>
  <si>
    <t>C1017</t>
  </si>
  <si>
    <t>63497129</t>
  </si>
  <si>
    <t>Rund, Taylor</t>
  </si>
  <si>
    <t>05/09/2025</t>
  </si>
  <si>
    <t>H1031</t>
  </si>
  <si>
    <t>63500217</t>
  </si>
  <si>
    <t>Baxendale, Terry</t>
  </si>
  <si>
    <t>H1032</t>
  </si>
  <si>
    <t>63516529</t>
  </si>
  <si>
    <t>Foy, Cary</t>
  </si>
  <si>
    <t>B1024</t>
  </si>
  <si>
    <t>63528016</t>
  </si>
  <si>
    <t>Maligie, Lauren</t>
  </si>
  <si>
    <t>I1013</t>
  </si>
  <si>
    <t>63535048</t>
  </si>
  <si>
    <t>Smith, Randy</t>
  </si>
  <si>
    <t>06/06/2025</t>
  </si>
  <si>
    <t>A1031</t>
  </si>
  <si>
    <t>05/13/2025</t>
  </si>
  <si>
    <t>D1021</t>
  </si>
  <si>
    <t>63550789</t>
  </si>
  <si>
    <t>Madrigal, Lisandro</t>
  </si>
  <si>
    <t>05/16/2025</t>
  </si>
  <si>
    <t>H1027</t>
  </si>
  <si>
    <t>63552265</t>
  </si>
  <si>
    <t>West, Michael</t>
  </si>
  <si>
    <t>05/22/2025</t>
  </si>
  <si>
    <t>B1030</t>
  </si>
  <si>
    <t>63553865</t>
  </si>
  <si>
    <t>Trucano, Tracey</t>
  </si>
  <si>
    <t>D1014</t>
  </si>
  <si>
    <t>63557615</t>
  </si>
  <si>
    <t>Sonoma event rentals, Clemente</t>
  </si>
  <si>
    <t>05/17/2025</t>
  </si>
  <si>
    <t>F1059</t>
  </si>
  <si>
    <t>12/09/2025</t>
  </si>
  <si>
    <t>G1040</t>
  </si>
  <si>
    <t>63564367</t>
  </si>
  <si>
    <t>Allen, Kristina</t>
  </si>
  <si>
    <t>05/21/2025</t>
  </si>
  <si>
    <t>B1023</t>
  </si>
  <si>
    <t>63575154</t>
  </si>
  <si>
    <t>Resnick, Jaclyn</t>
  </si>
  <si>
    <t>H1035</t>
  </si>
  <si>
    <t>63583208</t>
  </si>
  <si>
    <t>Henix, Martha</t>
  </si>
  <si>
    <t>05/24/2025</t>
  </si>
  <si>
    <t>I1012</t>
  </si>
  <si>
    <t>63609840</t>
  </si>
  <si>
    <t>Freeman, Rex</t>
  </si>
  <si>
    <t>05/25/2025</t>
  </si>
  <si>
    <t>H1005</t>
  </si>
  <si>
    <t>63621343</t>
  </si>
  <si>
    <t>Kennedy, Jack</t>
  </si>
  <si>
    <t>I1020</t>
  </si>
  <si>
    <t>63624683</t>
  </si>
  <si>
    <t>Nguyen, Tram</t>
  </si>
  <si>
    <t>A1025</t>
  </si>
  <si>
    <t>B1050</t>
  </si>
  <si>
    <t>63636198</t>
  </si>
  <si>
    <t>Dinehart, Staci Lee</t>
  </si>
  <si>
    <t>05/29/2025</t>
  </si>
  <si>
    <t>H1006</t>
  </si>
  <si>
    <t>63636335</t>
  </si>
  <si>
    <t>Goetze, Terry</t>
  </si>
  <si>
    <t>H1025</t>
  </si>
  <si>
    <t>63639944</t>
  </si>
  <si>
    <t>Maes, Lora</t>
  </si>
  <si>
    <t>05/30/2025</t>
  </si>
  <si>
    <t>C2019</t>
  </si>
  <si>
    <t>63649174</t>
  </si>
  <si>
    <t>Alvarado, Jhonatan</t>
  </si>
  <si>
    <t>11/08/2025</t>
  </si>
  <si>
    <t>C2017</t>
  </si>
  <si>
    <t>63654758</t>
  </si>
  <si>
    <t>Anderson-Smith, Gabriella</t>
  </si>
  <si>
    <t>05/31/2025</t>
  </si>
  <si>
    <t>B1033</t>
  </si>
  <si>
    <t>63655708</t>
  </si>
  <si>
    <t>Brown, Ron</t>
  </si>
  <si>
    <t>H1010</t>
  </si>
  <si>
    <t>63663869</t>
  </si>
  <si>
    <t>saintvil, Bendrix</t>
  </si>
  <si>
    <t>06/01/2025</t>
  </si>
  <si>
    <t>D1012</t>
  </si>
  <si>
    <t>63665709</t>
  </si>
  <si>
    <t>Reed, Creig</t>
  </si>
  <si>
    <t>06/03/2025</t>
  </si>
  <si>
    <t>H1036</t>
  </si>
  <si>
    <t>63666163</t>
  </si>
  <si>
    <t>IV, Alexander Stauf</t>
  </si>
  <si>
    <t>06/02/2025</t>
  </si>
  <si>
    <t>B1038</t>
  </si>
  <si>
    <t>63669545</t>
  </si>
  <si>
    <t>Edwards, Jimmy</t>
  </si>
  <si>
    <t>06/16/2025</t>
  </si>
  <si>
    <t>H1011</t>
  </si>
  <si>
    <t>63704799</t>
  </si>
  <si>
    <t>Aguirre, Norma</t>
  </si>
  <si>
    <t>06/07/2025</t>
  </si>
  <si>
    <t>H1012</t>
  </si>
  <si>
    <t>63713201</t>
  </si>
  <si>
    <t>Vega, Cassie</t>
  </si>
  <si>
    <t>06/09/2025</t>
  </si>
  <si>
    <t>H1038</t>
  </si>
  <si>
    <t>63734546</t>
  </si>
  <si>
    <t>Gonzalez, Pamela</t>
  </si>
  <si>
    <t>06/14/2025</t>
  </si>
  <si>
    <t>D1027</t>
  </si>
  <si>
    <t>63745691</t>
  </si>
  <si>
    <t>Seleska, Hallie</t>
  </si>
  <si>
    <t>B1048</t>
  </si>
  <si>
    <t>63747869</t>
  </si>
  <si>
    <t>Garcia, Diego</t>
  </si>
  <si>
    <t>H1015</t>
  </si>
  <si>
    <t>63748090</t>
  </si>
  <si>
    <t>Knock 'Em Out Pest Control, Inc, Maryjane</t>
  </si>
  <si>
    <t>06/22/2025</t>
  </si>
  <si>
    <t>H1016</t>
  </si>
  <si>
    <t>63755055</t>
  </si>
  <si>
    <t>Cruz, Nicole Dela</t>
  </si>
  <si>
    <t>06/20/2025</t>
  </si>
  <si>
    <t>E1017</t>
  </si>
  <si>
    <t>63755216</t>
  </si>
  <si>
    <t>Verret, Kaylee</t>
  </si>
  <si>
    <t>06/17/2025</t>
  </si>
  <si>
    <t>B1032</t>
  </si>
  <si>
    <t>63764670</t>
  </si>
  <si>
    <t>Cerriteno, Antonio</t>
  </si>
  <si>
    <t>06/19/2025</t>
  </si>
  <si>
    <t>I1039</t>
  </si>
  <si>
    <t>63783158</t>
  </si>
  <si>
    <t>Ponce, David</t>
  </si>
  <si>
    <t>06/23/2025</t>
  </si>
  <si>
    <t>H1023</t>
  </si>
  <si>
    <t>G1003</t>
  </si>
  <si>
    <t>63785943</t>
  </si>
  <si>
    <t>Lutat, Julie</t>
  </si>
  <si>
    <t>H1018</t>
  </si>
  <si>
    <t>63786250</t>
  </si>
  <si>
    <t>Singh, Yash Karan</t>
  </si>
  <si>
    <t>06/28/2025</t>
  </si>
  <si>
    <t>B2012</t>
  </si>
  <si>
    <t>63788104</t>
  </si>
  <si>
    <t>The Painted Cotton, Annette</t>
  </si>
  <si>
    <t>I1050</t>
  </si>
  <si>
    <t>63797136</t>
  </si>
  <si>
    <t>plancarte, mario</t>
  </si>
  <si>
    <t>06/25/2025</t>
  </si>
  <si>
    <t>G1011</t>
  </si>
  <si>
    <t>63803744</t>
  </si>
  <si>
    <t>smith, carol</t>
  </si>
  <si>
    <t>06/26/2025</t>
  </si>
  <si>
    <t>C1038</t>
  </si>
  <si>
    <t>63820685</t>
  </si>
  <si>
    <t>Jenkins, Mindy</t>
  </si>
  <si>
    <t>C2016</t>
  </si>
  <si>
    <t>63827527</t>
  </si>
  <si>
    <t>Anatole, Melissa</t>
  </si>
  <si>
    <t>06/29/2025</t>
  </si>
  <si>
    <t>B1029</t>
  </si>
  <si>
    <t>63836518</t>
  </si>
  <si>
    <t>O'Reilly, Belinda T</t>
  </si>
  <si>
    <t>06/30/2025</t>
  </si>
  <si>
    <t>G1082</t>
  </si>
  <si>
    <t>63842469</t>
  </si>
  <si>
    <t>Laxman, Chandra</t>
  </si>
  <si>
    <t>A1028</t>
  </si>
  <si>
    <t>63855626</t>
  </si>
  <si>
    <t>Silvas Fire Protection, Jose</t>
  </si>
  <si>
    <t>07/03/2025</t>
  </si>
  <si>
    <t>I1044</t>
  </si>
  <si>
    <t>63856366</t>
  </si>
  <si>
    <t>Palmer, Dale</t>
  </si>
  <si>
    <t>07/04/2025</t>
  </si>
  <si>
    <t>H1044</t>
  </si>
  <si>
    <t>63886303</t>
  </si>
  <si>
    <t>vincent, Rick</t>
  </si>
  <si>
    <t>07/09/2025</t>
  </si>
  <si>
    <t>B1026</t>
  </si>
  <si>
    <t>63895598</t>
  </si>
  <si>
    <t>Stoumbaugh, Denise</t>
  </si>
  <si>
    <t>07/10/2025</t>
  </si>
  <si>
    <t>J1005</t>
  </si>
  <si>
    <t>63896228</t>
  </si>
  <si>
    <t>Le, Nam</t>
  </si>
  <si>
    <t>07/16/2025</t>
  </si>
  <si>
    <t>F1082</t>
  </si>
  <si>
    <t>63910169</t>
  </si>
  <si>
    <t>Fountaine, Templeton</t>
  </si>
  <si>
    <t>07/12/2025</t>
  </si>
  <si>
    <t>C1048</t>
  </si>
  <si>
    <t>63911456</t>
  </si>
  <si>
    <t>Lewis, Nicholas</t>
  </si>
  <si>
    <t>07/11/2025</t>
  </si>
  <si>
    <t>J1032</t>
  </si>
  <si>
    <t>63922448</t>
  </si>
  <si>
    <t>Hickey, Kayla</t>
  </si>
  <si>
    <t>07/13/2025</t>
  </si>
  <si>
    <t>C2026</t>
  </si>
  <si>
    <t>63936191</t>
  </si>
  <si>
    <t>Minkin, Ryan</t>
  </si>
  <si>
    <t>07/15/2025</t>
  </si>
  <si>
    <t>G1008</t>
  </si>
  <si>
    <t>63962961</t>
  </si>
  <si>
    <t>Canning, Chris</t>
  </si>
  <si>
    <t>07/19/2025</t>
  </si>
  <si>
    <t>B1055</t>
  </si>
  <si>
    <t>63972916</t>
  </si>
  <si>
    <t>Santiago, Brandon</t>
  </si>
  <si>
    <t>07/21/2025</t>
  </si>
  <si>
    <t>C2028</t>
  </si>
  <si>
    <t>63985281</t>
  </si>
  <si>
    <t>Converse, Garrett</t>
  </si>
  <si>
    <t>07/23/2025</t>
  </si>
  <si>
    <t>H1048</t>
  </si>
  <si>
    <t>64017043</t>
  </si>
  <si>
    <t>Staring, Gary</t>
  </si>
  <si>
    <t>07/26/2025</t>
  </si>
  <si>
    <t>C1007</t>
  </si>
  <si>
    <t>64032064</t>
  </si>
  <si>
    <t>Varela, Isabel</t>
  </si>
  <si>
    <t>07/28/2025</t>
  </si>
  <si>
    <t>G1032</t>
  </si>
  <si>
    <t>64032901</t>
  </si>
  <si>
    <t>Crawford, Devin</t>
  </si>
  <si>
    <t>07/29/2025</t>
  </si>
  <si>
    <t>F1002</t>
  </si>
  <si>
    <t>64038605</t>
  </si>
  <si>
    <t>Zachary, April</t>
  </si>
  <si>
    <t>08/01/2025</t>
  </si>
  <si>
    <t>D1020</t>
  </si>
  <si>
    <t>64038640</t>
  </si>
  <si>
    <t>Ortiz-Gelder, Tyler-Martin</t>
  </si>
  <si>
    <t>F1053</t>
  </si>
  <si>
    <t>64064452</t>
  </si>
  <si>
    <t>Espinoza, Angelica</t>
  </si>
  <si>
    <t>H1039</t>
  </si>
  <si>
    <t>64072622</t>
  </si>
  <si>
    <t>Wine, James</t>
  </si>
  <si>
    <t>08/23/2025</t>
  </si>
  <si>
    <t>G1074</t>
  </si>
  <si>
    <t>G1019</t>
  </si>
  <si>
    <t>64074892</t>
  </si>
  <si>
    <t>Mayes, Melissa</t>
  </si>
  <si>
    <t>08/09/2025</t>
  </si>
  <si>
    <t>D1024</t>
  </si>
  <si>
    <t>64084976</t>
  </si>
  <si>
    <t>Waters, James</t>
  </si>
  <si>
    <t>08/05/2025</t>
  </si>
  <si>
    <t>D1025</t>
  </si>
  <si>
    <t>64097183</t>
  </si>
  <si>
    <t>olguin, Isaac Hurtado</t>
  </si>
  <si>
    <t>08/08/2025</t>
  </si>
  <si>
    <t>C2024</t>
  </si>
  <si>
    <t>64132403</t>
  </si>
  <si>
    <t>Paschal, Juli</t>
  </si>
  <si>
    <t>08/16/2025</t>
  </si>
  <si>
    <t>C1021</t>
  </si>
  <si>
    <t>64132567</t>
  </si>
  <si>
    <t>Sanner, Mary</t>
  </si>
  <si>
    <t>08/15/2025</t>
  </si>
  <si>
    <t>I1037</t>
  </si>
  <si>
    <t>64135414</t>
  </si>
  <si>
    <t>Esquivias concrete ink, Jesus</t>
  </si>
  <si>
    <t>C1011</t>
  </si>
  <si>
    <t>64137334</t>
  </si>
  <si>
    <t>saunders, Macie</t>
  </si>
  <si>
    <t>F1047</t>
  </si>
  <si>
    <t>64139468</t>
  </si>
  <si>
    <t>Rangel, Alvaro</t>
  </si>
  <si>
    <t>F1068</t>
  </si>
  <si>
    <t>64155320</t>
  </si>
  <si>
    <t>Pawek, Bill</t>
  </si>
  <si>
    <t>I1046</t>
  </si>
  <si>
    <t>64155620</t>
  </si>
  <si>
    <t>King, Gregory</t>
  </si>
  <si>
    <t>08/18/2025</t>
  </si>
  <si>
    <t>G1026</t>
  </si>
  <si>
    <t>64159988</t>
  </si>
  <si>
    <t>Rossi, Thomas</t>
  </si>
  <si>
    <t>08/20/2025</t>
  </si>
  <si>
    <t>C2030</t>
  </si>
  <si>
    <t>64163792</t>
  </si>
  <si>
    <t>Boles, Christina</t>
  </si>
  <si>
    <t>E1009</t>
  </si>
  <si>
    <t>64164846</t>
  </si>
  <si>
    <t>UTech Pro Service, Steven</t>
  </si>
  <si>
    <t>08/26/2025</t>
  </si>
  <si>
    <t>F1042</t>
  </si>
  <si>
    <t>64174776</t>
  </si>
  <si>
    <t>Phillips, Trevor</t>
  </si>
  <si>
    <t>08/24/2025</t>
  </si>
  <si>
    <t>G1006</t>
  </si>
  <si>
    <t>64180936</t>
  </si>
  <si>
    <t>Carlton, Margaret</t>
  </si>
  <si>
    <t>B1004</t>
  </si>
  <si>
    <t>64191161</t>
  </si>
  <si>
    <t>Kielty-Rinaldi, TARA</t>
  </si>
  <si>
    <t>08/25/2025</t>
  </si>
  <si>
    <t>B2024</t>
  </si>
  <si>
    <t>64207948</t>
  </si>
  <si>
    <t>Repnak, Cody</t>
  </si>
  <si>
    <t>08/29/2025</t>
  </si>
  <si>
    <t>B2014</t>
  </si>
  <si>
    <t>I1026</t>
  </si>
  <si>
    <t>64222536</t>
  </si>
  <si>
    <t>Silva Portillo, Francisco</t>
  </si>
  <si>
    <t>C2022</t>
  </si>
  <si>
    <t>64227341</t>
  </si>
  <si>
    <t>Bennett, Katherine</t>
  </si>
  <si>
    <t>A1023</t>
  </si>
  <si>
    <t>64229636</t>
  </si>
  <si>
    <t>Underhill, Bobbi</t>
  </si>
  <si>
    <t>I1034</t>
  </si>
  <si>
    <t>64246162</t>
  </si>
  <si>
    <t>Williams, Janet</t>
  </si>
  <si>
    <t>09/08/2025</t>
  </si>
  <si>
    <t>C1035</t>
  </si>
  <si>
    <t>64277836</t>
  </si>
  <si>
    <t>Burgos, Bobbie</t>
  </si>
  <si>
    <t>09/13/2025</t>
  </si>
  <si>
    <t>I1029</t>
  </si>
  <si>
    <t>64278623</t>
  </si>
  <si>
    <t>charley, dejah</t>
  </si>
  <si>
    <t>09/07/2025</t>
  </si>
  <si>
    <t>C1044</t>
  </si>
  <si>
    <t>64283002</t>
  </si>
  <si>
    <t>myrick, Jonathan</t>
  </si>
  <si>
    <t>H1029</t>
  </si>
  <si>
    <t>64284968</t>
  </si>
  <si>
    <t>Payne, Arely</t>
  </si>
  <si>
    <t>10/16/2025</t>
  </si>
  <si>
    <t>E1002</t>
  </si>
  <si>
    <t>64289123</t>
  </si>
  <si>
    <t>Fitts, Steven</t>
  </si>
  <si>
    <t>09/09/2025</t>
  </si>
  <si>
    <t>G1081</t>
  </si>
  <si>
    <t>64321952</t>
  </si>
  <si>
    <t>Martinez, Andrew</t>
  </si>
  <si>
    <t>09/16/2025</t>
  </si>
  <si>
    <t>B1003</t>
  </si>
  <si>
    <t>64322037</t>
  </si>
  <si>
    <t>Stevens, Victor</t>
  </si>
  <si>
    <t>B1002</t>
  </si>
  <si>
    <t>64330770</t>
  </si>
  <si>
    <t>Schwarzenberger, Joe</t>
  </si>
  <si>
    <t>09/18/2025</t>
  </si>
  <si>
    <t>J1045</t>
  </si>
  <si>
    <t>64331910</t>
  </si>
  <si>
    <t>Wise, Kimberly</t>
  </si>
  <si>
    <t>C2012</t>
  </si>
  <si>
    <t>64340621</t>
  </si>
  <si>
    <t>Paris, Nathaniel</t>
  </si>
  <si>
    <t>09/20/2025</t>
  </si>
  <si>
    <t>F1023</t>
  </si>
  <si>
    <t>64355390</t>
  </si>
  <si>
    <t>Gilbane Building Company, Jose</t>
  </si>
  <si>
    <t>09/25/2025</t>
  </si>
  <si>
    <t>F1025</t>
  </si>
  <si>
    <t>64362152</t>
  </si>
  <si>
    <t>Swanson, Marniee</t>
  </si>
  <si>
    <t>09/27/2025</t>
  </si>
  <si>
    <t>G1044</t>
  </si>
  <si>
    <t>64419191</t>
  </si>
  <si>
    <t>Baca, Tavarias</t>
  </si>
  <si>
    <t>10/02/2025</t>
  </si>
  <si>
    <t>H1051</t>
  </si>
  <si>
    <t>64430947</t>
  </si>
  <si>
    <t>Blakely, Rolonda</t>
  </si>
  <si>
    <t>10/04/2025</t>
  </si>
  <si>
    <t>H1042</t>
  </si>
  <si>
    <t>64434532</t>
  </si>
  <si>
    <t>Gill, Joi</t>
  </si>
  <si>
    <t>10/08/2025</t>
  </si>
  <si>
    <t>G1001</t>
  </si>
  <si>
    <t>64438994</t>
  </si>
  <si>
    <t>Stephens, Tavares</t>
  </si>
  <si>
    <t>10/05/2025</t>
  </si>
  <si>
    <t>H1028</t>
  </si>
  <si>
    <t>64460247</t>
  </si>
  <si>
    <t>Hamilton, Robert</t>
  </si>
  <si>
    <t>10/09/2025</t>
  </si>
  <si>
    <t>C1025</t>
  </si>
  <si>
    <t>64463627</t>
  </si>
  <si>
    <t>Gonzalez, Joanna</t>
  </si>
  <si>
    <t>10/13/2025</t>
  </si>
  <si>
    <t>A1022</t>
  </si>
  <si>
    <t>64466842</t>
  </si>
  <si>
    <t>DeGrange, Gregory</t>
  </si>
  <si>
    <t>10/10/2025</t>
  </si>
  <si>
    <t>G1023</t>
  </si>
  <si>
    <t>64467573</t>
  </si>
  <si>
    <t>Belletti, Kristina</t>
  </si>
  <si>
    <t>10/17/2025</t>
  </si>
  <si>
    <t>D1005</t>
  </si>
  <si>
    <t>64468116</t>
  </si>
  <si>
    <t>Luhmann, Karl</t>
  </si>
  <si>
    <t>H1046</t>
  </si>
  <si>
    <t>64468705</t>
  </si>
  <si>
    <t>jackson, Rodney</t>
  </si>
  <si>
    <t>H1008</t>
  </si>
  <si>
    <t>64484850</t>
  </si>
  <si>
    <t>Norcross, Kerry</t>
  </si>
  <si>
    <t>F1077</t>
  </si>
  <si>
    <t>64487827</t>
  </si>
  <si>
    <t>Rosario, Maria</t>
  </si>
  <si>
    <t>10/14/2025</t>
  </si>
  <si>
    <t>H1045</t>
  </si>
  <si>
    <t>64489455</t>
  </si>
  <si>
    <t>Benedetti, Aldo</t>
  </si>
  <si>
    <t>F1003</t>
  </si>
  <si>
    <t>64495897</t>
  </si>
  <si>
    <t>Gonzales, Eileen</t>
  </si>
  <si>
    <t>10/15/2025</t>
  </si>
  <si>
    <t>D1022</t>
  </si>
  <si>
    <t>64496874</t>
  </si>
  <si>
    <t>Ceasar, Brenda</t>
  </si>
  <si>
    <t>10/22/2025</t>
  </si>
  <si>
    <t>F1070</t>
  </si>
  <si>
    <t>10/30/2025</t>
  </si>
  <si>
    <t>G1083</t>
  </si>
  <si>
    <t>64507323</t>
  </si>
  <si>
    <t>Lucas, Carly</t>
  </si>
  <si>
    <t>H1030</t>
  </si>
  <si>
    <t>64541814</t>
  </si>
  <si>
    <t>Gardner, Laura</t>
  </si>
  <si>
    <t>10/23/2025</t>
  </si>
  <si>
    <t>A1034</t>
  </si>
  <si>
    <t>64554400</t>
  </si>
  <si>
    <t>Family City, En</t>
  </si>
  <si>
    <t>10/24/2025</t>
  </si>
  <si>
    <t>E1010</t>
  </si>
  <si>
    <t>11/17/2025</t>
  </si>
  <si>
    <t>C1051</t>
  </si>
  <si>
    <t>64555053</t>
  </si>
  <si>
    <t>Chavis, Anthony</t>
  </si>
  <si>
    <t>I1023</t>
  </si>
  <si>
    <t>64562324</t>
  </si>
  <si>
    <t>Gordon, William</t>
  </si>
  <si>
    <t>10/25/2025</t>
  </si>
  <si>
    <t>G1016</t>
  </si>
  <si>
    <t>64571295</t>
  </si>
  <si>
    <t>smittcamp, rock</t>
  </si>
  <si>
    <t>G1077</t>
  </si>
  <si>
    <t>64575275</t>
  </si>
  <si>
    <t xml:space="preserve">Stanwood, Elizabeth </t>
  </si>
  <si>
    <t>11/02/2025</t>
  </si>
  <si>
    <t>G1092</t>
  </si>
  <si>
    <t>64576774</t>
  </si>
  <si>
    <t>Strickland, Madeleine</t>
  </si>
  <si>
    <t>10/28/2025</t>
  </si>
  <si>
    <t>F1055</t>
  </si>
  <si>
    <t>64579658</t>
  </si>
  <si>
    <t>Downes, Michelle</t>
  </si>
  <si>
    <t>10/29/2025</t>
  </si>
  <si>
    <t>H1047</t>
  </si>
  <si>
    <t>64580512</t>
  </si>
  <si>
    <t>Luna, Matthew</t>
  </si>
  <si>
    <t>H1037</t>
  </si>
  <si>
    <t>64593310</t>
  </si>
  <si>
    <t>Goodwin, John</t>
  </si>
  <si>
    <t>11/01/2025</t>
  </si>
  <si>
    <t>I1048</t>
  </si>
  <si>
    <t>64594908</t>
  </si>
  <si>
    <t>Insight Housing, Richard</t>
  </si>
  <si>
    <t>F1021</t>
  </si>
  <si>
    <t>64596857</t>
  </si>
  <si>
    <t>Carranza, Jose A.</t>
  </si>
  <si>
    <t>I1041</t>
  </si>
  <si>
    <t>64604981</t>
  </si>
  <si>
    <t>Rodriguez, Maria</t>
  </si>
  <si>
    <t>H1040</t>
  </si>
  <si>
    <t>64629620</t>
  </si>
  <si>
    <t>Lewis, Michael</t>
  </si>
  <si>
    <t>11/04/2025</t>
  </si>
  <si>
    <t>F1029</t>
  </si>
  <si>
    <t>64631573</t>
  </si>
  <si>
    <t>Trevisanut, Julia</t>
  </si>
  <si>
    <t>11/06/2025</t>
  </si>
  <si>
    <t>H1043</t>
  </si>
  <si>
    <t>64633468</t>
  </si>
  <si>
    <t>Ure, Harrison</t>
  </si>
  <si>
    <t>I1042</t>
  </si>
  <si>
    <t>64645357</t>
  </si>
  <si>
    <t>Smith, Jennifer</t>
  </si>
  <si>
    <t>11/07/2025</t>
  </si>
  <si>
    <t>J1019</t>
  </si>
  <si>
    <t>64645551</t>
  </si>
  <si>
    <t>DeGrange, Leslie</t>
  </si>
  <si>
    <t>I1018</t>
  </si>
  <si>
    <t>64653228</t>
  </si>
  <si>
    <t>Meek, Kurtis</t>
  </si>
  <si>
    <t>A1012</t>
  </si>
  <si>
    <t>64653851</t>
  </si>
  <si>
    <t>Zadnik, Robert</t>
  </si>
  <si>
    <t>A1015</t>
  </si>
  <si>
    <t>64664381</t>
  </si>
  <si>
    <t>Loewe, Seth</t>
  </si>
  <si>
    <t>11/10/2025</t>
  </si>
  <si>
    <t>A1033</t>
  </si>
  <si>
    <t>64669857</t>
  </si>
  <si>
    <t>Flete, Ramon</t>
  </si>
  <si>
    <t>11/16/2025</t>
  </si>
  <si>
    <t>D1002</t>
  </si>
  <si>
    <t>64678677</t>
  </si>
  <si>
    <t>Huston, Marcella</t>
  </si>
  <si>
    <t>11/13/2025</t>
  </si>
  <si>
    <t>G1091</t>
  </si>
  <si>
    <t>64685441</t>
  </si>
  <si>
    <t>Mcintyre, Stella</t>
  </si>
  <si>
    <t>12/15/2025</t>
  </si>
  <si>
    <t>A1013</t>
  </si>
  <si>
    <t>64693076</t>
  </si>
  <si>
    <t>Basye, Thais</t>
  </si>
  <si>
    <t>B1045</t>
  </si>
  <si>
    <t>64703505</t>
  </si>
  <si>
    <t>Sharp, Amy</t>
  </si>
  <si>
    <t>11/28/2025</t>
  </si>
  <si>
    <t>F1096</t>
  </si>
  <si>
    <t>64707358</t>
  </si>
  <si>
    <t>colter, Nicholas</t>
  </si>
  <si>
    <t>11/18/2025</t>
  </si>
  <si>
    <t>H1017</t>
  </si>
  <si>
    <t>64714874</t>
  </si>
  <si>
    <t>Ferrari, Andrea g</t>
  </si>
  <si>
    <t>I1040</t>
  </si>
  <si>
    <t>64714932</t>
  </si>
  <si>
    <t>Gutierrez, Arielle</t>
  </si>
  <si>
    <t>11/22/2025</t>
  </si>
  <si>
    <t>A1007</t>
  </si>
  <si>
    <t>64719429</t>
  </si>
  <si>
    <t>Huston, Rickey</t>
  </si>
  <si>
    <t>11/20/2025</t>
  </si>
  <si>
    <t>I1024</t>
  </si>
  <si>
    <t>64731924</t>
  </si>
  <si>
    <t>Rodriquez, Bertha</t>
  </si>
  <si>
    <t>B2003</t>
  </si>
  <si>
    <t>64737806</t>
  </si>
  <si>
    <t>Ponce Duran, Luis</t>
  </si>
  <si>
    <t>11/23/2025</t>
  </si>
  <si>
    <t>C1004</t>
  </si>
  <si>
    <t>64738714</t>
  </si>
  <si>
    <t>Genio, Fatima</t>
  </si>
  <si>
    <t>I1004</t>
  </si>
  <si>
    <t>64745003</t>
  </si>
  <si>
    <t>Graham, Jason</t>
  </si>
  <si>
    <t>11/24/2025</t>
  </si>
  <si>
    <t>G1041</t>
  </si>
  <si>
    <t>64750890</t>
  </si>
  <si>
    <t>Hoof and Horn Leather Goods, Tiffany</t>
  </si>
  <si>
    <t>12/01/2025</t>
  </si>
  <si>
    <t>H1033</t>
  </si>
  <si>
    <t>64762496</t>
  </si>
  <si>
    <t>Ball, Kaitlin</t>
  </si>
  <si>
    <t>I1030</t>
  </si>
  <si>
    <t>64762537</t>
  </si>
  <si>
    <t>conrad, Shiloh</t>
  </si>
  <si>
    <t>C1027</t>
  </si>
  <si>
    <t>64774208</t>
  </si>
  <si>
    <t>Parsons, Kayla</t>
  </si>
  <si>
    <t>11/29/2025</t>
  </si>
  <si>
    <t>I1031</t>
  </si>
  <si>
    <t>64780916</t>
  </si>
  <si>
    <t>Gutierrez, David</t>
  </si>
  <si>
    <t>G1051</t>
  </si>
  <si>
    <t>64781816</t>
  </si>
  <si>
    <t>Patterson, Susan Gomes</t>
  </si>
  <si>
    <t>12/06/2025</t>
  </si>
  <si>
    <t>F1085</t>
  </si>
  <si>
    <t>64788039</t>
  </si>
  <si>
    <t>Ryan, Verda</t>
  </si>
  <si>
    <t>12/02/2025</t>
  </si>
  <si>
    <t>B1025</t>
  </si>
  <si>
    <t>64788941</t>
  </si>
  <si>
    <t>Ajlouny, Jacqueline</t>
  </si>
  <si>
    <t>F1039</t>
  </si>
  <si>
    <t>64807041</t>
  </si>
  <si>
    <t>Jackson, Rahkahmiel</t>
  </si>
  <si>
    <t>12/04/2025</t>
  </si>
  <si>
    <t>D1030</t>
  </si>
  <si>
    <t>64810243</t>
  </si>
  <si>
    <t>Garza, Cliffy Renee</t>
  </si>
  <si>
    <t>12/05/2025</t>
  </si>
  <si>
    <t>F1044</t>
  </si>
  <si>
    <t>64812663</t>
  </si>
  <si>
    <t>Martinez, Nicolas</t>
  </si>
  <si>
    <t>C1022</t>
  </si>
  <si>
    <t>64818933</t>
  </si>
  <si>
    <t>Dixon, Isabeau</t>
  </si>
  <si>
    <t>F1048</t>
  </si>
  <si>
    <t>64820884</t>
  </si>
  <si>
    <t>Lighthouse Theatre Arts, Jennifer</t>
  </si>
  <si>
    <t>C1031</t>
  </si>
  <si>
    <t>64822035</t>
  </si>
  <si>
    <t>Hill, Brian</t>
  </si>
  <si>
    <t>12/07/2025</t>
  </si>
  <si>
    <t>G1084</t>
  </si>
  <si>
    <t>64832254</t>
  </si>
  <si>
    <t>Smith, Darrien</t>
  </si>
  <si>
    <t>C2006</t>
  </si>
  <si>
    <t>64835305</t>
  </si>
  <si>
    <t>Salma, Mohammed</t>
  </si>
  <si>
    <t>F1057</t>
  </si>
  <si>
    <t>64843453</t>
  </si>
  <si>
    <t>Corwin, Andrew</t>
  </si>
  <si>
    <t>H1013</t>
  </si>
  <si>
    <t>64844161</t>
  </si>
  <si>
    <t>Barnec, Donald</t>
  </si>
  <si>
    <t>F1026</t>
  </si>
  <si>
    <t>64854295</t>
  </si>
  <si>
    <t>Chavez, Carlos</t>
  </si>
  <si>
    <t>12/27/2025</t>
  </si>
  <si>
    <t>G1007</t>
  </si>
  <si>
    <t>64855015</t>
  </si>
  <si>
    <t>Nunes, Ralph</t>
  </si>
  <si>
    <t>12/13/2025</t>
  </si>
  <si>
    <t>J1025</t>
  </si>
  <si>
    <t>64855756</t>
  </si>
  <si>
    <t>Frogley, Davy</t>
  </si>
  <si>
    <t>B1027</t>
  </si>
  <si>
    <t>64855996</t>
  </si>
  <si>
    <t>sellers, Felicia</t>
  </si>
  <si>
    <t>12/14/2025</t>
  </si>
  <si>
    <t>F1030</t>
  </si>
  <si>
    <t>64857111</t>
  </si>
  <si>
    <t>faison, josh</t>
  </si>
  <si>
    <t>C1015</t>
  </si>
  <si>
    <t>64866676</t>
  </si>
  <si>
    <t>Kristensen, Ashley</t>
  </si>
  <si>
    <t>G1009</t>
  </si>
  <si>
    <t>64870201</t>
  </si>
  <si>
    <t>Manzanero, Rosie</t>
  </si>
  <si>
    <t>12/19/2025</t>
  </si>
  <si>
    <t>H1049</t>
  </si>
  <si>
    <t>64878900</t>
  </si>
  <si>
    <t>Berg, Jessica</t>
  </si>
  <si>
    <t>12/20/2025</t>
  </si>
  <si>
    <t>G1057</t>
  </si>
  <si>
    <t>64882213</t>
  </si>
  <si>
    <t>Kris nation, Kristin</t>
  </si>
  <si>
    <t>B1011</t>
  </si>
  <si>
    <t>64883244</t>
  </si>
  <si>
    <t>Scavone, Shaun</t>
  </si>
  <si>
    <t>12/26/2025</t>
  </si>
  <si>
    <t>B1036</t>
  </si>
  <si>
    <t>64887669</t>
  </si>
  <si>
    <t>Morales, Cryshandda</t>
  </si>
  <si>
    <t>C1001</t>
  </si>
  <si>
    <t>64890958</t>
  </si>
  <si>
    <t>Bishop, David</t>
  </si>
  <si>
    <t>G1054</t>
  </si>
  <si>
    <t>64892702</t>
  </si>
  <si>
    <t>Smith, Nerissa</t>
  </si>
  <si>
    <t>C1052</t>
  </si>
  <si>
    <t>64896004</t>
  </si>
  <si>
    <t>Barrow, Tiffany</t>
  </si>
  <si>
    <t>12/21/2025</t>
  </si>
  <si>
    <t>J1024</t>
  </si>
  <si>
    <t>64896160</t>
  </si>
  <si>
    <t>parsons, Timothy</t>
  </si>
  <si>
    <t>12/24/2025</t>
  </si>
  <si>
    <t>B1012</t>
  </si>
  <si>
    <t>64897231</t>
  </si>
  <si>
    <t>yau, Ka wai</t>
  </si>
  <si>
    <t>I1045</t>
  </si>
  <si>
    <t>64903675</t>
  </si>
  <si>
    <t>Emery, Jim</t>
  </si>
  <si>
    <t>12/23/2025</t>
  </si>
  <si>
    <t>05/31/2026</t>
  </si>
  <si>
    <t>I1035</t>
  </si>
  <si>
    <t>64903703</t>
  </si>
  <si>
    <t>farris, Cassidy</t>
  </si>
  <si>
    <t>12/30/2025</t>
  </si>
  <si>
    <t>B1035</t>
  </si>
  <si>
    <t>D1013</t>
  </si>
  <si>
    <t>64910368</t>
  </si>
  <si>
    <t>Gomez, Sebastian</t>
  </si>
  <si>
    <t>J1021</t>
  </si>
  <si>
    <t>64924883</t>
  </si>
  <si>
    <t>Ives, Theresa</t>
  </si>
  <si>
    <t>12/28/2025</t>
  </si>
  <si>
    <t>C1037</t>
  </si>
  <si>
    <t>64925371</t>
  </si>
  <si>
    <t>Choe, Young</t>
  </si>
  <si>
    <t>B2021</t>
  </si>
  <si>
    <t>64928647</t>
  </si>
  <si>
    <t>Combs, Richard</t>
  </si>
  <si>
    <t>B1039</t>
  </si>
  <si>
    <t>64929340</t>
  </si>
  <si>
    <t>Mcgough, Tyshiree</t>
  </si>
  <si>
    <t>I1047</t>
  </si>
  <si>
    <t>64930369</t>
  </si>
  <si>
    <t>marques, elias</t>
  </si>
  <si>
    <t>I1043</t>
  </si>
  <si>
    <t>64932944</t>
  </si>
  <si>
    <t>Wright-Greene, Vanessa</t>
  </si>
  <si>
    <t>I1032</t>
  </si>
  <si>
    <t>64945419</t>
  </si>
  <si>
    <t>Auau, Alicia</t>
  </si>
  <si>
    <t>G1055</t>
  </si>
  <si>
    <t>64966429</t>
  </si>
  <si>
    <t>Martinez, Ezequiel</t>
  </si>
  <si>
    <t>G1087</t>
  </si>
  <si>
    <t>64967378</t>
  </si>
  <si>
    <t>Vazquez, Pedro</t>
  </si>
  <si>
    <t>F1092</t>
  </si>
  <si>
    <t>64968378</t>
  </si>
  <si>
    <t>Stone, Earle</t>
  </si>
  <si>
    <t>H1034</t>
  </si>
  <si>
    <t>64969001</t>
  </si>
  <si>
    <t>Hernandez, Aldo</t>
  </si>
  <si>
    <t>C2007</t>
  </si>
  <si>
    <t>64972972</t>
  </si>
  <si>
    <t>Pena, Mikayla</t>
  </si>
  <si>
    <t>G1078</t>
  </si>
  <si>
    <t>64979328</t>
  </si>
  <si>
    <t>Torres, Jessie</t>
  </si>
  <si>
    <t>F1046</t>
  </si>
  <si>
    <t>64981372</t>
  </si>
  <si>
    <t>Smith-Coaxum, Mario</t>
  </si>
  <si>
    <t>J1027</t>
  </si>
  <si>
    <t>64982734</t>
  </si>
  <si>
    <t>Pecson, Jonas Joaseph</t>
  </si>
  <si>
    <t>G1046</t>
  </si>
  <si>
    <t>64984059</t>
  </si>
  <si>
    <t>Gallagher, Lindsey</t>
  </si>
  <si>
    <t>J1026</t>
  </si>
  <si>
    <t>64988317</t>
  </si>
  <si>
    <t>Hale, Tim</t>
  </si>
  <si>
    <t>G1059</t>
  </si>
  <si>
    <t>65003948</t>
  </si>
  <si>
    <t>Francisco, Israel</t>
  </si>
  <si>
    <t>H1041</t>
  </si>
  <si>
    <t>65004607</t>
  </si>
  <si>
    <t>Beardon, Sandra</t>
  </si>
  <si>
    <t>B1021</t>
  </si>
  <si>
    <t>65011904</t>
  </si>
  <si>
    <t>Sanders, James</t>
  </si>
  <si>
    <t>B1047</t>
  </si>
  <si>
    <t>65019676</t>
  </si>
  <si>
    <t>morrison, tanner</t>
  </si>
  <si>
    <t>C1013</t>
  </si>
  <si>
    <t>65022379</t>
  </si>
  <si>
    <t>Tremewan, Dean</t>
  </si>
  <si>
    <t>C1036</t>
  </si>
  <si>
    <t>65022553</t>
  </si>
  <si>
    <t>Arreola, Daniel</t>
  </si>
  <si>
    <t>C1023</t>
  </si>
  <si>
    <t>65024947</t>
  </si>
  <si>
    <t>kraak, jason</t>
  </si>
  <si>
    <t>G1034</t>
  </si>
  <si>
    <t>65025040</t>
  </si>
  <si>
    <t>Chief construction, Paul Zackery</t>
  </si>
  <si>
    <t>I1036</t>
  </si>
  <si>
    <t>65026221</t>
  </si>
  <si>
    <t>Kump, Kendal</t>
  </si>
  <si>
    <t>G1028</t>
  </si>
  <si>
    <t>65032320</t>
  </si>
  <si>
    <t>Murray, Anthony</t>
  </si>
  <si>
    <t>J1038</t>
  </si>
  <si>
    <t>65034417</t>
  </si>
  <si>
    <t>Blair's Water Services, Bill</t>
  </si>
  <si>
    <t>C2011</t>
  </si>
  <si>
    <t>65035992</t>
  </si>
  <si>
    <t>Robinson, Jalen</t>
  </si>
  <si>
    <t>C1020</t>
  </si>
  <si>
    <t>B2010</t>
  </si>
  <si>
    <t>65036318</t>
  </si>
  <si>
    <t>Lockwood, Donald</t>
  </si>
  <si>
    <t>J1022</t>
  </si>
  <si>
    <t>65041539</t>
  </si>
  <si>
    <t>bell-mackie, chandella</t>
  </si>
  <si>
    <t>C1032</t>
  </si>
  <si>
    <t>65047305</t>
  </si>
  <si>
    <t>Stedcke, Jennifer</t>
  </si>
  <si>
    <t>B2028</t>
  </si>
  <si>
    <t>65052961</t>
  </si>
  <si>
    <t>Brown, Myessa</t>
  </si>
  <si>
    <t>H1021</t>
  </si>
  <si>
    <t>65056293</t>
  </si>
  <si>
    <t>Hiram, Vanessa</t>
  </si>
  <si>
    <t>C2018</t>
  </si>
  <si>
    <t>65057059</t>
  </si>
  <si>
    <t>thompson, stephen</t>
  </si>
  <si>
    <t>G1027</t>
  </si>
  <si>
    <t>65071418</t>
  </si>
  <si>
    <t>Soto, Lucy</t>
  </si>
  <si>
    <t>02/19/2026</t>
  </si>
  <si>
    <t>G1043</t>
  </si>
  <si>
    <t>65072539</t>
  </si>
  <si>
    <t>Lopez, Karen</t>
  </si>
  <si>
    <t>C2014</t>
  </si>
  <si>
    <t>65072805</t>
  </si>
  <si>
    <t>Harrell, Nicole</t>
  </si>
  <si>
    <t>C2032</t>
  </si>
  <si>
    <t>65077594</t>
  </si>
  <si>
    <t>McLemore, Ilyana</t>
  </si>
  <si>
    <t>H1014</t>
  </si>
  <si>
    <t>65083199</t>
  </si>
  <si>
    <t>Pawek, John</t>
  </si>
  <si>
    <t>A1021</t>
  </si>
  <si>
    <t>65090234</t>
  </si>
  <si>
    <t>Ridout, Byron</t>
  </si>
  <si>
    <t>G1089</t>
  </si>
  <si>
    <t>65091912</t>
  </si>
  <si>
    <t>Lehfeldt, Stacie</t>
  </si>
  <si>
    <t>J1028</t>
  </si>
  <si>
    <t>65120743</t>
  </si>
  <si>
    <t>makras, Johnny</t>
  </si>
  <si>
    <t>G1075</t>
  </si>
  <si>
    <t>65121248</t>
  </si>
  <si>
    <t>BIRDWELL, KATRINA</t>
  </si>
  <si>
    <t>G1039</t>
  </si>
  <si>
    <t>65123516</t>
  </si>
  <si>
    <t>Pirozzi, 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</si>
</sst>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[$-409]mmm\-yy;@"/>
    <numFmt numFmtId="166" formatCode="###,000"/>
    <numFmt numFmtId="167" formatCode="#,##0.00;\-#,##0.00;#,##0.00"/>
    <numFmt numFmtId="168" formatCode="[$-10409]0.00"/>
    <numFmt numFmtId="169" formatCode="[$-10409]&quot;$&quot;#,##0.00;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1F497D"/>
      <name val="Verdana"/>
      <family val="2"/>
    </font>
    <font>
      <b/>
      <sz val="11"/>
      <color rgb="FF1F497D"/>
      <name val="Calibri"/>
      <family val="2"/>
      <scheme val="minor"/>
    </font>
    <font>
      <sz val="8"/>
      <color rgb="FF1F497D"/>
      <name val="Verdan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62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A500"/>
        <bgColor rgb="FFFFA5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7" borderId="3" applyNumberFormat="0" applyAlignment="0" applyProtection="0">
      <alignment horizontal="left" vertical="center" indent="1"/>
    </xf>
    <xf numFmtId="166" fontId="12" fillId="8" borderId="3" applyNumberFormat="0" applyAlignment="0" applyProtection="0">
      <alignment horizontal="left" vertical="center" indent="1"/>
    </xf>
    <xf numFmtId="166" fontId="12" fillId="0" borderId="4" applyNumberFormat="0" applyProtection="0">
      <alignment horizontal="right" vertical="center"/>
    </xf>
    <xf numFmtId="0" fontId="13" fillId="0" borderId="0"/>
  </cellStyleXfs>
  <cellXfs count="78">
    <xf numFmtId="0" fontId="0" fillId="0" borderId="0" xfId="0"/>
    <xf numFmtId="0" fontId="0" fillId="0" borderId="0" xfId="0" applyAlignment="1">
      <alignment horizontal="center" wrapText="1"/>
    </xf>
    <xf numFmtId="43" fontId="0" fillId="0" borderId="0" xfId="1" applyFont="1"/>
    <xf numFmtId="0" fontId="2" fillId="0" borderId="0" xfId="0" applyFont="1"/>
    <xf numFmtId="43" fontId="2" fillId="0" borderId="0" xfId="1" applyFont="1"/>
    <xf numFmtId="43" fontId="0" fillId="0" borderId="0" xfId="1" applyFont="1" applyFill="1"/>
    <xf numFmtId="0" fontId="0" fillId="0" borderId="0" xfId="0" applyAlignment="1">
      <alignment horizontal="left" indent="2"/>
    </xf>
    <xf numFmtId="43" fontId="2" fillId="0" borderId="1" xfId="1" applyFont="1" applyBorder="1"/>
    <xf numFmtId="0" fontId="2" fillId="0" borderId="1" xfId="0" applyFont="1" applyBorder="1"/>
    <xf numFmtId="0" fontId="2" fillId="0" borderId="2" xfId="0" applyFont="1" applyBorder="1"/>
    <xf numFmtId="43" fontId="2" fillId="0" borderId="2" xfId="1" applyFont="1" applyBorder="1"/>
    <xf numFmtId="0" fontId="2" fillId="2" borderId="1" xfId="0" applyFont="1" applyFill="1" applyBorder="1"/>
    <xf numFmtId="164" fontId="0" fillId="0" borderId="0" xfId="2" applyNumberFormat="1" applyFont="1"/>
    <xf numFmtId="164" fontId="2" fillId="0" borderId="1" xfId="2" applyNumberFormat="1" applyFont="1" applyBorder="1"/>
    <xf numFmtId="164" fontId="2" fillId="0" borderId="2" xfId="2" applyNumberFormat="1" applyFont="1" applyBorder="1"/>
    <xf numFmtId="164" fontId="2" fillId="0" borderId="0" xfId="2" applyNumberFormat="1" applyFont="1"/>
    <xf numFmtId="164" fontId="2" fillId="2" borderId="1" xfId="2" applyNumberFormat="1" applyFont="1" applyFill="1" applyBorder="1"/>
    <xf numFmtId="0" fontId="0" fillId="0" borderId="0" xfId="0" applyAlignment="1">
      <alignment horizontal="left" indent="1"/>
    </xf>
    <xf numFmtId="0" fontId="0" fillId="3" borderId="0" xfId="0" applyFill="1"/>
    <xf numFmtId="0" fontId="4" fillId="0" borderId="0" xfId="0" applyFont="1" applyAlignment="1">
      <alignment horizontal="center" vertical="center" wrapText="1"/>
    </xf>
    <xf numFmtId="43" fontId="5" fillId="3" borderId="0" xfId="1" quotePrefix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4" borderId="0" xfId="0" applyFont="1" applyFill="1" applyAlignment="1">
      <alignment vertical="center"/>
    </xf>
    <xf numFmtId="43" fontId="6" fillId="4" borderId="0" xfId="1" applyFont="1" applyFill="1" applyAlignment="1">
      <alignment vertical="center"/>
    </xf>
    <xf numFmtId="43" fontId="3" fillId="0" borderId="0" xfId="1" applyFont="1" applyFill="1" applyAlignment="1">
      <alignment horizontal="center" vertical="center"/>
    </xf>
    <xf numFmtId="0" fontId="5" fillId="3" borderId="0" xfId="0" quotePrefix="1" applyFont="1" applyFill="1" applyAlignment="1">
      <alignment horizontal="center" vertical="center"/>
    </xf>
    <xf numFmtId="43" fontId="5" fillId="5" borderId="0" xfId="1" quotePrefix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2" borderId="1" xfId="3" applyFont="1" applyFill="1" applyBorder="1"/>
    <xf numFmtId="43" fontId="2" fillId="0" borderId="0" xfId="1" applyFont="1" applyFill="1"/>
    <xf numFmtId="0" fontId="2" fillId="2" borderId="2" xfId="0" applyFont="1" applyFill="1" applyBorder="1"/>
    <xf numFmtId="44" fontId="2" fillId="2" borderId="2" xfId="3" applyFont="1" applyFill="1" applyBorder="1"/>
    <xf numFmtId="0" fontId="4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6" borderId="0" xfId="0" applyFont="1" applyFill="1" applyAlignment="1">
      <alignment horizontal="centerContinuous" vertical="center"/>
    </xf>
    <xf numFmtId="0" fontId="9" fillId="4" borderId="0" xfId="0" applyFont="1" applyFill="1"/>
    <xf numFmtId="0" fontId="11" fillId="7" borderId="3" xfId="4" quotePrefix="1" applyNumberFormat="1" applyFont="1" applyAlignment="1">
      <alignment horizontal="left"/>
    </xf>
    <xf numFmtId="165" fontId="11" fillId="7" borderId="3" xfId="1" quotePrefix="1" applyNumberFormat="1" applyFont="1" applyFill="1" applyBorder="1" applyAlignment="1">
      <alignment horizontal="left"/>
    </xf>
    <xf numFmtId="0" fontId="10" fillId="7" borderId="3" xfId="4" quotePrefix="1" applyNumberFormat="1" applyAlignment="1"/>
    <xf numFmtId="0" fontId="12" fillId="8" borderId="3" xfId="5" quotePrefix="1" applyNumberFormat="1" applyAlignment="1">
      <alignment horizontal="right"/>
    </xf>
    <xf numFmtId="0" fontId="12" fillId="8" borderId="3" xfId="5" quotePrefix="1" applyNumberFormat="1" applyAlignment="1"/>
    <xf numFmtId="167" fontId="12" fillId="0" borderId="5" xfId="6" applyNumberFormat="1" applyBorder="1">
      <alignment horizontal="right" vertical="center"/>
    </xf>
    <xf numFmtId="0" fontId="14" fillId="0" borderId="0" xfId="7" applyFont="1"/>
    <xf numFmtId="0" fontId="14" fillId="9" borderId="0" xfId="7" applyFont="1" applyFill="1" applyAlignment="1">
      <alignment vertical="top" wrapText="1"/>
    </xf>
    <xf numFmtId="0" fontId="17" fillId="9" borderId="6" xfId="7" applyFont="1" applyFill="1" applyBorder="1" applyAlignment="1">
      <alignment horizontal="center" vertical="top" wrapText="1" readingOrder="1"/>
    </xf>
    <xf numFmtId="0" fontId="17" fillId="9" borderId="0" xfId="7" applyFont="1" applyFill="1" applyAlignment="1">
      <alignment vertical="top" wrapText="1" readingOrder="1"/>
    </xf>
    <xf numFmtId="0" fontId="17" fillId="9" borderId="0" xfId="7" applyFont="1" applyFill="1" applyAlignment="1">
      <alignment horizontal="right" vertical="top" wrapText="1" readingOrder="1"/>
    </xf>
    <xf numFmtId="0" fontId="17" fillId="9" borderId="0" xfId="7" applyFont="1" applyFill="1" applyAlignment="1">
      <alignment horizontal="center" vertical="top" wrapText="1" readingOrder="1"/>
    </xf>
    <xf numFmtId="0" fontId="18" fillId="0" borderId="0" xfId="7" applyFont="1" applyAlignment="1">
      <alignment vertical="top" wrapText="1" readingOrder="1"/>
    </xf>
    <xf numFmtId="168" fontId="18" fillId="0" borderId="0" xfId="7" applyNumberFormat="1" applyFont="1" applyAlignment="1">
      <alignment horizontal="right" vertical="top" wrapText="1" readingOrder="1"/>
    </xf>
    <xf numFmtId="0" fontId="18" fillId="0" borderId="0" xfId="7" applyFont="1" applyAlignment="1">
      <alignment horizontal="right" vertical="top" wrapText="1" readingOrder="1"/>
    </xf>
    <xf numFmtId="0" fontId="19" fillId="0" borderId="7" xfId="7" applyFont="1" applyBorder="1" applyAlignment="1">
      <alignment vertical="top" wrapText="1" readingOrder="1"/>
    </xf>
    <xf numFmtId="168" fontId="20" fillId="0" borderId="0" xfId="7" applyNumberFormat="1" applyFont="1" applyAlignment="1">
      <alignment horizontal="right" vertical="top" wrapText="1" readingOrder="1"/>
    </xf>
    <xf numFmtId="0" fontId="21" fillId="0" borderId="0" xfId="7" applyFont="1" applyAlignment="1">
      <alignment vertical="top" wrapText="1" readingOrder="1"/>
    </xf>
    <xf numFmtId="0" fontId="21" fillId="0" borderId="0" xfId="7" applyFont="1" applyAlignment="1">
      <alignment vertical="top" wrapText="1" readingOrder="1"/>
    </xf>
    <xf numFmtId="0" fontId="14" fillId="0" borderId="0" xfId="7" applyFont="1"/>
    <xf numFmtId="168" fontId="18" fillId="0" borderId="0" xfId="7" applyNumberFormat="1" applyFont="1" applyAlignment="1">
      <alignment horizontal="right" vertical="top" wrapText="1" readingOrder="1"/>
    </xf>
    <xf numFmtId="0" fontId="19" fillId="0" borderId="7" xfId="7" applyFont="1" applyBorder="1" applyAlignment="1">
      <alignment vertical="top" wrapText="1" readingOrder="1"/>
    </xf>
    <xf numFmtId="0" fontId="14" fillId="0" borderId="7" xfId="7" applyFont="1" applyBorder="1" applyAlignment="1">
      <alignment vertical="top" wrapText="1"/>
    </xf>
    <xf numFmtId="169" fontId="20" fillId="0" borderId="7" xfId="7" applyNumberFormat="1" applyFont="1" applyBorder="1" applyAlignment="1">
      <alignment horizontal="right" vertical="top" wrapText="1" readingOrder="1"/>
    </xf>
    <xf numFmtId="168" fontId="20" fillId="0" borderId="0" xfId="7" applyNumberFormat="1" applyFont="1" applyAlignment="1">
      <alignment horizontal="right" vertical="top" wrapText="1" readingOrder="1"/>
    </xf>
    <xf numFmtId="0" fontId="18" fillId="0" borderId="0" xfId="7" applyFont="1" applyAlignment="1">
      <alignment vertical="top" wrapText="1" readingOrder="1"/>
    </xf>
    <xf numFmtId="0" fontId="17" fillId="9" borderId="6" xfId="7" applyFont="1" applyFill="1" applyBorder="1" applyAlignment="1">
      <alignment horizontal="center" vertical="top" wrapText="1" readingOrder="1"/>
    </xf>
    <xf numFmtId="0" fontId="14" fillId="0" borderId="6" xfId="7" applyFont="1" applyBorder="1" applyAlignment="1">
      <alignment vertical="top" wrapText="1"/>
    </xf>
    <xf numFmtId="0" fontId="15" fillId="9" borderId="0" xfId="7" applyFont="1" applyFill="1" applyAlignment="1">
      <alignment vertical="top" wrapText="1" readingOrder="1"/>
    </xf>
    <xf numFmtId="0" fontId="14" fillId="9" borderId="0" xfId="7" applyFont="1" applyFill="1" applyAlignment="1">
      <alignment vertical="top" wrapText="1"/>
    </xf>
    <xf numFmtId="0" fontId="16" fillId="9" borderId="0" xfId="7" applyFont="1" applyFill="1" applyAlignment="1">
      <alignment vertical="top" wrapText="1" readingOrder="1"/>
    </xf>
    <xf numFmtId="0" fontId="16" fillId="9" borderId="0" xfId="7" applyFont="1" applyFill="1" applyAlignment="1">
      <alignment horizontal="left" vertical="top" wrapText="1" readingOrder="1"/>
    </xf>
  </cellXfs>
  <cellStyles count="8">
    <cellStyle name="Comma" xfId="1" builtinId="3"/>
    <cellStyle name="Currency" xfId="3" builtinId="4"/>
    <cellStyle name="Normal" xfId="0" builtinId="0"/>
    <cellStyle name="Normal 2" xfId="7" xr:uid="{897261DE-102C-42D0-9B23-ABC0F152CDA4}"/>
    <cellStyle name="Percent" xfId="2" builtinId="5"/>
    <cellStyle name="SAPDataCell" xfId="6" xr:uid="{09BF8745-C51B-4892-820A-C6CC150975C1}"/>
    <cellStyle name="SAPDimensionCell" xfId="4" xr:uid="{87C7DD6B-FFEA-4A89-BFA1-6AAAED847E37}"/>
    <cellStyle name="SAPMemberCell" xfId="5" xr:uid="{30B31AF8-0FAE-4B3F-8B2F-0BA363746F5F}"/>
  </cellStyles>
  <dxfs count="1">
    <dxf>
      <font>
        <b/>
        <i val="0"/>
      </font>
    </dxf>
  </dxfs>
  <tableStyles count="0" defaultTableStyle="TableStyleMedium2" defaultPivotStyle="PivotStyleLight16"/>
  <colors>
    <mruColors>
      <color rgb="FFFF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13963</xdr:colOff>
      <xdr:row>1</xdr:row>
      <xdr:rowOff>1058</xdr:rowOff>
    </xdr:from>
    <xdr:to>
      <xdr:col>16</xdr:col>
      <xdr:colOff>20108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4C5A8-FCC2-4DD4-A51A-FA89E661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31030" y="102658"/>
          <a:ext cx="1293078" cy="854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279400</xdr:colOff>
      <xdr:row>1</xdr:row>
      <xdr:rowOff>0</xdr:rowOff>
    </xdr:from>
    <xdr:to>
      <xdr:col>10</xdr:col>
      <xdr:colOff>5139</xdr:colOff>
      <xdr:row>4</xdr:row>
      <xdr:rowOff>8468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67043-6C66-4878-B7B3-8046FF12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6867" y="101600"/>
          <a:ext cx="1012672" cy="6688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149378</xdr:colOff>
      <xdr:row>1</xdr:row>
      <xdr:rowOff>0</xdr:rowOff>
    </xdr:from>
    <xdr:to>
      <xdr:col>17</xdr:col>
      <xdr:colOff>10584</xdr:colOff>
      <xdr:row>4</xdr:row>
      <xdr:rowOff>8468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5F756-E057-4853-80C1-87E3E0F6A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0045" y="101600"/>
          <a:ext cx="1012672" cy="6688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152400</xdr:colOff>
      <xdr:row>1</xdr:row>
      <xdr:rowOff>8467</xdr:rowOff>
    </xdr:from>
    <xdr:to>
      <xdr:col>17</xdr:col>
      <xdr:colOff>13606</xdr:colOff>
      <xdr:row>4</xdr:row>
      <xdr:rowOff>16935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3299A-3D25-4B91-9230-0F7E01CC4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5267" y="110067"/>
          <a:ext cx="1012672" cy="6688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287867</xdr:colOff>
      <xdr:row>1</xdr:row>
      <xdr:rowOff>0</xdr:rowOff>
    </xdr:from>
    <xdr:to>
      <xdr:col>13</xdr:col>
      <xdr:colOff>13606</xdr:colOff>
      <xdr:row>4</xdr:row>
      <xdr:rowOff>8468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5130D7-ABB8-4927-8581-996C0BE2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3934" y="101600"/>
          <a:ext cx="1012672" cy="668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drawing" Target="../drawings/drawing3.xml"/><Relationship Id="rId4" Type="http://schemas.openxmlformats.org/officeDocument/2006/relationships/customProperty" Target="../customProperty1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7.bin"/><Relationship Id="rId2" Type="http://schemas.openxmlformats.org/officeDocument/2006/relationships/customProperty" Target="../customProperty16.bin"/><Relationship Id="rId1" Type="http://schemas.openxmlformats.org/officeDocument/2006/relationships/customProperty" Target="../customProperty15.bin"/><Relationship Id="rId5" Type="http://schemas.openxmlformats.org/officeDocument/2006/relationships/drawing" Target="../drawings/drawing4.xml"/><Relationship Id="rId4" Type="http://schemas.openxmlformats.org/officeDocument/2006/relationships/customProperty" Target="../customProperty1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1.bin"/><Relationship Id="rId2" Type="http://schemas.openxmlformats.org/officeDocument/2006/relationships/customProperty" Target="../customProperty20.bin"/><Relationship Id="rId1" Type="http://schemas.openxmlformats.org/officeDocument/2006/relationships/customProperty" Target="../customProperty19.bin"/><Relationship Id="rId5" Type="http://schemas.openxmlformats.org/officeDocument/2006/relationships/drawing" Target="../drawings/drawing5.xml"/><Relationship Id="rId4" Type="http://schemas.openxmlformats.org/officeDocument/2006/relationships/customProperty" Target="../customProperty2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822E-DEE8-4CC6-964E-C938C161DCE9}">
  <dimension ref="A3:DJ192"/>
  <sheetViews>
    <sheetView workbookViewId="0"/>
  </sheetViews>
  <sheetFormatPr defaultRowHeight="14.4" x14ac:dyDescent="0.3"/>
  <sheetData>
    <row r="3" spans="1:114" x14ac:dyDescent="0.3">
      <c r="A3" t="s">
        <v>0</v>
      </c>
      <c r="B3" t="s">
        <v>57</v>
      </c>
      <c r="C3" t="s">
        <v>79</v>
      </c>
      <c r="D3" t="s">
        <v>80</v>
      </c>
      <c r="E3" t="s">
        <v>183</v>
      </c>
    </row>
    <row r="4" spans="1:114" x14ac:dyDescent="0.3">
      <c r="A4">
        <v>1</v>
      </c>
      <c r="B4">
        <v>7</v>
      </c>
      <c r="C4">
        <v>25</v>
      </c>
      <c r="D4">
        <v>31</v>
      </c>
      <c r="E4">
        <v>109</v>
      </c>
    </row>
    <row r="5" spans="1:114" x14ac:dyDescent="0.3">
      <c r="A5">
        <f>IS!$10:$10</f>
        <v>0</v>
      </c>
      <c r="B5">
        <v>1</v>
      </c>
      <c r="C5">
        <f>IS!$C:$C</f>
        <v>0</v>
      </c>
      <c r="D5">
        <v>1249</v>
      </c>
      <c r="E5" t="str">
        <f>IS!$B$3</f>
        <v>77712 - Wentworth (Vacaville, CA)</v>
      </c>
      <c r="F5">
        <v>418</v>
      </c>
      <c r="G5">
        <f>BS!$10:$10</f>
        <v>0</v>
      </c>
      <c r="H5">
        <v>1</v>
      </c>
      <c r="I5">
        <f>BS!$H:$H</f>
        <v>0</v>
      </c>
      <c r="J5">
        <v>19</v>
      </c>
      <c r="K5" t="str">
        <f>BS!$B$3</f>
        <v>77712 - Wentworth (Vacaville, CA)</v>
      </c>
      <c r="L5">
        <v>16</v>
      </c>
      <c r="Y5">
        <f>YOY!$10:$10</f>
        <v>0</v>
      </c>
      <c r="Z5">
        <v>1</v>
      </c>
      <c r="AA5">
        <f>YOY!$E:$E</f>
        <v>0</v>
      </c>
      <c r="AB5">
        <v>64</v>
      </c>
      <c r="AC5" t="str">
        <f>YOY!$B$3</f>
        <v>77712 - Wentworth (Vacaville, CA)</v>
      </c>
      <c r="AD5">
        <v>62</v>
      </c>
      <c r="AE5">
        <f>'Act v Bud'!$10:$10</f>
        <v>0</v>
      </c>
      <c r="AF5">
        <v>1</v>
      </c>
      <c r="AG5">
        <f>'Act v Bud'!$D:$D</f>
        <v>0</v>
      </c>
      <c r="AH5">
        <v>30</v>
      </c>
      <c r="AI5" t="str">
        <f>'Act v Bud'!$B$3</f>
        <v>77712 - Wentworth (Vacaville, CA)</v>
      </c>
      <c r="AJ5">
        <v>35</v>
      </c>
      <c r="DE5">
        <f>'IS.BS.Detail'!$49:$49</f>
        <v>0</v>
      </c>
      <c r="DF5">
        <v>1</v>
      </c>
      <c r="DG5">
        <f>'IS.BS.Detail'!$B:$B</f>
        <v>0</v>
      </c>
      <c r="DH5">
        <v>238</v>
      </c>
      <c r="DI5" t="str">
        <f>'IS.BS.Detail'!$A$3</f>
        <v>77712 - Wentworth (Vacaville, CA)</v>
      </c>
      <c r="DJ5">
        <v>250</v>
      </c>
    </row>
    <row r="6" spans="1:114" x14ac:dyDescent="0.3">
      <c r="A6">
        <f>IS!$11:$11</f>
        <v>0</v>
      </c>
      <c r="B6">
        <v>2</v>
      </c>
      <c r="C6">
        <f>IS!$D:$D</f>
        <v>0</v>
      </c>
      <c r="D6">
        <v>1250</v>
      </c>
      <c r="E6" t="str">
        <f>IS!$B$4</f>
        <v>1/31/2026</v>
      </c>
      <c r="F6">
        <v>503</v>
      </c>
      <c r="G6">
        <f>BS!$11:$11</f>
        <v>0</v>
      </c>
      <c r="H6">
        <v>2</v>
      </c>
      <c r="I6">
        <f>BS!$E:$E</f>
        <v>0</v>
      </c>
      <c r="J6">
        <v>20</v>
      </c>
      <c r="K6" t="str">
        <f>BS!$B$4</f>
        <v>1/31/2026</v>
      </c>
      <c r="L6">
        <v>23</v>
      </c>
      <c r="Y6">
        <f>YOY!$11:$11</f>
        <v>0</v>
      </c>
      <c r="Z6">
        <v>2</v>
      </c>
      <c r="AA6" t="str">
        <f>YOY!$D:$D</f>
        <v>MTD</v>
      </c>
      <c r="AB6">
        <v>65</v>
      </c>
      <c r="AC6" t="str">
        <f>YOY!$B$4</f>
        <v>1/31/2026</v>
      </c>
      <c r="AD6">
        <v>63</v>
      </c>
      <c r="AE6">
        <f>'Act v Bud'!$11:$11</f>
        <v>0</v>
      </c>
      <c r="AF6">
        <v>2</v>
      </c>
      <c r="AG6" t="str">
        <f>'Act v Bud'!$I:$I</f>
        <v>QTD</v>
      </c>
      <c r="AH6">
        <v>31</v>
      </c>
      <c r="AI6" t="str">
        <f>'Act v Bud'!$B$4</f>
        <v>1/31/2026</v>
      </c>
      <c r="AJ6">
        <v>36</v>
      </c>
      <c r="DE6">
        <f>'IS.BS.Detail'!$64:$64</f>
        <v>0</v>
      </c>
      <c r="DF6">
        <v>2</v>
      </c>
      <c r="DG6" t="str">
        <f>'IS.BS.Detail'!$C:$C</f>
        <v>Mar-2025</v>
      </c>
      <c r="DH6">
        <v>239</v>
      </c>
      <c r="DI6" t="str">
        <f>'IS.BS.Detail'!$A$4</f>
        <v>1/31/2026</v>
      </c>
      <c r="DJ6">
        <v>252</v>
      </c>
    </row>
    <row r="7" spans="1:114" x14ac:dyDescent="0.3">
      <c r="A7">
        <f>IS!$12:$12</f>
        <v>0</v>
      </c>
      <c r="B7">
        <v>3</v>
      </c>
      <c r="C7" t="str">
        <f>IS!$E:$E</f>
        <v>Apr-2025</v>
      </c>
      <c r="D7">
        <v>1251</v>
      </c>
      <c r="E7" t="str">
        <f>IS!$C$7</f>
        <v>Feb-2025</v>
      </c>
      <c r="F7">
        <v>1261</v>
      </c>
      <c r="G7">
        <f>BS!$12:$12</f>
        <v>0</v>
      </c>
      <c r="H7">
        <v>3</v>
      </c>
      <c r="I7" t="str">
        <f>BS!$I:$I</f>
        <v>Dec-2025</v>
      </c>
      <c r="J7">
        <v>21</v>
      </c>
      <c r="K7" t="str">
        <f>BS!$D$7</f>
        <v>Jan-2026</v>
      </c>
      <c r="L7">
        <v>24</v>
      </c>
      <c r="Y7">
        <f>YOY!$12:$12</f>
        <v>0</v>
      </c>
      <c r="Z7">
        <v>3</v>
      </c>
      <c r="AA7" t="str">
        <f>YOY!$I:$I</f>
        <v>Jan-2026</v>
      </c>
      <c r="AB7">
        <v>66</v>
      </c>
      <c r="AC7" t="str">
        <f>YOY!$D$7</f>
        <v>Jan-2026</v>
      </c>
      <c r="AD7">
        <v>70</v>
      </c>
      <c r="AE7">
        <f>'Act v Bud'!$12:$12</f>
        <v>0</v>
      </c>
      <c r="AF7">
        <v>3</v>
      </c>
      <c r="AG7" t="str">
        <f>'Act v Bud'!$N:$N</f>
        <v>Actual</v>
      </c>
      <c r="AH7">
        <v>33</v>
      </c>
      <c r="DE7">
        <f>'IS.BS.Detail'!$59:$59</f>
        <v>0</v>
      </c>
      <c r="DF7">
        <v>3</v>
      </c>
      <c r="DG7">
        <f>'IS.BS.Detail'!$D:$D</f>
        <v>0</v>
      </c>
      <c r="DH7">
        <v>240</v>
      </c>
      <c r="DI7" t="str">
        <f>'IS.BS.Detail'!$B$6</f>
        <v>Feb-2025</v>
      </c>
      <c r="DJ7">
        <v>289</v>
      </c>
    </row>
    <row r="8" spans="1:114" x14ac:dyDescent="0.3">
      <c r="A8">
        <f>IS!$13:$13</f>
        <v>0</v>
      </c>
      <c r="B8">
        <v>4</v>
      </c>
      <c r="C8">
        <f>IS!$F:$F</f>
        <v>0</v>
      </c>
      <c r="D8">
        <v>1252</v>
      </c>
      <c r="E8" t="str">
        <f>IS!$D$7</f>
        <v>Mar-2025</v>
      </c>
      <c r="F8">
        <v>1262</v>
      </c>
      <c r="G8">
        <f>BS!$13:$13</f>
        <v>0</v>
      </c>
      <c r="H8">
        <v>4</v>
      </c>
      <c r="I8">
        <f>BS!$D:$D</f>
        <v>0</v>
      </c>
      <c r="J8">
        <v>22</v>
      </c>
      <c r="K8" t="str">
        <f>BS!$E$7</f>
        <v>Dec-2025</v>
      </c>
      <c r="L8">
        <v>25</v>
      </c>
      <c r="Y8">
        <f>YOY!$13:$13</f>
        <v>0</v>
      </c>
      <c r="Z8">
        <v>4</v>
      </c>
      <c r="AA8">
        <f>YOY!$N:$N</f>
        <v>0</v>
      </c>
      <c r="AB8">
        <v>77</v>
      </c>
      <c r="AC8" t="str">
        <f>YOY!$E$7</f>
        <v>Jan-2025</v>
      </c>
      <c r="AD8">
        <v>71</v>
      </c>
      <c r="AE8">
        <f>'Act v Bud'!$13:$13</f>
        <v>0</v>
      </c>
      <c r="AF8">
        <v>4</v>
      </c>
      <c r="AG8">
        <f>'Act v Bud'!$O:$O</f>
        <v>0</v>
      </c>
      <c r="AH8">
        <v>34</v>
      </c>
      <c r="DE8">
        <f>'IS.BS.Detail'!$57:$57</f>
        <v>0</v>
      </c>
      <c r="DF8">
        <v>4</v>
      </c>
      <c r="DG8">
        <f>'IS.BS.Detail'!$E:$E</f>
        <v>109356.15</v>
      </c>
      <c r="DH8">
        <v>241</v>
      </c>
      <c r="DI8" t="str">
        <f>'IS.BS.Detail'!$C$6</f>
        <v>Mar-2025</v>
      </c>
      <c r="DJ8">
        <v>290</v>
      </c>
    </row>
    <row r="9" spans="1:114" x14ac:dyDescent="0.3">
      <c r="A9">
        <f>IS!$17:$17</f>
        <v>0</v>
      </c>
      <c r="B9">
        <v>759</v>
      </c>
      <c r="C9">
        <f>IS!$G:$G</f>
        <v>0</v>
      </c>
      <c r="D9">
        <v>1253</v>
      </c>
      <c r="E9" t="str">
        <f>IS!$E$7</f>
        <v>Apr-2025</v>
      </c>
      <c r="F9">
        <v>1263</v>
      </c>
      <c r="G9">
        <f>BS!$14:$14</f>
        <v>0</v>
      </c>
      <c r="H9">
        <v>5</v>
      </c>
      <c r="K9" t="str">
        <f>BS!$H$7</f>
        <v>Jan-2026</v>
      </c>
      <c r="L9">
        <v>26</v>
      </c>
      <c r="Y9">
        <f>YOY!$17:$17</f>
        <v>0</v>
      </c>
      <c r="Z9">
        <v>5</v>
      </c>
      <c r="AA9">
        <f>YOY!$J:$J</f>
        <v>0</v>
      </c>
      <c r="AB9">
        <v>78</v>
      </c>
      <c r="AC9" t="str">
        <f>YOY!$I$7</f>
        <v>Jan-2026</v>
      </c>
      <c r="AD9">
        <v>72</v>
      </c>
      <c r="AE9">
        <f>'Act v Bud'!$17:$17</f>
        <v>0</v>
      </c>
      <c r="AF9">
        <v>5</v>
      </c>
      <c r="AG9">
        <f>'Act v Bud'!$E:$E</f>
        <v>0</v>
      </c>
      <c r="AH9">
        <v>45</v>
      </c>
      <c r="DE9">
        <f>'IS.BS.Detail'!$13:$13</f>
        <v>0</v>
      </c>
      <c r="DF9">
        <v>5</v>
      </c>
      <c r="DG9">
        <f>'IS.BS.Detail'!$F:$F</f>
        <v>101771.71</v>
      </c>
      <c r="DH9">
        <v>242</v>
      </c>
      <c r="DI9" t="str">
        <f>'IS.BS.Detail'!$D$6</f>
        <v>Apr-2025</v>
      </c>
      <c r="DJ9">
        <v>291</v>
      </c>
    </row>
    <row r="10" spans="1:114" x14ac:dyDescent="0.3">
      <c r="A10">
        <f>IS!$18:$18</f>
        <v>0</v>
      </c>
      <c r="B10">
        <v>760</v>
      </c>
      <c r="C10">
        <f>IS!$H:$H</f>
        <v>72813.540000000008</v>
      </c>
      <c r="D10">
        <v>1254</v>
      </c>
      <c r="E10" t="str">
        <f>IS!$F$7</f>
        <v>May-2025</v>
      </c>
      <c r="F10">
        <v>1264</v>
      </c>
      <c r="G10">
        <f>BS!$15:$15</f>
        <v>0</v>
      </c>
      <c r="H10">
        <v>6</v>
      </c>
      <c r="K10" t="str">
        <f>BS!$I$7</f>
        <v>Dec-2025</v>
      </c>
      <c r="L10">
        <v>27</v>
      </c>
      <c r="Y10">
        <f>YOY!$18:$18</f>
        <v>0</v>
      </c>
      <c r="Z10">
        <v>6</v>
      </c>
      <c r="AA10">
        <f>YOY!$O:$O</f>
        <v>34544.200000000004</v>
      </c>
      <c r="AB10">
        <v>79</v>
      </c>
      <c r="AC10" t="str">
        <f>YOY!$J$7</f>
        <v>Jan-2025</v>
      </c>
      <c r="AD10">
        <v>73</v>
      </c>
      <c r="AE10">
        <f>'Act v Bud'!$18:$18</f>
        <v>0</v>
      </c>
      <c r="AF10">
        <v>6</v>
      </c>
      <c r="AG10">
        <f>'Act v Bud'!$J:$J</f>
        <v>87063.195286100308</v>
      </c>
      <c r="AH10">
        <v>46</v>
      </c>
      <c r="DE10">
        <f>'IS.BS.Detail'!$10:$10</f>
        <v>0</v>
      </c>
      <c r="DF10">
        <v>6</v>
      </c>
      <c r="DG10">
        <f>'IS.BS.Detail'!$G:$G</f>
        <v>2227.3300000000004</v>
      </c>
      <c r="DH10">
        <v>243</v>
      </c>
      <c r="DI10" t="str">
        <f>'IS.BS.Detail'!$E$6</f>
        <v>May-2025</v>
      </c>
      <c r="DJ10">
        <v>292</v>
      </c>
    </row>
    <row r="11" spans="1:114" x14ac:dyDescent="0.3">
      <c r="A11">
        <f>IS!$19:$19</f>
        <v>0</v>
      </c>
      <c r="B11">
        <v>761</v>
      </c>
      <c r="C11">
        <f>IS!$I:$I</f>
        <v>3144</v>
      </c>
      <c r="D11">
        <v>1255</v>
      </c>
      <c r="E11" t="str">
        <f>IS!$G$7</f>
        <v>Jun-2025</v>
      </c>
      <c r="F11">
        <v>1265</v>
      </c>
      <c r="G11">
        <f>BS!$16:$16</f>
        <v>0</v>
      </c>
      <c r="H11">
        <v>7</v>
      </c>
      <c r="Y11">
        <f>YOY!$19:$19</f>
        <v>0</v>
      </c>
      <c r="Z11">
        <v>7</v>
      </c>
      <c r="AC11" t="str">
        <f>YOY!$N$7</f>
        <v>Jan-2026</v>
      </c>
      <c r="AD11">
        <v>74</v>
      </c>
      <c r="AE11">
        <f>'Act v Bud'!$19:$19</f>
        <v>0</v>
      </c>
      <c r="AF11">
        <v>7</v>
      </c>
      <c r="DE11">
        <f>'IS.BS.Detail'!$8:$8</f>
        <v>0</v>
      </c>
      <c r="DF11">
        <v>7</v>
      </c>
      <c r="DG11">
        <f>'IS.BS.Detail'!$H:$H</f>
        <v>1700.3200000000002</v>
      </c>
      <c r="DH11">
        <v>244</v>
      </c>
      <c r="DI11" t="str">
        <f>'IS.BS.Detail'!$F$6</f>
        <v>Jun-2025</v>
      </c>
      <c r="DJ11">
        <v>293</v>
      </c>
    </row>
    <row r="12" spans="1:114" x14ac:dyDescent="0.3">
      <c r="A12">
        <f>IS!$23:$23</f>
        <v>0</v>
      </c>
      <c r="B12">
        <v>762</v>
      </c>
      <c r="C12">
        <f>IS!$J:$J</f>
        <v>619.78</v>
      </c>
      <c r="D12">
        <v>1256</v>
      </c>
      <c r="E12" t="str">
        <f>IS!$H$7</f>
        <v>Jul-2025</v>
      </c>
      <c r="F12">
        <v>1266</v>
      </c>
      <c r="G12">
        <f>BS!$20:$20</f>
        <v>0</v>
      </c>
      <c r="H12">
        <v>8</v>
      </c>
      <c r="Y12">
        <f>YOY!$23:$23</f>
        <v>0</v>
      </c>
      <c r="Z12">
        <v>8</v>
      </c>
      <c r="AC12" t="str">
        <f>YOY!$O$7</f>
        <v>Jan-2025</v>
      </c>
      <c r="AD12">
        <v>75</v>
      </c>
      <c r="AE12">
        <f>'Act v Bud'!$23:$23</f>
        <v>0</v>
      </c>
      <c r="AF12">
        <v>8</v>
      </c>
      <c r="DE12">
        <f>'IS.BS.Detail'!$77:$77</f>
        <v>0</v>
      </c>
      <c r="DF12">
        <v>8</v>
      </c>
      <c r="DG12">
        <f>'IS.BS.Detail'!$I:$I</f>
        <v>221.36000000000055</v>
      </c>
      <c r="DH12">
        <v>245</v>
      </c>
      <c r="DI12" t="str">
        <f>'IS.BS.Detail'!$G$6</f>
        <v>Jul-2025</v>
      </c>
      <c r="DJ12">
        <v>294</v>
      </c>
    </row>
    <row r="13" spans="1:114" x14ac:dyDescent="0.3">
      <c r="A13">
        <f>IS!$24:$24</f>
        <v>0</v>
      </c>
      <c r="B13">
        <v>763</v>
      </c>
      <c r="C13">
        <f>IS!$K:$K</f>
        <v>4286.87</v>
      </c>
      <c r="D13">
        <v>1257</v>
      </c>
      <c r="E13" t="str">
        <f>IS!$I$7</f>
        <v>Aug-2025</v>
      </c>
      <c r="F13">
        <v>1267</v>
      </c>
      <c r="G13">
        <f>BS!$21:$21</f>
        <v>0</v>
      </c>
      <c r="H13">
        <v>9</v>
      </c>
      <c r="Y13">
        <f>YOY!$24:$24</f>
        <v>0</v>
      </c>
      <c r="Z13">
        <v>9</v>
      </c>
      <c r="AE13">
        <f>'Act v Bud'!$24:$24</f>
        <v>0</v>
      </c>
      <c r="AF13">
        <v>9</v>
      </c>
      <c r="DE13">
        <f>'IS.BS.Detail'!$80:$80</f>
        <v>0</v>
      </c>
      <c r="DF13">
        <v>9</v>
      </c>
      <c r="DG13">
        <f>'IS.BS.Detail'!$J:$J</f>
        <v>3694.97</v>
      </c>
      <c r="DH13">
        <v>246</v>
      </c>
      <c r="DI13" t="str">
        <f>'IS.BS.Detail'!$H$6</f>
        <v>Aug-2025</v>
      </c>
      <c r="DJ13">
        <v>295</v>
      </c>
    </row>
    <row r="14" spans="1:114" x14ac:dyDescent="0.3">
      <c r="A14">
        <f>IS!$25:$25</f>
        <v>0</v>
      </c>
      <c r="B14">
        <v>764</v>
      </c>
      <c r="C14">
        <f>IS!$L:$L</f>
        <v>91791.12000000001</v>
      </c>
      <c r="D14">
        <v>1258</v>
      </c>
      <c r="E14" t="str">
        <f>IS!$J$7</f>
        <v>Sep-2025</v>
      </c>
      <c r="F14">
        <v>1268</v>
      </c>
      <c r="G14">
        <f>BS!$22:$22</f>
        <v>0</v>
      </c>
      <c r="H14">
        <v>10</v>
      </c>
      <c r="Y14">
        <f>YOY!$25:$25</f>
        <v>0</v>
      </c>
      <c r="Z14">
        <v>10</v>
      </c>
      <c r="AE14">
        <f>'Act v Bud'!$25:$25</f>
        <v>0</v>
      </c>
      <c r="AF14">
        <v>10</v>
      </c>
      <c r="DE14">
        <f>'IS.BS.Detail'!$82:$82</f>
        <v>0</v>
      </c>
      <c r="DF14">
        <v>10</v>
      </c>
      <c r="DG14">
        <f>'IS.BS.Detail'!$K:$K</f>
        <v>1925.3200000000004</v>
      </c>
      <c r="DH14">
        <v>247</v>
      </c>
      <c r="DI14" t="str">
        <f>'IS.BS.Detail'!$I$6</f>
        <v>Sep-2025</v>
      </c>
      <c r="DJ14">
        <v>296</v>
      </c>
    </row>
    <row r="15" spans="1:114" x14ac:dyDescent="0.3">
      <c r="A15">
        <f>IS!$27:$27</f>
        <v>0</v>
      </c>
      <c r="B15">
        <v>765</v>
      </c>
      <c r="C15">
        <f>IS!$M:$M</f>
        <v>0</v>
      </c>
      <c r="D15">
        <v>1259</v>
      </c>
      <c r="E15" t="str">
        <f>IS!$K$7</f>
        <v>Oct-2025</v>
      </c>
      <c r="F15">
        <v>1269</v>
      </c>
      <c r="G15">
        <f>BS!$23:$23</f>
        <v>0</v>
      </c>
      <c r="H15">
        <v>11</v>
      </c>
      <c r="Y15">
        <f>YOY!$27:$27</f>
        <v>0</v>
      </c>
      <c r="Z15">
        <v>11</v>
      </c>
      <c r="AE15">
        <f>'Act v Bud'!$27:$27</f>
        <v>0</v>
      </c>
      <c r="AF15">
        <v>11</v>
      </c>
      <c r="DE15">
        <f>'IS.BS.Detail'!$85:$85</f>
        <v>0</v>
      </c>
      <c r="DF15">
        <v>13</v>
      </c>
      <c r="DG15">
        <f>'IS.BS.Detail'!$L:$L</f>
        <v>605.3900000000001</v>
      </c>
      <c r="DH15">
        <v>248</v>
      </c>
      <c r="DI15" t="str">
        <f>'IS.BS.Detail'!$J$6</f>
        <v>Oct-2025</v>
      </c>
      <c r="DJ15">
        <v>297</v>
      </c>
    </row>
    <row r="16" spans="1:114" x14ac:dyDescent="0.3">
      <c r="A16">
        <f>IS!$28:$28</f>
        <v>0</v>
      </c>
      <c r="B16">
        <v>766</v>
      </c>
      <c r="C16">
        <f>IS!$N:$N</f>
        <v>0</v>
      </c>
      <c r="D16">
        <v>1260</v>
      </c>
      <c r="E16" t="str">
        <f>IS!$L$7</f>
        <v>Nov-2025</v>
      </c>
      <c r="F16">
        <v>1270</v>
      </c>
      <c r="G16">
        <f>BS!$25:$25</f>
        <v>0</v>
      </c>
      <c r="H16">
        <v>12</v>
      </c>
      <c r="Y16">
        <f>YOY!$28:$28</f>
        <v>0</v>
      </c>
      <c r="Z16">
        <v>12</v>
      </c>
      <c r="AE16">
        <f>'Act v Bud'!$28:$28</f>
        <v>0</v>
      </c>
      <c r="AF16">
        <v>12</v>
      </c>
      <c r="DE16">
        <f>'IS.BS.Detail'!$94:$94</f>
        <v>0</v>
      </c>
      <c r="DF16">
        <v>14</v>
      </c>
      <c r="DG16">
        <f>'IS.BS.Detail'!$M:$M</f>
        <v>1287.44</v>
      </c>
      <c r="DH16">
        <v>249</v>
      </c>
      <c r="DI16" t="str">
        <f>'IS.BS.Detail'!$K$6</f>
        <v>Nov-2025</v>
      </c>
      <c r="DJ16">
        <v>298</v>
      </c>
    </row>
    <row r="17" spans="1:114" x14ac:dyDescent="0.3">
      <c r="A17">
        <f>IS!$29:$29</f>
        <v>0</v>
      </c>
      <c r="B17">
        <v>767</v>
      </c>
      <c r="C17">
        <f>IS!$O:$O</f>
        <v>299</v>
      </c>
      <c r="D17">
        <v>1276</v>
      </c>
      <c r="E17" t="str">
        <f>IS!$M$7</f>
        <v>Dec-2025</v>
      </c>
      <c r="F17">
        <v>1271</v>
      </c>
      <c r="G17">
        <f>BS!$29:$29</f>
        <v>0</v>
      </c>
      <c r="H17">
        <v>13</v>
      </c>
      <c r="Y17">
        <f>YOY!$29:$29</f>
        <v>0</v>
      </c>
      <c r="Z17">
        <v>13</v>
      </c>
      <c r="AE17">
        <f>'Act v Bud'!$29:$29</f>
        <v>0</v>
      </c>
      <c r="AF17">
        <v>13</v>
      </c>
      <c r="DE17">
        <f>'IS.BS.Detail'!$121:$121</f>
        <v>0</v>
      </c>
      <c r="DF17">
        <v>15</v>
      </c>
      <c r="DI17" t="str">
        <f>'IS.BS.Detail'!$L$6</f>
        <v>Dec-2025</v>
      </c>
      <c r="DJ17">
        <v>299</v>
      </c>
    </row>
    <row r="18" spans="1:114" x14ac:dyDescent="0.3">
      <c r="A18">
        <f>IS!$30:$30</f>
        <v>0</v>
      </c>
      <c r="B18">
        <v>768</v>
      </c>
      <c r="E18" t="str">
        <f>IS!$N$7</f>
        <v>Jan-2026</v>
      </c>
      <c r="F18">
        <v>1272</v>
      </c>
      <c r="G18">
        <f>BS!$30:$30</f>
        <v>0</v>
      </c>
      <c r="H18">
        <v>14</v>
      </c>
      <c r="Y18">
        <f>YOY!$30:$30</f>
        <v>0</v>
      </c>
      <c r="Z18">
        <v>14</v>
      </c>
      <c r="AE18">
        <f>'Act v Bud'!$30:$30</f>
        <v>0</v>
      </c>
      <c r="AF18">
        <v>14</v>
      </c>
      <c r="DE18">
        <f>'IS.BS.Detail'!$124:$124</f>
        <v>0</v>
      </c>
      <c r="DF18">
        <v>16</v>
      </c>
      <c r="DI18" t="str">
        <f>'IS.BS.Detail'!$M$6</f>
        <v>Jan-2026</v>
      </c>
      <c r="DJ18">
        <v>300</v>
      </c>
    </row>
    <row r="19" spans="1:114" x14ac:dyDescent="0.3">
      <c r="A19">
        <f>IS!$31:$31</f>
        <v>0</v>
      </c>
      <c r="B19">
        <v>769</v>
      </c>
      <c r="E19" t="str">
        <f>IS!$O$7</f>
        <v>Jan-2026 YTD</v>
      </c>
      <c r="F19">
        <v>1277</v>
      </c>
      <c r="G19">
        <f>BS!$31:$31</f>
        <v>0</v>
      </c>
      <c r="H19">
        <v>15</v>
      </c>
      <c r="Y19">
        <f>YOY!$31:$31</f>
        <v>0</v>
      </c>
      <c r="Z19">
        <v>15</v>
      </c>
      <c r="AE19">
        <f>'Act v Bud'!$31:$31</f>
        <v>0</v>
      </c>
      <c r="AF19">
        <v>15</v>
      </c>
      <c r="DE19">
        <f>'IS.BS.Detail'!$129:$129</f>
        <v>0</v>
      </c>
      <c r="DF19">
        <v>17</v>
      </c>
    </row>
    <row r="20" spans="1:114" x14ac:dyDescent="0.3">
      <c r="A20">
        <f>IS!$32:$32</f>
        <v>0</v>
      </c>
      <c r="B20">
        <v>770</v>
      </c>
      <c r="Y20">
        <f>YOY!$32:$32</f>
        <v>0</v>
      </c>
      <c r="Z20">
        <v>16</v>
      </c>
      <c r="AE20">
        <f>'Act v Bud'!$32:$32</f>
        <v>0</v>
      </c>
      <c r="AF20">
        <v>16</v>
      </c>
      <c r="DE20">
        <f>'IS.BS.Detail'!$165:$165</f>
        <v>0</v>
      </c>
      <c r="DF20">
        <v>18</v>
      </c>
    </row>
    <row r="21" spans="1:114" x14ac:dyDescent="0.3">
      <c r="A21">
        <f>IS!$33:$33</f>
        <v>0</v>
      </c>
      <c r="B21">
        <v>771</v>
      </c>
      <c r="Y21">
        <f>YOY!$33:$33</f>
        <v>0</v>
      </c>
      <c r="Z21">
        <v>17</v>
      </c>
      <c r="AE21">
        <f>'Act v Bud'!$33:$33</f>
        <v>0</v>
      </c>
      <c r="AF21">
        <v>17</v>
      </c>
      <c r="DE21">
        <f>'IS.BS.Detail'!$168:$168</f>
        <v>0</v>
      </c>
      <c r="DF21">
        <v>19</v>
      </c>
    </row>
    <row r="22" spans="1:114" x14ac:dyDescent="0.3">
      <c r="A22">
        <f>IS!$34:$34</f>
        <v>0</v>
      </c>
      <c r="B22">
        <v>772</v>
      </c>
      <c r="Y22">
        <f>YOY!$34:$34</f>
        <v>0</v>
      </c>
      <c r="Z22">
        <v>18</v>
      </c>
      <c r="AE22">
        <f>'Act v Bud'!$34:$34</f>
        <v>0</v>
      </c>
      <c r="AF22">
        <v>18</v>
      </c>
      <c r="DE22">
        <f>'IS.BS.Detail'!$173:$173</f>
        <v>0</v>
      </c>
      <c r="DF22">
        <v>20</v>
      </c>
    </row>
    <row r="23" spans="1:114" x14ac:dyDescent="0.3">
      <c r="A23">
        <f>IS!$35:$35</f>
        <v>0</v>
      </c>
      <c r="B23">
        <v>773</v>
      </c>
      <c r="Y23">
        <f>YOY!$35:$35</f>
        <v>0</v>
      </c>
      <c r="Z23">
        <v>19</v>
      </c>
      <c r="AE23">
        <f>'Act v Bud'!$35:$35</f>
        <v>0</v>
      </c>
      <c r="AF23">
        <v>19</v>
      </c>
      <c r="DE23">
        <f>'IS.BS.Detail'!$175:$175</f>
        <v>0</v>
      </c>
      <c r="DF23">
        <v>21</v>
      </c>
    </row>
    <row r="24" spans="1:114" x14ac:dyDescent="0.3">
      <c r="A24">
        <f>IS!$36:$36</f>
        <v>0</v>
      </c>
      <c r="B24">
        <v>774</v>
      </c>
      <c r="Y24">
        <f>YOY!$36:$36</f>
        <v>0</v>
      </c>
      <c r="Z24">
        <v>20</v>
      </c>
      <c r="AE24">
        <f>'Act v Bud'!$36:$36</f>
        <v>0</v>
      </c>
      <c r="AF24">
        <v>20</v>
      </c>
      <c r="DE24">
        <f>'IS.BS.Detail'!$178:$178</f>
        <v>0</v>
      </c>
      <c r="DF24">
        <v>22</v>
      </c>
    </row>
    <row r="25" spans="1:114" x14ac:dyDescent="0.3">
      <c r="A25">
        <f>IS!$44:$44</f>
        <v>0</v>
      </c>
      <c r="B25">
        <v>875</v>
      </c>
      <c r="Y25">
        <f>YOY!$44:$44</f>
        <v>0</v>
      </c>
      <c r="Z25">
        <v>21</v>
      </c>
      <c r="AE25">
        <f>'Act v Bud'!$44:$44</f>
        <v>0</v>
      </c>
      <c r="AF25">
        <v>21</v>
      </c>
      <c r="DE25">
        <f>'IS.BS.Detail'!$180:$180</f>
        <v>0</v>
      </c>
      <c r="DF25">
        <v>23</v>
      </c>
    </row>
    <row r="26" spans="1:114" x14ac:dyDescent="0.3">
      <c r="A26">
        <f>IS!$45:$45</f>
        <v>0</v>
      </c>
      <c r="B26">
        <v>876</v>
      </c>
      <c r="Y26">
        <f>YOY!$45:$45</f>
        <v>0</v>
      </c>
      <c r="Z26">
        <v>22</v>
      </c>
      <c r="AE26">
        <f>'Act v Bud'!$45:$45</f>
        <v>0</v>
      </c>
      <c r="AF26">
        <v>22</v>
      </c>
      <c r="DE26">
        <f>'IS.BS.Detail'!$182:$182</f>
        <v>0</v>
      </c>
      <c r="DF26">
        <v>24</v>
      </c>
    </row>
    <row r="27" spans="1:114" x14ac:dyDescent="0.3">
      <c r="A27">
        <f>IS!$46:$46</f>
        <v>0</v>
      </c>
      <c r="B27">
        <v>877</v>
      </c>
      <c r="Y27">
        <f>YOY!$46:$46</f>
        <v>0</v>
      </c>
      <c r="Z27">
        <v>23</v>
      </c>
      <c r="AE27">
        <f>'Act v Bud'!$46:$46</f>
        <v>0</v>
      </c>
      <c r="AF27">
        <v>23</v>
      </c>
      <c r="DE27">
        <f>'IS.BS.Detail'!$189:$189</f>
        <v>0</v>
      </c>
      <c r="DF27">
        <v>25</v>
      </c>
    </row>
    <row r="28" spans="1:114" x14ac:dyDescent="0.3">
      <c r="A28">
        <f>IS!$47:$47</f>
        <v>0</v>
      </c>
      <c r="B28">
        <v>878</v>
      </c>
      <c r="Y28">
        <f>YOY!$47:$47</f>
        <v>0</v>
      </c>
      <c r="Z28">
        <v>24</v>
      </c>
      <c r="AE28">
        <f>'Act v Bud'!$47:$47</f>
        <v>0</v>
      </c>
      <c r="AF28">
        <v>24</v>
      </c>
      <c r="DE28">
        <f>'IS.BS.Detail'!$191:$191</f>
        <v>0</v>
      </c>
      <c r="DF28">
        <v>26</v>
      </c>
    </row>
    <row r="29" spans="1:114" x14ac:dyDescent="0.3">
      <c r="A29">
        <f>IS!$48:$48</f>
        <v>0</v>
      </c>
      <c r="B29">
        <v>879</v>
      </c>
      <c r="Y29">
        <f>YOY!$48:$48</f>
        <v>0</v>
      </c>
      <c r="Z29">
        <v>25</v>
      </c>
      <c r="AE29">
        <f>'Act v Bud'!$48:$48</f>
        <v>0</v>
      </c>
      <c r="AF29">
        <v>25</v>
      </c>
      <c r="DE29">
        <f>'IS.BS.Detail'!$20:$20</f>
        <v>0</v>
      </c>
      <c r="DF29">
        <v>28</v>
      </c>
    </row>
    <row r="30" spans="1:114" x14ac:dyDescent="0.3">
      <c r="A30">
        <f>IS!$49:$49</f>
        <v>0</v>
      </c>
      <c r="B30">
        <v>880</v>
      </c>
      <c r="Y30">
        <f>YOY!$49:$49</f>
        <v>0</v>
      </c>
      <c r="Z30">
        <v>26</v>
      </c>
      <c r="AE30">
        <f>'Act v Bud'!$49:$49</f>
        <v>0</v>
      </c>
      <c r="AF30">
        <v>26</v>
      </c>
      <c r="DE30">
        <f>'IS.BS.Detail'!$19:$19</f>
        <v>0</v>
      </c>
      <c r="DF30">
        <v>29</v>
      </c>
    </row>
    <row r="31" spans="1:114" x14ac:dyDescent="0.3">
      <c r="A31">
        <f>IS!$50:$50</f>
        <v>0</v>
      </c>
      <c r="B31">
        <v>881</v>
      </c>
      <c r="Y31">
        <f>YOY!$50:$50</f>
        <v>0</v>
      </c>
      <c r="Z31">
        <v>27</v>
      </c>
      <c r="AE31">
        <f>'Act v Bud'!$50:$50</f>
        <v>0</v>
      </c>
      <c r="AF31">
        <v>27</v>
      </c>
      <c r="DE31">
        <f>'IS.BS.Detail'!$18:$18</f>
        <v>0</v>
      </c>
      <c r="DF31">
        <v>30</v>
      </c>
    </row>
    <row r="32" spans="1:114" x14ac:dyDescent="0.3">
      <c r="A32">
        <f>IS!$51:$51</f>
        <v>0</v>
      </c>
      <c r="B32">
        <v>882</v>
      </c>
      <c r="Y32">
        <f>YOY!$51:$51</f>
        <v>0</v>
      </c>
      <c r="Z32">
        <v>28</v>
      </c>
      <c r="AE32">
        <f>'Act v Bud'!$51:$51</f>
        <v>0</v>
      </c>
      <c r="AF32">
        <v>28</v>
      </c>
      <c r="DE32">
        <f>'IS.BS.Detail'!$38:$38</f>
        <v>0</v>
      </c>
      <c r="DF32">
        <v>31</v>
      </c>
    </row>
    <row r="33" spans="1:110" x14ac:dyDescent="0.3">
      <c r="A33">
        <f>IS!$62:$62</f>
        <v>0</v>
      </c>
      <c r="B33">
        <v>883</v>
      </c>
      <c r="Y33">
        <f>YOY!$26:$26</f>
        <v>0</v>
      </c>
      <c r="Z33">
        <v>76</v>
      </c>
      <c r="AE33">
        <f>'Act v Bud'!$26:$26</f>
        <v>0</v>
      </c>
      <c r="AF33">
        <v>43</v>
      </c>
      <c r="DE33">
        <f>'IS.BS.Detail'!$35:$35</f>
        <v>0</v>
      </c>
      <c r="DF33">
        <v>32</v>
      </c>
    </row>
    <row r="34" spans="1:110" x14ac:dyDescent="0.3">
      <c r="A34">
        <f>IS!$63:$63</f>
        <v>0</v>
      </c>
      <c r="B34">
        <v>884</v>
      </c>
      <c r="DE34">
        <f>'IS.BS.Detail'!$36:$36</f>
        <v>0</v>
      </c>
      <c r="DF34">
        <v>33</v>
      </c>
    </row>
    <row r="35" spans="1:110" x14ac:dyDescent="0.3">
      <c r="A35">
        <f>IS!$64:$64</f>
        <v>0</v>
      </c>
      <c r="B35">
        <v>885</v>
      </c>
      <c r="DE35">
        <f>'IS.BS.Detail'!$45:$45</f>
        <v>0</v>
      </c>
      <c r="DF35">
        <v>36</v>
      </c>
    </row>
    <row r="36" spans="1:110" x14ac:dyDescent="0.3">
      <c r="A36">
        <f>IS!$65:$65</f>
        <v>0</v>
      </c>
      <c r="B36">
        <v>886</v>
      </c>
      <c r="DE36">
        <f>'IS.BS.Detail'!$43:$43</f>
        <v>0</v>
      </c>
      <c r="DF36">
        <v>37</v>
      </c>
    </row>
    <row r="37" spans="1:110" x14ac:dyDescent="0.3">
      <c r="A37">
        <f>IS!$66:$66</f>
        <v>0</v>
      </c>
      <c r="B37">
        <v>887</v>
      </c>
      <c r="DE37">
        <f>'IS.BS.Detail'!$194:$194</f>
        <v>0</v>
      </c>
      <c r="DF37">
        <v>38</v>
      </c>
    </row>
    <row r="38" spans="1:110" x14ac:dyDescent="0.3">
      <c r="A38">
        <f>IS!$67:$67</f>
        <v>0</v>
      </c>
      <c r="B38">
        <v>888</v>
      </c>
      <c r="DE38">
        <f>'IS.BS.Detail'!$195:$195</f>
        <v>0</v>
      </c>
      <c r="DF38">
        <v>39</v>
      </c>
    </row>
    <row r="39" spans="1:110" x14ac:dyDescent="0.3">
      <c r="A39">
        <f>IS!$69:$69</f>
        <v>0</v>
      </c>
      <c r="B39">
        <v>890</v>
      </c>
      <c r="DE39">
        <f>'IS.BS.Detail'!$197:$197</f>
        <v>0</v>
      </c>
      <c r="DF39">
        <v>40</v>
      </c>
    </row>
    <row r="40" spans="1:110" x14ac:dyDescent="0.3">
      <c r="A40">
        <f>IS!$72:$72</f>
        <v>0</v>
      </c>
      <c r="B40">
        <v>891</v>
      </c>
      <c r="DE40">
        <f>'IS.BS.Detail'!$198:$198</f>
        <v>0</v>
      </c>
      <c r="DF40">
        <v>41</v>
      </c>
    </row>
    <row r="41" spans="1:110" x14ac:dyDescent="0.3">
      <c r="A41">
        <f>IS!$71:$71</f>
        <v>0</v>
      </c>
      <c r="B41">
        <v>892</v>
      </c>
      <c r="DE41">
        <f>'IS.BS.Detail'!$199:$199</f>
        <v>0</v>
      </c>
      <c r="DF41">
        <v>42</v>
      </c>
    </row>
    <row r="42" spans="1:110" x14ac:dyDescent="0.3">
      <c r="A42">
        <f>IS!$26:$26</f>
        <v>0</v>
      </c>
      <c r="B42">
        <v>893</v>
      </c>
      <c r="DE42">
        <f>'IS.BS.Detail'!$201:$201</f>
        <v>0</v>
      </c>
      <c r="DF42">
        <v>43</v>
      </c>
    </row>
    <row r="43" spans="1:110" x14ac:dyDescent="0.3">
      <c r="A43">
        <f>IS!$68:$68</f>
        <v>0</v>
      </c>
      <c r="B43">
        <v>1571</v>
      </c>
      <c r="DE43">
        <f>'IS.BS.Detail'!$202:$202</f>
        <v>0</v>
      </c>
      <c r="DF43">
        <v>44</v>
      </c>
    </row>
    <row r="44" spans="1:110" x14ac:dyDescent="0.3">
      <c r="DE44">
        <f>'IS.BS.Detail'!$203:$203</f>
        <v>0</v>
      </c>
      <c r="DF44">
        <v>45</v>
      </c>
    </row>
    <row r="45" spans="1:110" x14ac:dyDescent="0.3">
      <c r="DE45">
        <f>'IS.BS.Detail'!$17:$17</f>
        <v>0</v>
      </c>
      <c r="DF45">
        <v>46</v>
      </c>
    </row>
    <row r="46" spans="1:110" x14ac:dyDescent="0.3">
      <c r="DE46">
        <f>'IS.BS.Detail'!$34:$34</f>
        <v>0</v>
      </c>
      <c r="DF46">
        <v>48</v>
      </c>
    </row>
    <row r="47" spans="1:110" x14ac:dyDescent="0.3">
      <c r="DE47">
        <f>'IS.BS.Detail'!$25:$25</f>
        <v>0</v>
      </c>
      <c r="DF47">
        <v>53</v>
      </c>
    </row>
    <row r="48" spans="1:110" x14ac:dyDescent="0.3">
      <c r="DE48">
        <f>'IS.BS.Detail'!$40:$40</f>
        <v>0</v>
      </c>
      <c r="DF48">
        <v>56</v>
      </c>
    </row>
    <row r="49" spans="109:110" x14ac:dyDescent="0.3">
      <c r="DE49">
        <f>'IS.BS.Detail'!$192:$192</f>
        <v>0</v>
      </c>
      <c r="DF49">
        <v>7635</v>
      </c>
    </row>
    <row r="50" spans="109:110" x14ac:dyDescent="0.3">
      <c r="DE50">
        <f>'IS.BS.Detail'!$183:$183</f>
        <v>0</v>
      </c>
      <c r="DF50">
        <v>7636</v>
      </c>
    </row>
    <row r="51" spans="109:110" x14ac:dyDescent="0.3">
      <c r="DE51">
        <f>'IS.BS.Detail'!$184:$184</f>
        <v>0</v>
      </c>
      <c r="DF51">
        <v>7637</v>
      </c>
    </row>
    <row r="52" spans="109:110" x14ac:dyDescent="0.3">
      <c r="DE52">
        <f>'IS.BS.Detail'!$185:$185</f>
        <v>0</v>
      </c>
      <c r="DF52">
        <v>7638</v>
      </c>
    </row>
    <row r="53" spans="109:110" x14ac:dyDescent="0.3">
      <c r="DE53">
        <f>'IS.BS.Detail'!$186:$186</f>
        <v>0</v>
      </c>
      <c r="DF53">
        <v>7639</v>
      </c>
    </row>
    <row r="54" spans="109:110" x14ac:dyDescent="0.3">
      <c r="DE54">
        <f>'IS.BS.Detail'!$187:$187</f>
        <v>0</v>
      </c>
      <c r="DF54">
        <v>7640</v>
      </c>
    </row>
    <row r="55" spans="109:110" x14ac:dyDescent="0.3">
      <c r="DE55">
        <f>'IS.BS.Detail'!$188:$188</f>
        <v>0</v>
      </c>
      <c r="DF55">
        <v>7641</v>
      </c>
    </row>
    <row r="56" spans="109:110" x14ac:dyDescent="0.3">
      <c r="DE56">
        <f>'IS.BS.Detail'!$196:$196</f>
        <v>0</v>
      </c>
      <c r="DF56">
        <v>7642</v>
      </c>
    </row>
    <row r="57" spans="109:110" x14ac:dyDescent="0.3">
      <c r="DE57">
        <f>'IS.BS.Detail'!$176:$176</f>
        <v>0</v>
      </c>
      <c r="DF57">
        <v>7643</v>
      </c>
    </row>
    <row r="58" spans="109:110" x14ac:dyDescent="0.3">
      <c r="DE58">
        <f>'IS.BS.Detail'!$177:$177</f>
        <v>0</v>
      </c>
      <c r="DF58">
        <v>7644</v>
      </c>
    </row>
    <row r="59" spans="109:110" x14ac:dyDescent="0.3">
      <c r="DE59">
        <f>'IS.BS.Detail'!$181:$181</f>
        <v>0</v>
      </c>
      <c r="DF59">
        <v>7645</v>
      </c>
    </row>
    <row r="60" spans="109:110" x14ac:dyDescent="0.3">
      <c r="DE60">
        <f>'IS.BS.Detail'!$179:$179</f>
        <v>0</v>
      </c>
      <c r="DF60">
        <v>7646</v>
      </c>
    </row>
    <row r="61" spans="109:110" x14ac:dyDescent="0.3">
      <c r="DE61">
        <f>'IS.BS.Detail'!$174:$174</f>
        <v>0</v>
      </c>
      <c r="DF61">
        <v>7647</v>
      </c>
    </row>
    <row r="62" spans="109:110" x14ac:dyDescent="0.3">
      <c r="DE62">
        <f>'IS.BS.Detail'!$169:$169</f>
        <v>0</v>
      </c>
      <c r="DF62">
        <v>7648</v>
      </c>
    </row>
    <row r="63" spans="109:110" x14ac:dyDescent="0.3">
      <c r="DE63">
        <f>'IS.BS.Detail'!$170:$170</f>
        <v>0</v>
      </c>
      <c r="DF63">
        <v>7649</v>
      </c>
    </row>
    <row r="64" spans="109:110" x14ac:dyDescent="0.3">
      <c r="DE64">
        <f>'IS.BS.Detail'!$171:$171</f>
        <v>0</v>
      </c>
      <c r="DF64">
        <v>7650</v>
      </c>
    </row>
    <row r="65" spans="109:110" x14ac:dyDescent="0.3">
      <c r="DE65">
        <f>'IS.BS.Detail'!$172:$172</f>
        <v>0</v>
      </c>
      <c r="DF65">
        <v>7651</v>
      </c>
    </row>
    <row r="66" spans="109:110" x14ac:dyDescent="0.3">
      <c r="DE66">
        <f>'IS.BS.Detail'!$122:$122</f>
        <v>0</v>
      </c>
      <c r="DF66">
        <v>7652</v>
      </c>
    </row>
    <row r="67" spans="109:110" x14ac:dyDescent="0.3">
      <c r="DE67">
        <f>'IS.BS.Detail'!$123:$123</f>
        <v>0</v>
      </c>
      <c r="DF67">
        <v>7653</v>
      </c>
    </row>
    <row r="68" spans="109:110" x14ac:dyDescent="0.3">
      <c r="DE68">
        <f>'IS.BS.Detail'!$166:$166</f>
        <v>0</v>
      </c>
      <c r="DF68">
        <v>7654</v>
      </c>
    </row>
    <row r="69" spans="109:110" x14ac:dyDescent="0.3">
      <c r="DE69">
        <f>'IS.BS.Detail'!$167:$167</f>
        <v>0</v>
      </c>
      <c r="DF69">
        <v>7655</v>
      </c>
    </row>
    <row r="70" spans="109:110" x14ac:dyDescent="0.3">
      <c r="DE70">
        <f>'IS.BS.Detail'!$130:$130</f>
        <v>0</v>
      </c>
      <c r="DF70">
        <v>7656</v>
      </c>
    </row>
    <row r="71" spans="109:110" x14ac:dyDescent="0.3">
      <c r="DE71">
        <f>'IS.BS.Detail'!$131:$131</f>
        <v>0</v>
      </c>
      <c r="DF71">
        <v>7657</v>
      </c>
    </row>
    <row r="72" spans="109:110" x14ac:dyDescent="0.3">
      <c r="DE72">
        <f>'IS.BS.Detail'!$132:$132</f>
        <v>0</v>
      </c>
      <c r="DF72">
        <v>7658</v>
      </c>
    </row>
    <row r="73" spans="109:110" x14ac:dyDescent="0.3">
      <c r="DE73">
        <f>'IS.BS.Detail'!$133:$133</f>
        <v>0</v>
      </c>
      <c r="DF73">
        <v>7659</v>
      </c>
    </row>
    <row r="74" spans="109:110" x14ac:dyDescent="0.3">
      <c r="DE74">
        <f>'IS.BS.Detail'!$134:$134</f>
        <v>0</v>
      </c>
      <c r="DF74">
        <v>7660</v>
      </c>
    </row>
    <row r="75" spans="109:110" x14ac:dyDescent="0.3">
      <c r="DE75">
        <f>'IS.BS.Detail'!$135:$135</f>
        <v>0</v>
      </c>
      <c r="DF75">
        <v>7661</v>
      </c>
    </row>
    <row r="76" spans="109:110" x14ac:dyDescent="0.3">
      <c r="DE76">
        <f>'IS.BS.Detail'!$136:$136</f>
        <v>0</v>
      </c>
      <c r="DF76">
        <v>7662</v>
      </c>
    </row>
    <row r="77" spans="109:110" x14ac:dyDescent="0.3">
      <c r="DE77">
        <f>'IS.BS.Detail'!$137:$137</f>
        <v>0</v>
      </c>
      <c r="DF77">
        <v>7663</v>
      </c>
    </row>
    <row r="78" spans="109:110" x14ac:dyDescent="0.3">
      <c r="DE78">
        <f>'IS.BS.Detail'!$138:$138</f>
        <v>0</v>
      </c>
      <c r="DF78">
        <v>7664</v>
      </c>
    </row>
    <row r="79" spans="109:110" x14ac:dyDescent="0.3">
      <c r="DE79">
        <f>'IS.BS.Detail'!$139:$139</f>
        <v>0</v>
      </c>
      <c r="DF79">
        <v>7665</v>
      </c>
    </row>
    <row r="80" spans="109:110" x14ac:dyDescent="0.3">
      <c r="DE80">
        <f>'IS.BS.Detail'!$140:$140</f>
        <v>0</v>
      </c>
      <c r="DF80">
        <v>7666</v>
      </c>
    </row>
    <row r="81" spans="109:110" x14ac:dyDescent="0.3">
      <c r="DE81">
        <f>'IS.BS.Detail'!$141:$141</f>
        <v>0</v>
      </c>
      <c r="DF81">
        <v>7667</v>
      </c>
    </row>
    <row r="82" spans="109:110" x14ac:dyDescent="0.3">
      <c r="DE82">
        <f>'IS.BS.Detail'!$142:$142</f>
        <v>0</v>
      </c>
      <c r="DF82">
        <v>7668</v>
      </c>
    </row>
    <row r="83" spans="109:110" x14ac:dyDescent="0.3">
      <c r="DE83">
        <f>'IS.BS.Detail'!$143:$143</f>
        <v>0</v>
      </c>
      <c r="DF83">
        <v>7669</v>
      </c>
    </row>
    <row r="84" spans="109:110" x14ac:dyDescent="0.3">
      <c r="DE84">
        <f>'IS.BS.Detail'!$144:$144</f>
        <v>0</v>
      </c>
      <c r="DF84">
        <v>7670</v>
      </c>
    </row>
    <row r="85" spans="109:110" x14ac:dyDescent="0.3">
      <c r="DE85">
        <f>'IS.BS.Detail'!$145:$145</f>
        <v>0</v>
      </c>
      <c r="DF85">
        <v>7671</v>
      </c>
    </row>
    <row r="86" spans="109:110" x14ac:dyDescent="0.3">
      <c r="DE86">
        <f>'IS.BS.Detail'!$146:$146</f>
        <v>0</v>
      </c>
      <c r="DF86">
        <v>7672</v>
      </c>
    </row>
    <row r="87" spans="109:110" x14ac:dyDescent="0.3">
      <c r="DE87">
        <f>'IS.BS.Detail'!$147:$147</f>
        <v>0</v>
      </c>
      <c r="DF87">
        <v>7673</v>
      </c>
    </row>
    <row r="88" spans="109:110" x14ac:dyDescent="0.3">
      <c r="DE88">
        <f>'IS.BS.Detail'!$148:$148</f>
        <v>0</v>
      </c>
      <c r="DF88">
        <v>7674</v>
      </c>
    </row>
    <row r="89" spans="109:110" x14ac:dyDescent="0.3">
      <c r="DE89">
        <f>'IS.BS.Detail'!$149:$149</f>
        <v>0</v>
      </c>
      <c r="DF89">
        <v>7675</v>
      </c>
    </row>
    <row r="90" spans="109:110" x14ac:dyDescent="0.3">
      <c r="DE90">
        <f>'IS.BS.Detail'!$150:$150</f>
        <v>0</v>
      </c>
      <c r="DF90">
        <v>7676</v>
      </c>
    </row>
    <row r="91" spans="109:110" x14ac:dyDescent="0.3">
      <c r="DE91">
        <f>'IS.BS.Detail'!$151:$151</f>
        <v>0</v>
      </c>
      <c r="DF91">
        <v>7677</v>
      </c>
    </row>
    <row r="92" spans="109:110" x14ac:dyDescent="0.3">
      <c r="DE92">
        <f>'IS.BS.Detail'!$152:$152</f>
        <v>0</v>
      </c>
      <c r="DF92">
        <v>7678</v>
      </c>
    </row>
    <row r="93" spans="109:110" x14ac:dyDescent="0.3">
      <c r="DE93">
        <f>'IS.BS.Detail'!$153:$153</f>
        <v>0</v>
      </c>
      <c r="DF93">
        <v>7679</v>
      </c>
    </row>
    <row r="94" spans="109:110" x14ac:dyDescent="0.3">
      <c r="DE94">
        <f>'IS.BS.Detail'!$154:$154</f>
        <v>0</v>
      </c>
      <c r="DF94">
        <v>7680</v>
      </c>
    </row>
    <row r="95" spans="109:110" x14ac:dyDescent="0.3">
      <c r="DE95">
        <f>'IS.BS.Detail'!$155:$155</f>
        <v>0</v>
      </c>
      <c r="DF95">
        <v>7681</v>
      </c>
    </row>
    <row r="96" spans="109:110" x14ac:dyDescent="0.3">
      <c r="DE96">
        <f>'IS.BS.Detail'!$156:$156</f>
        <v>0</v>
      </c>
      <c r="DF96">
        <v>7682</v>
      </c>
    </row>
    <row r="97" spans="109:110" x14ac:dyDescent="0.3">
      <c r="DE97">
        <f>'IS.BS.Detail'!$157:$157</f>
        <v>0</v>
      </c>
      <c r="DF97">
        <v>7683</v>
      </c>
    </row>
    <row r="98" spans="109:110" x14ac:dyDescent="0.3">
      <c r="DE98">
        <f>'IS.BS.Detail'!$158:$158</f>
        <v>0</v>
      </c>
      <c r="DF98">
        <v>7684</v>
      </c>
    </row>
    <row r="99" spans="109:110" x14ac:dyDescent="0.3">
      <c r="DE99">
        <f>'IS.BS.Detail'!$159:$159</f>
        <v>0</v>
      </c>
      <c r="DF99">
        <v>7685</v>
      </c>
    </row>
    <row r="100" spans="109:110" x14ac:dyDescent="0.3">
      <c r="DE100">
        <f>'IS.BS.Detail'!$160:$160</f>
        <v>0</v>
      </c>
      <c r="DF100">
        <v>7686</v>
      </c>
    </row>
    <row r="101" spans="109:110" x14ac:dyDescent="0.3">
      <c r="DE101">
        <f>'IS.BS.Detail'!$161:$161</f>
        <v>0</v>
      </c>
      <c r="DF101">
        <v>7687</v>
      </c>
    </row>
    <row r="102" spans="109:110" x14ac:dyDescent="0.3">
      <c r="DE102">
        <f>'IS.BS.Detail'!$162:$162</f>
        <v>0</v>
      </c>
      <c r="DF102">
        <v>7688</v>
      </c>
    </row>
    <row r="103" spans="109:110" x14ac:dyDescent="0.3">
      <c r="DE103">
        <f>'IS.BS.Detail'!$163:$163</f>
        <v>0</v>
      </c>
      <c r="DF103">
        <v>7689</v>
      </c>
    </row>
    <row r="104" spans="109:110" x14ac:dyDescent="0.3">
      <c r="DE104">
        <f>'IS.BS.Detail'!$164:$164</f>
        <v>0</v>
      </c>
      <c r="DF104">
        <v>7690</v>
      </c>
    </row>
    <row r="105" spans="109:110" x14ac:dyDescent="0.3">
      <c r="DE105">
        <f>'IS.BS.Detail'!$125:$125</f>
        <v>0</v>
      </c>
      <c r="DF105">
        <v>7691</v>
      </c>
    </row>
    <row r="106" spans="109:110" x14ac:dyDescent="0.3">
      <c r="DE106">
        <f>'IS.BS.Detail'!$126:$126</f>
        <v>0</v>
      </c>
      <c r="DF106">
        <v>7692</v>
      </c>
    </row>
    <row r="107" spans="109:110" x14ac:dyDescent="0.3">
      <c r="DE107">
        <f>'IS.BS.Detail'!$127:$127</f>
        <v>0</v>
      </c>
      <c r="DF107">
        <v>7693</v>
      </c>
    </row>
    <row r="108" spans="109:110" x14ac:dyDescent="0.3">
      <c r="DE108">
        <f>'IS.BS.Detail'!$128:$128</f>
        <v>0</v>
      </c>
      <c r="DF108">
        <v>7694</v>
      </c>
    </row>
    <row r="109" spans="109:110" x14ac:dyDescent="0.3">
      <c r="DE109">
        <f>'IS.BS.Detail'!$95:$95</f>
        <v>0</v>
      </c>
      <c r="DF109">
        <v>7695</v>
      </c>
    </row>
    <row r="110" spans="109:110" x14ac:dyDescent="0.3">
      <c r="DE110">
        <f>'IS.BS.Detail'!$96:$96</f>
        <v>0</v>
      </c>
      <c r="DF110">
        <v>7696</v>
      </c>
    </row>
    <row r="111" spans="109:110" x14ac:dyDescent="0.3">
      <c r="DE111">
        <f>'IS.BS.Detail'!$97:$97</f>
        <v>0</v>
      </c>
      <c r="DF111">
        <v>7697</v>
      </c>
    </row>
    <row r="112" spans="109:110" x14ac:dyDescent="0.3">
      <c r="DE112">
        <f>'IS.BS.Detail'!$98:$98</f>
        <v>0</v>
      </c>
      <c r="DF112">
        <v>7698</v>
      </c>
    </row>
    <row r="113" spans="109:110" x14ac:dyDescent="0.3">
      <c r="DE113">
        <f>'IS.BS.Detail'!$99:$99</f>
        <v>0</v>
      </c>
      <c r="DF113">
        <v>7699</v>
      </c>
    </row>
    <row r="114" spans="109:110" x14ac:dyDescent="0.3">
      <c r="DE114">
        <f>'IS.BS.Detail'!$100:$100</f>
        <v>0</v>
      </c>
      <c r="DF114">
        <v>7700</v>
      </c>
    </row>
    <row r="115" spans="109:110" x14ac:dyDescent="0.3">
      <c r="DE115">
        <f>'IS.BS.Detail'!$101:$101</f>
        <v>0</v>
      </c>
      <c r="DF115">
        <v>7701</v>
      </c>
    </row>
    <row r="116" spans="109:110" x14ac:dyDescent="0.3">
      <c r="DE116">
        <f>'IS.BS.Detail'!$102:$102</f>
        <v>0</v>
      </c>
      <c r="DF116">
        <v>7702</v>
      </c>
    </row>
    <row r="117" spans="109:110" x14ac:dyDescent="0.3">
      <c r="DE117">
        <f>'IS.BS.Detail'!$103:$103</f>
        <v>0</v>
      </c>
      <c r="DF117">
        <v>7703</v>
      </c>
    </row>
    <row r="118" spans="109:110" x14ac:dyDescent="0.3">
      <c r="DE118">
        <f>'IS.BS.Detail'!$104:$104</f>
        <v>0</v>
      </c>
      <c r="DF118">
        <v>7704</v>
      </c>
    </row>
    <row r="119" spans="109:110" x14ac:dyDescent="0.3">
      <c r="DE119">
        <f>'IS.BS.Detail'!$105:$105</f>
        <v>0</v>
      </c>
      <c r="DF119">
        <v>7705</v>
      </c>
    </row>
    <row r="120" spans="109:110" x14ac:dyDescent="0.3">
      <c r="DE120">
        <f>'IS.BS.Detail'!$106:$106</f>
        <v>0</v>
      </c>
      <c r="DF120">
        <v>7706</v>
      </c>
    </row>
    <row r="121" spans="109:110" x14ac:dyDescent="0.3">
      <c r="DE121">
        <f>'IS.BS.Detail'!$107:$107</f>
        <v>0</v>
      </c>
      <c r="DF121">
        <v>7707</v>
      </c>
    </row>
    <row r="122" spans="109:110" x14ac:dyDescent="0.3">
      <c r="DE122">
        <f>'IS.BS.Detail'!$108:$108</f>
        <v>0</v>
      </c>
      <c r="DF122">
        <v>7708</v>
      </c>
    </row>
    <row r="123" spans="109:110" x14ac:dyDescent="0.3">
      <c r="DE123">
        <f>'IS.BS.Detail'!$109:$109</f>
        <v>0</v>
      </c>
      <c r="DF123">
        <v>7709</v>
      </c>
    </row>
    <row r="124" spans="109:110" x14ac:dyDescent="0.3">
      <c r="DE124">
        <f>'IS.BS.Detail'!$110:$110</f>
        <v>0</v>
      </c>
      <c r="DF124">
        <v>7710</v>
      </c>
    </row>
    <row r="125" spans="109:110" x14ac:dyDescent="0.3">
      <c r="DE125">
        <f>'IS.BS.Detail'!$111:$111</f>
        <v>0</v>
      </c>
      <c r="DF125">
        <v>7711</v>
      </c>
    </row>
    <row r="126" spans="109:110" x14ac:dyDescent="0.3">
      <c r="DE126">
        <f>'IS.BS.Detail'!$112:$112</f>
        <v>0</v>
      </c>
      <c r="DF126">
        <v>7712</v>
      </c>
    </row>
    <row r="127" spans="109:110" x14ac:dyDescent="0.3">
      <c r="DE127">
        <f>'IS.BS.Detail'!$113:$113</f>
        <v>0</v>
      </c>
      <c r="DF127">
        <v>7713</v>
      </c>
    </row>
    <row r="128" spans="109:110" x14ac:dyDescent="0.3">
      <c r="DE128">
        <f>'IS.BS.Detail'!$114:$114</f>
        <v>0</v>
      </c>
      <c r="DF128">
        <v>7714</v>
      </c>
    </row>
    <row r="129" spans="109:110" x14ac:dyDescent="0.3">
      <c r="DE129">
        <f>'IS.BS.Detail'!$115:$115</f>
        <v>0</v>
      </c>
      <c r="DF129">
        <v>7715</v>
      </c>
    </row>
    <row r="130" spans="109:110" x14ac:dyDescent="0.3">
      <c r="DE130">
        <f>'IS.BS.Detail'!$116:$116</f>
        <v>0</v>
      </c>
      <c r="DF130">
        <v>7716</v>
      </c>
    </row>
    <row r="131" spans="109:110" x14ac:dyDescent="0.3">
      <c r="DE131">
        <f>'IS.BS.Detail'!$117:$117</f>
        <v>0</v>
      </c>
      <c r="DF131">
        <v>7717</v>
      </c>
    </row>
    <row r="132" spans="109:110" x14ac:dyDescent="0.3">
      <c r="DE132">
        <f>'IS.BS.Detail'!$118:$118</f>
        <v>0</v>
      </c>
      <c r="DF132">
        <v>7718</v>
      </c>
    </row>
    <row r="133" spans="109:110" x14ac:dyDescent="0.3">
      <c r="DE133">
        <f>'IS.BS.Detail'!$119:$119</f>
        <v>0</v>
      </c>
      <c r="DF133">
        <v>7719</v>
      </c>
    </row>
    <row r="134" spans="109:110" x14ac:dyDescent="0.3">
      <c r="DE134">
        <f>'IS.BS.Detail'!$120:$120</f>
        <v>0</v>
      </c>
      <c r="DF134">
        <v>7720</v>
      </c>
    </row>
    <row r="135" spans="109:110" x14ac:dyDescent="0.3">
      <c r="DE135">
        <f>'IS.BS.Detail'!$86:$86</f>
        <v>0</v>
      </c>
      <c r="DF135">
        <v>7721</v>
      </c>
    </row>
    <row r="136" spans="109:110" x14ac:dyDescent="0.3">
      <c r="DE136">
        <f>'IS.BS.Detail'!$87:$87</f>
        <v>0</v>
      </c>
      <c r="DF136">
        <v>7722</v>
      </c>
    </row>
    <row r="137" spans="109:110" x14ac:dyDescent="0.3">
      <c r="DE137">
        <f>'IS.BS.Detail'!$88:$88</f>
        <v>0</v>
      </c>
      <c r="DF137">
        <v>7723</v>
      </c>
    </row>
    <row r="138" spans="109:110" x14ac:dyDescent="0.3">
      <c r="DE138">
        <f>'IS.BS.Detail'!$89:$89</f>
        <v>0</v>
      </c>
      <c r="DF138">
        <v>7724</v>
      </c>
    </row>
    <row r="139" spans="109:110" x14ac:dyDescent="0.3">
      <c r="DE139">
        <f>'IS.BS.Detail'!$90:$90</f>
        <v>0</v>
      </c>
      <c r="DF139">
        <v>7725</v>
      </c>
    </row>
    <row r="140" spans="109:110" x14ac:dyDescent="0.3">
      <c r="DE140">
        <f>'IS.BS.Detail'!$91:$91</f>
        <v>0</v>
      </c>
      <c r="DF140">
        <v>7726</v>
      </c>
    </row>
    <row r="141" spans="109:110" x14ac:dyDescent="0.3">
      <c r="DE141">
        <f>'IS.BS.Detail'!$92:$92</f>
        <v>0</v>
      </c>
      <c r="DF141">
        <v>7727</v>
      </c>
    </row>
    <row r="142" spans="109:110" x14ac:dyDescent="0.3">
      <c r="DE142">
        <f>'IS.BS.Detail'!$93:$93</f>
        <v>0</v>
      </c>
      <c r="DF142">
        <v>7728</v>
      </c>
    </row>
    <row r="143" spans="109:110" x14ac:dyDescent="0.3">
      <c r="DE143">
        <f>'IS.BS.Detail'!$83:$83</f>
        <v>0</v>
      </c>
      <c r="DF143">
        <v>7729</v>
      </c>
    </row>
    <row r="144" spans="109:110" x14ac:dyDescent="0.3">
      <c r="DE144">
        <f>'IS.BS.Detail'!$81:$81</f>
        <v>0</v>
      </c>
      <c r="DF144">
        <v>7730</v>
      </c>
    </row>
    <row r="145" spans="109:110" x14ac:dyDescent="0.3">
      <c r="DE145">
        <f>'IS.BS.Detail'!$78:$78</f>
        <v>0</v>
      </c>
      <c r="DF145">
        <v>7731</v>
      </c>
    </row>
    <row r="146" spans="109:110" x14ac:dyDescent="0.3">
      <c r="DE146">
        <f>'IS.BS.Detail'!$79:$79</f>
        <v>0</v>
      </c>
      <c r="DF146">
        <v>7732</v>
      </c>
    </row>
    <row r="147" spans="109:110" x14ac:dyDescent="0.3">
      <c r="DE147">
        <f>'IS.BS.Detail'!$65:$65</f>
        <v>0</v>
      </c>
      <c r="DF147">
        <v>7733</v>
      </c>
    </row>
    <row r="148" spans="109:110" x14ac:dyDescent="0.3">
      <c r="DE148">
        <f>'IS.BS.Detail'!$66:$66</f>
        <v>0</v>
      </c>
      <c r="DF148">
        <v>7734</v>
      </c>
    </row>
    <row r="149" spans="109:110" x14ac:dyDescent="0.3">
      <c r="DE149">
        <f>'IS.BS.Detail'!$67:$67</f>
        <v>0</v>
      </c>
      <c r="DF149">
        <v>7735</v>
      </c>
    </row>
    <row r="150" spans="109:110" x14ac:dyDescent="0.3">
      <c r="DE150">
        <f>'IS.BS.Detail'!$68:$68</f>
        <v>0</v>
      </c>
      <c r="DF150">
        <v>7736</v>
      </c>
    </row>
    <row r="151" spans="109:110" x14ac:dyDescent="0.3">
      <c r="DE151">
        <f>'IS.BS.Detail'!$69:$69</f>
        <v>0</v>
      </c>
      <c r="DF151">
        <v>7737</v>
      </c>
    </row>
    <row r="152" spans="109:110" x14ac:dyDescent="0.3">
      <c r="DE152">
        <f>'IS.BS.Detail'!$70:$70</f>
        <v>0</v>
      </c>
      <c r="DF152">
        <v>7738</v>
      </c>
    </row>
    <row r="153" spans="109:110" x14ac:dyDescent="0.3">
      <c r="DE153">
        <f>'IS.BS.Detail'!$71:$71</f>
        <v>0</v>
      </c>
      <c r="DF153">
        <v>7739</v>
      </c>
    </row>
    <row r="154" spans="109:110" x14ac:dyDescent="0.3">
      <c r="DE154">
        <f>'IS.BS.Detail'!$72:$72</f>
        <v>0</v>
      </c>
      <c r="DF154">
        <v>7740</v>
      </c>
    </row>
    <row r="155" spans="109:110" x14ac:dyDescent="0.3">
      <c r="DE155">
        <f>'IS.BS.Detail'!$73:$73</f>
        <v>0</v>
      </c>
      <c r="DF155">
        <v>7741</v>
      </c>
    </row>
    <row r="156" spans="109:110" x14ac:dyDescent="0.3">
      <c r="DE156">
        <f>'IS.BS.Detail'!$74:$74</f>
        <v>0</v>
      </c>
      <c r="DF156">
        <v>7742</v>
      </c>
    </row>
    <row r="157" spans="109:110" x14ac:dyDescent="0.3">
      <c r="DE157">
        <f>'IS.BS.Detail'!$75:$75</f>
        <v>0</v>
      </c>
      <c r="DF157">
        <v>7743</v>
      </c>
    </row>
    <row r="158" spans="109:110" x14ac:dyDescent="0.3">
      <c r="DE158">
        <f>'IS.BS.Detail'!$190:$190</f>
        <v>0</v>
      </c>
      <c r="DF158">
        <v>7744</v>
      </c>
    </row>
    <row r="159" spans="109:110" x14ac:dyDescent="0.3">
      <c r="DE159">
        <f>'IS.BS.Detail'!$60:$60</f>
        <v>0</v>
      </c>
      <c r="DF159">
        <v>7745</v>
      </c>
    </row>
    <row r="160" spans="109:110" x14ac:dyDescent="0.3">
      <c r="DE160">
        <f>'IS.BS.Detail'!$61:$61</f>
        <v>0</v>
      </c>
      <c r="DF160">
        <v>7746</v>
      </c>
    </row>
    <row r="161" spans="109:110" x14ac:dyDescent="0.3">
      <c r="DE161">
        <f>'IS.BS.Detail'!$62:$62</f>
        <v>0</v>
      </c>
      <c r="DF161">
        <v>7747</v>
      </c>
    </row>
    <row r="162" spans="109:110" x14ac:dyDescent="0.3">
      <c r="DE162">
        <f>'IS.BS.Detail'!$63:$63</f>
        <v>0</v>
      </c>
      <c r="DF162">
        <v>7748</v>
      </c>
    </row>
    <row r="163" spans="109:110" x14ac:dyDescent="0.3">
      <c r="DE163">
        <f>'IS.BS.Detail'!$58:$58</f>
        <v>0</v>
      </c>
      <c r="DF163">
        <v>7749</v>
      </c>
    </row>
    <row r="164" spans="109:110" x14ac:dyDescent="0.3">
      <c r="DE164">
        <f>'IS.BS.Detail'!$50:$50</f>
        <v>0</v>
      </c>
      <c r="DF164">
        <v>7750</v>
      </c>
    </row>
    <row r="165" spans="109:110" x14ac:dyDescent="0.3">
      <c r="DE165">
        <f>'IS.BS.Detail'!$51:$51</f>
        <v>0</v>
      </c>
      <c r="DF165">
        <v>7751</v>
      </c>
    </row>
    <row r="166" spans="109:110" x14ac:dyDescent="0.3">
      <c r="DE166">
        <f>'IS.BS.Detail'!$52:$52</f>
        <v>0</v>
      </c>
      <c r="DF166">
        <v>7752</v>
      </c>
    </row>
    <row r="167" spans="109:110" x14ac:dyDescent="0.3">
      <c r="DE167">
        <f>'IS.BS.Detail'!$53:$53</f>
        <v>0</v>
      </c>
      <c r="DF167">
        <v>7753</v>
      </c>
    </row>
    <row r="168" spans="109:110" x14ac:dyDescent="0.3">
      <c r="DE168">
        <f>'IS.BS.Detail'!$54:$54</f>
        <v>0</v>
      </c>
      <c r="DF168">
        <v>7754</v>
      </c>
    </row>
    <row r="169" spans="109:110" x14ac:dyDescent="0.3">
      <c r="DE169">
        <f>'IS.BS.Detail'!$55:$55</f>
        <v>0</v>
      </c>
      <c r="DF169">
        <v>7755</v>
      </c>
    </row>
    <row r="170" spans="109:110" x14ac:dyDescent="0.3">
      <c r="DE170">
        <f>'IS.BS.Detail'!$56:$56</f>
        <v>0</v>
      </c>
      <c r="DF170">
        <v>7756</v>
      </c>
    </row>
    <row r="171" spans="109:110" x14ac:dyDescent="0.3">
      <c r="DE171">
        <f>'IS.BS.Detail'!$200:$200</f>
        <v>0</v>
      </c>
      <c r="DF171">
        <v>7757</v>
      </c>
    </row>
    <row r="172" spans="109:110" x14ac:dyDescent="0.3">
      <c r="DE172">
        <f>'IS.BS.Detail'!$14:$14</f>
        <v>0</v>
      </c>
      <c r="DF172">
        <v>7758</v>
      </c>
    </row>
    <row r="173" spans="109:110" x14ac:dyDescent="0.3">
      <c r="DE173">
        <f>'IS.BS.Detail'!$15:$15</f>
        <v>0</v>
      </c>
      <c r="DF173">
        <v>7759</v>
      </c>
    </row>
    <row r="174" spans="109:110" x14ac:dyDescent="0.3">
      <c r="DE174">
        <f>'IS.BS.Detail'!$16:$16</f>
        <v>0</v>
      </c>
      <c r="DF174">
        <v>7760</v>
      </c>
    </row>
    <row r="175" spans="109:110" x14ac:dyDescent="0.3">
      <c r="DE175">
        <f>'IS.BS.Detail'!$11:$11</f>
        <v>0</v>
      </c>
      <c r="DF175">
        <v>7761</v>
      </c>
    </row>
    <row r="176" spans="109:110" x14ac:dyDescent="0.3">
      <c r="DE176">
        <f>'IS.BS.Detail'!$12:$12</f>
        <v>0</v>
      </c>
      <c r="DF176">
        <v>7762</v>
      </c>
    </row>
    <row r="177" spans="109:110" x14ac:dyDescent="0.3">
      <c r="DE177">
        <f>'IS.BS.Detail'!$9:$9</f>
        <v>0</v>
      </c>
      <c r="DF177">
        <v>7763</v>
      </c>
    </row>
    <row r="178" spans="109:110" x14ac:dyDescent="0.3">
      <c r="DE178">
        <f>'IS.BS.Detail'!$37:$37</f>
        <v>0</v>
      </c>
      <c r="DF178">
        <v>7764</v>
      </c>
    </row>
    <row r="179" spans="109:110" x14ac:dyDescent="0.3">
      <c r="DE179">
        <f>'IS.BS.Detail'!$41:$41</f>
        <v>0</v>
      </c>
      <c r="DF179">
        <v>7765</v>
      </c>
    </row>
    <row r="180" spans="109:110" x14ac:dyDescent="0.3">
      <c r="DE180">
        <f>'IS.BS.Detail'!$42:$42</f>
        <v>0</v>
      </c>
      <c r="DF180">
        <v>7766</v>
      </c>
    </row>
    <row r="181" spans="109:110" x14ac:dyDescent="0.3">
      <c r="DE181">
        <f>'IS.BS.Detail'!$26:$26</f>
        <v>0</v>
      </c>
      <c r="DF181">
        <v>7767</v>
      </c>
    </row>
    <row r="182" spans="109:110" x14ac:dyDescent="0.3">
      <c r="DE182">
        <f>'IS.BS.Detail'!$27:$27</f>
        <v>0</v>
      </c>
      <c r="DF182">
        <v>7768</v>
      </c>
    </row>
    <row r="183" spans="109:110" x14ac:dyDescent="0.3">
      <c r="DE183">
        <f>'IS.BS.Detail'!$28:$28</f>
        <v>0</v>
      </c>
      <c r="DF183">
        <v>7769</v>
      </c>
    </row>
    <row r="184" spans="109:110" x14ac:dyDescent="0.3">
      <c r="DE184">
        <f>'IS.BS.Detail'!$29:$29</f>
        <v>0</v>
      </c>
      <c r="DF184">
        <v>7770</v>
      </c>
    </row>
    <row r="185" spans="109:110" x14ac:dyDescent="0.3">
      <c r="DE185">
        <f>'IS.BS.Detail'!$30:$30</f>
        <v>0</v>
      </c>
      <c r="DF185">
        <v>7771</v>
      </c>
    </row>
    <row r="186" spans="109:110" x14ac:dyDescent="0.3">
      <c r="DE186">
        <f>'IS.BS.Detail'!$31:$31</f>
        <v>0</v>
      </c>
      <c r="DF186">
        <v>7772</v>
      </c>
    </row>
    <row r="187" spans="109:110" x14ac:dyDescent="0.3">
      <c r="DE187">
        <f>'IS.BS.Detail'!$32:$32</f>
        <v>0</v>
      </c>
      <c r="DF187">
        <v>7773</v>
      </c>
    </row>
    <row r="188" spans="109:110" x14ac:dyDescent="0.3">
      <c r="DE188">
        <f>'IS.BS.Detail'!$33:$33</f>
        <v>0</v>
      </c>
      <c r="DF188">
        <v>7774</v>
      </c>
    </row>
    <row r="189" spans="109:110" x14ac:dyDescent="0.3">
      <c r="DE189">
        <f>'IS.BS.Detail'!$21:$21</f>
        <v>0</v>
      </c>
      <c r="DF189">
        <v>7775</v>
      </c>
    </row>
    <row r="190" spans="109:110" x14ac:dyDescent="0.3">
      <c r="DE190">
        <f>'IS.BS.Detail'!$22:$22</f>
        <v>0</v>
      </c>
      <c r="DF190">
        <v>7776</v>
      </c>
    </row>
    <row r="191" spans="109:110" x14ac:dyDescent="0.3">
      <c r="DE191">
        <f>'IS.BS.Detail'!$23:$23</f>
        <v>0</v>
      </c>
      <c r="DF191">
        <v>7777</v>
      </c>
    </row>
    <row r="192" spans="109:110" x14ac:dyDescent="0.3">
      <c r="DE192">
        <f>'IS.BS.Detail'!$44:$44</f>
        <v>0</v>
      </c>
      <c r="DF192">
        <v>7778</v>
      </c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D63C-20AB-4F03-80B1-19B123F50FCE}">
  <dimension ref="A3:B4"/>
  <sheetViews>
    <sheetView workbookViewId="0"/>
  </sheetViews>
  <sheetFormatPr defaultRowHeight="14.4" x14ac:dyDescent="0.3"/>
  <sheetData>
    <row r="3" spans="1:2" x14ac:dyDescent="0.3">
      <c r="A3" t="s">
        <v>0</v>
      </c>
      <c r="B3" t="s">
        <v>80</v>
      </c>
    </row>
    <row r="4" spans="1:2" x14ac:dyDescent="0.3">
      <c r="A4">
        <v>1</v>
      </c>
      <c r="B4">
        <v>19</v>
      </c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showGridLines="0" tabSelected="1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3" sqref="N13"/>
    </sheetView>
  </sheetViews>
  <sheetFormatPr defaultColWidth="0" defaultRowHeight="14.4" zeroHeight="1" x14ac:dyDescent="0.3"/>
  <cols>
    <col min="1" max="1" width="1.6640625" customWidth="1"/>
    <col min="2" max="2" width="40.6640625" customWidth="1"/>
    <col min="3" max="14" width="16.6640625" customWidth="1"/>
    <col min="15" max="16" width="18.6640625" customWidth="1"/>
    <col min="17" max="17" width="4.6640625" customWidth="1"/>
    <col min="18" max="16384" width="8.88671875" hidden="1"/>
  </cols>
  <sheetData>
    <row r="1" spans="2:16" ht="7.95" customHeight="1" x14ac:dyDescent="0.3"/>
    <row r="2" spans="2:16" s="37" customFormat="1" ht="21" x14ac:dyDescent="0.3">
      <c r="B2" s="36" t="s">
        <v>175</v>
      </c>
    </row>
    <row r="3" spans="2:16" s="37" customFormat="1" ht="15.6" x14ac:dyDescent="0.3">
      <c r="B3" s="38" t="s">
        <v>238</v>
      </c>
    </row>
    <row r="4" spans="2:16" s="37" customFormat="1" ht="15.6" x14ac:dyDescent="0.3">
      <c r="B4" s="38" t="s">
        <v>239</v>
      </c>
    </row>
    <row r="5" spans="2:16" s="28" customFormat="1" ht="15.6" customHeight="1" x14ac:dyDescent="0.3">
      <c r="B5" s="38" t="s">
        <v>189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2:16" s="1" customFormat="1" ht="7.95" customHeight="1" x14ac:dyDescent="0.3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2:16" s="22" customFormat="1" ht="16.2" customHeight="1" x14ac:dyDescent="0.3">
      <c r="B7" s="18"/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0" t="s">
        <v>190</v>
      </c>
      <c r="I7" s="20" t="s">
        <v>195</v>
      </c>
      <c r="J7" s="20" t="s">
        <v>242</v>
      </c>
      <c r="K7" s="20" t="s">
        <v>243</v>
      </c>
      <c r="L7" s="20" t="s">
        <v>244</v>
      </c>
      <c r="M7" s="20" t="s">
        <v>241</v>
      </c>
      <c r="N7" s="20" t="s">
        <v>240</v>
      </c>
      <c r="O7" s="27" t="s">
        <v>245</v>
      </c>
      <c r="P7" s="27" t="s">
        <v>78</v>
      </c>
    </row>
    <row r="8" spans="2:16" ht="7.95" customHeight="1" x14ac:dyDescent="0.3"/>
    <row r="9" spans="2:16" x14ac:dyDescent="0.3">
      <c r="B9" s="3" t="s">
        <v>5</v>
      </c>
    </row>
    <row r="10" spans="2:16" x14ac:dyDescent="0.3">
      <c r="B10" s="6" t="s">
        <v>1</v>
      </c>
      <c r="C10" s="5">
        <v>41324.649999999994</v>
      </c>
      <c r="D10" s="5">
        <v>48906.560000000005</v>
      </c>
      <c r="E10" s="5">
        <v>54138.43</v>
      </c>
      <c r="F10" s="5">
        <v>60857.869999999995</v>
      </c>
      <c r="G10" s="5">
        <v>65220.380000000005</v>
      </c>
      <c r="H10" s="5">
        <v>72813.540000000008</v>
      </c>
      <c r="I10" s="5">
        <v>75484.5</v>
      </c>
      <c r="J10" s="5">
        <v>77101.22</v>
      </c>
      <c r="K10" s="5">
        <v>81508.509999999995</v>
      </c>
      <c r="L10" s="5">
        <v>84146.790000000008</v>
      </c>
      <c r="M10" s="5">
        <v>82848.56</v>
      </c>
      <c r="N10" s="5">
        <v>88458.819999999992</v>
      </c>
      <c r="O10" s="5">
        <v>88458.819999999992</v>
      </c>
      <c r="P10" s="5">
        <f>+SUM(C10:N10)</f>
        <v>832809.83</v>
      </c>
    </row>
    <row r="11" spans="2:16" x14ac:dyDescent="0.3">
      <c r="B11" s="6" t="s">
        <v>2</v>
      </c>
      <c r="C11" s="5">
        <v>2454</v>
      </c>
      <c r="D11" s="5">
        <v>2646</v>
      </c>
      <c r="E11" s="5">
        <v>2742</v>
      </c>
      <c r="F11" s="5">
        <v>2964</v>
      </c>
      <c r="G11" s="5">
        <v>3054</v>
      </c>
      <c r="H11" s="5">
        <v>3102</v>
      </c>
      <c r="I11" s="5">
        <v>3144</v>
      </c>
      <c r="J11" s="5">
        <v>3096</v>
      </c>
      <c r="K11" s="5">
        <v>3084</v>
      </c>
      <c r="L11" s="5">
        <v>3078</v>
      </c>
      <c r="M11" s="5">
        <v>3174</v>
      </c>
      <c r="N11" s="5">
        <v>3258</v>
      </c>
      <c r="O11" s="5">
        <v>3258</v>
      </c>
      <c r="P11" s="5">
        <f>+SUM(C11:N11)</f>
        <v>35796</v>
      </c>
    </row>
    <row r="12" spans="2:16" x14ac:dyDescent="0.3">
      <c r="B12" s="6" t="s">
        <v>3</v>
      </c>
      <c r="C12" s="5">
        <v>912.96000000000015</v>
      </c>
      <c r="D12" s="5">
        <v>756.68999999999983</v>
      </c>
      <c r="E12" s="5">
        <v>843.42000000000007</v>
      </c>
      <c r="F12" s="5">
        <v>1118.6300000000003</v>
      </c>
      <c r="G12" s="5">
        <v>889.55000000000007</v>
      </c>
      <c r="H12" s="5">
        <v>760.21</v>
      </c>
      <c r="I12" s="5">
        <v>1091.8</v>
      </c>
      <c r="J12" s="5">
        <v>619.78</v>
      </c>
      <c r="K12" s="5">
        <v>696.85000000000014</v>
      </c>
      <c r="L12" s="5">
        <v>687.25000000000011</v>
      </c>
      <c r="M12" s="5">
        <v>1066.98</v>
      </c>
      <c r="N12" s="5">
        <v>787.81000000000006</v>
      </c>
      <c r="O12" s="5">
        <v>787.81000000000006</v>
      </c>
      <c r="P12" s="5">
        <f>+SUM(C12:N12)</f>
        <v>10231.93</v>
      </c>
    </row>
    <row r="13" spans="2:16" x14ac:dyDescent="0.3">
      <c r="B13" s="6" t="s">
        <v>4</v>
      </c>
      <c r="C13" s="5">
        <v>2432</v>
      </c>
      <c r="D13" s="5">
        <v>2907.6000000000004</v>
      </c>
      <c r="E13" s="5">
        <v>3362.87</v>
      </c>
      <c r="F13" s="5">
        <v>3467.6000000000004</v>
      </c>
      <c r="G13" s="5">
        <v>3484.3999999999996</v>
      </c>
      <c r="H13" s="5">
        <v>2579.4</v>
      </c>
      <c r="I13" s="5">
        <v>3582.5899999999997</v>
      </c>
      <c r="J13" s="5">
        <v>3282.56</v>
      </c>
      <c r="K13" s="5">
        <v>4286.87</v>
      </c>
      <c r="L13" s="5">
        <v>3879.08</v>
      </c>
      <c r="M13" s="5">
        <v>6080.3</v>
      </c>
      <c r="N13" s="5">
        <v>4984.9799999999996</v>
      </c>
      <c r="O13" s="5">
        <v>4984.9799999999996</v>
      </c>
      <c r="P13" s="5">
        <f>+SUM(C13:N13)</f>
        <v>44330.25</v>
      </c>
    </row>
    <row r="14" spans="2:16" ht="15" thickBot="1" x14ac:dyDescent="0.35">
      <c r="B14" s="8" t="s">
        <v>6</v>
      </c>
      <c r="C14" s="7">
        <f t="shared" ref="C14:O14" si="0">+SUM(C10:C13)</f>
        <v>47123.609999999993</v>
      </c>
      <c r="D14" s="7">
        <f t="shared" si="0"/>
        <v>55216.850000000006</v>
      </c>
      <c r="E14" s="7">
        <f t="shared" si="0"/>
        <v>61086.720000000001</v>
      </c>
      <c r="F14" s="7">
        <f t="shared" si="0"/>
        <v>68408.099999999991</v>
      </c>
      <c r="G14" s="7">
        <f t="shared" si="0"/>
        <v>72648.33</v>
      </c>
      <c r="H14" s="7">
        <f t="shared" si="0"/>
        <v>79255.150000000009</v>
      </c>
      <c r="I14" s="7">
        <f t="shared" si="0"/>
        <v>83302.89</v>
      </c>
      <c r="J14" s="7">
        <f t="shared" si="0"/>
        <v>84099.56</v>
      </c>
      <c r="K14" s="7">
        <f t="shared" si="0"/>
        <v>89576.23</v>
      </c>
      <c r="L14" s="7">
        <f t="shared" si="0"/>
        <v>91791.12000000001</v>
      </c>
      <c r="M14" s="7">
        <f t="shared" si="0"/>
        <v>93169.84</v>
      </c>
      <c r="N14" s="7">
        <f t="shared" si="0"/>
        <v>97489.609999999986</v>
      </c>
      <c r="O14" s="7">
        <f t="shared" si="0"/>
        <v>97489.609999999986</v>
      </c>
      <c r="P14" s="7">
        <f>+SUM(C14:N14)</f>
        <v>923168.00999999989</v>
      </c>
    </row>
    <row r="15" spans="2:16" ht="15" thickTop="1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 x14ac:dyDescent="0.3">
      <c r="B16" s="3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6" x14ac:dyDescent="0.3">
      <c r="B17" s="6" t="s">
        <v>14</v>
      </c>
      <c r="C17" s="5">
        <v>299</v>
      </c>
      <c r="D17" s="5">
        <v>299</v>
      </c>
      <c r="E17" s="5">
        <v>299</v>
      </c>
      <c r="F17" s="5">
        <v>299.55</v>
      </c>
      <c r="G17" s="5">
        <v>300.86</v>
      </c>
      <c r="H17" s="5">
        <v>299</v>
      </c>
      <c r="I17" s="5">
        <v>299</v>
      </c>
      <c r="J17" s="5">
        <v>300.83</v>
      </c>
      <c r="K17" s="5">
        <v>299</v>
      </c>
      <c r="L17" s="5">
        <v>299</v>
      </c>
      <c r="M17" s="5">
        <v>300.81</v>
      </c>
      <c r="N17" s="5">
        <v>299</v>
      </c>
      <c r="O17" s="5">
        <v>299</v>
      </c>
      <c r="P17" s="5">
        <f>+SUM(C17:N17)</f>
        <v>3594.0499999999997</v>
      </c>
    </row>
    <row r="18" spans="2:16" x14ac:dyDescent="0.3">
      <c r="B18" s="6" t="s">
        <v>17</v>
      </c>
      <c r="C18" s="5">
        <v>549</v>
      </c>
      <c r="D18" s="5">
        <v>549</v>
      </c>
      <c r="E18" s="5">
        <v>549</v>
      </c>
      <c r="F18" s="5">
        <v>549</v>
      </c>
      <c r="G18" s="5">
        <v>549</v>
      </c>
      <c r="H18" s="5">
        <v>549</v>
      </c>
      <c r="I18" s="5">
        <v>549</v>
      </c>
      <c r="J18" s="5">
        <v>549</v>
      </c>
      <c r="K18" s="5">
        <v>549</v>
      </c>
      <c r="L18" s="5">
        <v>549</v>
      </c>
      <c r="M18" s="5">
        <v>549</v>
      </c>
      <c r="N18" s="5">
        <v>549</v>
      </c>
      <c r="O18" s="5">
        <v>549</v>
      </c>
      <c r="P18" s="5">
        <f>+SUM(C18:N18)</f>
        <v>6588</v>
      </c>
    </row>
    <row r="19" spans="2:16" x14ac:dyDescent="0.3">
      <c r="B19" s="6" t="s">
        <v>15</v>
      </c>
      <c r="C19" s="5">
        <v>1754.77</v>
      </c>
      <c r="D19" s="5">
        <v>2058.87</v>
      </c>
      <c r="E19" s="5">
        <v>2286.1799999999998</v>
      </c>
      <c r="F19" s="5">
        <v>2694.28</v>
      </c>
      <c r="G19" s="5">
        <v>2709.73</v>
      </c>
      <c r="H19" s="5">
        <v>2950.41</v>
      </c>
      <c r="I19" s="5">
        <v>3144.77</v>
      </c>
      <c r="J19" s="5">
        <v>3149.43</v>
      </c>
      <c r="K19" s="5">
        <v>3536.17</v>
      </c>
      <c r="L19" s="5">
        <v>3345.34</v>
      </c>
      <c r="M19" s="5">
        <v>3636.85</v>
      </c>
      <c r="N19" s="5">
        <v>3727.71</v>
      </c>
      <c r="O19" s="5">
        <v>3727.71</v>
      </c>
      <c r="P19" s="5">
        <f>+SUM(C19:N19)</f>
        <v>34994.51</v>
      </c>
    </row>
    <row r="20" spans="2:16" x14ac:dyDescent="0.3">
      <c r="B20" s="9" t="s">
        <v>16</v>
      </c>
      <c r="C20" s="10">
        <f t="shared" ref="C20:O20" si="1">+SUM(C17:C19)</f>
        <v>2602.77</v>
      </c>
      <c r="D20" s="10">
        <f t="shared" si="1"/>
        <v>2906.87</v>
      </c>
      <c r="E20" s="10">
        <f t="shared" si="1"/>
        <v>3134.18</v>
      </c>
      <c r="F20" s="10">
        <f t="shared" si="1"/>
        <v>3542.83</v>
      </c>
      <c r="G20" s="10">
        <f t="shared" si="1"/>
        <v>3559.59</v>
      </c>
      <c r="H20" s="10">
        <f t="shared" si="1"/>
        <v>3798.41</v>
      </c>
      <c r="I20" s="10">
        <f t="shared" si="1"/>
        <v>3992.77</v>
      </c>
      <c r="J20" s="10">
        <f t="shared" si="1"/>
        <v>3999.2599999999998</v>
      </c>
      <c r="K20" s="10">
        <f t="shared" si="1"/>
        <v>4384.17</v>
      </c>
      <c r="L20" s="10">
        <f t="shared" si="1"/>
        <v>4193.34</v>
      </c>
      <c r="M20" s="10">
        <f t="shared" si="1"/>
        <v>4486.66</v>
      </c>
      <c r="N20" s="10">
        <f t="shared" si="1"/>
        <v>4575.71</v>
      </c>
      <c r="O20" s="10">
        <f t="shared" si="1"/>
        <v>4575.71</v>
      </c>
      <c r="P20" s="10">
        <f>+SUM(C20:N20)</f>
        <v>45176.560000000005</v>
      </c>
    </row>
    <row r="21" spans="2:16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x14ac:dyDescent="0.3">
      <c r="B22" s="3" t="s">
        <v>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x14ac:dyDescent="0.3">
      <c r="B23" s="6" t="s">
        <v>19</v>
      </c>
      <c r="C23" s="5">
        <v>352.63</v>
      </c>
      <c r="D23" s="5">
        <v>212.59000000000009</v>
      </c>
      <c r="E23" s="5">
        <v>288.37999999999994</v>
      </c>
      <c r="F23" s="5">
        <v>351.81999999999994</v>
      </c>
      <c r="G23" s="5">
        <v>237.58</v>
      </c>
      <c r="H23" s="5">
        <v>182.07</v>
      </c>
      <c r="I23" s="5">
        <v>418.24999999999994</v>
      </c>
      <c r="J23" s="5">
        <v>275.06</v>
      </c>
      <c r="K23" s="5">
        <v>299.7</v>
      </c>
      <c r="L23" s="5">
        <v>243.02</v>
      </c>
      <c r="M23" s="5">
        <v>476.18999999999994</v>
      </c>
      <c r="N23" s="5">
        <v>359.27999999999992</v>
      </c>
      <c r="O23" s="5">
        <v>359.27999999999992</v>
      </c>
      <c r="P23" s="5">
        <f t="shared" ref="P23:P37" si="2">+SUM(C23:N23)</f>
        <v>3696.5699999999993</v>
      </c>
    </row>
    <row r="24" spans="2:16" x14ac:dyDescent="0.3">
      <c r="B24" s="6" t="s">
        <v>20</v>
      </c>
      <c r="C24" s="5">
        <v>7395.5700000000015</v>
      </c>
      <c r="D24" s="5">
        <v>5933.7699999999995</v>
      </c>
      <c r="E24" s="5">
        <v>7055.4400000000014</v>
      </c>
      <c r="F24" s="5">
        <v>8709.83</v>
      </c>
      <c r="G24" s="5">
        <v>8544.9500000000007</v>
      </c>
      <c r="H24" s="5">
        <v>7756.3999999999987</v>
      </c>
      <c r="I24" s="5">
        <v>8621.5500000000011</v>
      </c>
      <c r="J24" s="5">
        <v>8103.48</v>
      </c>
      <c r="K24" s="5">
        <v>6491.0899999999983</v>
      </c>
      <c r="L24" s="5">
        <v>6675.98</v>
      </c>
      <c r="M24" s="5">
        <v>7406.7300000000014</v>
      </c>
      <c r="N24" s="5">
        <v>6871.5000000000009</v>
      </c>
      <c r="O24" s="5">
        <v>6871.5000000000009</v>
      </c>
      <c r="P24" s="5">
        <f t="shared" si="2"/>
        <v>89566.29</v>
      </c>
    </row>
    <row r="25" spans="2:16" x14ac:dyDescent="0.3">
      <c r="B25" s="6" t="s">
        <v>21</v>
      </c>
      <c r="C25" s="5">
        <v>1303.22</v>
      </c>
      <c r="D25" s="5">
        <v>1522.62</v>
      </c>
      <c r="E25" s="5">
        <v>726.55000000000041</v>
      </c>
      <c r="F25" s="5">
        <v>1063.1500000000001</v>
      </c>
      <c r="G25" s="5">
        <v>864.46</v>
      </c>
      <c r="H25" s="5">
        <v>899.05</v>
      </c>
      <c r="I25" s="5">
        <v>914.95</v>
      </c>
      <c r="J25" s="5">
        <v>1159.6600000000001</v>
      </c>
      <c r="K25" s="5">
        <v>779.34</v>
      </c>
      <c r="L25" s="5">
        <v>838.3</v>
      </c>
      <c r="M25" s="5">
        <v>986.78</v>
      </c>
      <c r="N25" s="5">
        <v>871.77</v>
      </c>
      <c r="O25" s="5">
        <v>871.77</v>
      </c>
      <c r="P25" s="5">
        <f t="shared" si="2"/>
        <v>11929.850000000002</v>
      </c>
    </row>
    <row r="26" spans="2:16" x14ac:dyDescent="0.3">
      <c r="B26" s="6" t="s">
        <v>107</v>
      </c>
      <c r="C26" s="5">
        <v>835</v>
      </c>
      <c r="D26" s="5">
        <v>0</v>
      </c>
      <c r="E26" s="5">
        <v>0</v>
      </c>
      <c r="F26" s="5">
        <v>0</v>
      </c>
      <c r="G26" s="5">
        <v>0</v>
      </c>
      <c r="H26" s="5">
        <v>9037.35</v>
      </c>
      <c r="I26" s="5">
        <v>3057.52</v>
      </c>
      <c r="J26" s="5">
        <v>3231.46</v>
      </c>
      <c r="K26" s="5">
        <v>2923.3799999999997</v>
      </c>
      <c r="L26" s="5">
        <v>2871.81</v>
      </c>
      <c r="M26" s="5">
        <v>3218.15</v>
      </c>
      <c r="N26" s="5">
        <v>2948.17</v>
      </c>
      <c r="O26" s="5">
        <v>2948.17</v>
      </c>
      <c r="P26" s="5">
        <f t="shared" si="2"/>
        <v>28122.840000000004</v>
      </c>
    </row>
    <row r="27" spans="2:16" x14ac:dyDescent="0.3">
      <c r="B27" s="6" t="s">
        <v>22</v>
      </c>
      <c r="C27" s="5">
        <v>1787.91</v>
      </c>
      <c r="D27" s="5">
        <v>2478.2600000000002</v>
      </c>
      <c r="E27" s="5">
        <v>1154.6600000000001</v>
      </c>
      <c r="F27" s="5">
        <v>4197.6499999999996</v>
      </c>
      <c r="G27" s="5">
        <v>4226.4699999999993</v>
      </c>
      <c r="H27" s="5">
        <v>3614.1399999999994</v>
      </c>
      <c r="I27" s="5">
        <v>5572.98</v>
      </c>
      <c r="J27" s="5">
        <v>5344.8</v>
      </c>
      <c r="K27" s="5">
        <v>1458.36</v>
      </c>
      <c r="L27" s="5">
        <v>3092.95</v>
      </c>
      <c r="M27" s="5">
        <v>4347.63</v>
      </c>
      <c r="N27" s="5">
        <v>2511.8200000000002</v>
      </c>
      <c r="O27" s="5">
        <v>2511.8200000000002</v>
      </c>
      <c r="P27" s="5">
        <f t="shared" si="2"/>
        <v>39787.62999999999</v>
      </c>
    </row>
    <row r="28" spans="2:16" x14ac:dyDescent="0.3">
      <c r="B28" s="6" t="s">
        <v>23</v>
      </c>
      <c r="C28" s="5">
        <v>703.49</v>
      </c>
      <c r="D28" s="5">
        <v>756.68000000000006</v>
      </c>
      <c r="E28" s="5">
        <v>881.91999999999985</v>
      </c>
      <c r="F28" s="5">
        <v>1037.71</v>
      </c>
      <c r="G28" s="5">
        <v>1031.97</v>
      </c>
      <c r="H28" s="5">
        <v>1088.8699999999999</v>
      </c>
      <c r="I28" s="5">
        <v>1189.6199999999999</v>
      </c>
      <c r="J28" s="5">
        <v>1153.06</v>
      </c>
      <c r="K28" s="5">
        <v>1300.3200000000002</v>
      </c>
      <c r="L28" s="5">
        <v>1237.3900000000001</v>
      </c>
      <c r="M28" s="5">
        <v>1468.12</v>
      </c>
      <c r="N28" s="5">
        <v>1484.59</v>
      </c>
      <c r="O28" s="5">
        <v>1484.59</v>
      </c>
      <c r="P28" s="5">
        <f t="shared" si="2"/>
        <v>13333.739999999998</v>
      </c>
    </row>
    <row r="29" spans="2:16" x14ac:dyDescent="0.3">
      <c r="B29" s="6" t="s">
        <v>24</v>
      </c>
      <c r="C29" s="5">
        <v>2690.57</v>
      </c>
      <c r="D29" s="5">
        <v>3766.329999999999</v>
      </c>
      <c r="E29" s="5">
        <v>3452.2200000000007</v>
      </c>
      <c r="F29" s="5">
        <v>4285.3999999999987</v>
      </c>
      <c r="G29" s="5">
        <v>3507.0499999999997</v>
      </c>
      <c r="H29" s="5">
        <v>2723.6</v>
      </c>
      <c r="I29" s="5">
        <v>3419.91</v>
      </c>
      <c r="J29" s="5">
        <v>3480.9100000000003</v>
      </c>
      <c r="K29" s="5">
        <v>1750.46</v>
      </c>
      <c r="L29" s="5">
        <v>1792.6</v>
      </c>
      <c r="M29" s="5">
        <v>1752.92</v>
      </c>
      <c r="N29" s="5">
        <v>2235.4499999999998</v>
      </c>
      <c r="O29" s="5">
        <v>2235.4499999999998</v>
      </c>
      <c r="P29" s="5">
        <f t="shared" si="2"/>
        <v>34857.419999999991</v>
      </c>
    </row>
    <row r="30" spans="2:16" x14ac:dyDescent="0.3">
      <c r="B30" s="6" t="s">
        <v>25</v>
      </c>
      <c r="C30" s="5">
        <v>260.69</v>
      </c>
      <c r="D30" s="5">
        <v>260.68999999999994</v>
      </c>
      <c r="E30" s="5">
        <v>260.68999999999994</v>
      </c>
      <c r="F30" s="5">
        <v>260.69000000000005</v>
      </c>
      <c r="G30" s="5">
        <v>260.69</v>
      </c>
      <c r="H30" s="5">
        <v>260.69</v>
      </c>
      <c r="I30" s="5">
        <v>260.77</v>
      </c>
      <c r="J30" s="5">
        <v>260.77</v>
      </c>
      <c r="K30" s="5">
        <v>260.77</v>
      </c>
      <c r="L30" s="5">
        <v>260.77</v>
      </c>
      <c r="M30" s="5">
        <v>260.77</v>
      </c>
      <c r="N30" s="5">
        <v>273.08999999999997</v>
      </c>
      <c r="O30" s="5">
        <v>273.08999999999997</v>
      </c>
      <c r="P30" s="5">
        <f t="shared" si="2"/>
        <v>3141.08</v>
      </c>
    </row>
    <row r="31" spans="2:16" x14ac:dyDescent="0.3">
      <c r="B31" s="6" t="s">
        <v>26</v>
      </c>
      <c r="C31" s="5">
        <v>319.15999999999997</v>
      </c>
      <c r="D31" s="5">
        <v>299.78999999999996</v>
      </c>
      <c r="E31" s="5">
        <v>330.88000000000011</v>
      </c>
      <c r="F31" s="5">
        <v>330.70000000000005</v>
      </c>
      <c r="G31" s="5">
        <v>352.63</v>
      </c>
      <c r="H31" s="5">
        <v>316.58</v>
      </c>
      <c r="I31" s="5">
        <v>344.24</v>
      </c>
      <c r="J31" s="5">
        <v>360.28000000000003</v>
      </c>
      <c r="K31" s="5">
        <v>339.20000000000005</v>
      </c>
      <c r="L31" s="5">
        <v>352.57</v>
      </c>
      <c r="M31" s="5">
        <v>343.44</v>
      </c>
      <c r="N31" s="5">
        <v>287.56</v>
      </c>
      <c r="O31" s="5">
        <v>287.56</v>
      </c>
      <c r="P31" s="5">
        <f t="shared" si="2"/>
        <v>3977.0300000000011</v>
      </c>
    </row>
    <row r="32" spans="2:16" x14ac:dyDescent="0.3">
      <c r="B32" s="6" t="s">
        <v>27</v>
      </c>
      <c r="C32" s="5">
        <v>6.2099999999999991</v>
      </c>
      <c r="D32" s="5">
        <v>3303.3900000000003</v>
      </c>
      <c r="E32" s="5">
        <v>6.1900000000000546</v>
      </c>
      <c r="F32" s="5">
        <v>6.1599999999998536</v>
      </c>
      <c r="G32" s="5">
        <v>6.17</v>
      </c>
      <c r="H32" s="5">
        <v>3271.3</v>
      </c>
      <c r="I32" s="5">
        <v>6.04</v>
      </c>
      <c r="J32" s="5">
        <v>841.6</v>
      </c>
      <c r="K32" s="5">
        <v>977.89</v>
      </c>
      <c r="L32" s="5">
        <v>827.65</v>
      </c>
      <c r="M32" s="5">
        <v>15.49</v>
      </c>
      <c r="N32" s="5">
        <v>1645.42</v>
      </c>
      <c r="O32" s="5">
        <v>1645.42</v>
      </c>
      <c r="P32" s="5">
        <f t="shared" si="2"/>
        <v>10913.51</v>
      </c>
    </row>
    <row r="33" spans="2:16" x14ac:dyDescent="0.3">
      <c r="B33" s="6" t="s">
        <v>28</v>
      </c>
      <c r="C33" s="5">
        <v>16.04</v>
      </c>
      <c r="D33" s="5">
        <v>17.869999999999997</v>
      </c>
      <c r="E33" s="5">
        <v>18.610000000000007</v>
      </c>
      <c r="F33" s="5">
        <v>23.909999999999997</v>
      </c>
      <c r="G33" s="5">
        <v>17.03</v>
      </c>
      <c r="H33" s="5">
        <v>35.270000000000003</v>
      </c>
      <c r="I33" s="5">
        <v>38.71</v>
      </c>
      <c r="J33" s="5">
        <v>42.98</v>
      </c>
      <c r="K33" s="5">
        <v>26.43</v>
      </c>
      <c r="L33" s="5">
        <v>33.21</v>
      </c>
      <c r="M33" s="5">
        <v>31.24</v>
      </c>
      <c r="N33" s="5">
        <v>16.72</v>
      </c>
      <c r="O33" s="5">
        <v>16.72</v>
      </c>
      <c r="P33" s="5">
        <f t="shared" si="2"/>
        <v>318.02</v>
      </c>
    </row>
    <row r="34" spans="2:16" x14ac:dyDescent="0.3">
      <c r="B34" s="6" t="s">
        <v>29</v>
      </c>
      <c r="C34" s="5">
        <v>464.39</v>
      </c>
      <c r="D34" s="5">
        <v>3.77</v>
      </c>
      <c r="E34" s="5">
        <v>162.69</v>
      </c>
      <c r="F34" s="5">
        <v>155.28</v>
      </c>
      <c r="G34" s="5">
        <v>55.44</v>
      </c>
      <c r="H34" s="5">
        <v>79.73</v>
      </c>
      <c r="I34" s="5">
        <v>477.39</v>
      </c>
      <c r="J34" s="5">
        <v>54.14</v>
      </c>
      <c r="K34" s="5">
        <v>67.58</v>
      </c>
      <c r="L34" s="5">
        <v>2.2599999999999998</v>
      </c>
      <c r="M34" s="5">
        <v>43.02</v>
      </c>
      <c r="N34" s="5">
        <v>94.23</v>
      </c>
      <c r="O34" s="5">
        <v>94.23</v>
      </c>
      <c r="P34" s="5">
        <f t="shared" si="2"/>
        <v>1659.92</v>
      </c>
    </row>
    <row r="35" spans="2:16" x14ac:dyDescent="0.3">
      <c r="B35" s="6" t="s">
        <v>30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410.25</v>
      </c>
      <c r="L35" s="5">
        <v>0</v>
      </c>
      <c r="M35" s="5">
        <v>0</v>
      </c>
      <c r="N35" s="5">
        <v>0</v>
      </c>
      <c r="O35" s="5">
        <v>0</v>
      </c>
      <c r="P35" s="5">
        <f t="shared" si="2"/>
        <v>410.25</v>
      </c>
    </row>
    <row r="36" spans="2:16" x14ac:dyDescent="0.3">
      <c r="B36" s="6" t="s">
        <v>31</v>
      </c>
      <c r="C36" s="5">
        <v>101.4</v>
      </c>
      <c r="D36" s="5">
        <v>264.14999999999998</v>
      </c>
      <c r="E36" s="5">
        <v>204.85999999999996</v>
      </c>
      <c r="F36" s="5">
        <v>152.38</v>
      </c>
      <c r="G36" s="5">
        <v>284.61</v>
      </c>
      <c r="H36" s="5">
        <v>42.5</v>
      </c>
      <c r="I36" s="5">
        <v>158</v>
      </c>
      <c r="J36" s="5">
        <v>50.69</v>
      </c>
      <c r="K36" s="5">
        <v>263.18</v>
      </c>
      <c r="L36" s="5">
        <v>213.33</v>
      </c>
      <c r="M36" s="5">
        <v>42.5</v>
      </c>
      <c r="N36" s="5">
        <v>163.16</v>
      </c>
      <c r="O36" s="5">
        <v>163.16</v>
      </c>
      <c r="P36" s="5">
        <f t="shared" si="2"/>
        <v>1940.76</v>
      </c>
    </row>
    <row r="37" spans="2:16" x14ac:dyDescent="0.3">
      <c r="B37" s="9" t="s">
        <v>32</v>
      </c>
      <c r="C37" s="10">
        <f t="shared" ref="C37:O37" si="3">+SUM(C23:C36)</f>
        <v>16236.28</v>
      </c>
      <c r="D37" s="10">
        <f t="shared" si="3"/>
        <v>18819.91</v>
      </c>
      <c r="E37" s="10">
        <f t="shared" si="3"/>
        <v>14543.090000000007</v>
      </c>
      <c r="F37" s="10">
        <f t="shared" si="3"/>
        <v>20574.679999999997</v>
      </c>
      <c r="G37" s="10">
        <f t="shared" si="3"/>
        <v>19389.049999999996</v>
      </c>
      <c r="H37" s="10">
        <f t="shared" si="3"/>
        <v>29307.549999999996</v>
      </c>
      <c r="I37" s="10">
        <f t="shared" si="3"/>
        <v>24479.93</v>
      </c>
      <c r="J37" s="10">
        <f t="shared" si="3"/>
        <v>24358.889999999996</v>
      </c>
      <c r="K37" s="10">
        <f t="shared" si="3"/>
        <v>17347.95</v>
      </c>
      <c r="L37" s="10">
        <f t="shared" si="3"/>
        <v>18441.84</v>
      </c>
      <c r="M37" s="10">
        <f t="shared" si="3"/>
        <v>20392.98</v>
      </c>
      <c r="N37" s="10">
        <f t="shared" si="3"/>
        <v>19762.760000000002</v>
      </c>
      <c r="O37" s="10">
        <f t="shared" si="3"/>
        <v>19762.760000000002</v>
      </c>
      <c r="P37" s="10">
        <f t="shared" si="2"/>
        <v>243654.91</v>
      </c>
    </row>
    <row r="38" spans="2:16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2:16" ht="15" thickBot="1" x14ac:dyDescent="0.35">
      <c r="B39" s="8" t="s">
        <v>33</v>
      </c>
      <c r="C39" s="7">
        <f t="shared" ref="C39:O39" si="4">+C20+C37</f>
        <v>18839.05</v>
      </c>
      <c r="D39" s="7">
        <f t="shared" si="4"/>
        <v>21726.78</v>
      </c>
      <c r="E39" s="7">
        <f t="shared" si="4"/>
        <v>17677.270000000008</v>
      </c>
      <c r="F39" s="7">
        <f t="shared" si="4"/>
        <v>24117.509999999995</v>
      </c>
      <c r="G39" s="7">
        <f t="shared" si="4"/>
        <v>22948.639999999996</v>
      </c>
      <c r="H39" s="7">
        <f t="shared" si="4"/>
        <v>33105.959999999992</v>
      </c>
      <c r="I39" s="7">
        <f t="shared" si="4"/>
        <v>28472.7</v>
      </c>
      <c r="J39" s="7">
        <f t="shared" si="4"/>
        <v>28358.149999999994</v>
      </c>
      <c r="K39" s="7">
        <f t="shared" si="4"/>
        <v>21732.120000000003</v>
      </c>
      <c r="L39" s="7">
        <f t="shared" si="4"/>
        <v>22635.18</v>
      </c>
      <c r="M39" s="7">
        <f t="shared" si="4"/>
        <v>24879.64</v>
      </c>
      <c r="N39" s="7">
        <f t="shared" si="4"/>
        <v>24338.47</v>
      </c>
      <c r="O39" s="7">
        <f t="shared" si="4"/>
        <v>24338.47</v>
      </c>
      <c r="P39" s="7">
        <f>+SUM(C39:N39)</f>
        <v>288831.46999999997</v>
      </c>
    </row>
    <row r="40" spans="2:16" ht="15" thickTop="1" x14ac:dyDescent="0.3"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2:16" ht="15" thickBot="1" x14ac:dyDescent="0.35">
      <c r="B41" s="11" t="s">
        <v>34</v>
      </c>
      <c r="C41" s="31">
        <f t="shared" ref="C41:O41" si="5">+C14-C39</f>
        <v>28284.559999999994</v>
      </c>
      <c r="D41" s="31">
        <f t="shared" si="5"/>
        <v>33490.070000000007</v>
      </c>
      <c r="E41" s="31">
        <f t="shared" si="5"/>
        <v>43409.45</v>
      </c>
      <c r="F41" s="31">
        <f t="shared" si="5"/>
        <v>44290.59</v>
      </c>
      <c r="G41" s="31">
        <f t="shared" si="5"/>
        <v>49699.69</v>
      </c>
      <c r="H41" s="31">
        <f t="shared" si="5"/>
        <v>46149.190000000017</v>
      </c>
      <c r="I41" s="31">
        <f t="shared" si="5"/>
        <v>54830.19</v>
      </c>
      <c r="J41" s="31">
        <f t="shared" si="5"/>
        <v>55741.41</v>
      </c>
      <c r="K41" s="31">
        <f t="shared" si="5"/>
        <v>67844.109999999986</v>
      </c>
      <c r="L41" s="31">
        <f t="shared" si="5"/>
        <v>69155.94</v>
      </c>
      <c r="M41" s="31">
        <f t="shared" si="5"/>
        <v>68290.2</v>
      </c>
      <c r="N41" s="31">
        <f t="shared" si="5"/>
        <v>73151.139999999985</v>
      </c>
      <c r="O41" s="31">
        <f t="shared" si="5"/>
        <v>73151.139999999985</v>
      </c>
      <c r="P41" s="31">
        <f>+SUM(C41:N41)</f>
        <v>634336.54</v>
      </c>
    </row>
    <row r="42" spans="2:16" ht="15" thickTop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2:16" x14ac:dyDescent="0.3">
      <c r="B43" s="3" t="s">
        <v>35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2:16" x14ac:dyDescent="0.3">
      <c r="B44" s="6" t="s">
        <v>36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f t="shared" ref="P44:P52" si="6">+SUM(C44:N44)</f>
        <v>0</v>
      </c>
    </row>
    <row r="45" spans="2:16" x14ac:dyDescent="0.3">
      <c r="B45" s="6" t="s">
        <v>37</v>
      </c>
      <c r="C45" s="5">
        <v>0</v>
      </c>
      <c r="D45" s="5">
        <v>117.39</v>
      </c>
      <c r="E45" s="5">
        <v>0</v>
      </c>
      <c r="F45" s="5">
        <v>0</v>
      </c>
      <c r="G45" s="5">
        <v>0</v>
      </c>
      <c r="H45" s="5">
        <v>14.03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33.42</v>
      </c>
      <c r="O45" s="5">
        <v>33.42</v>
      </c>
      <c r="P45" s="5">
        <f t="shared" si="6"/>
        <v>164.83999999999997</v>
      </c>
    </row>
    <row r="46" spans="2:16" x14ac:dyDescent="0.3">
      <c r="B46" s="6" t="s">
        <v>38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f t="shared" si="6"/>
        <v>0</v>
      </c>
    </row>
    <row r="47" spans="2:16" x14ac:dyDescent="0.3">
      <c r="B47" s="6" t="s">
        <v>39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f t="shared" si="6"/>
        <v>0</v>
      </c>
    </row>
    <row r="48" spans="2:16" x14ac:dyDescent="0.3">
      <c r="B48" s="6" t="s">
        <v>40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12.96</v>
      </c>
      <c r="J48" s="5">
        <v>6.48</v>
      </c>
      <c r="K48" s="5">
        <v>6.48</v>
      </c>
      <c r="L48" s="5">
        <v>4.8600000000000003</v>
      </c>
      <c r="M48" s="5">
        <v>12.96</v>
      </c>
      <c r="N48" s="5">
        <v>8.9499999999999993</v>
      </c>
      <c r="O48" s="5">
        <v>8.9499999999999993</v>
      </c>
      <c r="P48" s="5">
        <f t="shared" si="6"/>
        <v>52.69</v>
      </c>
    </row>
    <row r="49" spans="2:16" x14ac:dyDescent="0.3">
      <c r="B49" s="6" t="s">
        <v>41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f t="shared" si="6"/>
        <v>0</v>
      </c>
    </row>
    <row r="50" spans="2:16" x14ac:dyDescent="0.3">
      <c r="B50" s="6" t="s">
        <v>42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f t="shared" si="6"/>
        <v>0</v>
      </c>
    </row>
    <row r="51" spans="2:16" x14ac:dyDescent="0.3">
      <c r="B51" s="6" t="s">
        <v>43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f t="shared" si="6"/>
        <v>0</v>
      </c>
    </row>
    <row r="52" spans="2:16" x14ac:dyDescent="0.3">
      <c r="B52" s="9" t="s">
        <v>44</v>
      </c>
      <c r="C52" s="10">
        <f t="shared" ref="C52:O52" si="7">+SUM(C44:C51)</f>
        <v>0</v>
      </c>
      <c r="D52" s="10">
        <f t="shared" si="7"/>
        <v>117.39</v>
      </c>
      <c r="E52" s="10">
        <f t="shared" si="7"/>
        <v>0</v>
      </c>
      <c r="F52" s="10">
        <f t="shared" si="7"/>
        <v>0</v>
      </c>
      <c r="G52" s="10">
        <f t="shared" si="7"/>
        <v>0</v>
      </c>
      <c r="H52" s="10">
        <f t="shared" si="7"/>
        <v>14.03</v>
      </c>
      <c r="I52" s="10">
        <f t="shared" si="7"/>
        <v>12.96</v>
      </c>
      <c r="J52" s="10">
        <f t="shared" si="7"/>
        <v>6.48</v>
      </c>
      <c r="K52" s="10">
        <f t="shared" si="7"/>
        <v>6.48</v>
      </c>
      <c r="L52" s="10">
        <f t="shared" si="7"/>
        <v>4.8600000000000003</v>
      </c>
      <c r="M52" s="10">
        <f t="shared" si="7"/>
        <v>12.96</v>
      </c>
      <c r="N52" s="10">
        <f t="shared" si="7"/>
        <v>42.370000000000005</v>
      </c>
      <c r="O52" s="10">
        <f t="shared" si="7"/>
        <v>42.370000000000005</v>
      </c>
      <c r="P52" s="10">
        <f t="shared" si="6"/>
        <v>217.53</v>
      </c>
    </row>
    <row r="53" spans="2:16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5" thickBot="1" x14ac:dyDescent="0.35">
      <c r="B54" s="11" t="s">
        <v>45</v>
      </c>
      <c r="C54" s="31">
        <f t="shared" ref="C54:O54" si="8">+C41-C52</f>
        <v>28284.559999999994</v>
      </c>
      <c r="D54" s="31">
        <f t="shared" si="8"/>
        <v>33372.680000000008</v>
      </c>
      <c r="E54" s="31">
        <f t="shared" si="8"/>
        <v>43409.45</v>
      </c>
      <c r="F54" s="31">
        <f t="shared" si="8"/>
        <v>44290.59</v>
      </c>
      <c r="G54" s="31">
        <f t="shared" si="8"/>
        <v>49699.69</v>
      </c>
      <c r="H54" s="31">
        <f t="shared" si="8"/>
        <v>46135.160000000018</v>
      </c>
      <c r="I54" s="31">
        <f t="shared" si="8"/>
        <v>54817.23</v>
      </c>
      <c r="J54" s="31">
        <f t="shared" si="8"/>
        <v>55734.93</v>
      </c>
      <c r="K54" s="31">
        <f t="shared" si="8"/>
        <v>67837.62999999999</v>
      </c>
      <c r="L54" s="31">
        <f t="shared" si="8"/>
        <v>69151.08</v>
      </c>
      <c r="M54" s="31">
        <f t="shared" si="8"/>
        <v>68277.239999999991</v>
      </c>
      <c r="N54" s="31">
        <f t="shared" si="8"/>
        <v>73108.76999999999</v>
      </c>
      <c r="O54" s="31">
        <f t="shared" si="8"/>
        <v>73108.76999999999</v>
      </c>
      <c r="P54" s="31">
        <f>+SUM(C54:N54)</f>
        <v>634119.01</v>
      </c>
    </row>
    <row r="55" spans="2:16" ht="15" thickTop="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16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2:16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2:16" s="21" customFormat="1" ht="16.2" customHeight="1" x14ac:dyDescent="0.3">
      <c r="B58" s="23" t="s">
        <v>46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2:16" ht="7.2" customHeight="1" x14ac:dyDescent="0.3"/>
    <row r="60" spans="2:16" x14ac:dyDescent="0.3">
      <c r="B60" t="s">
        <v>45</v>
      </c>
      <c r="C60" s="2">
        <f t="shared" ref="C60:O60" si="9">+C54</f>
        <v>28284.559999999994</v>
      </c>
      <c r="D60" s="2">
        <f t="shared" si="9"/>
        <v>33372.680000000008</v>
      </c>
      <c r="E60" s="2">
        <f t="shared" si="9"/>
        <v>43409.45</v>
      </c>
      <c r="F60" s="2">
        <f t="shared" si="9"/>
        <v>44290.59</v>
      </c>
      <c r="G60" s="2">
        <f t="shared" si="9"/>
        <v>49699.69</v>
      </c>
      <c r="H60" s="2">
        <f t="shared" si="9"/>
        <v>46135.160000000018</v>
      </c>
      <c r="I60" s="2">
        <f t="shared" si="9"/>
        <v>54817.23</v>
      </c>
      <c r="J60" s="2">
        <f t="shared" si="9"/>
        <v>55734.93</v>
      </c>
      <c r="K60" s="2">
        <f t="shared" si="9"/>
        <v>67837.62999999999</v>
      </c>
      <c r="L60" s="2">
        <f t="shared" si="9"/>
        <v>69151.08</v>
      </c>
      <c r="M60" s="2">
        <f t="shared" si="9"/>
        <v>68277.239999999991</v>
      </c>
      <c r="N60" s="2">
        <f t="shared" si="9"/>
        <v>73108.76999999999</v>
      </c>
      <c r="O60" s="2">
        <f t="shared" si="9"/>
        <v>73108.76999999999</v>
      </c>
      <c r="P60" s="2">
        <f>+SUM(C60:N60)</f>
        <v>634119.01</v>
      </c>
    </row>
    <row r="61" spans="2:16" x14ac:dyDescent="0.3">
      <c r="B61" t="s">
        <v>47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x14ac:dyDescent="0.3">
      <c r="B62" s="6" t="s">
        <v>48</v>
      </c>
      <c r="C62" s="5">
        <v>-37.8100000000004</v>
      </c>
      <c r="D62" s="5">
        <v>212.59000000000017</v>
      </c>
      <c r="E62" s="5">
        <v>-77.380000000000109</v>
      </c>
      <c r="F62" s="5">
        <v>351.82000000000016</v>
      </c>
      <c r="G62" s="5">
        <v>-128.17999999999984</v>
      </c>
      <c r="H62" s="5">
        <v>182.06999999999971</v>
      </c>
      <c r="I62" s="5">
        <v>-1204.71</v>
      </c>
      <c r="J62" s="5">
        <v>195.10000000000036</v>
      </c>
      <c r="K62" s="5">
        <v>219.73999999999975</v>
      </c>
      <c r="L62" s="5">
        <v>-213.82999999999993</v>
      </c>
      <c r="M62" s="5">
        <v>316.26999999999953</v>
      </c>
      <c r="N62" s="5">
        <v>249.33000000000041</v>
      </c>
      <c r="O62" s="5">
        <v>249.33000000000041</v>
      </c>
      <c r="P62" s="5">
        <f t="shared" ref="P62:P72" si="10">+SUM(C62:N62)</f>
        <v>65.009999999999792</v>
      </c>
    </row>
    <row r="63" spans="2:16" x14ac:dyDescent="0.3">
      <c r="B63" s="6" t="s">
        <v>49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-2058.6099999999997</v>
      </c>
      <c r="I63" s="5">
        <v>-1755</v>
      </c>
      <c r="J63" s="5">
        <v>0</v>
      </c>
      <c r="K63" s="5">
        <v>0</v>
      </c>
      <c r="L63" s="5">
        <v>-2005.6900000000005</v>
      </c>
      <c r="M63" s="5">
        <v>0</v>
      </c>
      <c r="N63" s="5">
        <v>-3000</v>
      </c>
      <c r="O63" s="5">
        <v>-3000</v>
      </c>
      <c r="P63" s="5">
        <f t="shared" si="10"/>
        <v>-8819.2999999999993</v>
      </c>
    </row>
    <row r="64" spans="2:16" x14ac:dyDescent="0.3">
      <c r="B64" s="6" t="s">
        <v>50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f t="shared" si="10"/>
        <v>0</v>
      </c>
    </row>
    <row r="65" spans="2:16" x14ac:dyDescent="0.3">
      <c r="B65" s="6" t="s">
        <v>51</v>
      </c>
      <c r="C65" s="5">
        <v>0</v>
      </c>
      <c r="D65" s="5">
        <v>0</v>
      </c>
      <c r="E65" s="5">
        <v>179.25</v>
      </c>
      <c r="F65" s="5">
        <v>0</v>
      </c>
      <c r="G65" s="5">
        <v>0</v>
      </c>
      <c r="H65" s="5">
        <v>0</v>
      </c>
      <c r="I65" s="5">
        <v>1097.28</v>
      </c>
      <c r="J65" s="5">
        <v>-994.63</v>
      </c>
      <c r="K65" s="5">
        <v>53.899999999999977</v>
      </c>
      <c r="L65" s="5">
        <v>0</v>
      </c>
      <c r="M65" s="5">
        <v>0</v>
      </c>
      <c r="N65" s="5">
        <v>473.15</v>
      </c>
      <c r="O65" s="5">
        <v>473.15</v>
      </c>
      <c r="P65" s="5">
        <f t="shared" si="10"/>
        <v>808.94999999999993</v>
      </c>
    </row>
    <row r="66" spans="2:16" x14ac:dyDescent="0.3">
      <c r="B66" s="6" t="s">
        <v>52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f t="shared" si="10"/>
        <v>0</v>
      </c>
    </row>
    <row r="67" spans="2:16" x14ac:dyDescent="0.3">
      <c r="B67" s="6" t="s">
        <v>53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f t="shared" si="10"/>
        <v>0</v>
      </c>
    </row>
    <row r="68" spans="2:16" x14ac:dyDescent="0.3">
      <c r="B68" s="6" t="s">
        <v>168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f t="shared" si="10"/>
        <v>0</v>
      </c>
    </row>
    <row r="69" spans="2:16" x14ac:dyDescent="0.3">
      <c r="B69" s="6" t="s">
        <v>159</v>
      </c>
      <c r="C69" s="5">
        <v>-96.880000000000123</v>
      </c>
      <c r="D69" s="5">
        <v>-342.51</v>
      </c>
      <c r="E69" s="5">
        <v>-308.21000000000004</v>
      </c>
      <c r="F69" s="5">
        <v>2950.52</v>
      </c>
      <c r="G69" s="5">
        <v>-819.21</v>
      </c>
      <c r="H69" s="5">
        <v>-1304.1300000000001</v>
      </c>
      <c r="I69" s="5">
        <v>-350.11</v>
      </c>
      <c r="J69" s="5">
        <v>-1688.45</v>
      </c>
      <c r="K69" s="5">
        <v>3212.32</v>
      </c>
      <c r="L69" s="5">
        <v>-3842.21</v>
      </c>
      <c r="M69" s="5">
        <v>2393.5</v>
      </c>
      <c r="N69" s="5">
        <v>445.67</v>
      </c>
      <c r="O69" s="5">
        <v>445.67</v>
      </c>
      <c r="P69" s="5">
        <f t="shared" si="10"/>
        <v>250.30000000000013</v>
      </c>
    </row>
    <row r="70" spans="2:16" s="3" customFormat="1" x14ac:dyDescent="0.3">
      <c r="B70" s="33" t="s">
        <v>54</v>
      </c>
      <c r="C70" s="34">
        <f t="shared" ref="C70:O70" si="11">SUM(C60:C69)</f>
        <v>28149.869999999992</v>
      </c>
      <c r="D70" s="34">
        <f t="shared" si="11"/>
        <v>33242.760000000009</v>
      </c>
      <c r="E70" s="34">
        <f t="shared" si="11"/>
        <v>43203.11</v>
      </c>
      <c r="F70" s="34">
        <f t="shared" si="11"/>
        <v>47592.929999999993</v>
      </c>
      <c r="G70" s="34">
        <f t="shared" si="11"/>
        <v>48752.3</v>
      </c>
      <c r="H70" s="34">
        <f t="shared" si="11"/>
        <v>42954.49000000002</v>
      </c>
      <c r="I70" s="34">
        <f t="shared" si="11"/>
        <v>52604.69</v>
      </c>
      <c r="J70" s="34">
        <f t="shared" si="11"/>
        <v>53246.950000000004</v>
      </c>
      <c r="K70" s="34">
        <f t="shared" si="11"/>
        <v>71323.59</v>
      </c>
      <c r="L70" s="34">
        <f t="shared" si="11"/>
        <v>63089.35</v>
      </c>
      <c r="M70" s="34">
        <f t="shared" si="11"/>
        <v>70987.009999999995</v>
      </c>
      <c r="N70" s="34">
        <f t="shared" si="11"/>
        <v>71276.919999999984</v>
      </c>
      <c r="O70" s="34">
        <f t="shared" si="11"/>
        <v>71276.919999999984</v>
      </c>
      <c r="P70" s="34">
        <f t="shared" si="10"/>
        <v>626423.97</v>
      </c>
    </row>
    <row r="71" spans="2:16" x14ac:dyDescent="0.3">
      <c r="B71" t="s">
        <v>84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f t="shared" si="10"/>
        <v>0</v>
      </c>
    </row>
    <row r="72" spans="2:16" x14ac:dyDescent="0.3">
      <c r="B72" s="3" t="s">
        <v>83</v>
      </c>
      <c r="C72" s="32">
        <v>0</v>
      </c>
      <c r="D72" s="32">
        <v>116177.51</v>
      </c>
      <c r="E72" s="32">
        <v>43203.11</v>
      </c>
      <c r="F72" s="32">
        <v>47592.930000000008</v>
      </c>
      <c r="G72" s="32">
        <v>48752.30000000001</v>
      </c>
      <c r="H72" s="32">
        <v>42954.490000000013</v>
      </c>
      <c r="I72" s="32">
        <v>52604.69</v>
      </c>
      <c r="J72" s="32">
        <v>53246.95</v>
      </c>
      <c r="K72" s="32">
        <v>71323.59</v>
      </c>
      <c r="L72" s="32">
        <v>63089.35</v>
      </c>
      <c r="M72" s="32">
        <v>70987.00999999998</v>
      </c>
      <c r="N72" s="32">
        <v>71276.919999999984</v>
      </c>
      <c r="O72" s="32">
        <v>71276.919999999984</v>
      </c>
      <c r="P72" s="32">
        <f t="shared" si="10"/>
        <v>681208.85000000009</v>
      </c>
    </row>
    <row r="73" spans="2:16" x14ac:dyDescent="0.3">
      <c r="B73" t="s">
        <v>55</v>
      </c>
      <c r="C73" s="2">
        <f t="shared" ref="C73:O73" si="12">+C70+C71-C72</f>
        <v>28149.869999999992</v>
      </c>
      <c r="D73" s="2">
        <f t="shared" si="12"/>
        <v>-82934.749999999985</v>
      </c>
      <c r="E73" s="2">
        <f t="shared" si="12"/>
        <v>0</v>
      </c>
      <c r="F73" s="2">
        <f t="shared" si="12"/>
        <v>0</v>
      </c>
      <c r="G73" s="2">
        <f t="shared" si="12"/>
        <v>0</v>
      </c>
      <c r="H73" s="2">
        <f t="shared" si="12"/>
        <v>0</v>
      </c>
      <c r="I73" s="2">
        <f t="shared" si="12"/>
        <v>0</v>
      </c>
      <c r="J73" s="2">
        <f t="shared" si="12"/>
        <v>0</v>
      </c>
      <c r="K73" s="2">
        <f t="shared" si="12"/>
        <v>0</v>
      </c>
      <c r="L73" s="2">
        <f t="shared" si="12"/>
        <v>0</v>
      </c>
      <c r="M73" s="2">
        <f t="shared" si="12"/>
        <v>0</v>
      </c>
      <c r="N73" s="2">
        <f t="shared" si="12"/>
        <v>0</v>
      </c>
      <c r="O73" s="2">
        <f t="shared" si="12"/>
        <v>0</v>
      </c>
      <c r="P73" s="2">
        <f t="shared" ref="P73" si="13">+SUM(C73:N73)</f>
        <v>-54784.87999999999</v>
      </c>
    </row>
    <row r="74" spans="2:16" x14ac:dyDescent="0.3"/>
  </sheetData>
  <pageMargins left="0.7" right="0.7" top="0.75" bottom="0.75" header="0.3" footer="0.3"/>
  <customProperties>
    <customPr name="_pios_id" r:id="rId1"/>
    <customPr name="AdaptiveCustomXmlPartId" r:id="rId2"/>
    <customPr name="AdaptiveReportingSheetKey" r:id="rId3"/>
    <customPr name="CurrentId" r:id="rId4"/>
  </customProperties>
  <ignoredErrors>
    <ignoredError sqref="P60:P73 P10:P58" formulaRange="1"/>
  </ignoredError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5473-3CB0-4474-963D-8DF85E139D8B}">
  <dimension ref="A1:K35"/>
  <sheetViews>
    <sheetView showGridLines="0" zoomScale="90" zoomScaleNormal="90" workbookViewId="0">
      <selection activeCell="E7" sqref="E7"/>
    </sheetView>
  </sheetViews>
  <sheetFormatPr defaultColWidth="0" defaultRowHeight="14.4" zeroHeight="1" x14ac:dyDescent="0.3"/>
  <cols>
    <col min="1" max="1" width="1.6640625" customWidth="1"/>
    <col min="2" max="2" width="40.6640625" customWidth="1"/>
    <col min="3" max="3" width="2.6640625" customWidth="1"/>
    <col min="4" max="6" width="18.6640625" customWidth="1"/>
    <col min="7" max="7" width="2.6640625" customWidth="1"/>
    <col min="8" max="10" width="18.6640625" customWidth="1"/>
    <col min="11" max="11" width="4.6640625" customWidth="1"/>
    <col min="12" max="16384" width="8.88671875" hidden="1"/>
  </cols>
  <sheetData>
    <row r="1" spans="2:10" ht="7.95" customHeight="1" x14ac:dyDescent="0.3"/>
    <row r="2" spans="2:10" s="41" customFormat="1" ht="21" x14ac:dyDescent="0.3">
      <c r="B2" s="36" t="s">
        <v>187</v>
      </c>
    </row>
    <row r="3" spans="2:10" s="21" customFormat="1" ht="15.6" x14ac:dyDescent="0.3">
      <c r="B3" s="38" t="s">
        <v>238</v>
      </c>
    </row>
    <row r="4" spans="2:10" s="40" customFormat="1" ht="15.6" x14ac:dyDescent="0.3">
      <c r="B4" s="39" t="s">
        <v>239</v>
      </c>
    </row>
    <row r="5" spans="2:10" ht="7.95" customHeight="1" x14ac:dyDescent="0.3"/>
    <row r="6" spans="2:10" s="21" customFormat="1" ht="16.2" customHeight="1" x14ac:dyDescent="0.3">
      <c r="B6" s="44"/>
      <c r="D6" s="44" t="s">
        <v>165</v>
      </c>
      <c r="E6" s="44"/>
      <c r="F6" s="44"/>
      <c r="H6" s="44" t="s">
        <v>166</v>
      </c>
      <c r="I6" s="44"/>
      <c r="J6" s="44"/>
    </row>
    <row r="7" spans="2:10" s="21" customFormat="1" ht="16.2" customHeight="1" x14ac:dyDescent="0.3">
      <c r="B7" s="26"/>
      <c r="D7" s="26" t="s">
        <v>240</v>
      </c>
      <c r="E7" s="26" t="s">
        <v>241</v>
      </c>
      <c r="F7" s="26" t="s">
        <v>81</v>
      </c>
      <c r="H7" s="26" t="s">
        <v>240</v>
      </c>
      <c r="I7" s="26" t="s">
        <v>241</v>
      </c>
      <c r="J7" s="26" t="s">
        <v>81</v>
      </c>
    </row>
    <row r="8" spans="2:10" ht="7.95" customHeight="1" x14ac:dyDescent="0.3"/>
    <row r="9" spans="2:10" x14ac:dyDescent="0.3">
      <c r="B9" s="3" t="s">
        <v>56</v>
      </c>
      <c r="D9" s="2"/>
      <c r="E9" s="2"/>
      <c r="F9" s="2"/>
      <c r="G9" s="2"/>
      <c r="H9" s="2"/>
      <c r="I9" s="2"/>
      <c r="J9" s="2"/>
    </row>
    <row r="10" spans="2:10" x14ac:dyDescent="0.3">
      <c r="B10" t="s">
        <v>58</v>
      </c>
      <c r="D10" s="5">
        <v>238209.52</v>
      </c>
      <c r="E10" s="5">
        <v>136202.38999999998</v>
      </c>
      <c r="F10" s="5">
        <f t="shared" ref="F10:F17" si="0">+D10-E10</f>
        <v>102007.13</v>
      </c>
      <c r="G10" s="5"/>
      <c r="H10" s="5">
        <v>238209.52</v>
      </c>
      <c r="I10" s="5">
        <v>136202.38999999998</v>
      </c>
      <c r="J10" s="5">
        <f>+H10-I10</f>
        <v>102007.13</v>
      </c>
    </row>
    <row r="11" spans="2:10" x14ac:dyDescent="0.3">
      <c r="B11" t="s">
        <v>59</v>
      </c>
      <c r="D11" s="5">
        <v>2775.7700000000004</v>
      </c>
      <c r="E11" s="2">
        <v>3074.6200000000008</v>
      </c>
      <c r="F11" s="2">
        <f t="shared" si="0"/>
        <v>-298.85000000000036</v>
      </c>
      <c r="G11" s="2"/>
      <c r="H11" s="2">
        <v>2775.7700000000004</v>
      </c>
      <c r="I11" s="2">
        <v>3074.6200000000008</v>
      </c>
      <c r="J11" s="2">
        <f t="shared" ref="J11:J17" si="1">+H11-I11</f>
        <v>-298.85000000000036</v>
      </c>
    </row>
    <row r="12" spans="2:10" x14ac:dyDescent="0.3">
      <c r="B12" t="s">
        <v>48</v>
      </c>
      <c r="D12" s="5">
        <v>3343.2000000000003</v>
      </c>
      <c r="E12" s="2">
        <v>3592.5300000000007</v>
      </c>
      <c r="F12" s="2">
        <f t="shared" si="0"/>
        <v>-249.33000000000038</v>
      </c>
      <c r="G12" s="2"/>
      <c r="H12" s="2">
        <v>3343.2000000000003</v>
      </c>
      <c r="I12" s="2">
        <v>3592.5300000000007</v>
      </c>
      <c r="J12" s="2">
        <f t="shared" si="1"/>
        <v>-249.33000000000038</v>
      </c>
    </row>
    <row r="13" spans="2:10" x14ac:dyDescent="0.3">
      <c r="B13" t="s">
        <v>60</v>
      </c>
      <c r="D13" s="5">
        <v>0</v>
      </c>
      <c r="E13" s="5">
        <v>0</v>
      </c>
      <c r="F13" s="5">
        <f t="shared" si="0"/>
        <v>0</v>
      </c>
      <c r="G13" s="5"/>
      <c r="H13" s="5">
        <v>0</v>
      </c>
      <c r="I13" s="5">
        <v>0</v>
      </c>
      <c r="J13" s="5">
        <f t="shared" si="1"/>
        <v>0</v>
      </c>
    </row>
    <row r="14" spans="2:10" x14ac:dyDescent="0.3">
      <c r="B14" t="s">
        <v>53</v>
      </c>
      <c r="D14" s="5">
        <v>0</v>
      </c>
      <c r="E14" s="2">
        <v>0</v>
      </c>
      <c r="F14" s="2">
        <f t="shared" si="0"/>
        <v>0</v>
      </c>
      <c r="G14" s="2"/>
      <c r="H14" s="2">
        <v>0</v>
      </c>
      <c r="I14" s="2">
        <v>0</v>
      </c>
      <c r="J14" s="2">
        <f t="shared" si="1"/>
        <v>0</v>
      </c>
    </row>
    <row r="15" spans="2:10" x14ac:dyDescent="0.3">
      <c r="B15" t="s">
        <v>61</v>
      </c>
      <c r="D15" s="5">
        <v>0</v>
      </c>
      <c r="E15" s="2">
        <v>0</v>
      </c>
      <c r="F15" s="2">
        <f t="shared" si="0"/>
        <v>0</v>
      </c>
      <c r="G15" s="2"/>
      <c r="H15" s="2">
        <v>0</v>
      </c>
      <c r="I15" s="2">
        <v>0</v>
      </c>
      <c r="J15" s="2">
        <f t="shared" si="1"/>
        <v>0</v>
      </c>
    </row>
    <row r="16" spans="2:10" x14ac:dyDescent="0.3">
      <c r="B16" t="s">
        <v>62</v>
      </c>
      <c r="D16" s="5">
        <v>13019.16</v>
      </c>
      <c r="E16" s="2">
        <v>10019.16</v>
      </c>
      <c r="F16" s="2">
        <f t="shared" si="0"/>
        <v>3000</v>
      </c>
      <c r="G16" s="2"/>
      <c r="H16" s="2">
        <v>13019.16</v>
      </c>
      <c r="I16" s="2">
        <v>10019.16</v>
      </c>
      <c r="J16" s="2">
        <f t="shared" si="1"/>
        <v>3000</v>
      </c>
    </row>
    <row r="17" spans="2:10" ht="15" thickBot="1" x14ac:dyDescent="0.35">
      <c r="B17" s="11" t="s">
        <v>63</v>
      </c>
      <c r="D17" s="31">
        <f>+SUM(D10:D16)</f>
        <v>257347.65</v>
      </c>
      <c r="E17" s="31">
        <f>+SUM(E10:E16)</f>
        <v>152888.69999999998</v>
      </c>
      <c r="F17" s="31">
        <f t="shared" si="0"/>
        <v>104458.95000000001</v>
      </c>
      <c r="G17" s="2"/>
      <c r="H17" s="31">
        <f>+SUM(H10:H16)</f>
        <v>257347.65</v>
      </c>
      <c r="I17" s="31">
        <f>+SUM(I10:I16)</f>
        <v>152888.69999999998</v>
      </c>
      <c r="J17" s="31">
        <f t="shared" si="1"/>
        <v>104458.95000000001</v>
      </c>
    </row>
    <row r="18" spans="2:10" ht="15" thickTop="1" x14ac:dyDescent="0.3">
      <c r="D18" s="2"/>
      <c r="E18" s="2"/>
      <c r="F18" s="2"/>
      <c r="G18" s="2"/>
      <c r="H18" s="2"/>
      <c r="I18" s="2"/>
      <c r="J18" s="2"/>
    </row>
    <row r="19" spans="2:10" x14ac:dyDescent="0.3">
      <c r="B19" s="3" t="s">
        <v>64</v>
      </c>
      <c r="D19" s="2"/>
      <c r="E19" s="2"/>
      <c r="F19" s="2"/>
      <c r="G19" s="2"/>
      <c r="H19" s="2"/>
      <c r="I19" s="2"/>
      <c r="J19" s="2"/>
    </row>
    <row r="20" spans="2:10" x14ac:dyDescent="0.3">
      <c r="B20" t="s">
        <v>65</v>
      </c>
      <c r="D20" s="2">
        <v>122481.29</v>
      </c>
      <c r="E20" s="2">
        <v>20542.789999999994</v>
      </c>
      <c r="F20" s="2">
        <f t="shared" ref="F20:F26" si="2">+D20-E20</f>
        <v>101938.5</v>
      </c>
      <c r="G20" s="2"/>
      <c r="H20" s="2">
        <v>122481.29</v>
      </c>
      <c r="I20" s="2">
        <v>20542.789999999994</v>
      </c>
      <c r="J20" s="2">
        <f t="shared" ref="J20:J26" si="3">+H20-I20</f>
        <v>101938.5</v>
      </c>
    </row>
    <row r="21" spans="2:10" x14ac:dyDescent="0.3">
      <c r="B21" t="s">
        <v>66</v>
      </c>
      <c r="D21" s="5">
        <v>0</v>
      </c>
      <c r="E21" s="5">
        <v>0</v>
      </c>
      <c r="F21" s="5">
        <f t="shared" si="2"/>
        <v>0</v>
      </c>
      <c r="G21" s="5"/>
      <c r="H21" s="5">
        <v>0</v>
      </c>
      <c r="I21" s="5">
        <v>0</v>
      </c>
      <c r="J21" s="5">
        <f t="shared" si="3"/>
        <v>0</v>
      </c>
    </row>
    <row r="22" spans="2:10" x14ac:dyDescent="0.3">
      <c r="B22" t="s">
        <v>67</v>
      </c>
      <c r="D22" s="2">
        <v>0</v>
      </c>
      <c r="E22" s="2">
        <v>0</v>
      </c>
      <c r="F22" s="2">
        <f t="shared" si="2"/>
        <v>0</v>
      </c>
      <c r="G22" s="2"/>
      <c r="H22" s="2">
        <v>0</v>
      </c>
      <c r="I22" s="2">
        <v>0</v>
      </c>
      <c r="J22" s="2">
        <f t="shared" si="3"/>
        <v>0</v>
      </c>
    </row>
    <row r="23" spans="2:10" x14ac:dyDescent="0.3">
      <c r="B23" t="s">
        <v>68</v>
      </c>
      <c r="D23" s="2">
        <v>8077.8899999999994</v>
      </c>
      <c r="E23" s="2">
        <v>7679.2</v>
      </c>
      <c r="F23" s="2">
        <f t="shared" si="2"/>
        <v>398.6899999999996</v>
      </c>
      <c r="G23" s="2"/>
      <c r="H23" s="2">
        <v>8077.8899999999994</v>
      </c>
      <c r="I23" s="2">
        <v>7679.2</v>
      </c>
      <c r="J23" s="2">
        <f t="shared" si="3"/>
        <v>398.6899999999996</v>
      </c>
    </row>
    <row r="24" spans="2:10" x14ac:dyDescent="0.3">
      <c r="B24" t="s">
        <v>69</v>
      </c>
      <c r="D24" s="2">
        <v>0</v>
      </c>
      <c r="E24" s="2">
        <v>0</v>
      </c>
      <c r="F24" s="2">
        <f t="shared" si="2"/>
        <v>0</v>
      </c>
      <c r="G24" s="2"/>
      <c r="H24" s="2">
        <v>0</v>
      </c>
      <c r="I24" s="2">
        <v>0</v>
      </c>
      <c r="J24" s="2">
        <f t="shared" si="3"/>
        <v>0</v>
      </c>
    </row>
    <row r="25" spans="2:10" x14ac:dyDescent="0.3">
      <c r="B25" t="s">
        <v>70</v>
      </c>
      <c r="D25" s="2">
        <v>0</v>
      </c>
      <c r="E25" s="2">
        <v>0</v>
      </c>
      <c r="F25" s="2">
        <f t="shared" si="2"/>
        <v>0</v>
      </c>
      <c r="G25" s="2"/>
      <c r="H25" s="2">
        <v>0</v>
      </c>
      <c r="I25" s="2">
        <v>0</v>
      </c>
      <c r="J25" s="2">
        <f t="shared" si="3"/>
        <v>0</v>
      </c>
    </row>
    <row r="26" spans="2:10" x14ac:dyDescent="0.3">
      <c r="B26" s="9" t="s">
        <v>71</v>
      </c>
      <c r="D26" s="10">
        <f>+SUM(D20:D25)</f>
        <v>130559.18</v>
      </c>
      <c r="E26" s="10">
        <f>+SUM(E20:E25)</f>
        <v>28221.989999999994</v>
      </c>
      <c r="F26" s="10">
        <f t="shared" si="2"/>
        <v>102337.19</v>
      </c>
      <c r="G26" s="2"/>
      <c r="H26" s="10">
        <f>+SUM(H20:H25)</f>
        <v>130559.18</v>
      </c>
      <c r="I26" s="10">
        <f>+SUM(I20:I25)</f>
        <v>28221.989999999994</v>
      </c>
      <c r="J26" s="10">
        <f t="shared" si="3"/>
        <v>102337.19</v>
      </c>
    </row>
    <row r="27" spans="2:10" x14ac:dyDescent="0.3">
      <c r="D27" s="2"/>
      <c r="E27" s="2"/>
      <c r="F27" s="2"/>
      <c r="G27" s="2"/>
      <c r="H27" s="2"/>
      <c r="I27" s="2"/>
      <c r="J27" s="2"/>
    </row>
    <row r="28" spans="2:10" x14ac:dyDescent="0.3">
      <c r="B28" s="3" t="s">
        <v>72</v>
      </c>
      <c r="D28" s="2"/>
      <c r="E28" s="2"/>
      <c r="F28" s="2"/>
      <c r="G28" s="2"/>
      <c r="H28" s="2"/>
      <c r="I28" s="2"/>
      <c r="J28" s="2"/>
    </row>
    <row r="29" spans="2:10" x14ac:dyDescent="0.3">
      <c r="B29" t="s">
        <v>73</v>
      </c>
      <c r="D29" s="2">
        <v>-565652.96</v>
      </c>
      <c r="E29" s="2">
        <v>-494665.9499999999</v>
      </c>
      <c r="F29" s="2">
        <f>+D29-E29</f>
        <v>-70987.010000000068</v>
      </c>
      <c r="G29" s="2"/>
      <c r="H29" s="2">
        <v>-565652.96</v>
      </c>
      <c r="I29" s="2">
        <v>-494665.9499999999</v>
      </c>
      <c r="J29" s="2">
        <f t="shared" ref="J29:J32" si="4">+H29-I29</f>
        <v>-70987.010000000068</v>
      </c>
    </row>
    <row r="30" spans="2:10" x14ac:dyDescent="0.3">
      <c r="B30" t="s">
        <v>74</v>
      </c>
      <c r="D30" s="2">
        <v>619332.66</v>
      </c>
      <c r="E30" s="2">
        <v>33107.620000000003</v>
      </c>
      <c r="F30" s="2">
        <f>+D30-E30</f>
        <v>586225.04</v>
      </c>
      <c r="G30" s="2"/>
      <c r="H30" s="2">
        <v>619332.66</v>
      </c>
      <c r="I30" s="2">
        <v>33107.620000000003</v>
      </c>
      <c r="J30" s="2">
        <f t="shared" si="4"/>
        <v>586225.04</v>
      </c>
    </row>
    <row r="31" spans="2:10" x14ac:dyDescent="0.3">
      <c r="B31" t="s">
        <v>75</v>
      </c>
      <c r="D31" s="2">
        <v>73108.76999999999</v>
      </c>
      <c r="E31" s="2">
        <v>586225.04</v>
      </c>
      <c r="F31" s="2">
        <f>+D31-E31</f>
        <v>-513116.27</v>
      </c>
      <c r="G31" s="2"/>
      <c r="H31" s="2">
        <v>73108.76999999999</v>
      </c>
      <c r="I31" s="2">
        <v>586225.04</v>
      </c>
      <c r="J31" s="2">
        <f t="shared" si="4"/>
        <v>-513116.27</v>
      </c>
    </row>
    <row r="32" spans="2:10" x14ac:dyDescent="0.3">
      <c r="B32" s="9" t="s">
        <v>76</v>
      </c>
      <c r="D32" s="10">
        <f>+SUM(D29:D31)</f>
        <v>126788.47000000006</v>
      </c>
      <c r="E32" s="10">
        <f t="shared" ref="E32" si="5">+SUM(E29:E31)</f>
        <v>124666.71000000014</v>
      </c>
      <c r="F32" s="10">
        <f t="shared" ref="F32" si="6">+D32-E32</f>
        <v>2121.759999999922</v>
      </c>
      <c r="G32" s="2"/>
      <c r="H32" s="10">
        <f t="shared" ref="H32" si="7">+SUM(H29:H31)</f>
        <v>126788.47000000006</v>
      </c>
      <c r="I32" s="10">
        <f t="shared" ref="I32" si="8">+SUM(I29:I31)</f>
        <v>124666.71000000014</v>
      </c>
      <c r="J32" s="10">
        <f t="shared" si="4"/>
        <v>2121.759999999922</v>
      </c>
    </row>
    <row r="33" spans="2:10" x14ac:dyDescent="0.3">
      <c r="D33" s="2"/>
      <c r="E33" s="2"/>
      <c r="F33" s="2"/>
      <c r="G33" s="2"/>
      <c r="H33" s="2"/>
      <c r="I33" s="2"/>
      <c r="J33" s="2"/>
    </row>
    <row r="34" spans="2:10" ht="15" thickBot="1" x14ac:dyDescent="0.35">
      <c r="B34" s="11" t="s">
        <v>77</v>
      </c>
      <c r="D34" s="31">
        <f>+D26+D32</f>
        <v>257347.65000000005</v>
      </c>
      <c r="E34" s="31">
        <f t="shared" ref="E34:I34" si="9">+E26+E32</f>
        <v>152888.70000000013</v>
      </c>
      <c r="F34" s="31">
        <f>+D34-E34</f>
        <v>104458.94999999992</v>
      </c>
      <c r="G34" s="2"/>
      <c r="H34" s="31">
        <f t="shared" si="9"/>
        <v>257347.65000000005</v>
      </c>
      <c r="I34" s="31">
        <f t="shared" si="9"/>
        <v>152888.70000000013</v>
      </c>
      <c r="J34" s="31">
        <f>+H34-I34</f>
        <v>104458.94999999992</v>
      </c>
    </row>
    <row r="35" spans="2:10" ht="15" thickTop="1" x14ac:dyDescent="0.3">
      <c r="D35" s="2"/>
      <c r="E35" s="2"/>
      <c r="F35" s="2"/>
      <c r="G35" s="2"/>
      <c r="H35" s="2"/>
      <c r="I35" s="2"/>
      <c r="J35" s="2"/>
    </row>
  </sheetData>
  <pageMargins left="0.7" right="0.7" top="0.75" bottom="0.75" header="0.3" footer="0.3"/>
  <customProperties>
    <customPr name="_pios_id" r:id="rId1"/>
    <customPr name="AdaptiveCustomXmlPartId" r:id="rId2"/>
    <customPr name="AdaptiveReportingSheetKey" r:id="rId3"/>
    <customPr name="CurrentId" r:id="rId4"/>
  </customPropertie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26F9-E853-4FED-8B94-C29232272D04}">
  <dimension ref="A1:R55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0" defaultRowHeight="14.4" zeroHeight="1" x14ac:dyDescent="0.3"/>
  <cols>
    <col min="1" max="1" width="1.6640625" customWidth="1"/>
    <col min="2" max="2" width="40.6640625" customWidth="1"/>
    <col min="3" max="3" width="2.6640625" customWidth="1"/>
    <col min="4" max="7" width="16.6640625" customWidth="1"/>
    <col min="8" max="8" width="2.6640625" customWidth="1"/>
    <col min="9" max="12" width="16.6640625" customWidth="1"/>
    <col min="13" max="13" width="2.6640625" customWidth="1"/>
    <col min="14" max="15" width="17.33203125" customWidth="1"/>
    <col min="16" max="17" width="16.6640625" customWidth="1"/>
    <col min="18" max="18" width="4.6640625" customWidth="1"/>
    <col min="19" max="16384" width="8.88671875" hidden="1"/>
  </cols>
  <sheetData>
    <row r="1" spans="2:17" ht="7.95" customHeight="1" x14ac:dyDescent="0.3"/>
    <row r="2" spans="2:17" s="37" customFormat="1" ht="21" x14ac:dyDescent="0.3">
      <c r="B2" s="36" t="s">
        <v>176</v>
      </c>
    </row>
    <row r="3" spans="2:17" s="37" customFormat="1" ht="15.6" x14ac:dyDescent="0.3">
      <c r="B3" s="38" t="s">
        <v>238</v>
      </c>
      <c r="C3" s="30"/>
    </row>
    <row r="4" spans="2:17" s="37" customFormat="1" ht="15.6" x14ac:dyDescent="0.3">
      <c r="B4" s="38" t="s">
        <v>239</v>
      </c>
    </row>
    <row r="5" spans="2:17" ht="7.95" customHeight="1" x14ac:dyDescent="0.3"/>
    <row r="6" spans="2:17" s="19" customFormat="1" ht="16.2" customHeight="1" x14ac:dyDescent="0.3">
      <c r="B6" s="44"/>
      <c r="D6" s="44" t="s">
        <v>160</v>
      </c>
      <c r="E6" s="44"/>
      <c r="F6" s="44"/>
      <c r="G6" s="44"/>
      <c r="H6" s="21"/>
      <c r="I6" s="44" t="s">
        <v>161</v>
      </c>
      <c r="J6" s="44"/>
      <c r="K6" s="44"/>
      <c r="L6" s="44"/>
      <c r="M6" s="21"/>
      <c r="N6" s="44" t="s">
        <v>85</v>
      </c>
      <c r="O6" s="44"/>
      <c r="P6" s="44"/>
      <c r="Q6" s="44"/>
    </row>
    <row r="7" spans="2:17" s="22" customFormat="1" ht="16.2" customHeight="1" x14ac:dyDescent="0.3">
      <c r="B7" s="26"/>
      <c r="C7" s="25"/>
      <c r="D7" s="26" t="s">
        <v>240</v>
      </c>
      <c r="E7" s="26" t="s">
        <v>7</v>
      </c>
      <c r="F7" s="26" t="s">
        <v>81</v>
      </c>
      <c r="G7" s="26" t="s">
        <v>82</v>
      </c>
      <c r="I7" s="26" t="s">
        <v>240</v>
      </c>
      <c r="J7" s="26" t="s">
        <v>7</v>
      </c>
      <c r="K7" s="26" t="s">
        <v>81</v>
      </c>
      <c r="L7" s="26" t="s">
        <v>82</v>
      </c>
      <c r="N7" s="26" t="s">
        <v>240</v>
      </c>
      <c r="O7" s="26" t="s">
        <v>7</v>
      </c>
      <c r="P7" s="26" t="s">
        <v>81</v>
      </c>
      <c r="Q7" s="26" t="s">
        <v>82</v>
      </c>
    </row>
    <row r="8" spans="2:17" ht="7.95" customHeight="1" x14ac:dyDescent="0.3"/>
    <row r="9" spans="2:17" x14ac:dyDescent="0.3">
      <c r="B9" s="3" t="s">
        <v>5</v>
      </c>
      <c r="C9" s="2"/>
    </row>
    <row r="10" spans="2:17" x14ac:dyDescent="0.3">
      <c r="B10" s="6" t="s">
        <v>1</v>
      </c>
      <c r="C10" s="2"/>
      <c r="D10" s="2">
        <v>88458.819999999992</v>
      </c>
      <c r="E10" s="2">
        <v>34544.200000000004</v>
      </c>
      <c r="F10" s="2">
        <f>+IFERROR(D10-E10,"")</f>
        <v>53914.619999999988</v>
      </c>
      <c r="G10" s="12">
        <f>+IFERROR(F10/E10,"")</f>
        <v>1.560743048037007</v>
      </c>
      <c r="H10" s="2"/>
      <c r="I10" s="2">
        <v>88458.819999999992</v>
      </c>
      <c r="J10" s="2">
        <v>34544.200000000004</v>
      </c>
      <c r="K10" s="2">
        <f>+IFERROR(I10-J10,"")</f>
        <v>53914.619999999988</v>
      </c>
      <c r="L10" s="12">
        <f>+IFERROR(K10/J10,"")</f>
        <v>1.560743048037007</v>
      </c>
      <c r="M10" s="2"/>
      <c r="N10" s="2">
        <v>88458.819999999992</v>
      </c>
      <c r="O10" s="2">
        <v>34544.200000000004</v>
      </c>
      <c r="P10" s="2">
        <f>+IFERROR(N10-O10,"")</f>
        <v>53914.619999999988</v>
      </c>
      <c r="Q10" s="12">
        <f>+IFERROR(P10/O10,"")</f>
        <v>1.560743048037007</v>
      </c>
    </row>
    <row r="11" spans="2:17" x14ac:dyDescent="0.3">
      <c r="B11" s="6" t="s">
        <v>2</v>
      </c>
      <c r="C11" s="2"/>
      <c r="D11" s="2">
        <v>3258</v>
      </c>
      <c r="E11" s="2">
        <v>2322</v>
      </c>
      <c r="F11" s="2">
        <f>+IFERROR(D11-E11,"")</f>
        <v>936</v>
      </c>
      <c r="G11" s="12">
        <f>+IFERROR(F11/E11,"")</f>
        <v>0.40310077519379844</v>
      </c>
      <c r="H11" s="2"/>
      <c r="I11" s="2">
        <v>3258</v>
      </c>
      <c r="J11" s="2">
        <v>2322</v>
      </c>
      <c r="K11" s="2">
        <f>+IFERROR(I11-J11,"")</f>
        <v>936</v>
      </c>
      <c r="L11" s="12">
        <f>+IFERROR(K11/J11,"")</f>
        <v>0.40310077519379844</v>
      </c>
      <c r="M11" s="2"/>
      <c r="N11" s="2">
        <v>3258</v>
      </c>
      <c r="O11" s="2">
        <v>2322</v>
      </c>
      <c r="P11" s="2">
        <f>+IFERROR(N11-O11,"")</f>
        <v>936</v>
      </c>
      <c r="Q11" s="12">
        <f>+IFERROR(P11/O11,"")</f>
        <v>0.40310077519379844</v>
      </c>
    </row>
    <row r="12" spans="2:17" x14ac:dyDescent="0.3">
      <c r="B12" s="6" t="s">
        <v>3</v>
      </c>
      <c r="C12" s="2"/>
      <c r="D12" s="2">
        <v>787.81000000000006</v>
      </c>
      <c r="E12" s="2">
        <v>967.88</v>
      </c>
      <c r="F12" s="2">
        <f>+IFERROR(D12-E12,"")</f>
        <v>-180.06999999999994</v>
      </c>
      <c r="G12" s="12">
        <f>+IFERROR(F12/E12,"")</f>
        <v>-0.1860457908005124</v>
      </c>
      <c r="H12" s="2"/>
      <c r="I12" s="2">
        <v>787.81000000000006</v>
      </c>
      <c r="J12" s="2">
        <v>967.88</v>
      </c>
      <c r="K12" s="2">
        <f>+IFERROR(I12-J12,"")</f>
        <v>-180.06999999999994</v>
      </c>
      <c r="L12" s="12">
        <f>+IFERROR(K12/J12,"")</f>
        <v>-0.1860457908005124</v>
      </c>
      <c r="M12" s="2"/>
      <c r="N12" s="2">
        <v>787.81000000000006</v>
      </c>
      <c r="O12" s="2">
        <v>967.88</v>
      </c>
      <c r="P12" s="2">
        <f>+IFERROR(N12-O12,"")</f>
        <v>-180.06999999999994</v>
      </c>
      <c r="Q12" s="12">
        <f>+IFERROR(P12/O12,"")</f>
        <v>-0.1860457908005124</v>
      </c>
    </row>
    <row r="13" spans="2:17" x14ac:dyDescent="0.3">
      <c r="B13" s="6" t="s">
        <v>4</v>
      </c>
      <c r="C13" s="2"/>
      <c r="D13" s="2">
        <v>4984.9799999999996</v>
      </c>
      <c r="E13" s="2">
        <v>3195.2</v>
      </c>
      <c r="F13" s="2">
        <f>+IFERROR(D13-E13,"")</f>
        <v>1789.7799999999997</v>
      </c>
      <c r="G13" s="12">
        <f>+IFERROR(F13/E13,"")</f>
        <v>0.56014646970455684</v>
      </c>
      <c r="H13" s="2"/>
      <c r="I13" s="2">
        <v>4984.9799999999996</v>
      </c>
      <c r="J13" s="2">
        <v>3195.2</v>
      </c>
      <c r="K13" s="2">
        <f>+IFERROR(I13-J13,"")</f>
        <v>1789.7799999999997</v>
      </c>
      <c r="L13" s="12">
        <f>+IFERROR(K13/J13,"")</f>
        <v>0.56014646970455684</v>
      </c>
      <c r="M13" s="2"/>
      <c r="N13" s="2">
        <v>4984.9799999999996</v>
      </c>
      <c r="O13" s="2">
        <v>3195.2</v>
      </c>
      <c r="P13" s="2">
        <f>+IFERROR(N13-O13,"")</f>
        <v>1789.7799999999997</v>
      </c>
      <c r="Q13" s="12">
        <f>+IFERROR(P13/O13,"")</f>
        <v>0.56014646970455684</v>
      </c>
    </row>
    <row r="14" spans="2:17" ht="15" thickBot="1" x14ac:dyDescent="0.35">
      <c r="B14" s="8" t="s">
        <v>6</v>
      </c>
      <c r="C14" s="2"/>
      <c r="D14" s="7">
        <f>+SUM(D10:D13)</f>
        <v>97489.609999999986</v>
      </c>
      <c r="E14" s="7">
        <f>+SUM(E10:E13)</f>
        <v>41029.279999999999</v>
      </c>
      <c r="F14" s="7">
        <f>+IFERROR(D14-E14,"")</f>
        <v>56460.329999999987</v>
      </c>
      <c r="G14" s="13">
        <f>+IFERROR(F14/E14,"")</f>
        <v>1.3760984838144854</v>
      </c>
      <c r="H14" s="2"/>
      <c r="I14" s="7">
        <f>+SUM(I10:I13)</f>
        <v>97489.609999999986</v>
      </c>
      <c r="J14" s="7">
        <f>+SUM(J10:J13)</f>
        <v>41029.279999999999</v>
      </c>
      <c r="K14" s="7">
        <f>+IFERROR(I14-J14,"")</f>
        <v>56460.329999999987</v>
      </c>
      <c r="L14" s="13">
        <f>+IFERROR(K14/J14,"")</f>
        <v>1.3760984838144854</v>
      </c>
      <c r="M14" s="2"/>
      <c r="N14" s="7">
        <f>+SUM(N10:N13)</f>
        <v>97489.609999999986</v>
      </c>
      <c r="O14" s="7">
        <f>+SUM(O10:O13)</f>
        <v>41029.279999999999</v>
      </c>
      <c r="P14" s="7">
        <f>+IFERROR(N14-O14,"")</f>
        <v>56460.329999999987</v>
      </c>
      <c r="Q14" s="13">
        <f>+IFERROR(P14/O14,"")</f>
        <v>1.3760984838144854</v>
      </c>
    </row>
    <row r="15" spans="2:17" ht="15" thickTop="1" x14ac:dyDescent="0.3">
      <c r="C15" s="2"/>
      <c r="D15" s="2"/>
      <c r="E15" s="2"/>
      <c r="F15" s="2"/>
      <c r="G15" s="12"/>
      <c r="H15" s="2"/>
      <c r="I15" s="2"/>
      <c r="J15" s="2"/>
      <c r="K15" s="2"/>
      <c r="L15" s="12"/>
      <c r="M15" s="2"/>
      <c r="N15" s="2"/>
      <c r="O15" s="2"/>
      <c r="P15" s="2"/>
      <c r="Q15" s="12"/>
    </row>
    <row r="16" spans="2:17" x14ac:dyDescent="0.3">
      <c r="B16" s="3" t="s">
        <v>13</v>
      </c>
      <c r="C16" s="2"/>
      <c r="D16" s="2"/>
      <c r="E16" s="2"/>
      <c r="F16" s="2"/>
      <c r="G16" s="12"/>
      <c r="H16" s="2"/>
      <c r="I16" s="2"/>
      <c r="J16" s="2"/>
      <c r="K16" s="2"/>
      <c r="L16" s="12"/>
      <c r="M16" s="2"/>
      <c r="N16" s="2"/>
      <c r="O16" s="2"/>
      <c r="P16" s="2"/>
      <c r="Q16" s="12"/>
    </row>
    <row r="17" spans="2:17" x14ac:dyDescent="0.3">
      <c r="B17" s="6" t="s">
        <v>14</v>
      </c>
      <c r="C17" s="2"/>
      <c r="D17" s="2">
        <v>299</v>
      </c>
      <c r="E17" s="2">
        <v>299</v>
      </c>
      <c r="F17" s="2">
        <f>+IFERROR(D17-E17,"")</f>
        <v>0</v>
      </c>
      <c r="G17" s="12">
        <f>+IFERROR(F17/E17,"")</f>
        <v>0</v>
      </c>
      <c r="H17" s="2"/>
      <c r="I17" s="2">
        <v>299</v>
      </c>
      <c r="J17" s="2">
        <v>299</v>
      </c>
      <c r="K17" s="2">
        <f>+IFERROR(I17-J17,"")</f>
        <v>0</v>
      </c>
      <c r="L17" s="12">
        <f>+IFERROR(K17/J17,"")</f>
        <v>0</v>
      </c>
      <c r="M17" s="2"/>
      <c r="N17" s="2">
        <v>299</v>
      </c>
      <c r="O17" s="2">
        <v>299</v>
      </c>
      <c r="P17" s="2">
        <f t="shared" ref="P17:P20" si="0">+IFERROR(N17-O17,"")</f>
        <v>0</v>
      </c>
      <c r="Q17" s="12">
        <f t="shared" ref="Q17:Q20" si="1">+IFERROR(P17/O17,"")</f>
        <v>0</v>
      </c>
    </row>
    <row r="18" spans="2:17" x14ac:dyDescent="0.3">
      <c r="B18" s="6" t="s">
        <v>17</v>
      </c>
      <c r="C18" s="2"/>
      <c r="D18" s="2">
        <v>549</v>
      </c>
      <c r="E18" s="2">
        <v>549</v>
      </c>
      <c r="F18" s="2">
        <f>+IFERROR(D18-E18,"")</f>
        <v>0</v>
      </c>
      <c r="G18" s="12">
        <f>+IFERROR(F18/E18,"")</f>
        <v>0</v>
      </c>
      <c r="H18" s="2"/>
      <c r="I18" s="2">
        <v>549</v>
      </c>
      <c r="J18" s="2">
        <v>549</v>
      </c>
      <c r="K18" s="2">
        <f>+IFERROR(I18-J18,"")</f>
        <v>0</v>
      </c>
      <c r="L18" s="12">
        <f>+IFERROR(K18/J18,"")</f>
        <v>0</v>
      </c>
      <c r="M18" s="2"/>
      <c r="N18" s="2">
        <v>549</v>
      </c>
      <c r="O18" s="2">
        <v>549</v>
      </c>
      <c r="P18" s="2">
        <f t="shared" si="0"/>
        <v>0</v>
      </c>
      <c r="Q18" s="12">
        <f t="shared" si="1"/>
        <v>0</v>
      </c>
    </row>
    <row r="19" spans="2:17" x14ac:dyDescent="0.3">
      <c r="B19" s="6" t="s">
        <v>15</v>
      </c>
      <c r="C19" s="2"/>
      <c r="D19" s="2">
        <v>3727.71</v>
      </c>
      <c r="E19" s="2">
        <v>1574.8</v>
      </c>
      <c r="F19" s="2">
        <f>+IFERROR(D19-E19,"")</f>
        <v>2152.91</v>
      </c>
      <c r="G19" s="12">
        <f>+IFERROR(F19/E19,"")</f>
        <v>1.3671005842011683</v>
      </c>
      <c r="H19" s="2"/>
      <c r="I19" s="2">
        <v>3727.71</v>
      </c>
      <c r="J19" s="2">
        <v>1574.8</v>
      </c>
      <c r="K19" s="2">
        <f>+IFERROR(I19-J19,"")</f>
        <v>2152.91</v>
      </c>
      <c r="L19" s="12">
        <f>+IFERROR(K19/J19,"")</f>
        <v>1.3671005842011683</v>
      </c>
      <c r="M19" s="2"/>
      <c r="N19" s="2">
        <v>3727.71</v>
      </c>
      <c r="O19" s="2">
        <v>1574.8</v>
      </c>
      <c r="P19" s="2">
        <f t="shared" si="0"/>
        <v>2152.91</v>
      </c>
      <c r="Q19" s="12">
        <f t="shared" si="1"/>
        <v>1.3671005842011683</v>
      </c>
    </row>
    <row r="20" spans="2:17" x14ac:dyDescent="0.3">
      <c r="B20" s="9" t="s">
        <v>16</v>
      </c>
      <c r="C20" s="2"/>
      <c r="D20" s="10">
        <f>+SUM(D17:D19)</f>
        <v>4575.71</v>
      </c>
      <c r="E20" s="10">
        <f>+SUM(E17:E19)</f>
        <v>2422.8000000000002</v>
      </c>
      <c r="F20" s="10">
        <f>+IFERROR(D20-E20,"")</f>
        <v>2152.91</v>
      </c>
      <c r="G20" s="14">
        <f>+IFERROR(F20/E20,"")</f>
        <v>0.88860409443618937</v>
      </c>
      <c r="H20" s="2"/>
      <c r="I20" s="10">
        <f>+SUM(I17:I19)</f>
        <v>4575.71</v>
      </c>
      <c r="J20" s="10">
        <f>+SUM(J17:J19)</f>
        <v>2422.8000000000002</v>
      </c>
      <c r="K20" s="10">
        <f>+IFERROR(I20-J20,"")</f>
        <v>2152.91</v>
      </c>
      <c r="L20" s="14">
        <f>+IFERROR(K20/J20,"")</f>
        <v>0.88860409443618937</v>
      </c>
      <c r="M20" s="2"/>
      <c r="N20" s="10">
        <f>+SUM(N17:N19)</f>
        <v>4575.71</v>
      </c>
      <c r="O20" s="10">
        <f>+SUM(O17:O19)</f>
        <v>2422.8000000000002</v>
      </c>
      <c r="P20" s="10">
        <f t="shared" si="0"/>
        <v>2152.91</v>
      </c>
      <c r="Q20" s="14">
        <f t="shared" si="1"/>
        <v>0.88860409443618937</v>
      </c>
    </row>
    <row r="21" spans="2:17" x14ac:dyDescent="0.3">
      <c r="C21" s="2"/>
      <c r="D21" s="2"/>
      <c r="E21" s="2"/>
      <c r="F21" s="2"/>
      <c r="G21" s="12"/>
      <c r="H21" s="2"/>
      <c r="I21" s="2"/>
      <c r="J21" s="2"/>
      <c r="K21" s="2"/>
      <c r="L21" s="12"/>
      <c r="M21" s="2"/>
      <c r="N21" s="2"/>
      <c r="O21" s="2"/>
      <c r="P21" s="2"/>
      <c r="Q21" s="12"/>
    </row>
    <row r="22" spans="2:17" x14ac:dyDescent="0.3">
      <c r="B22" s="3" t="s">
        <v>18</v>
      </c>
      <c r="C22" s="2"/>
      <c r="D22" s="2"/>
      <c r="E22" s="2"/>
      <c r="F22" s="2"/>
      <c r="G22" s="12"/>
      <c r="H22" s="2"/>
      <c r="I22" s="2"/>
      <c r="J22" s="2"/>
      <c r="K22" s="2"/>
      <c r="L22" s="12"/>
      <c r="M22" s="2"/>
      <c r="N22" s="2"/>
      <c r="O22" s="2"/>
      <c r="P22" s="2"/>
      <c r="Q22" s="12"/>
    </row>
    <row r="23" spans="2:17" x14ac:dyDescent="0.3">
      <c r="B23" s="6" t="s">
        <v>19</v>
      </c>
      <c r="C23" s="2"/>
      <c r="D23" s="2">
        <v>359.28000000000003</v>
      </c>
      <c r="E23" s="2">
        <v>499.4</v>
      </c>
      <c r="F23" s="2">
        <f t="shared" ref="F23:F37" si="2">+IFERROR(D23-E23,"")</f>
        <v>-140.11999999999995</v>
      </c>
      <c r="G23" s="12">
        <f t="shared" ref="G23:G37" si="3">+IFERROR(F23/E23,"")</f>
        <v>-0.28057669203043645</v>
      </c>
      <c r="H23" s="2"/>
      <c r="I23" s="2">
        <v>359.28000000000003</v>
      </c>
      <c r="J23" s="2">
        <v>499.4</v>
      </c>
      <c r="K23" s="2">
        <f t="shared" ref="K23:K37" si="4">+IFERROR(I23-J23,"")</f>
        <v>-140.11999999999995</v>
      </c>
      <c r="L23" s="12">
        <f t="shared" ref="L23:L37" si="5">+IFERROR(K23/J23,"")</f>
        <v>-0.28057669203043645</v>
      </c>
      <c r="M23" s="2"/>
      <c r="N23" s="2">
        <v>359.28000000000003</v>
      </c>
      <c r="O23" s="2">
        <v>499.4</v>
      </c>
      <c r="P23" s="2">
        <f t="shared" ref="P23:P37" si="6">+IFERROR(N23-O23,"")</f>
        <v>-140.11999999999995</v>
      </c>
      <c r="Q23" s="12">
        <f t="shared" ref="Q23:Q37" si="7">+IFERROR(P23/O23,"")</f>
        <v>-0.28057669203043645</v>
      </c>
    </row>
    <row r="24" spans="2:17" x14ac:dyDescent="0.3">
      <c r="B24" s="6" t="s">
        <v>20</v>
      </c>
      <c r="C24" s="2"/>
      <c r="D24" s="2">
        <v>6871.5000000000009</v>
      </c>
      <c r="E24" s="2">
        <v>4556.92</v>
      </c>
      <c r="F24" s="2">
        <f t="shared" si="2"/>
        <v>2314.5800000000008</v>
      </c>
      <c r="G24" s="12">
        <f t="shared" si="3"/>
        <v>0.50792640643241505</v>
      </c>
      <c r="H24" s="2"/>
      <c r="I24" s="2">
        <v>6871.5000000000009</v>
      </c>
      <c r="J24" s="2">
        <v>4556.92</v>
      </c>
      <c r="K24" s="2">
        <f t="shared" si="4"/>
        <v>2314.5800000000008</v>
      </c>
      <c r="L24" s="12">
        <f t="shared" si="5"/>
        <v>0.50792640643241505</v>
      </c>
      <c r="M24" s="2"/>
      <c r="N24" s="2">
        <v>6871.5000000000009</v>
      </c>
      <c r="O24" s="2">
        <v>4556.92</v>
      </c>
      <c r="P24" s="2">
        <f t="shared" si="6"/>
        <v>2314.5800000000008</v>
      </c>
      <c r="Q24" s="12">
        <f t="shared" si="7"/>
        <v>0.50792640643241505</v>
      </c>
    </row>
    <row r="25" spans="2:17" x14ac:dyDescent="0.3">
      <c r="B25" s="6" t="s">
        <v>21</v>
      </c>
      <c r="C25" s="2"/>
      <c r="D25" s="2">
        <v>871.77</v>
      </c>
      <c r="E25" s="2">
        <v>1144.3399999999999</v>
      </c>
      <c r="F25" s="2">
        <f t="shared" si="2"/>
        <v>-272.56999999999994</v>
      </c>
      <c r="G25" s="12">
        <f t="shared" si="3"/>
        <v>-0.23818969886572169</v>
      </c>
      <c r="H25" s="2"/>
      <c r="I25" s="2">
        <v>871.77</v>
      </c>
      <c r="J25" s="2">
        <v>1144.3399999999999</v>
      </c>
      <c r="K25" s="2">
        <f t="shared" si="4"/>
        <v>-272.56999999999994</v>
      </c>
      <c r="L25" s="12">
        <f t="shared" si="5"/>
        <v>-0.23818969886572169</v>
      </c>
      <c r="M25" s="2"/>
      <c r="N25" s="2">
        <v>871.77</v>
      </c>
      <c r="O25" s="2">
        <v>1144.3399999999999</v>
      </c>
      <c r="P25" s="2">
        <f t="shared" si="6"/>
        <v>-272.56999999999994</v>
      </c>
      <c r="Q25" s="12">
        <f t="shared" si="7"/>
        <v>-0.23818969886572169</v>
      </c>
    </row>
    <row r="26" spans="2:17" x14ac:dyDescent="0.3">
      <c r="B26" s="6" t="s">
        <v>107</v>
      </c>
      <c r="C26" s="2"/>
      <c r="D26" s="2">
        <v>2948.17</v>
      </c>
      <c r="E26" s="2">
        <v>0</v>
      </c>
      <c r="F26" s="2">
        <f t="shared" si="2"/>
        <v>2948.17</v>
      </c>
      <c r="G26" s="12" t="str">
        <f t="shared" si="3"/>
        <v/>
      </c>
      <c r="H26" s="2"/>
      <c r="I26" s="2">
        <v>2948.17</v>
      </c>
      <c r="J26" s="2">
        <v>0</v>
      </c>
      <c r="K26" s="2">
        <f t="shared" si="4"/>
        <v>2948.17</v>
      </c>
      <c r="L26" s="12" t="str">
        <f t="shared" si="5"/>
        <v/>
      </c>
      <c r="M26" s="2"/>
      <c r="N26" s="2">
        <v>2948.17</v>
      </c>
      <c r="O26" s="2">
        <v>0</v>
      </c>
      <c r="P26" s="2">
        <f t="shared" si="6"/>
        <v>2948.17</v>
      </c>
      <c r="Q26" s="12" t="str">
        <f t="shared" si="7"/>
        <v/>
      </c>
    </row>
    <row r="27" spans="2:17" x14ac:dyDescent="0.3">
      <c r="B27" s="6" t="s">
        <v>22</v>
      </c>
      <c r="C27" s="2"/>
      <c r="D27" s="2">
        <v>2511.8200000000002</v>
      </c>
      <c r="E27" s="2">
        <v>2119.0500000000002</v>
      </c>
      <c r="F27" s="2">
        <f t="shared" si="2"/>
        <v>392.77</v>
      </c>
      <c r="G27" s="12">
        <f t="shared" si="3"/>
        <v>0.18535192657086899</v>
      </c>
      <c r="H27" s="2"/>
      <c r="I27" s="2">
        <v>2511.8200000000002</v>
      </c>
      <c r="J27" s="2">
        <v>2119.0500000000002</v>
      </c>
      <c r="K27" s="2">
        <f t="shared" si="4"/>
        <v>392.77</v>
      </c>
      <c r="L27" s="12">
        <f t="shared" si="5"/>
        <v>0.18535192657086899</v>
      </c>
      <c r="M27" s="2"/>
      <c r="N27" s="2">
        <v>2511.8200000000002</v>
      </c>
      <c r="O27" s="2">
        <v>2119.0500000000002</v>
      </c>
      <c r="P27" s="2">
        <f t="shared" si="6"/>
        <v>392.77</v>
      </c>
      <c r="Q27" s="12">
        <f t="shared" si="7"/>
        <v>0.18535192657086899</v>
      </c>
    </row>
    <row r="28" spans="2:17" x14ac:dyDescent="0.3">
      <c r="B28" s="6" t="s">
        <v>23</v>
      </c>
      <c r="C28" s="2"/>
      <c r="D28" s="2">
        <v>1484.59</v>
      </c>
      <c r="E28" s="2">
        <v>611.93999999999994</v>
      </c>
      <c r="F28" s="2">
        <f t="shared" si="2"/>
        <v>872.65</v>
      </c>
      <c r="G28" s="12">
        <f t="shared" si="3"/>
        <v>1.4260385005065856</v>
      </c>
      <c r="H28" s="2"/>
      <c r="I28" s="2">
        <v>1484.59</v>
      </c>
      <c r="J28" s="2">
        <v>611.93999999999994</v>
      </c>
      <c r="K28" s="2">
        <f t="shared" si="4"/>
        <v>872.65</v>
      </c>
      <c r="L28" s="12">
        <f t="shared" si="5"/>
        <v>1.4260385005065856</v>
      </c>
      <c r="M28" s="2"/>
      <c r="N28" s="2">
        <v>1484.59</v>
      </c>
      <c r="O28" s="2">
        <v>611.93999999999994</v>
      </c>
      <c r="P28" s="2">
        <f t="shared" si="6"/>
        <v>872.65</v>
      </c>
      <c r="Q28" s="12">
        <f t="shared" si="7"/>
        <v>1.4260385005065856</v>
      </c>
    </row>
    <row r="29" spans="2:17" x14ac:dyDescent="0.3">
      <c r="B29" s="6" t="s">
        <v>24</v>
      </c>
      <c r="C29" s="2"/>
      <c r="D29" s="2">
        <v>2235.4499999999998</v>
      </c>
      <c r="E29" s="2">
        <v>3717.23</v>
      </c>
      <c r="F29" s="2">
        <f t="shared" si="2"/>
        <v>-1481.7800000000002</v>
      </c>
      <c r="G29" s="12">
        <f t="shared" si="3"/>
        <v>-0.39862478243207983</v>
      </c>
      <c r="H29" s="2"/>
      <c r="I29" s="2">
        <v>2235.4499999999998</v>
      </c>
      <c r="J29" s="2">
        <v>3717.23</v>
      </c>
      <c r="K29" s="2">
        <f t="shared" si="4"/>
        <v>-1481.7800000000002</v>
      </c>
      <c r="L29" s="12">
        <f t="shared" si="5"/>
        <v>-0.39862478243207983</v>
      </c>
      <c r="M29" s="2"/>
      <c r="N29" s="2">
        <v>2235.4499999999998</v>
      </c>
      <c r="O29" s="2">
        <v>3717.23</v>
      </c>
      <c r="P29" s="2">
        <f t="shared" si="6"/>
        <v>-1481.7800000000002</v>
      </c>
      <c r="Q29" s="12">
        <f t="shared" si="7"/>
        <v>-0.39862478243207983</v>
      </c>
    </row>
    <row r="30" spans="2:17" x14ac:dyDescent="0.3">
      <c r="B30" s="6" t="s">
        <v>25</v>
      </c>
      <c r="C30" s="2"/>
      <c r="D30" s="2">
        <v>273.08999999999997</v>
      </c>
      <c r="E30" s="2">
        <v>261.8</v>
      </c>
      <c r="F30" s="2">
        <f t="shared" si="2"/>
        <v>11.289999999999964</v>
      </c>
      <c r="G30" s="12">
        <f t="shared" si="3"/>
        <v>4.3124522536287103E-2</v>
      </c>
      <c r="H30" s="2"/>
      <c r="I30" s="2">
        <v>273.08999999999997</v>
      </c>
      <c r="J30" s="2">
        <v>261.8</v>
      </c>
      <c r="K30" s="2">
        <f t="shared" si="4"/>
        <v>11.289999999999964</v>
      </c>
      <c r="L30" s="12">
        <f t="shared" si="5"/>
        <v>4.3124522536287103E-2</v>
      </c>
      <c r="M30" s="2"/>
      <c r="N30" s="2">
        <v>273.08999999999997</v>
      </c>
      <c r="O30" s="2">
        <v>261.8</v>
      </c>
      <c r="P30" s="2">
        <f t="shared" si="6"/>
        <v>11.289999999999964</v>
      </c>
      <c r="Q30" s="12">
        <f t="shared" si="7"/>
        <v>4.3124522536287103E-2</v>
      </c>
    </row>
    <row r="31" spans="2:17" x14ac:dyDescent="0.3">
      <c r="B31" s="6" t="s">
        <v>26</v>
      </c>
      <c r="C31" s="2"/>
      <c r="D31" s="2">
        <v>287.56</v>
      </c>
      <c r="E31" s="2">
        <v>296.05</v>
      </c>
      <c r="F31" s="2">
        <f t="shared" si="2"/>
        <v>-8.4900000000000091</v>
      </c>
      <c r="G31" s="12">
        <f t="shared" si="3"/>
        <v>-2.8677588245228876E-2</v>
      </c>
      <c r="H31" s="2"/>
      <c r="I31" s="2">
        <v>287.56</v>
      </c>
      <c r="J31" s="2">
        <v>296.05</v>
      </c>
      <c r="K31" s="2">
        <f t="shared" si="4"/>
        <v>-8.4900000000000091</v>
      </c>
      <c r="L31" s="12">
        <f t="shared" si="5"/>
        <v>-2.8677588245228876E-2</v>
      </c>
      <c r="M31" s="2"/>
      <c r="N31" s="2">
        <v>287.56</v>
      </c>
      <c r="O31" s="2">
        <v>296.05</v>
      </c>
      <c r="P31" s="2">
        <f t="shared" si="6"/>
        <v>-8.4900000000000091</v>
      </c>
      <c r="Q31" s="12">
        <f t="shared" si="7"/>
        <v>-2.8677588245228876E-2</v>
      </c>
    </row>
    <row r="32" spans="2:17" x14ac:dyDescent="0.3">
      <c r="B32" s="6" t="s">
        <v>27</v>
      </c>
      <c r="C32" s="2"/>
      <c r="D32" s="2">
        <v>1645.42</v>
      </c>
      <c r="E32" s="2">
        <v>6.24</v>
      </c>
      <c r="F32" s="2">
        <f t="shared" si="2"/>
        <v>1639.18</v>
      </c>
      <c r="G32" s="12">
        <f t="shared" si="3"/>
        <v>262.68910256410254</v>
      </c>
      <c r="H32" s="2"/>
      <c r="I32" s="2">
        <v>1645.42</v>
      </c>
      <c r="J32" s="2">
        <v>6.24</v>
      </c>
      <c r="K32" s="2">
        <f t="shared" si="4"/>
        <v>1639.18</v>
      </c>
      <c r="L32" s="12">
        <f t="shared" si="5"/>
        <v>262.68910256410254</v>
      </c>
      <c r="M32" s="2"/>
      <c r="N32" s="2">
        <v>1645.42</v>
      </c>
      <c r="O32" s="2">
        <v>6.24</v>
      </c>
      <c r="P32" s="2">
        <f t="shared" si="6"/>
        <v>1639.18</v>
      </c>
      <c r="Q32" s="12">
        <f t="shared" si="7"/>
        <v>262.68910256410254</v>
      </c>
    </row>
    <row r="33" spans="2:17" x14ac:dyDescent="0.3">
      <c r="B33" s="6" t="s">
        <v>28</v>
      </c>
      <c r="C33" s="2"/>
      <c r="D33" s="2">
        <v>16.72</v>
      </c>
      <c r="E33" s="2">
        <v>13.71</v>
      </c>
      <c r="F33" s="2">
        <f t="shared" si="2"/>
        <v>3.009999999999998</v>
      </c>
      <c r="G33" s="12">
        <f t="shared" si="3"/>
        <v>0.21954777534646228</v>
      </c>
      <c r="H33" s="2"/>
      <c r="I33" s="2">
        <v>16.72</v>
      </c>
      <c r="J33" s="2">
        <v>13.71</v>
      </c>
      <c r="K33" s="2">
        <f t="shared" si="4"/>
        <v>3.009999999999998</v>
      </c>
      <c r="L33" s="12">
        <f t="shared" si="5"/>
        <v>0.21954777534646228</v>
      </c>
      <c r="M33" s="2"/>
      <c r="N33" s="2">
        <v>16.72</v>
      </c>
      <c r="O33" s="2">
        <v>13.71</v>
      </c>
      <c r="P33" s="2">
        <f t="shared" si="6"/>
        <v>3.009999999999998</v>
      </c>
      <c r="Q33" s="12">
        <f t="shared" si="7"/>
        <v>0.21954777534646228</v>
      </c>
    </row>
    <row r="34" spans="2:17" x14ac:dyDescent="0.3">
      <c r="B34" s="6" t="s">
        <v>29</v>
      </c>
      <c r="C34" s="2"/>
      <c r="D34" s="2">
        <v>94.23</v>
      </c>
      <c r="E34" s="2">
        <v>122.5</v>
      </c>
      <c r="F34" s="2">
        <f t="shared" si="2"/>
        <v>-28.269999999999996</v>
      </c>
      <c r="G34" s="12">
        <f t="shared" si="3"/>
        <v>-0.2307755102040816</v>
      </c>
      <c r="H34" s="2"/>
      <c r="I34" s="2">
        <v>94.23</v>
      </c>
      <c r="J34" s="2">
        <v>122.5</v>
      </c>
      <c r="K34" s="2">
        <f t="shared" si="4"/>
        <v>-28.269999999999996</v>
      </c>
      <c r="L34" s="12">
        <f t="shared" si="5"/>
        <v>-0.2307755102040816</v>
      </c>
      <c r="M34" s="2"/>
      <c r="N34" s="2">
        <v>94.23</v>
      </c>
      <c r="O34" s="2">
        <v>122.5</v>
      </c>
      <c r="P34" s="2">
        <f t="shared" si="6"/>
        <v>-28.269999999999996</v>
      </c>
      <c r="Q34" s="12">
        <f t="shared" si="7"/>
        <v>-0.2307755102040816</v>
      </c>
    </row>
    <row r="35" spans="2:17" x14ac:dyDescent="0.3">
      <c r="B35" s="6" t="s">
        <v>30</v>
      </c>
      <c r="C35" s="2"/>
      <c r="D35" s="2">
        <v>0</v>
      </c>
      <c r="E35" s="2">
        <v>0</v>
      </c>
      <c r="F35" s="2">
        <f t="shared" si="2"/>
        <v>0</v>
      </c>
      <c r="G35" s="12" t="str">
        <f t="shared" si="3"/>
        <v/>
      </c>
      <c r="H35" s="2"/>
      <c r="I35" s="2">
        <v>0</v>
      </c>
      <c r="J35" s="2">
        <v>0</v>
      </c>
      <c r="K35" s="2">
        <f t="shared" si="4"/>
        <v>0</v>
      </c>
      <c r="L35" s="12" t="str">
        <f t="shared" si="5"/>
        <v/>
      </c>
      <c r="M35" s="2"/>
      <c r="N35" s="2">
        <v>0</v>
      </c>
      <c r="O35" s="2">
        <v>0</v>
      </c>
      <c r="P35" s="2">
        <f t="shared" si="6"/>
        <v>0</v>
      </c>
      <c r="Q35" s="12" t="str">
        <f t="shared" si="7"/>
        <v/>
      </c>
    </row>
    <row r="36" spans="2:17" x14ac:dyDescent="0.3">
      <c r="B36" s="6" t="s">
        <v>31</v>
      </c>
      <c r="C36" s="2"/>
      <c r="D36" s="2">
        <v>163.16</v>
      </c>
      <c r="E36" s="2">
        <v>42.5</v>
      </c>
      <c r="F36" s="2">
        <f t="shared" si="2"/>
        <v>120.66</v>
      </c>
      <c r="G36" s="12">
        <f t="shared" si="3"/>
        <v>2.8390588235294119</v>
      </c>
      <c r="H36" s="2"/>
      <c r="I36" s="2">
        <v>163.16</v>
      </c>
      <c r="J36" s="2">
        <v>42.5</v>
      </c>
      <c r="K36" s="2">
        <f t="shared" si="4"/>
        <v>120.66</v>
      </c>
      <c r="L36" s="12">
        <f t="shared" si="5"/>
        <v>2.8390588235294119</v>
      </c>
      <c r="M36" s="2"/>
      <c r="N36" s="2">
        <v>163.16</v>
      </c>
      <c r="O36" s="2">
        <v>42.5</v>
      </c>
      <c r="P36" s="2">
        <f t="shared" si="6"/>
        <v>120.66</v>
      </c>
      <c r="Q36" s="12">
        <f t="shared" si="7"/>
        <v>2.8390588235294119</v>
      </c>
    </row>
    <row r="37" spans="2:17" x14ac:dyDescent="0.3">
      <c r="B37" s="9" t="s">
        <v>32</v>
      </c>
      <c r="C37" s="2"/>
      <c r="D37" s="10">
        <f>+SUM(D23:D36)</f>
        <v>19762.760000000002</v>
      </c>
      <c r="E37" s="10">
        <f>+SUM(E23:E36)</f>
        <v>13391.679999999997</v>
      </c>
      <c r="F37" s="10">
        <f t="shared" si="2"/>
        <v>6371.0800000000054</v>
      </c>
      <c r="G37" s="14">
        <f t="shared" si="3"/>
        <v>0.47574912184281637</v>
      </c>
      <c r="H37" s="2"/>
      <c r="I37" s="10">
        <f>+SUM(I23:I36)</f>
        <v>19762.760000000002</v>
      </c>
      <c r="J37" s="10">
        <f>+SUM(J23:J36)</f>
        <v>13391.679999999997</v>
      </c>
      <c r="K37" s="10">
        <f t="shared" si="4"/>
        <v>6371.0800000000054</v>
      </c>
      <c r="L37" s="14">
        <f t="shared" si="5"/>
        <v>0.47574912184281637</v>
      </c>
      <c r="M37" s="2"/>
      <c r="N37" s="10">
        <f>+SUM(N23:N36)</f>
        <v>19762.760000000002</v>
      </c>
      <c r="O37" s="10">
        <f>+SUM(O23:O36)</f>
        <v>13391.679999999997</v>
      </c>
      <c r="P37" s="10">
        <f t="shared" si="6"/>
        <v>6371.0800000000054</v>
      </c>
      <c r="Q37" s="14">
        <f t="shared" si="7"/>
        <v>0.47574912184281637</v>
      </c>
    </row>
    <row r="38" spans="2:17" x14ac:dyDescent="0.3">
      <c r="C38" s="2"/>
      <c r="D38" s="2"/>
      <c r="E38" s="2"/>
      <c r="F38" s="2"/>
      <c r="G38" s="12"/>
      <c r="H38" s="2"/>
      <c r="I38" s="2"/>
      <c r="J38" s="2"/>
      <c r="K38" s="2"/>
      <c r="L38" s="12"/>
      <c r="M38" s="2"/>
      <c r="N38" s="2"/>
      <c r="O38" s="2"/>
      <c r="P38" s="2"/>
      <c r="Q38" s="12"/>
    </row>
    <row r="39" spans="2:17" ht="15" thickBot="1" x14ac:dyDescent="0.35">
      <c r="B39" s="8" t="s">
        <v>33</v>
      </c>
      <c r="C39" s="2"/>
      <c r="D39" s="7">
        <f>+D20+D37</f>
        <v>24338.47</v>
      </c>
      <c r="E39" s="7">
        <f>+E20+E37</f>
        <v>15814.479999999996</v>
      </c>
      <c r="F39" s="7">
        <f>+IFERROR(D39-E39,"")</f>
        <v>8523.9900000000052</v>
      </c>
      <c r="G39" s="13">
        <f>+IFERROR(F39/E39,"")</f>
        <v>0.53899906920746099</v>
      </c>
      <c r="H39" s="2"/>
      <c r="I39" s="7">
        <f>+I20+I37</f>
        <v>24338.47</v>
      </c>
      <c r="J39" s="7">
        <f>+J20+J37</f>
        <v>15814.479999999996</v>
      </c>
      <c r="K39" s="7">
        <f>+IFERROR(I39-J39,"")</f>
        <v>8523.9900000000052</v>
      </c>
      <c r="L39" s="13">
        <f>+IFERROR(K39/J39,"")</f>
        <v>0.53899906920746099</v>
      </c>
      <c r="M39" s="2"/>
      <c r="N39" s="7">
        <f>+N20+N37</f>
        <v>24338.47</v>
      </c>
      <c r="O39" s="7">
        <f>+O20+O37</f>
        <v>15814.479999999996</v>
      </c>
      <c r="P39" s="7">
        <f t="shared" ref="P39:P41" si="8">+IFERROR(N39-O39,"")</f>
        <v>8523.9900000000052</v>
      </c>
      <c r="Q39" s="13">
        <f t="shared" ref="Q39:Q41" si="9">+IFERROR(P39/O39,"")</f>
        <v>0.53899906920746099</v>
      </c>
    </row>
    <row r="40" spans="2:17" ht="15" thickTop="1" x14ac:dyDescent="0.3">
      <c r="B40" s="3"/>
      <c r="C40" s="2"/>
      <c r="D40" s="4"/>
      <c r="E40" s="4"/>
      <c r="F40" s="4">
        <f>+IFERROR(D40-E40,"")</f>
        <v>0</v>
      </c>
      <c r="G40" s="15" t="str">
        <f>+IFERROR(F40/E40,"")</f>
        <v/>
      </c>
      <c r="H40" s="2"/>
      <c r="I40" s="4"/>
      <c r="J40" s="4"/>
      <c r="K40" s="4">
        <f>+IFERROR(I40-J40,"")</f>
        <v>0</v>
      </c>
      <c r="L40" s="15" t="str">
        <f>+IFERROR(K40/J40,"")</f>
        <v/>
      </c>
      <c r="M40" s="2"/>
      <c r="N40" s="4"/>
      <c r="O40" s="4"/>
      <c r="P40" s="4">
        <f t="shared" si="8"/>
        <v>0</v>
      </c>
      <c r="Q40" s="15" t="str">
        <f t="shared" si="9"/>
        <v/>
      </c>
    </row>
    <row r="41" spans="2:17" ht="15" thickBot="1" x14ac:dyDescent="0.35">
      <c r="B41" s="11" t="s">
        <v>34</v>
      </c>
      <c r="C41" s="2"/>
      <c r="D41" s="31">
        <f>+D14-D39</f>
        <v>73151.139999999985</v>
      </c>
      <c r="E41" s="31">
        <f>+E14-E39</f>
        <v>25214.800000000003</v>
      </c>
      <c r="F41" s="31">
        <f>+IFERROR(D41-E41,"")</f>
        <v>47936.339999999982</v>
      </c>
      <c r="G41" s="16">
        <f>+IFERROR(F41/E41,"")</f>
        <v>1.9011191839713175</v>
      </c>
      <c r="H41" s="2"/>
      <c r="I41" s="31">
        <f>+I14-I39</f>
        <v>73151.139999999985</v>
      </c>
      <c r="J41" s="31">
        <f>+J14-J39</f>
        <v>25214.800000000003</v>
      </c>
      <c r="K41" s="31">
        <f>+IFERROR(I41-J41,"")</f>
        <v>47936.339999999982</v>
      </c>
      <c r="L41" s="16">
        <f>+IFERROR(K41/J41,"")</f>
        <v>1.9011191839713175</v>
      </c>
      <c r="M41" s="2"/>
      <c r="N41" s="31">
        <f>+N14-N39</f>
        <v>73151.139999999985</v>
      </c>
      <c r="O41" s="31">
        <f>+O14-O39</f>
        <v>25214.800000000003</v>
      </c>
      <c r="P41" s="31">
        <f t="shared" si="8"/>
        <v>47936.339999999982</v>
      </c>
      <c r="Q41" s="16">
        <f t="shared" si="9"/>
        <v>1.9011191839713175</v>
      </c>
    </row>
    <row r="42" spans="2:17" ht="15" thickTop="1" x14ac:dyDescent="0.3">
      <c r="C42" s="2"/>
      <c r="D42" s="2"/>
      <c r="E42" s="2"/>
      <c r="F42" s="2"/>
      <c r="G42" s="12"/>
      <c r="H42" s="2"/>
      <c r="I42" s="2"/>
      <c r="J42" s="2"/>
      <c r="K42" s="2"/>
      <c r="L42" s="12"/>
      <c r="M42" s="2"/>
      <c r="N42" s="2"/>
      <c r="O42" s="2"/>
      <c r="P42" s="2"/>
      <c r="Q42" s="12"/>
    </row>
    <row r="43" spans="2:17" x14ac:dyDescent="0.3">
      <c r="B43" s="3" t="s">
        <v>35</v>
      </c>
      <c r="C43" s="2"/>
      <c r="D43" s="2"/>
      <c r="E43" s="2"/>
      <c r="F43" s="2"/>
      <c r="G43" s="12"/>
      <c r="H43" s="2"/>
      <c r="I43" s="2"/>
      <c r="J43" s="2"/>
      <c r="K43" s="2"/>
      <c r="L43" s="12"/>
      <c r="M43" s="2"/>
      <c r="N43" s="2"/>
      <c r="O43" s="2"/>
      <c r="P43" s="2"/>
      <c r="Q43" s="12"/>
    </row>
    <row r="44" spans="2:17" x14ac:dyDescent="0.3">
      <c r="B44" s="6" t="s">
        <v>36</v>
      </c>
      <c r="C44" s="2"/>
      <c r="D44" s="2">
        <v>0</v>
      </c>
      <c r="E44" s="2">
        <v>0</v>
      </c>
      <c r="F44" s="2">
        <f t="shared" ref="F44:F51" si="10">+IFERROR(D44-E44,"")</f>
        <v>0</v>
      </c>
      <c r="G44" s="12" t="str">
        <f t="shared" ref="G44:G51" si="11">+IFERROR(F44/E44,"")</f>
        <v/>
      </c>
      <c r="H44" s="2"/>
      <c r="I44" s="2">
        <v>0</v>
      </c>
      <c r="J44" s="2">
        <v>0</v>
      </c>
      <c r="K44" s="2">
        <f t="shared" ref="K44:K51" si="12">+IFERROR(I44-J44,"")</f>
        <v>0</v>
      </c>
      <c r="L44" s="12" t="str">
        <f t="shared" ref="L44:L51" si="13">+IFERROR(K44/J44,"")</f>
        <v/>
      </c>
      <c r="M44" s="2"/>
      <c r="N44" s="2">
        <v>0</v>
      </c>
      <c r="O44" s="2">
        <v>0</v>
      </c>
      <c r="P44" s="2">
        <f t="shared" ref="P44:P52" si="14">+IFERROR(N44-O44,"")</f>
        <v>0</v>
      </c>
      <c r="Q44" s="12" t="str">
        <f t="shared" ref="Q44:Q52" si="15">+IFERROR(P44/O44,"")</f>
        <v/>
      </c>
    </row>
    <row r="45" spans="2:17" x14ac:dyDescent="0.3">
      <c r="B45" s="6" t="s">
        <v>37</v>
      </c>
      <c r="C45" s="2"/>
      <c r="D45" s="2">
        <v>33.42</v>
      </c>
      <c r="E45" s="2">
        <v>0</v>
      </c>
      <c r="F45" s="2">
        <f t="shared" si="10"/>
        <v>33.42</v>
      </c>
      <c r="G45" s="12" t="str">
        <f t="shared" si="11"/>
        <v/>
      </c>
      <c r="H45" s="2"/>
      <c r="I45" s="2">
        <v>33.42</v>
      </c>
      <c r="J45" s="2">
        <v>0</v>
      </c>
      <c r="K45" s="2">
        <f t="shared" si="12"/>
        <v>33.42</v>
      </c>
      <c r="L45" s="12" t="str">
        <f t="shared" si="13"/>
        <v/>
      </c>
      <c r="M45" s="2"/>
      <c r="N45" s="2">
        <v>33.42</v>
      </c>
      <c r="O45" s="2">
        <v>0</v>
      </c>
      <c r="P45" s="2">
        <f t="shared" si="14"/>
        <v>33.42</v>
      </c>
      <c r="Q45" s="12" t="str">
        <f t="shared" si="15"/>
        <v/>
      </c>
    </row>
    <row r="46" spans="2:17" x14ac:dyDescent="0.3">
      <c r="B46" s="6" t="s">
        <v>38</v>
      </c>
      <c r="C46" s="2"/>
      <c r="D46" s="2">
        <v>0</v>
      </c>
      <c r="E46" s="2">
        <v>0</v>
      </c>
      <c r="F46" s="2">
        <f t="shared" si="10"/>
        <v>0</v>
      </c>
      <c r="G46" s="12" t="str">
        <f t="shared" si="11"/>
        <v/>
      </c>
      <c r="H46" s="2"/>
      <c r="I46" s="2">
        <v>0</v>
      </c>
      <c r="J46" s="2">
        <v>0</v>
      </c>
      <c r="K46" s="2">
        <f t="shared" si="12"/>
        <v>0</v>
      </c>
      <c r="L46" s="12" t="str">
        <f t="shared" si="13"/>
        <v/>
      </c>
      <c r="M46" s="2"/>
      <c r="N46" s="2">
        <v>0</v>
      </c>
      <c r="O46" s="2">
        <v>0</v>
      </c>
      <c r="P46" s="2">
        <f t="shared" si="14"/>
        <v>0</v>
      </c>
      <c r="Q46" s="12" t="str">
        <f t="shared" si="15"/>
        <v/>
      </c>
    </row>
    <row r="47" spans="2:17" x14ac:dyDescent="0.3">
      <c r="B47" s="6" t="s">
        <v>39</v>
      </c>
      <c r="C47" s="2"/>
      <c r="D47" s="2">
        <v>0</v>
      </c>
      <c r="E47" s="2">
        <v>0</v>
      </c>
      <c r="F47" s="2">
        <f t="shared" si="10"/>
        <v>0</v>
      </c>
      <c r="G47" s="12" t="str">
        <f t="shared" si="11"/>
        <v/>
      </c>
      <c r="H47" s="2"/>
      <c r="I47" s="2">
        <v>0</v>
      </c>
      <c r="J47" s="2">
        <v>0</v>
      </c>
      <c r="K47" s="2">
        <f t="shared" si="12"/>
        <v>0</v>
      </c>
      <c r="L47" s="12" t="str">
        <f t="shared" si="13"/>
        <v/>
      </c>
      <c r="M47" s="2"/>
      <c r="N47" s="2">
        <v>0</v>
      </c>
      <c r="O47" s="2">
        <v>0</v>
      </c>
      <c r="P47" s="2">
        <f t="shared" si="14"/>
        <v>0</v>
      </c>
      <c r="Q47" s="12" t="str">
        <f t="shared" si="15"/>
        <v/>
      </c>
    </row>
    <row r="48" spans="2:17" x14ac:dyDescent="0.3">
      <c r="B48" s="6" t="s">
        <v>40</v>
      </c>
      <c r="C48" s="2"/>
      <c r="D48" s="2">
        <v>8.9499999999999993</v>
      </c>
      <c r="E48" s="2">
        <v>0</v>
      </c>
      <c r="F48" s="2">
        <f t="shared" si="10"/>
        <v>8.9499999999999993</v>
      </c>
      <c r="G48" s="12" t="str">
        <f t="shared" si="11"/>
        <v/>
      </c>
      <c r="H48" s="2"/>
      <c r="I48" s="2">
        <v>8.9499999999999993</v>
      </c>
      <c r="J48" s="2">
        <v>0</v>
      </c>
      <c r="K48" s="2">
        <f t="shared" si="12"/>
        <v>8.9499999999999993</v>
      </c>
      <c r="L48" s="12" t="str">
        <f t="shared" si="13"/>
        <v/>
      </c>
      <c r="M48" s="2"/>
      <c r="N48" s="2">
        <v>8.9499999999999993</v>
      </c>
      <c r="O48" s="2">
        <v>0</v>
      </c>
      <c r="P48" s="2">
        <f t="shared" si="14"/>
        <v>8.9499999999999993</v>
      </c>
      <c r="Q48" s="12" t="str">
        <f t="shared" si="15"/>
        <v/>
      </c>
    </row>
    <row r="49" spans="2:17" x14ac:dyDescent="0.3">
      <c r="B49" s="6" t="s">
        <v>41</v>
      </c>
      <c r="C49" s="2"/>
      <c r="D49" s="2">
        <v>0</v>
      </c>
      <c r="E49" s="2">
        <v>0</v>
      </c>
      <c r="F49" s="2">
        <f t="shared" si="10"/>
        <v>0</v>
      </c>
      <c r="G49" s="12" t="str">
        <f t="shared" si="11"/>
        <v/>
      </c>
      <c r="H49" s="2"/>
      <c r="I49" s="2">
        <v>0</v>
      </c>
      <c r="J49" s="2">
        <v>0</v>
      </c>
      <c r="K49" s="2">
        <f t="shared" si="12"/>
        <v>0</v>
      </c>
      <c r="L49" s="12" t="str">
        <f t="shared" si="13"/>
        <v/>
      </c>
      <c r="M49" s="2"/>
      <c r="N49" s="2">
        <v>0</v>
      </c>
      <c r="O49" s="2">
        <v>0</v>
      </c>
      <c r="P49" s="2">
        <f t="shared" si="14"/>
        <v>0</v>
      </c>
      <c r="Q49" s="12" t="str">
        <f t="shared" si="15"/>
        <v/>
      </c>
    </row>
    <row r="50" spans="2:17" x14ac:dyDescent="0.3">
      <c r="B50" s="6" t="s">
        <v>42</v>
      </c>
      <c r="C50" s="2"/>
      <c r="D50" s="2">
        <v>0</v>
      </c>
      <c r="E50" s="2">
        <v>0</v>
      </c>
      <c r="F50" s="2">
        <f t="shared" si="10"/>
        <v>0</v>
      </c>
      <c r="G50" s="12" t="str">
        <f t="shared" si="11"/>
        <v/>
      </c>
      <c r="H50" s="2"/>
      <c r="I50" s="2">
        <v>0</v>
      </c>
      <c r="J50" s="2">
        <v>0</v>
      </c>
      <c r="K50" s="2">
        <f t="shared" si="12"/>
        <v>0</v>
      </c>
      <c r="L50" s="12" t="str">
        <f t="shared" si="13"/>
        <v/>
      </c>
      <c r="M50" s="2"/>
      <c r="N50" s="2">
        <v>0</v>
      </c>
      <c r="O50" s="2">
        <v>0</v>
      </c>
      <c r="P50" s="2">
        <f t="shared" si="14"/>
        <v>0</v>
      </c>
      <c r="Q50" s="12" t="str">
        <f t="shared" si="15"/>
        <v/>
      </c>
    </row>
    <row r="51" spans="2:17" x14ac:dyDescent="0.3">
      <c r="B51" s="6" t="s">
        <v>43</v>
      </c>
      <c r="C51" s="2"/>
      <c r="D51" s="2">
        <v>0</v>
      </c>
      <c r="E51" s="2">
        <v>0</v>
      </c>
      <c r="F51" s="2">
        <f t="shared" si="10"/>
        <v>0</v>
      </c>
      <c r="G51" s="12" t="str">
        <f t="shared" si="11"/>
        <v/>
      </c>
      <c r="H51" s="2"/>
      <c r="I51" s="2">
        <v>0</v>
      </c>
      <c r="J51" s="2">
        <v>0</v>
      </c>
      <c r="K51" s="2">
        <f t="shared" si="12"/>
        <v>0</v>
      </c>
      <c r="L51" s="12" t="str">
        <f t="shared" si="13"/>
        <v/>
      </c>
      <c r="M51" s="2"/>
      <c r="N51" s="2">
        <v>0</v>
      </c>
      <c r="O51" s="2">
        <v>0</v>
      </c>
      <c r="P51" s="2">
        <f t="shared" si="14"/>
        <v>0</v>
      </c>
      <c r="Q51" s="12" t="str">
        <f t="shared" si="15"/>
        <v/>
      </c>
    </row>
    <row r="52" spans="2:17" x14ac:dyDescent="0.3">
      <c r="B52" s="9" t="s">
        <v>44</v>
      </c>
      <c r="C52" s="2"/>
      <c r="D52" s="10">
        <f>+SUM(D44:D51)</f>
        <v>42.370000000000005</v>
      </c>
      <c r="E52" s="10">
        <f t="shared" ref="E52" si="16">+SUM(E44:E51)</f>
        <v>0</v>
      </c>
      <c r="F52" s="10">
        <f t="shared" ref="F52" si="17">+IFERROR(D52-E52,"")</f>
        <v>42.370000000000005</v>
      </c>
      <c r="G52" s="14" t="str">
        <f t="shared" ref="G52" si="18">+IFERROR(F52/E52,"")</f>
        <v/>
      </c>
      <c r="H52" s="2"/>
      <c r="I52" s="10">
        <f t="shared" ref="I52:J52" si="19">+SUM(I44:I51)</f>
        <v>42.370000000000005</v>
      </c>
      <c r="J52" s="10">
        <f t="shared" si="19"/>
        <v>0</v>
      </c>
      <c r="K52" s="10">
        <f t="shared" ref="K52" si="20">+IFERROR(I52-J52,"")</f>
        <v>42.370000000000005</v>
      </c>
      <c r="L52" s="14" t="str">
        <f t="shared" ref="L52" si="21">+IFERROR(K52/J52,"")</f>
        <v/>
      </c>
      <c r="M52" s="2"/>
      <c r="N52" s="10">
        <f>+SUM(N44:N51)</f>
        <v>42.370000000000005</v>
      </c>
      <c r="O52" s="10">
        <f t="shared" ref="O52" si="22">+SUM(O44:O51)</f>
        <v>0</v>
      </c>
      <c r="P52" s="10">
        <f t="shared" si="14"/>
        <v>42.370000000000005</v>
      </c>
      <c r="Q52" s="14" t="str">
        <f t="shared" si="15"/>
        <v/>
      </c>
    </row>
    <row r="53" spans="2:17" x14ac:dyDescent="0.3">
      <c r="C53" s="2"/>
      <c r="D53" s="2"/>
      <c r="E53" s="2"/>
      <c r="F53" s="2"/>
      <c r="G53" s="12"/>
      <c r="H53" s="2"/>
      <c r="I53" s="2"/>
      <c r="J53" s="2"/>
      <c r="K53" s="2"/>
      <c r="L53" s="12"/>
      <c r="M53" s="2"/>
      <c r="N53" s="2"/>
      <c r="O53" s="2"/>
      <c r="P53" s="2"/>
      <c r="Q53" s="12"/>
    </row>
    <row r="54" spans="2:17" ht="15" thickBot="1" x14ac:dyDescent="0.35">
      <c r="B54" s="11" t="s">
        <v>45</v>
      </c>
      <c r="C54" s="2"/>
      <c r="D54" s="31">
        <f>+D41-D52</f>
        <v>73108.76999999999</v>
      </c>
      <c r="E54" s="31">
        <f t="shared" ref="E54" si="23">+E41-E52</f>
        <v>25214.800000000003</v>
      </c>
      <c r="F54" s="31">
        <f t="shared" ref="F54" si="24">+IFERROR(D54-E54,"")</f>
        <v>47893.969999999987</v>
      </c>
      <c r="G54" s="16">
        <f t="shared" ref="G54" si="25">+IFERROR(F54/E54,"")</f>
        <v>1.8994388216444302</v>
      </c>
      <c r="H54" s="2"/>
      <c r="I54" s="31">
        <f t="shared" ref="I54:J54" si="26">+I41-I52</f>
        <v>73108.76999999999</v>
      </c>
      <c r="J54" s="31">
        <f t="shared" si="26"/>
        <v>25214.800000000003</v>
      </c>
      <c r="K54" s="31">
        <f t="shared" ref="K54" si="27">+IFERROR(I54-J54,"")</f>
        <v>47893.969999999987</v>
      </c>
      <c r="L54" s="16">
        <f t="shared" ref="L54" si="28">+IFERROR(K54/J54,"")</f>
        <v>1.8994388216444302</v>
      </c>
      <c r="M54" s="2"/>
      <c r="N54" s="31">
        <f>+N41-N52</f>
        <v>73108.76999999999</v>
      </c>
      <c r="O54" s="31">
        <f t="shared" ref="O54" si="29">+O41-O52</f>
        <v>25214.800000000003</v>
      </c>
      <c r="P54" s="31">
        <f t="shared" ref="P54" si="30">+IFERROR(N54-O54,"")</f>
        <v>47893.969999999987</v>
      </c>
      <c r="Q54" s="16">
        <f t="shared" ref="Q54" si="31">+IFERROR(P54/O54,"")</f>
        <v>1.8994388216444302</v>
      </c>
    </row>
    <row r="55" spans="2:17" ht="15" thickTop="1" x14ac:dyDescent="0.3">
      <c r="C55" s="2"/>
    </row>
  </sheetData>
  <pageMargins left="0.7" right="0.7" top="0.75" bottom="0.75" header="0.3" footer="0.3"/>
  <customProperties>
    <customPr name="_pios_id" r:id="rId1"/>
    <customPr name="AdaptiveCustomXmlPartId" r:id="rId2"/>
    <customPr name="AdaptiveReportingSheetKey" r:id="rId3"/>
    <customPr name="CurrentId" r:id="rId4"/>
  </customPropertie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52A2-F6D0-4871-B41A-A41F90653714}">
  <dimension ref="A1:R55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3" sqref="B13"/>
    </sheetView>
  </sheetViews>
  <sheetFormatPr defaultColWidth="0" defaultRowHeight="14.4" zeroHeight="1" x14ac:dyDescent="0.3"/>
  <cols>
    <col min="1" max="1" width="1.6640625" customWidth="1"/>
    <col min="2" max="2" width="40.6640625" customWidth="1"/>
    <col min="3" max="3" width="2.6640625" customWidth="1"/>
    <col min="4" max="7" width="16.6640625" customWidth="1"/>
    <col min="8" max="8" width="2.6640625" customWidth="1"/>
    <col min="9" max="12" width="16.6640625" customWidth="1"/>
    <col min="13" max="13" width="2.6640625" customWidth="1"/>
    <col min="14" max="15" width="17.33203125" customWidth="1"/>
    <col min="16" max="17" width="16.6640625" customWidth="1"/>
    <col min="18" max="18" width="4.6640625" customWidth="1"/>
    <col min="19" max="16384" width="8.88671875" hidden="1"/>
  </cols>
  <sheetData>
    <row r="1" spans="2:17" ht="8.1" customHeight="1" x14ac:dyDescent="0.3"/>
    <row r="2" spans="2:17" s="37" customFormat="1" ht="21" x14ac:dyDescent="0.3">
      <c r="B2" s="36" t="s">
        <v>184</v>
      </c>
    </row>
    <row r="3" spans="2:17" s="37" customFormat="1" ht="15.6" x14ac:dyDescent="0.3">
      <c r="B3" s="38" t="s">
        <v>238</v>
      </c>
      <c r="C3" s="30"/>
    </row>
    <row r="4" spans="2:17" s="37" customFormat="1" ht="15.6" x14ac:dyDescent="0.3">
      <c r="B4" s="38" t="s">
        <v>239</v>
      </c>
    </row>
    <row r="5" spans="2:17" ht="8.1" customHeight="1" x14ac:dyDescent="0.3"/>
    <row r="6" spans="2:17" s="28" customFormat="1" ht="16.350000000000001" customHeight="1" x14ac:dyDescent="0.3">
      <c r="B6" s="44"/>
      <c r="D6" s="44" t="s">
        <v>160</v>
      </c>
      <c r="E6" s="44"/>
      <c r="F6" s="44"/>
      <c r="G6" s="44"/>
      <c r="H6" s="21"/>
      <c r="I6" s="44" t="s">
        <v>161</v>
      </c>
      <c r="J6" s="44"/>
      <c r="K6" s="44"/>
      <c r="L6" s="44"/>
      <c r="M6" s="21"/>
      <c r="N6" s="44" t="s">
        <v>85</v>
      </c>
      <c r="O6" s="44"/>
      <c r="P6" s="44"/>
      <c r="Q6" s="44"/>
    </row>
    <row r="7" spans="2:17" s="30" customFormat="1" ht="16.350000000000001" customHeight="1" x14ac:dyDescent="0.3">
      <c r="B7" s="26"/>
      <c r="C7" s="29"/>
      <c r="D7" s="26" t="s">
        <v>185</v>
      </c>
      <c r="E7" s="26" t="s">
        <v>186</v>
      </c>
      <c r="F7" s="26" t="s">
        <v>81</v>
      </c>
      <c r="G7" s="26" t="s">
        <v>82</v>
      </c>
      <c r="I7" s="26" t="s">
        <v>185</v>
      </c>
      <c r="J7" s="26" t="s">
        <v>186</v>
      </c>
      <c r="K7" s="26" t="s">
        <v>81</v>
      </c>
      <c r="L7" s="26" t="s">
        <v>82</v>
      </c>
      <c r="N7" s="26" t="s">
        <v>185</v>
      </c>
      <c r="O7" s="26" t="s">
        <v>186</v>
      </c>
      <c r="P7" s="26" t="s">
        <v>81</v>
      </c>
      <c r="Q7" s="26" t="s">
        <v>82</v>
      </c>
    </row>
    <row r="8" spans="2:17" ht="7.95" customHeight="1" x14ac:dyDescent="0.3"/>
    <row r="9" spans="2:17" x14ac:dyDescent="0.3">
      <c r="B9" s="3" t="s">
        <v>5</v>
      </c>
      <c r="C9" s="2"/>
    </row>
    <row r="10" spans="2:17" x14ac:dyDescent="0.3">
      <c r="B10" s="6" t="s">
        <v>1</v>
      </c>
      <c r="C10" s="2"/>
      <c r="D10" s="5">
        <v>88458.819999999992</v>
      </c>
      <c r="E10" s="5">
        <v>87063.195286100308</v>
      </c>
      <c r="F10" s="2">
        <f>+IFERROR(D10-E10,"")</f>
        <v>1395.6247138996841</v>
      </c>
      <c r="G10" s="12">
        <f>+IFERROR(F10/E10,"")</f>
        <v>1.603001945096881E-2</v>
      </c>
      <c r="H10" s="2"/>
      <c r="I10" s="5">
        <v>88458.819999999992</v>
      </c>
      <c r="J10" s="5">
        <v>87063.195286100308</v>
      </c>
      <c r="K10" s="2">
        <f>+IFERROR(I10-J10,"")</f>
        <v>1395.6247138996841</v>
      </c>
      <c r="L10" s="12">
        <f>+IFERROR(K10/J10,"")</f>
        <v>1.603001945096881E-2</v>
      </c>
      <c r="M10" s="2"/>
      <c r="N10" s="5">
        <v>88458.819999999992</v>
      </c>
      <c r="O10" s="5">
        <v>87063.195286100308</v>
      </c>
      <c r="P10" s="2">
        <f>+IFERROR(N10-O10,"")</f>
        <v>1395.6247138996841</v>
      </c>
      <c r="Q10" s="12">
        <f>+IFERROR(P10/O10,"")</f>
        <v>1.603001945096881E-2</v>
      </c>
    </row>
    <row r="11" spans="2:17" x14ac:dyDescent="0.3">
      <c r="B11" s="6" t="s">
        <v>2</v>
      </c>
      <c r="C11" s="2"/>
      <c r="D11" s="5">
        <v>3258</v>
      </c>
      <c r="E11" s="5">
        <v>3123.8999999999996</v>
      </c>
      <c r="F11" s="2">
        <f>+IFERROR(D11-E11,"")</f>
        <v>134.10000000000036</v>
      </c>
      <c r="G11" s="12">
        <f>+IFERROR(F11/E11,"")</f>
        <v>4.2927110342840802E-2</v>
      </c>
      <c r="H11" s="2"/>
      <c r="I11" s="5">
        <v>3258</v>
      </c>
      <c r="J11" s="5">
        <v>3123.8999999999996</v>
      </c>
      <c r="K11" s="2">
        <f>+IFERROR(I11-J11,"")</f>
        <v>134.10000000000036</v>
      </c>
      <c r="L11" s="12">
        <f>+IFERROR(K11/J11,"")</f>
        <v>4.2927110342840802E-2</v>
      </c>
      <c r="M11" s="2"/>
      <c r="N11" s="5">
        <v>3258</v>
      </c>
      <c r="O11" s="5">
        <v>3123.8999999999996</v>
      </c>
      <c r="P11" s="2">
        <f>+IFERROR(N11-O11,"")</f>
        <v>134.10000000000036</v>
      </c>
      <c r="Q11" s="12">
        <f>+IFERROR(P11/O11,"")</f>
        <v>4.2927110342840802E-2</v>
      </c>
    </row>
    <row r="12" spans="2:17" x14ac:dyDescent="0.3">
      <c r="B12" s="6" t="s">
        <v>3</v>
      </c>
      <c r="C12" s="2"/>
      <c r="D12" s="5">
        <v>787.81000000000006</v>
      </c>
      <c r="E12" s="5">
        <v>700</v>
      </c>
      <c r="F12" s="2">
        <f>+IFERROR(D12-E12,"")</f>
        <v>87.810000000000059</v>
      </c>
      <c r="G12" s="12">
        <f>+IFERROR(F12/E12,"")</f>
        <v>0.12544285714285722</v>
      </c>
      <c r="H12" s="2"/>
      <c r="I12" s="5">
        <v>787.81000000000006</v>
      </c>
      <c r="J12" s="5">
        <v>700</v>
      </c>
      <c r="K12" s="2">
        <f>+IFERROR(I12-J12,"")</f>
        <v>87.810000000000059</v>
      </c>
      <c r="L12" s="12">
        <f>+IFERROR(K12/J12,"")</f>
        <v>0.12544285714285722</v>
      </c>
      <c r="M12" s="2"/>
      <c r="N12" s="5">
        <v>787.81000000000006</v>
      </c>
      <c r="O12" s="5">
        <v>700</v>
      </c>
      <c r="P12" s="2">
        <f>+IFERROR(N12-O12,"")</f>
        <v>87.810000000000059</v>
      </c>
      <c r="Q12" s="12">
        <f>+IFERROR(P12/O12,"")</f>
        <v>0.12544285714285722</v>
      </c>
    </row>
    <row r="13" spans="2:17" x14ac:dyDescent="0.3">
      <c r="B13" s="6" t="s">
        <v>4</v>
      </c>
      <c r="C13" s="2"/>
      <c r="D13" s="5">
        <v>4984.9799999999996</v>
      </c>
      <c r="E13" s="5">
        <v>2450</v>
      </c>
      <c r="F13" s="2">
        <f>+IFERROR(D13-E13,"")</f>
        <v>2534.9799999999996</v>
      </c>
      <c r="G13" s="12">
        <f>+IFERROR(F13/E13,"")</f>
        <v>1.0346857142857142</v>
      </c>
      <c r="H13" s="2"/>
      <c r="I13" s="5">
        <v>4984.9799999999996</v>
      </c>
      <c r="J13" s="5">
        <v>2450</v>
      </c>
      <c r="K13" s="2">
        <f>+IFERROR(I13-J13,"")</f>
        <v>2534.9799999999996</v>
      </c>
      <c r="L13" s="12">
        <f>+IFERROR(K13/J13,"")</f>
        <v>1.0346857142857142</v>
      </c>
      <c r="M13" s="2"/>
      <c r="N13" s="5">
        <v>4984.9799999999996</v>
      </c>
      <c r="O13" s="5">
        <v>2450</v>
      </c>
      <c r="P13" s="2">
        <f>+IFERROR(N13-O13,"")</f>
        <v>2534.9799999999996</v>
      </c>
      <c r="Q13" s="12">
        <f>+IFERROR(P13/O13,"")</f>
        <v>1.0346857142857142</v>
      </c>
    </row>
    <row r="14" spans="2:17" ht="15" thickBot="1" x14ac:dyDescent="0.35">
      <c r="B14" s="8" t="s">
        <v>6</v>
      </c>
      <c r="C14" s="2"/>
      <c r="D14" s="7">
        <f>+SUM(D10:D13)</f>
        <v>97489.609999999986</v>
      </c>
      <c r="E14" s="7">
        <f>+SUM(E10:E13)</f>
        <v>93337.095286100302</v>
      </c>
      <c r="F14" s="7">
        <f>+IFERROR(D14-E14,"")</f>
        <v>4152.5147138996836</v>
      </c>
      <c r="G14" s="13">
        <f>+IFERROR(F14/E14,"")</f>
        <v>4.448943585796454E-2</v>
      </c>
      <c r="H14" s="2"/>
      <c r="I14" s="7">
        <f>+SUM(I10:I13)</f>
        <v>97489.609999999986</v>
      </c>
      <c r="J14" s="7">
        <f>+SUM(J10:J13)</f>
        <v>93337.095286100302</v>
      </c>
      <c r="K14" s="7">
        <f>+IFERROR(I14-J14,"")</f>
        <v>4152.5147138996836</v>
      </c>
      <c r="L14" s="13">
        <f>+IFERROR(K14/J14,"")</f>
        <v>4.448943585796454E-2</v>
      </c>
      <c r="M14" s="2"/>
      <c r="N14" s="7">
        <f>+SUM(N10:N13)</f>
        <v>97489.609999999986</v>
      </c>
      <c r="O14" s="7">
        <f>+SUM(O10:O13)</f>
        <v>93337.095286100302</v>
      </c>
      <c r="P14" s="7">
        <f>+IFERROR(N14-O14,"")</f>
        <v>4152.5147138996836</v>
      </c>
      <c r="Q14" s="13">
        <f>+IFERROR(P14/O14,"")</f>
        <v>4.448943585796454E-2</v>
      </c>
    </row>
    <row r="15" spans="2:17" ht="15" thickTop="1" x14ac:dyDescent="0.3">
      <c r="C15" s="2"/>
      <c r="D15" s="2"/>
      <c r="E15" s="2"/>
      <c r="F15" s="2"/>
      <c r="G15" s="12"/>
      <c r="H15" s="2"/>
      <c r="I15" s="2"/>
      <c r="J15" s="2"/>
      <c r="K15" s="2"/>
      <c r="L15" s="12"/>
      <c r="M15" s="2"/>
      <c r="N15" s="2"/>
      <c r="O15" s="2"/>
      <c r="P15" s="2"/>
      <c r="Q15" s="12"/>
    </row>
    <row r="16" spans="2:17" x14ac:dyDescent="0.3">
      <c r="B16" s="3" t="s">
        <v>13</v>
      </c>
      <c r="C16" s="2"/>
      <c r="D16" s="2"/>
      <c r="E16" s="2"/>
      <c r="F16" s="2"/>
      <c r="G16" s="12"/>
      <c r="H16" s="2"/>
      <c r="I16" s="2"/>
      <c r="J16" s="2"/>
      <c r="K16" s="2"/>
      <c r="L16" s="12"/>
      <c r="M16" s="2"/>
      <c r="N16" s="2"/>
      <c r="O16" s="2"/>
      <c r="P16" s="2"/>
      <c r="Q16" s="12"/>
    </row>
    <row r="17" spans="2:17" x14ac:dyDescent="0.3">
      <c r="B17" s="6" t="s">
        <v>14</v>
      </c>
      <c r="C17" s="2"/>
      <c r="D17" s="5">
        <v>299</v>
      </c>
      <c r="E17" s="5">
        <v>299</v>
      </c>
      <c r="F17" s="2">
        <f>+IFERROR(D17-E17,"")</f>
        <v>0</v>
      </c>
      <c r="G17" s="12">
        <f>+IFERROR(F17/E17,"")</f>
        <v>0</v>
      </c>
      <c r="H17" s="2"/>
      <c r="I17" s="5">
        <v>299</v>
      </c>
      <c r="J17" s="5">
        <v>299</v>
      </c>
      <c r="K17" s="2">
        <f>+IFERROR(I17-J17,"")</f>
        <v>0</v>
      </c>
      <c r="L17" s="12">
        <f>+IFERROR(K17/J17,"")</f>
        <v>0</v>
      </c>
      <c r="M17" s="2"/>
      <c r="N17" s="5">
        <v>299</v>
      </c>
      <c r="O17" s="5">
        <v>299</v>
      </c>
      <c r="P17" s="2">
        <f>+IFERROR(N17-O17,"")</f>
        <v>0</v>
      </c>
      <c r="Q17" s="12">
        <f>+IFERROR(P17/O17,"")</f>
        <v>0</v>
      </c>
    </row>
    <row r="18" spans="2:17" x14ac:dyDescent="0.3">
      <c r="B18" s="6" t="s">
        <v>17</v>
      </c>
      <c r="C18" s="2"/>
      <c r="D18" s="5">
        <v>549</v>
      </c>
      <c r="E18" s="5">
        <v>549</v>
      </c>
      <c r="F18" s="2">
        <f>+IFERROR(D18-E18,"")</f>
        <v>0</v>
      </c>
      <c r="G18" s="12">
        <f>+IFERROR(F18/E18,"")</f>
        <v>0</v>
      </c>
      <c r="H18" s="2"/>
      <c r="I18" s="5">
        <v>549</v>
      </c>
      <c r="J18" s="5">
        <v>549</v>
      </c>
      <c r="K18" s="2">
        <f>+IFERROR(I18-J18,"")</f>
        <v>0</v>
      </c>
      <c r="L18" s="12">
        <f>+IFERROR(K18/J18,"")</f>
        <v>0</v>
      </c>
      <c r="M18" s="2"/>
      <c r="N18" s="5">
        <v>549</v>
      </c>
      <c r="O18" s="5">
        <v>549</v>
      </c>
      <c r="P18" s="2">
        <f>+IFERROR(N18-O18,"")</f>
        <v>0</v>
      </c>
      <c r="Q18" s="12">
        <f>+IFERROR(P18/O18,"")</f>
        <v>0</v>
      </c>
    </row>
    <row r="19" spans="2:17" x14ac:dyDescent="0.3">
      <c r="B19" s="6" t="s">
        <v>15</v>
      </c>
      <c r="C19" s="2"/>
      <c r="D19" s="5">
        <v>3727.71</v>
      </c>
      <c r="E19" s="5">
        <v>3552.5956303666298</v>
      </c>
      <c r="F19" s="2">
        <f>+IFERROR(D19-E19,"")</f>
        <v>175.11436963337019</v>
      </c>
      <c r="G19" s="12">
        <f>+IFERROR(F19/E19,"")</f>
        <v>4.9291950971436141E-2</v>
      </c>
      <c r="H19" s="2"/>
      <c r="I19" s="5">
        <v>3727.71</v>
      </c>
      <c r="J19" s="5">
        <v>3552.5956303666298</v>
      </c>
      <c r="K19" s="2">
        <f>+IFERROR(I19-J19,"")</f>
        <v>175.11436963337019</v>
      </c>
      <c r="L19" s="12">
        <f>+IFERROR(K19/J19,"")</f>
        <v>4.9291950971436141E-2</v>
      </c>
      <c r="M19" s="2"/>
      <c r="N19" s="5">
        <v>3727.71</v>
      </c>
      <c r="O19" s="5">
        <v>3552.5956303666298</v>
      </c>
      <c r="P19" s="2">
        <f>+IFERROR(N19-O19,"")</f>
        <v>175.11436963337019</v>
      </c>
      <c r="Q19" s="12">
        <f>+IFERROR(P19/O19,"")</f>
        <v>4.9291950971436141E-2</v>
      </c>
    </row>
    <row r="20" spans="2:17" x14ac:dyDescent="0.3">
      <c r="B20" s="9" t="s">
        <v>16</v>
      </c>
      <c r="C20" s="2"/>
      <c r="D20" s="10">
        <f>+SUM(D17:D19)</f>
        <v>4575.71</v>
      </c>
      <c r="E20" s="10">
        <f>+SUM(E17:E19)</f>
        <v>4400.5956303666298</v>
      </c>
      <c r="F20" s="10">
        <f>+IFERROR(D20-E20,"")</f>
        <v>175.11436963337019</v>
      </c>
      <c r="G20" s="14">
        <f>+IFERROR(F20/E20,"")</f>
        <v>3.9793333526257392E-2</v>
      </c>
      <c r="H20" s="2"/>
      <c r="I20" s="10">
        <f>+SUM(I17:I19)</f>
        <v>4575.71</v>
      </c>
      <c r="J20" s="10">
        <f>+SUM(J17:J19)</f>
        <v>4400.5956303666298</v>
      </c>
      <c r="K20" s="10">
        <f>+IFERROR(I20-J20,"")</f>
        <v>175.11436963337019</v>
      </c>
      <c r="L20" s="14">
        <f>+IFERROR(K20/J20,"")</f>
        <v>3.9793333526257392E-2</v>
      </c>
      <c r="M20" s="2"/>
      <c r="N20" s="10">
        <f>+SUM(N17:N19)</f>
        <v>4575.71</v>
      </c>
      <c r="O20" s="10">
        <f>+SUM(O17:O19)</f>
        <v>4400.5956303666298</v>
      </c>
      <c r="P20" s="10">
        <f>+IFERROR(N20-O20,"")</f>
        <v>175.11436963337019</v>
      </c>
      <c r="Q20" s="14">
        <f>+IFERROR(P20/O20,"")</f>
        <v>3.9793333526257392E-2</v>
      </c>
    </row>
    <row r="21" spans="2:17" x14ac:dyDescent="0.3">
      <c r="C21" s="2"/>
      <c r="D21" s="2"/>
      <c r="E21" s="2"/>
      <c r="F21" s="2"/>
      <c r="G21" s="12"/>
      <c r="H21" s="2"/>
      <c r="I21" s="2"/>
      <c r="J21" s="2"/>
      <c r="K21" s="2"/>
      <c r="L21" s="12"/>
      <c r="M21" s="2"/>
      <c r="N21" s="2"/>
      <c r="O21" s="2"/>
      <c r="P21" s="2"/>
      <c r="Q21" s="12"/>
    </row>
    <row r="22" spans="2:17" x14ac:dyDescent="0.3">
      <c r="B22" s="3" t="s">
        <v>18</v>
      </c>
      <c r="C22" s="2"/>
      <c r="D22" s="2"/>
      <c r="E22" s="2"/>
      <c r="F22" s="2"/>
      <c r="G22" s="12"/>
      <c r="H22" s="2"/>
      <c r="I22" s="2"/>
      <c r="J22" s="2"/>
      <c r="K22" s="2"/>
      <c r="L22" s="12"/>
      <c r="M22" s="2"/>
      <c r="N22" s="2"/>
      <c r="O22" s="2"/>
      <c r="P22" s="2"/>
      <c r="Q22" s="12"/>
    </row>
    <row r="23" spans="2:17" x14ac:dyDescent="0.3">
      <c r="B23" s="6" t="s">
        <v>19</v>
      </c>
      <c r="C23" s="2"/>
      <c r="D23" s="5">
        <v>359.28000000000003</v>
      </c>
      <c r="E23" s="5">
        <v>315</v>
      </c>
      <c r="F23" s="2">
        <f t="shared" ref="F23:F37" si="0">+IFERROR(D23-E23,"")</f>
        <v>44.28000000000003</v>
      </c>
      <c r="G23" s="12">
        <f t="shared" ref="G23:G37" si="1">+IFERROR(F23/E23,"")</f>
        <v>0.14057142857142865</v>
      </c>
      <c r="H23" s="2"/>
      <c r="I23" s="5">
        <v>359.28000000000003</v>
      </c>
      <c r="J23" s="5">
        <v>315</v>
      </c>
      <c r="K23" s="2">
        <f t="shared" ref="K23:K37" si="2">+IFERROR(I23-J23,"")</f>
        <v>44.28000000000003</v>
      </c>
      <c r="L23" s="12">
        <f t="shared" ref="L23:L37" si="3">+IFERROR(K23/J23,"")</f>
        <v>0.14057142857142865</v>
      </c>
      <c r="M23" s="2"/>
      <c r="N23" s="5">
        <v>359.28000000000003</v>
      </c>
      <c r="O23" s="5">
        <v>315</v>
      </c>
      <c r="P23" s="2">
        <f t="shared" ref="P23:P37" si="4">+IFERROR(N23-O23,"")</f>
        <v>44.28000000000003</v>
      </c>
      <c r="Q23" s="12">
        <f t="shared" ref="Q23:Q37" si="5">+IFERROR(P23/O23,"")</f>
        <v>0.14057142857142865</v>
      </c>
    </row>
    <row r="24" spans="2:17" x14ac:dyDescent="0.3">
      <c r="B24" s="6" t="s">
        <v>20</v>
      </c>
      <c r="C24" s="2"/>
      <c r="D24" s="5">
        <v>6871.5000000000009</v>
      </c>
      <c r="E24" s="5">
        <v>7993.6385100000016</v>
      </c>
      <c r="F24" s="2">
        <f t="shared" si="0"/>
        <v>-1122.1385100000007</v>
      </c>
      <c r="G24" s="12">
        <f t="shared" si="1"/>
        <v>-0.14037894115379512</v>
      </c>
      <c r="H24" s="2"/>
      <c r="I24" s="5">
        <v>6871.5000000000009</v>
      </c>
      <c r="J24" s="5">
        <v>7993.6385100000016</v>
      </c>
      <c r="K24" s="2">
        <f t="shared" si="2"/>
        <v>-1122.1385100000007</v>
      </c>
      <c r="L24" s="12">
        <f t="shared" si="3"/>
        <v>-0.14037894115379512</v>
      </c>
      <c r="M24" s="2"/>
      <c r="N24" s="5">
        <v>6871.5000000000009</v>
      </c>
      <c r="O24" s="5">
        <v>7993.6385100000016</v>
      </c>
      <c r="P24" s="2">
        <f t="shared" si="4"/>
        <v>-1122.1385100000007</v>
      </c>
      <c r="Q24" s="12">
        <f t="shared" si="5"/>
        <v>-0.14037894115379512</v>
      </c>
    </row>
    <row r="25" spans="2:17" x14ac:dyDescent="0.3">
      <c r="B25" s="6" t="s">
        <v>21</v>
      </c>
      <c r="C25" s="2"/>
      <c r="D25" s="5">
        <v>871.77</v>
      </c>
      <c r="E25" s="5">
        <v>1060.2862155938151</v>
      </c>
      <c r="F25" s="2">
        <f t="shared" si="0"/>
        <v>-188.5162155938151</v>
      </c>
      <c r="G25" s="12">
        <f t="shared" si="1"/>
        <v>-0.1777974784744667</v>
      </c>
      <c r="H25" s="2"/>
      <c r="I25" s="5">
        <v>871.77</v>
      </c>
      <c r="J25" s="5">
        <v>1060.2862155938151</v>
      </c>
      <c r="K25" s="2">
        <f t="shared" si="2"/>
        <v>-188.5162155938151</v>
      </c>
      <c r="L25" s="12">
        <f t="shared" si="3"/>
        <v>-0.1777974784744667</v>
      </c>
      <c r="M25" s="2"/>
      <c r="N25" s="5">
        <v>871.77</v>
      </c>
      <c r="O25" s="5">
        <v>1060.2862155938151</v>
      </c>
      <c r="P25" s="2">
        <f t="shared" si="4"/>
        <v>-188.5162155938151</v>
      </c>
      <c r="Q25" s="12">
        <f t="shared" si="5"/>
        <v>-0.1777974784744667</v>
      </c>
    </row>
    <row r="26" spans="2:17" x14ac:dyDescent="0.3">
      <c r="B26" s="6" t="s">
        <v>107</v>
      </c>
      <c r="C26" s="2"/>
      <c r="D26" s="5">
        <v>2948.17</v>
      </c>
      <c r="E26" s="5">
        <v>3290.1107749999996</v>
      </c>
      <c r="F26" s="2">
        <f t="shared" si="0"/>
        <v>-341.94077499999958</v>
      </c>
      <c r="G26" s="12">
        <f t="shared" si="1"/>
        <v>-0.10392986692066611</v>
      </c>
      <c r="H26" s="2"/>
      <c r="I26" s="5">
        <v>2948.17</v>
      </c>
      <c r="J26" s="5">
        <v>3290.1107749999996</v>
      </c>
      <c r="K26" s="2">
        <f t="shared" si="2"/>
        <v>-341.94077499999958</v>
      </c>
      <c r="L26" s="12">
        <f t="shared" si="3"/>
        <v>-0.10392986692066611</v>
      </c>
      <c r="M26" s="2"/>
      <c r="N26" s="5">
        <v>2948.17</v>
      </c>
      <c r="O26" s="5">
        <v>3290.1107749999996</v>
      </c>
      <c r="P26" s="2">
        <f t="shared" si="4"/>
        <v>-341.94077499999958</v>
      </c>
      <c r="Q26" s="12">
        <f t="shared" si="5"/>
        <v>-0.10392986692066611</v>
      </c>
    </row>
    <row r="27" spans="2:17" x14ac:dyDescent="0.3">
      <c r="B27" s="6" t="s">
        <v>22</v>
      </c>
      <c r="C27" s="2"/>
      <c r="D27" s="5">
        <v>2511.8200000000002</v>
      </c>
      <c r="E27" s="5">
        <v>3389.9943666666672</v>
      </c>
      <c r="F27" s="2">
        <f t="shared" si="0"/>
        <v>-878.17436666666708</v>
      </c>
      <c r="G27" s="12">
        <f t="shared" si="1"/>
        <v>-0.25904891621697984</v>
      </c>
      <c r="H27" s="2"/>
      <c r="I27" s="5">
        <v>2511.8200000000002</v>
      </c>
      <c r="J27" s="5">
        <v>3389.9943666666672</v>
      </c>
      <c r="K27" s="2">
        <f t="shared" si="2"/>
        <v>-878.17436666666708</v>
      </c>
      <c r="L27" s="12">
        <f t="shared" si="3"/>
        <v>-0.25904891621697984</v>
      </c>
      <c r="M27" s="2"/>
      <c r="N27" s="5">
        <v>2511.8200000000002</v>
      </c>
      <c r="O27" s="5">
        <v>3389.9943666666672</v>
      </c>
      <c r="P27" s="2">
        <f t="shared" si="4"/>
        <v>-878.17436666666708</v>
      </c>
      <c r="Q27" s="12">
        <f t="shared" si="5"/>
        <v>-0.25904891621697984</v>
      </c>
    </row>
    <row r="28" spans="2:17" x14ac:dyDescent="0.3">
      <c r="B28" s="6" t="s">
        <v>23</v>
      </c>
      <c r="C28" s="2"/>
      <c r="D28" s="5">
        <v>1484.59</v>
      </c>
      <c r="E28" s="5">
        <v>1398.3045269345548</v>
      </c>
      <c r="F28" s="2">
        <f t="shared" si="0"/>
        <v>86.285473065445103</v>
      </c>
      <c r="G28" s="12">
        <f t="shared" si="1"/>
        <v>6.1707211414530123E-2</v>
      </c>
      <c r="H28" s="2"/>
      <c r="I28" s="5">
        <v>1484.59</v>
      </c>
      <c r="J28" s="5">
        <v>1398.3045269345548</v>
      </c>
      <c r="K28" s="2">
        <f t="shared" si="2"/>
        <v>86.285473065445103</v>
      </c>
      <c r="L28" s="12">
        <f t="shared" si="3"/>
        <v>6.1707211414530123E-2</v>
      </c>
      <c r="M28" s="2"/>
      <c r="N28" s="5">
        <v>1484.59</v>
      </c>
      <c r="O28" s="5">
        <v>1398.3045269345548</v>
      </c>
      <c r="P28" s="2">
        <f t="shared" si="4"/>
        <v>86.285473065445103</v>
      </c>
      <c r="Q28" s="12">
        <f t="shared" si="5"/>
        <v>6.1707211414530123E-2</v>
      </c>
    </row>
    <row r="29" spans="2:17" x14ac:dyDescent="0.3">
      <c r="B29" s="6" t="s">
        <v>24</v>
      </c>
      <c r="C29" s="2"/>
      <c r="D29" s="5">
        <v>2235.4499999999998</v>
      </c>
      <c r="E29" s="5">
        <v>3500</v>
      </c>
      <c r="F29" s="2">
        <f t="shared" si="0"/>
        <v>-1264.5500000000002</v>
      </c>
      <c r="G29" s="12">
        <f t="shared" si="1"/>
        <v>-0.36130000000000007</v>
      </c>
      <c r="H29" s="2"/>
      <c r="I29" s="5">
        <v>2235.4499999999998</v>
      </c>
      <c r="J29" s="5">
        <v>3500</v>
      </c>
      <c r="K29" s="2">
        <f t="shared" si="2"/>
        <v>-1264.5500000000002</v>
      </c>
      <c r="L29" s="12">
        <f t="shared" si="3"/>
        <v>-0.36130000000000007</v>
      </c>
      <c r="M29" s="2"/>
      <c r="N29" s="5">
        <v>2235.4499999999998</v>
      </c>
      <c r="O29" s="5">
        <v>3500</v>
      </c>
      <c r="P29" s="2">
        <f t="shared" si="4"/>
        <v>-1264.5500000000002</v>
      </c>
      <c r="Q29" s="12">
        <f t="shared" si="5"/>
        <v>-0.36130000000000007</v>
      </c>
    </row>
    <row r="30" spans="2:17" x14ac:dyDescent="0.3">
      <c r="B30" s="6" t="s">
        <v>25</v>
      </c>
      <c r="C30" s="2"/>
      <c r="D30" s="5">
        <v>273.08999999999997</v>
      </c>
      <c r="E30" s="5">
        <v>300</v>
      </c>
      <c r="F30" s="2">
        <f t="shared" si="0"/>
        <v>-26.910000000000025</v>
      </c>
      <c r="G30" s="12">
        <f t="shared" si="1"/>
        <v>-8.9700000000000085E-2</v>
      </c>
      <c r="H30" s="2"/>
      <c r="I30" s="5">
        <v>273.08999999999997</v>
      </c>
      <c r="J30" s="5">
        <v>300</v>
      </c>
      <c r="K30" s="2">
        <f t="shared" si="2"/>
        <v>-26.910000000000025</v>
      </c>
      <c r="L30" s="12">
        <f t="shared" si="3"/>
        <v>-8.9700000000000085E-2</v>
      </c>
      <c r="M30" s="2"/>
      <c r="N30" s="5">
        <v>273.08999999999997</v>
      </c>
      <c r="O30" s="5">
        <v>300</v>
      </c>
      <c r="P30" s="2">
        <f t="shared" si="4"/>
        <v>-26.910000000000025</v>
      </c>
      <c r="Q30" s="12">
        <f t="shared" si="5"/>
        <v>-8.9700000000000085E-2</v>
      </c>
    </row>
    <row r="31" spans="2:17" x14ac:dyDescent="0.3">
      <c r="B31" s="6" t="s">
        <v>26</v>
      </c>
      <c r="C31" s="2"/>
      <c r="D31" s="5">
        <v>287.56</v>
      </c>
      <c r="E31" s="5">
        <v>375</v>
      </c>
      <c r="F31" s="2">
        <f t="shared" si="0"/>
        <v>-87.44</v>
      </c>
      <c r="G31" s="12">
        <f t="shared" si="1"/>
        <v>-0.23317333333333332</v>
      </c>
      <c r="H31" s="2"/>
      <c r="I31" s="5">
        <v>287.56</v>
      </c>
      <c r="J31" s="5">
        <v>375</v>
      </c>
      <c r="K31" s="2">
        <f t="shared" si="2"/>
        <v>-87.44</v>
      </c>
      <c r="L31" s="12">
        <f t="shared" si="3"/>
        <v>-0.23317333333333332</v>
      </c>
      <c r="M31" s="2"/>
      <c r="N31" s="5">
        <v>287.56</v>
      </c>
      <c r="O31" s="5">
        <v>375</v>
      </c>
      <c r="P31" s="2">
        <f t="shared" si="4"/>
        <v>-87.44</v>
      </c>
      <c r="Q31" s="12">
        <f t="shared" si="5"/>
        <v>-0.23317333333333332</v>
      </c>
    </row>
    <row r="32" spans="2:17" x14ac:dyDescent="0.3">
      <c r="B32" s="6" t="s">
        <v>27</v>
      </c>
      <c r="C32" s="2"/>
      <c r="D32" s="5">
        <v>1645.42</v>
      </c>
      <c r="E32" s="5">
        <v>800</v>
      </c>
      <c r="F32" s="2">
        <f t="shared" si="0"/>
        <v>845.42000000000007</v>
      </c>
      <c r="G32" s="12">
        <f t="shared" si="1"/>
        <v>1.056775</v>
      </c>
      <c r="H32" s="2"/>
      <c r="I32" s="5">
        <v>1645.42</v>
      </c>
      <c r="J32" s="5">
        <v>800</v>
      </c>
      <c r="K32" s="2">
        <f t="shared" si="2"/>
        <v>845.42000000000007</v>
      </c>
      <c r="L32" s="12">
        <f t="shared" si="3"/>
        <v>1.056775</v>
      </c>
      <c r="M32" s="2"/>
      <c r="N32" s="5">
        <v>1645.42</v>
      </c>
      <c r="O32" s="5">
        <v>800</v>
      </c>
      <c r="P32" s="2">
        <f t="shared" si="4"/>
        <v>845.42000000000007</v>
      </c>
      <c r="Q32" s="12">
        <f t="shared" si="5"/>
        <v>1.056775</v>
      </c>
    </row>
    <row r="33" spans="2:17" x14ac:dyDescent="0.3">
      <c r="B33" s="6" t="s">
        <v>28</v>
      </c>
      <c r="C33" s="2"/>
      <c r="D33" s="5">
        <v>16.72</v>
      </c>
      <c r="E33" s="5">
        <v>27.13666666666667</v>
      </c>
      <c r="F33" s="2">
        <f t="shared" si="0"/>
        <v>-10.416666666666671</v>
      </c>
      <c r="G33" s="12">
        <f t="shared" si="1"/>
        <v>-0.38385947672276144</v>
      </c>
      <c r="H33" s="2"/>
      <c r="I33" s="5">
        <v>16.72</v>
      </c>
      <c r="J33" s="5">
        <v>27.13666666666667</v>
      </c>
      <c r="K33" s="2">
        <f t="shared" si="2"/>
        <v>-10.416666666666671</v>
      </c>
      <c r="L33" s="12">
        <f t="shared" si="3"/>
        <v>-0.38385947672276144</v>
      </c>
      <c r="M33" s="2"/>
      <c r="N33" s="5">
        <v>16.72</v>
      </c>
      <c r="O33" s="5">
        <v>27.13666666666667</v>
      </c>
      <c r="P33" s="2">
        <f t="shared" si="4"/>
        <v>-10.416666666666671</v>
      </c>
      <c r="Q33" s="12">
        <f t="shared" si="5"/>
        <v>-0.38385947672276144</v>
      </c>
    </row>
    <row r="34" spans="2:17" x14ac:dyDescent="0.3">
      <c r="B34" s="6" t="s">
        <v>29</v>
      </c>
      <c r="C34" s="2"/>
      <c r="D34" s="5">
        <v>94.23</v>
      </c>
      <c r="E34" s="5">
        <v>182.32345833333335</v>
      </c>
      <c r="F34" s="2">
        <f t="shared" si="0"/>
        <v>-88.093458333333345</v>
      </c>
      <c r="G34" s="12">
        <f t="shared" si="1"/>
        <v>-0.48317127778629693</v>
      </c>
      <c r="H34" s="2"/>
      <c r="I34" s="5">
        <v>94.23</v>
      </c>
      <c r="J34" s="5">
        <v>182.32345833333335</v>
      </c>
      <c r="K34" s="2">
        <f t="shared" si="2"/>
        <v>-88.093458333333345</v>
      </c>
      <c r="L34" s="12">
        <f t="shared" si="3"/>
        <v>-0.48317127778629693</v>
      </c>
      <c r="M34" s="2"/>
      <c r="N34" s="5">
        <v>94.23</v>
      </c>
      <c r="O34" s="5">
        <v>182.32345833333335</v>
      </c>
      <c r="P34" s="2">
        <f t="shared" si="4"/>
        <v>-88.093458333333345</v>
      </c>
      <c r="Q34" s="12">
        <f t="shared" si="5"/>
        <v>-0.48317127778629693</v>
      </c>
    </row>
    <row r="35" spans="2:17" x14ac:dyDescent="0.3">
      <c r="B35" s="6" t="s">
        <v>30</v>
      </c>
      <c r="C35" s="2"/>
      <c r="D35" s="5">
        <v>0</v>
      </c>
      <c r="E35" s="5">
        <v>0</v>
      </c>
      <c r="F35" s="2">
        <f t="shared" si="0"/>
        <v>0</v>
      </c>
      <c r="G35" s="12" t="str">
        <f t="shared" si="1"/>
        <v/>
      </c>
      <c r="H35" s="2"/>
      <c r="I35" s="5">
        <v>0</v>
      </c>
      <c r="J35" s="5">
        <v>0</v>
      </c>
      <c r="K35" s="2">
        <f t="shared" si="2"/>
        <v>0</v>
      </c>
      <c r="L35" s="12" t="str">
        <f t="shared" si="3"/>
        <v/>
      </c>
      <c r="M35" s="2"/>
      <c r="N35" s="5">
        <v>0</v>
      </c>
      <c r="O35" s="5">
        <v>0</v>
      </c>
      <c r="P35" s="2">
        <f t="shared" si="4"/>
        <v>0</v>
      </c>
      <c r="Q35" s="12" t="str">
        <f t="shared" si="5"/>
        <v/>
      </c>
    </row>
    <row r="36" spans="2:17" x14ac:dyDescent="0.3">
      <c r="B36" s="6" t="s">
        <v>31</v>
      </c>
      <c r="C36" s="2"/>
      <c r="D36" s="5">
        <v>163.16</v>
      </c>
      <c r="E36" s="5">
        <v>175</v>
      </c>
      <c r="F36" s="2">
        <f t="shared" si="0"/>
        <v>-11.840000000000003</v>
      </c>
      <c r="G36" s="12">
        <f t="shared" si="1"/>
        <v>-6.7657142857142874E-2</v>
      </c>
      <c r="H36" s="2"/>
      <c r="I36" s="5">
        <v>163.16</v>
      </c>
      <c r="J36" s="5">
        <v>175</v>
      </c>
      <c r="K36" s="2">
        <f t="shared" si="2"/>
        <v>-11.840000000000003</v>
      </c>
      <c r="L36" s="12">
        <f t="shared" si="3"/>
        <v>-6.7657142857142874E-2</v>
      </c>
      <c r="M36" s="2"/>
      <c r="N36" s="5">
        <v>163.16</v>
      </c>
      <c r="O36" s="5">
        <v>175</v>
      </c>
      <c r="P36" s="2">
        <f t="shared" si="4"/>
        <v>-11.840000000000003</v>
      </c>
      <c r="Q36" s="12">
        <f t="shared" si="5"/>
        <v>-6.7657142857142874E-2</v>
      </c>
    </row>
    <row r="37" spans="2:17" x14ac:dyDescent="0.3">
      <c r="B37" s="9" t="s">
        <v>32</v>
      </c>
      <c r="C37" s="2"/>
      <c r="D37" s="10">
        <f>+SUM(D23:D36)</f>
        <v>19762.760000000002</v>
      </c>
      <c r="E37" s="10">
        <f>+SUM(E23:E36)</f>
        <v>22806.794519195035</v>
      </c>
      <c r="F37" s="10">
        <f t="shared" si="0"/>
        <v>-3044.0345191950328</v>
      </c>
      <c r="G37" s="14">
        <f t="shared" si="1"/>
        <v>-0.13347051101955873</v>
      </c>
      <c r="H37" s="2"/>
      <c r="I37" s="10">
        <f>+SUM(I23:I36)</f>
        <v>19762.760000000002</v>
      </c>
      <c r="J37" s="10">
        <f>+SUM(J23:J36)</f>
        <v>22806.794519195035</v>
      </c>
      <c r="K37" s="10">
        <f t="shared" si="2"/>
        <v>-3044.0345191950328</v>
      </c>
      <c r="L37" s="14">
        <f t="shared" si="3"/>
        <v>-0.13347051101955873</v>
      </c>
      <c r="M37" s="2"/>
      <c r="N37" s="10">
        <f>+SUM(N23:N36)</f>
        <v>19762.760000000002</v>
      </c>
      <c r="O37" s="10">
        <f>+SUM(O23:O36)</f>
        <v>22806.794519195035</v>
      </c>
      <c r="P37" s="10">
        <f t="shared" si="4"/>
        <v>-3044.0345191950328</v>
      </c>
      <c r="Q37" s="14">
        <f t="shared" si="5"/>
        <v>-0.13347051101955873</v>
      </c>
    </row>
    <row r="38" spans="2:17" x14ac:dyDescent="0.3">
      <c r="C38" s="2"/>
      <c r="D38" s="2"/>
      <c r="E38" s="2"/>
      <c r="F38" s="2"/>
      <c r="G38" s="12"/>
      <c r="H38" s="2"/>
      <c r="I38" s="2"/>
      <c r="J38" s="2"/>
      <c r="K38" s="2"/>
      <c r="L38" s="12"/>
      <c r="M38" s="2"/>
      <c r="N38" s="2"/>
      <c r="O38" s="2"/>
      <c r="P38" s="2"/>
      <c r="Q38" s="12"/>
    </row>
    <row r="39" spans="2:17" ht="15" thickBot="1" x14ac:dyDescent="0.35">
      <c r="B39" s="8" t="s">
        <v>33</v>
      </c>
      <c r="C39" s="2"/>
      <c r="D39" s="7">
        <f>+D20+D37</f>
        <v>24338.47</v>
      </c>
      <c r="E39" s="7">
        <f>+E20+E37</f>
        <v>27207.390149561666</v>
      </c>
      <c r="F39" s="7">
        <f>+IFERROR(D39-E39,"")</f>
        <v>-2868.9201495616653</v>
      </c>
      <c r="G39" s="13">
        <f>+IFERROR(F39/E39,"")</f>
        <v>-0.10544635607424793</v>
      </c>
      <c r="H39" s="2"/>
      <c r="I39" s="7">
        <f>+I20+I37</f>
        <v>24338.47</v>
      </c>
      <c r="J39" s="7">
        <f>+J20+J37</f>
        <v>27207.390149561666</v>
      </c>
      <c r="K39" s="7">
        <f>+IFERROR(I39-J39,"")</f>
        <v>-2868.9201495616653</v>
      </c>
      <c r="L39" s="13">
        <f>+IFERROR(K39/J39,"")</f>
        <v>-0.10544635607424793</v>
      </c>
      <c r="M39" s="2"/>
      <c r="N39" s="7">
        <f>+N20+N37</f>
        <v>24338.47</v>
      </c>
      <c r="O39" s="7">
        <f>+O20+O37</f>
        <v>27207.390149561666</v>
      </c>
      <c r="P39" s="7">
        <f>+IFERROR(N39-O39,"")</f>
        <v>-2868.9201495616653</v>
      </c>
      <c r="Q39" s="13">
        <f>+IFERROR(P39/O39,"")</f>
        <v>-0.10544635607424793</v>
      </c>
    </row>
    <row r="40" spans="2:17" ht="15" thickTop="1" x14ac:dyDescent="0.3">
      <c r="B40" s="3"/>
      <c r="C40" s="2"/>
      <c r="D40" s="4"/>
      <c r="E40" s="4"/>
      <c r="F40" s="4">
        <f>+IFERROR(D40-E40,"")</f>
        <v>0</v>
      </c>
      <c r="G40" s="15" t="str">
        <f>+IFERROR(F40/E40,"")</f>
        <v/>
      </c>
      <c r="H40" s="2"/>
      <c r="I40" s="4"/>
      <c r="J40" s="4"/>
      <c r="K40" s="4">
        <f>+IFERROR(I40-J40,"")</f>
        <v>0</v>
      </c>
      <c r="L40" s="15" t="str">
        <f>+IFERROR(K40/J40,"")</f>
        <v/>
      </c>
      <c r="M40" s="2"/>
      <c r="N40" s="4"/>
      <c r="O40" s="4"/>
      <c r="P40" s="4">
        <f>+IFERROR(N40-O40,"")</f>
        <v>0</v>
      </c>
      <c r="Q40" s="15" t="str">
        <f>+IFERROR(P40/O40,"")</f>
        <v/>
      </c>
    </row>
    <row r="41" spans="2:17" ht="15" thickBot="1" x14ac:dyDescent="0.35">
      <c r="B41" s="11" t="s">
        <v>34</v>
      </c>
      <c r="C41" s="2"/>
      <c r="D41" s="31">
        <f>+D14-D39</f>
        <v>73151.139999999985</v>
      </c>
      <c r="E41" s="31">
        <f>+E14-E39</f>
        <v>66129.705136538629</v>
      </c>
      <c r="F41" s="31">
        <f>+IFERROR(D41-E41,"")</f>
        <v>7021.4348634613561</v>
      </c>
      <c r="G41" s="16">
        <f>+IFERROR(F41/E41,"")</f>
        <v>0.10617671512316791</v>
      </c>
      <c r="H41" s="2"/>
      <c r="I41" s="31">
        <f>+I14-I39</f>
        <v>73151.139999999985</v>
      </c>
      <c r="J41" s="31">
        <f>+J14-J39</f>
        <v>66129.705136538629</v>
      </c>
      <c r="K41" s="31">
        <f>+IFERROR(I41-J41,"")</f>
        <v>7021.4348634613561</v>
      </c>
      <c r="L41" s="16">
        <f>+IFERROR(K41/J41,"")</f>
        <v>0.10617671512316791</v>
      </c>
      <c r="M41" s="2"/>
      <c r="N41" s="31">
        <f>+N14-N39</f>
        <v>73151.139999999985</v>
      </c>
      <c r="O41" s="31">
        <f>+O14-O39</f>
        <v>66129.705136538629</v>
      </c>
      <c r="P41" s="31">
        <f>+IFERROR(N41-O41,"")</f>
        <v>7021.4348634613561</v>
      </c>
      <c r="Q41" s="16">
        <f>+IFERROR(P41/O41,"")</f>
        <v>0.10617671512316791</v>
      </c>
    </row>
    <row r="42" spans="2:17" ht="15" thickTop="1" x14ac:dyDescent="0.3">
      <c r="C42" s="2"/>
      <c r="D42" s="2"/>
      <c r="E42" s="2"/>
      <c r="F42" s="2"/>
      <c r="G42" s="12"/>
      <c r="H42" s="2"/>
      <c r="I42" s="2"/>
      <c r="J42" s="2"/>
      <c r="K42" s="2"/>
      <c r="L42" s="12"/>
      <c r="M42" s="2"/>
      <c r="N42" s="2"/>
      <c r="O42" s="2"/>
      <c r="P42" s="2"/>
      <c r="Q42" s="12"/>
    </row>
    <row r="43" spans="2:17" x14ac:dyDescent="0.3">
      <c r="B43" s="3" t="s">
        <v>35</v>
      </c>
      <c r="C43" s="2"/>
      <c r="D43" s="2"/>
      <c r="E43" s="2"/>
      <c r="F43" s="2"/>
      <c r="G43" s="12"/>
      <c r="H43" s="2"/>
      <c r="I43" s="2"/>
      <c r="J43" s="2"/>
      <c r="K43" s="2"/>
      <c r="L43" s="12"/>
      <c r="M43" s="2"/>
      <c r="N43" s="2"/>
      <c r="O43" s="2"/>
      <c r="P43" s="2"/>
      <c r="Q43" s="12"/>
    </row>
    <row r="44" spans="2:17" x14ac:dyDescent="0.3">
      <c r="B44" s="6" t="s">
        <v>36</v>
      </c>
      <c r="C44" s="2"/>
      <c r="D44" s="5">
        <v>0</v>
      </c>
      <c r="E44" s="5">
        <v>0</v>
      </c>
      <c r="F44" s="2">
        <f t="shared" ref="F44:F51" si="6">+IFERROR(D44-E44,"")</f>
        <v>0</v>
      </c>
      <c r="G44" s="12" t="str">
        <f t="shared" ref="G44:G51" si="7">+IFERROR(F44/E44,"")</f>
        <v/>
      </c>
      <c r="H44" s="2"/>
      <c r="I44" s="5">
        <v>0</v>
      </c>
      <c r="J44" s="5">
        <v>0</v>
      </c>
      <c r="K44" s="2">
        <f t="shared" ref="K44:K51" si="8">+IFERROR(I44-J44,"")</f>
        <v>0</v>
      </c>
      <c r="L44" s="12" t="str">
        <f t="shared" ref="L44:L51" si="9">+IFERROR(K44/J44,"")</f>
        <v/>
      </c>
      <c r="M44" s="2"/>
      <c r="N44" s="5">
        <v>0</v>
      </c>
      <c r="O44" s="5">
        <v>0</v>
      </c>
      <c r="P44" s="2">
        <f t="shared" ref="P44:P51" si="10">+IFERROR(N44-O44,"")</f>
        <v>0</v>
      </c>
      <c r="Q44" s="12" t="str">
        <f t="shared" ref="Q44:Q51" si="11">+IFERROR(P44/O44,"")</f>
        <v/>
      </c>
    </row>
    <row r="45" spans="2:17" x14ac:dyDescent="0.3">
      <c r="B45" s="6" t="s">
        <v>37</v>
      </c>
      <c r="C45" s="2"/>
      <c r="D45" s="5">
        <v>33.42</v>
      </c>
      <c r="E45" s="5">
        <v>0</v>
      </c>
      <c r="F45" s="2">
        <f t="shared" si="6"/>
        <v>33.42</v>
      </c>
      <c r="G45" s="12" t="str">
        <f t="shared" si="7"/>
        <v/>
      </c>
      <c r="H45" s="2"/>
      <c r="I45" s="5">
        <v>33.42</v>
      </c>
      <c r="J45" s="5">
        <v>0</v>
      </c>
      <c r="K45" s="2">
        <f t="shared" si="8"/>
        <v>33.42</v>
      </c>
      <c r="L45" s="12" t="str">
        <f t="shared" si="9"/>
        <v/>
      </c>
      <c r="M45" s="2"/>
      <c r="N45" s="5">
        <v>33.42</v>
      </c>
      <c r="O45" s="5">
        <v>0</v>
      </c>
      <c r="P45" s="2">
        <f t="shared" si="10"/>
        <v>33.42</v>
      </c>
      <c r="Q45" s="12" t="str">
        <f t="shared" si="11"/>
        <v/>
      </c>
    </row>
    <row r="46" spans="2:17" x14ac:dyDescent="0.3">
      <c r="B46" s="6" t="s">
        <v>38</v>
      </c>
      <c r="C46" s="2"/>
      <c r="D46" s="5">
        <v>0</v>
      </c>
      <c r="E46" s="5">
        <v>0</v>
      </c>
      <c r="F46" s="2">
        <f t="shared" si="6"/>
        <v>0</v>
      </c>
      <c r="G46" s="12" t="str">
        <f t="shared" si="7"/>
        <v/>
      </c>
      <c r="H46" s="2"/>
      <c r="I46" s="5">
        <v>0</v>
      </c>
      <c r="J46" s="5">
        <v>0</v>
      </c>
      <c r="K46" s="2">
        <f t="shared" si="8"/>
        <v>0</v>
      </c>
      <c r="L46" s="12" t="str">
        <f t="shared" si="9"/>
        <v/>
      </c>
      <c r="M46" s="2"/>
      <c r="N46" s="5">
        <v>0</v>
      </c>
      <c r="O46" s="5">
        <v>0</v>
      </c>
      <c r="P46" s="2">
        <f t="shared" si="10"/>
        <v>0</v>
      </c>
      <c r="Q46" s="12" t="str">
        <f t="shared" si="11"/>
        <v/>
      </c>
    </row>
    <row r="47" spans="2:17" x14ac:dyDescent="0.3">
      <c r="B47" s="6" t="s">
        <v>39</v>
      </c>
      <c r="C47" s="2"/>
      <c r="D47" s="5">
        <v>0</v>
      </c>
      <c r="E47" s="5">
        <v>0</v>
      </c>
      <c r="F47" s="2">
        <f t="shared" si="6"/>
        <v>0</v>
      </c>
      <c r="G47" s="12" t="str">
        <f t="shared" si="7"/>
        <v/>
      </c>
      <c r="H47" s="2"/>
      <c r="I47" s="5">
        <v>0</v>
      </c>
      <c r="J47" s="5">
        <v>0</v>
      </c>
      <c r="K47" s="2">
        <f t="shared" si="8"/>
        <v>0</v>
      </c>
      <c r="L47" s="12" t="str">
        <f t="shared" si="9"/>
        <v/>
      </c>
      <c r="M47" s="2"/>
      <c r="N47" s="5">
        <v>0</v>
      </c>
      <c r="O47" s="5">
        <v>0</v>
      </c>
      <c r="P47" s="2">
        <f t="shared" si="10"/>
        <v>0</v>
      </c>
      <c r="Q47" s="12" t="str">
        <f t="shared" si="11"/>
        <v/>
      </c>
    </row>
    <row r="48" spans="2:17" x14ac:dyDescent="0.3">
      <c r="B48" s="6" t="s">
        <v>40</v>
      </c>
      <c r="C48" s="2"/>
      <c r="D48" s="5">
        <v>8.9499999999999993</v>
      </c>
      <c r="E48" s="5">
        <v>0</v>
      </c>
      <c r="F48" s="2">
        <f t="shared" si="6"/>
        <v>8.9499999999999993</v>
      </c>
      <c r="G48" s="12" t="str">
        <f t="shared" si="7"/>
        <v/>
      </c>
      <c r="H48" s="2"/>
      <c r="I48" s="5">
        <v>8.9499999999999993</v>
      </c>
      <c r="J48" s="5">
        <v>0</v>
      </c>
      <c r="K48" s="2">
        <f t="shared" si="8"/>
        <v>8.9499999999999993</v>
      </c>
      <c r="L48" s="12" t="str">
        <f t="shared" si="9"/>
        <v/>
      </c>
      <c r="M48" s="2"/>
      <c r="N48" s="5">
        <v>8.9499999999999993</v>
      </c>
      <c r="O48" s="5">
        <v>0</v>
      </c>
      <c r="P48" s="2">
        <f t="shared" si="10"/>
        <v>8.9499999999999993</v>
      </c>
      <c r="Q48" s="12" t="str">
        <f t="shared" si="11"/>
        <v/>
      </c>
    </row>
    <row r="49" spans="2:17" x14ac:dyDescent="0.3">
      <c r="B49" s="6" t="s">
        <v>41</v>
      </c>
      <c r="C49" s="2"/>
      <c r="D49" s="5">
        <v>0</v>
      </c>
      <c r="E49" s="5">
        <v>0</v>
      </c>
      <c r="F49" s="2">
        <f t="shared" si="6"/>
        <v>0</v>
      </c>
      <c r="G49" s="12" t="str">
        <f t="shared" si="7"/>
        <v/>
      </c>
      <c r="H49" s="2"/>
      <c r="I49" s="5">
        <v>0</v>
      </c>
      <c r="J49" s="5">
        <v>0</v>
      </c>
      <c r="K49" s="2">
        <f t="shared" si="8"/>
        <v>0</v>
      </c>
      <c r="L49" s="12" t="str">
        <f t="shared" si="9"/>
        <v/>
      </c>
      <c r="M49" s="2"/>
      <c r="N49" s="5">
        <v>0</v>
      </c>
      <c r="O49" s="5">
        <v>0</v>
      </c>
      <c r="P49" s="2">
        <f t="shared" si="10"/>
        <v>0</v>
      </c>
      <c r="Q49" s="12" t="str">
        <f t="shared" si="11"/>
        <v/>
      </c>
    </row>
    <row r="50" spans="2:17" x14ac:dyDescent="0.3">
      <c r="B50" s="6" t="s">
        <v>42</v>
      </c>
      <c r="C50" s="2"/>
      <c r="D50" s="5">
        <v>0</v>
      </c>
      <c r="E50" s="5">
        <v>0</v>
      </c>
      <c r="F50" s="2">
        <f t="shared" si="6"/>
        <v>0</v>
      </c>
      <c r="G50" s="12" t="str">
        <f t="shared" si="7"/>
        <v/>
      </c>
      <c r="H50" s="2"/>
      <c r="I50" s="5">
        <v>0</v>
      </c>
      <c r="J50" s="5">
        <v>0</v>
      </c>
      <c r="K50" s="2">
        <f t="shared" si="8"/>
        <v>0</v>
      </c>
      <c r="L50" s="12" t="str">
        <f t="shared" si="9"/>
        <v/>
      </c>
      <c r="M50" s="2"/>
      <c r="N50" s="5">
        <v>0</v>
      </c>
      <c r="O50" s="5">
        <v>0</v>
      </c>
      <c r="P50" s="2">
        <f t="shared" si="10"/>
        <v>0</v>
      </c>
      <c r="Q50" s="12" t="str">
        <f t="shared" si="11"/>
        <v/>
      </c>
    </row>
    <row r="51" spans="2:17" x14ac:dyDescent="0.3">
      <c r="B51" s="6" t="s">
        <v>43</v>
      </c>
      <c r="C51" s="2"/>
      <c r="D51" s="5">
        <v>0</v>
      </c>
      <c r="E51" s="5">
        <v>0</v>
      </c>
      <c r="F51" s="2">
        <f t="shared" si="6"/>
        <v>0</v>
      </c>
      <c r="G51" s="12" t="str">
        <f t="shared" si="7"/>
        <v/>
      </c>
      <c r="H51" s="2"/>
      <c r="I51" s="5">
        <v>0</v>
      </c>
      <c r="J51" s="5">
        <v>0</v>
      </c>
      <c r="K51" s="2">
        <f t="shared" si="8"/>
        <v>0</v>
      </c>
      <c r="L51" s="12" t="str">
        <f t="shared" si="9"/>
        <v/>
      </c>
      <c r="M51" s="2"/>
      <c r="N51" s="5">
        <v>0</v>
      </c>
      <c r="O51" s="5">
        <v>0</v>
      </c>
      <c r="P51" s="2">
        <f t="shared" si="10"/>
        <v>0</v>
      </c>
      <c r="Q51" s="12" t="str">
        <f t="shared" si="11"/>
        <v/>
      </c>
    </row>
    <row r="52" spans="2:17" x14ac:dyDescent="0.3">
      <c r="B52" s="9" t="s">
        <v>44</v>
      </c>
      <c r="C52" s="2"/>
      <c r="D52" s="10">
        <f>+SUM(D44:D51)</f>
        <v>42.370000000000005</v>
      </c>
      <c r="E52" s="10">
        <f t="shared" ref="E52" si="12">+SUM(E44:E51)</f>
        <v>0</v>
      </c>
      <c r="F52" s="10">
        <f t="shared" ref="F52" si="13">+IFERROR(D52-E52,"")</f>
        <v>42.370000000000005</v>
      </c>
      <c r="G52" s="14" t="str">
        <f t="shared" ref="G52" si="14">+IFERROR(F52/E52,"")</f>
        <v/>
      </c>
      <c r="H52" s="2"/>
      <c r="I52" s="10">
        <f t="shared" ref="I52:J52" si="15">+SUM(I44:I51)</f>
        <v>42.370000000000005</v>
      </c>
      <c r="J52" s="10">
        <f t="shared" si="15"/>
        <v>0</v>
      </c>
      <c r="K52" s="10">
        <f t="shared" ref="K52" si="16">+IFERROR(I52-J52,"")</f>
        <v>42.370000000000005</v>
      </c>
      <c r="L52" s="14" t="str">
        <f t="shared" ref="L52" si="17">+IFERROR(K52/J52,"")</f>
        <v/>
      </c>
      <c r="M52" s="2"/>
      <c r="N52" s="10">
        <f>+SUM(N44:N51)</f>
        <v>42.370000000000005</v>
      </c>
      <c r="O52" s="10">
        <f t="shared" ref="O52" si="18">+SUM(O44:O51)</f>
        <v>0</v>
      </c>
      <c r="P52" s="10">
        <f t="shared" ref="P52" si="19">+IFERROR(N52-O52,"")</f>
        <v>42.370000000000005</v>
      </c>
      <c r="Q52" s="14" t="str">
        <f t="shared" ref="Q52" si="20">+IFERROR(P52/O52,"")</f>
        <v/>
      </c>
    </row>
    <row r="53" spans="2:17" x14ac:dyDescent="0.3">
      <c r="C53" s="2"/>
      <c r="D53" s="2"/>
      <c r="E53" s="2"/>
      <c r="F53" s="2"/>
      <c r="G53" s="12"/>
      <c r="H53" s="2"/>
      <c r="I53" s="2"/>
      <c r="J53" s="2"/>
      <c r="K53" s="2"/>
      <c r="L53" s="12"/>
      <c r="M53" s="2"/>
      <c r="N53" s="2"/>
      <c r="O53" s="2"/>
      <c r="P53" s="2"/>
      <c r="Q53" s="12"/>
    </row>
    <row r="54" spans="2:17" ht="15" thickBot="1" x14ac:dyDescent="0.35">
      <c r="B54" s="11" t="s">
        <v>45</v>
      </c>
      <c r="C54" s="2"/>
      <c r="D54" s="31">
        <f>+D41-D52</f>
        <v>73108.76999999999</v>
      </c>
      <c r="E54" s="31">
        <f t="shared" ref="E54" si="21">+E41-E52</f>
        <v>66129.705136538629</v>
      </c>
      <c r="F54" s="31">
        <f t="shared" ref="F54" si="22">+IFERROR(D54-E54,"")</f>
        <v>6979.0648634613608</v>
      </c>
      <c r="G54" s="16">
        <f t="shared" ref="G54" si="23">+IFERROR(F54/E54,"")</f>
        <v>0.10553600456937801</v>
      </c>
      <c r="H54" s="2"/>
      <c r="I54" s="31">
        <f t="shared" ref="I54:J54" si="24">+I41-I52</f>
        <v>73108.76999999999</v>
      </c>
      <c r="J54" s="31">
        <f t="shared" si="24"/>
        <v>66129.705136538629</v>
      </c>
      <c r="K54" s="31">
        <f t="shared" ref="K54" si="25">+IFERROR(I54-J54,"")</f>
        <v>6979.0648634613608</v>
      </c>
      <c r="L54" s="16">
        <f t="shared" ref="L54" si="26">+IFERROR(K54/J54,"")</f>
        <v>0.10553600456937801</v>
      </c>
      <c r="M54" s="2"/>
      <c r="N54" s="31">
        <f>+N41-N52</f>
        <v>73108.76999999999</v>
      </c>
      <c r="O54" s="31">
        <f t="shared" ref="O54" si="27">+O41-O52</f>
        <v>66129.705136538629</v>
      </c>
      <c r="P54" s="31">
        <f t="shared" ref="P54" si="28">+IFERROR(N54-O54,"")</f>
        <v>6979.0648634613608</v>
      </c>
      <c r="Q54" s="16">
        <f t="shared" ref="Q54" si="29">+IFERROR(P54/O54,"")</f>
        <v>0.10553600456937801</v>
      </c>
    </row>
    <row r="55" spans="2:17" ht="15" thickTop="1" x14ac:dyDescent="0.3">
      <c r="C55" s="2"/>
    </row>
  </sheetData>
  <pageMargins left="0.7" right="0.7" top="0.75" bottom="0.75" header="0.3" footer="0.3"/>
  <customProperties>
    <customPr name="_pios_id" r:id="rId1"/>
    <customPr name="AdaptiveCustomXmlPartId" r:id="rId2"/>
    <customPr name="AdaptiveReportingSheetKey" r:id="rId3"/>
    <customPr name="CurrentId" r:id="rId4"/>
  </customPropertie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CF2D-B0FC-469C-A49E-31A91FBA7703}">
  <dimension ref="A1:M488"/>
  <sheetViews>
    <sheetView showGridLines="0" zoomScale="90" zoomScaleNormal="90" workbookViewId="0">
      <pane xSplit="1" ySplit="6" topLeftCell="B7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1" max="1" width="50.6640625" customWidth="1"/>
    <col min="2" max="13" width="18.6640625" customWidth="1"/>
  </cols>
  <sheetData>
    <row r="1" spans="1:13" ht="7.95" customHeight="1" x14ac:dyDescent="0.3"/>
    <row r="2" spans="1:13" s="37" customFormat="1" ht="21" x14ac:dyDescent="0.3">
      <c r="A2" s="36" t="s">
        <v>188</v>
      </c>
    </row>
    <row r="3" spans="1:13" s="37" customFormat="1" ht="15.6" x14ac:dyDescent="0.3">
      <c r="A3" s="38" t="s">
        <v>238</v>
      </c>
    </row>
    <row r="4" spans="1:13" s="43" customFormat="1" ht="15.6" x14ac:dyDescent="0.3">
      <c r="A4" s="42" t="s">
        <v>239</v>
      </c>
    </row>
    <row r="5" spans="1:13" ht="7.95" customHeight="1" x14ac:dyDescent="0.3"/>
    <row r="6" spans="1:13" s="22" customFormat="1" ht="16.2" customHeight="1" x14ac:dyDescent="0.3">
      <c r="A6" s="35"/>
      <c r="B6" s="26" t="s">
        <v>8</v>
      </c>
      <c r="C6" s="26" t="s">
        <v>9</v>
      </c>
      <c r="D6" s="26" t="s">
        <v>10</v>
      </c>
      <c r="E6" s="26" t="s">
        <v>11</v>
      </c>
      <c r="F6" s="26" t="s">
        <v>12</v>
      </c>
      <c r="G6" s="26" t="s">
        <v>190</v>
      </c>
      <c r="H6" s="26" t="s">
        <v>195</v>
      </c>
      <c r="I6" s="26" t="s">
        <v>242</v>
      </c>
      <c r="J6" s="26" t="s">
        <v>243</v>
      </c>
      <c r="K6" s="26" t="s">
        <v>244</v>
      </c>
      <c r="L6" s="26" t="s">
        <v>241</v>
      </c>
      <c r="M6" s="26" t="s">
        <v>240</v>
      </c>
    </row>
    <row r="7" spans="1:13" ht="7.95" customHeight="1" x14ac:dyDescent="0.3"/>
    <row r="8" spans="1:13" x14ac:dyDescent="0.3">
      <c r="A8" t="s">
        <v>58</v>
      </c>
      <c r="B8" s="5">
        <v>138285.76000000001</v>
      </c>
      <c r="C8" s="5">
        <v>171724.82</v>
      </c>
      <c r="D8" s="5">
        <v>97506.84</v>
      </c>
      <c r="E8" s="5">
        <v>109356.15</v>
      </c>
      <c r="F8" s="5">
        <v>101771.71</v>
      </c>
      <c r="G8" s="5">
        <v>107949.61</v>
      </c>
      <c r="H8" s="5">
        <v>120725.16</v>
      </c>
      <c r="I8" s="5">
        <v>113578.72</v>
      </c>
      <c r="J8" s="5">
        <v>123543.35</v>
      </c>
      <c r="K8" s="5">
        <v>116720.29</v>
      </c>
      <c r="L8" s="5">
        <v>136202.38999999998</v>
      </c>
      <c r="M8" s="5">
        <v>238209.52</v>
      </c>
    </row>
    <row r="9" spans="1:13" x14ac:dyDescent="0.3">
      <c r="A9" s="17" t="s">
        <v>146</v>
      </c>
      <c r="B9" s="5">
        <v>138285.76000000001</v>
      </c>
      <c r="C9" s="5">
        <v>171724.82</v>
      </c>
      <c r="D9" s="5">
        <v>97506.84</v>
      </c>
      <c r="E9" s="5">
        <v>109356.15</v>
      </c>
      <c r="F9" s="5">
        <v>101771.71</v>
      </c>
      <c r="G9" s="5">
        <v>107949.61</v>
      </c>
      <c r="H9" s="5">
        <v>120725.16</v>
      </c>
      <c r="I9" s="5">
        <v>113578.72</v>
      </c>
      <c r="J9" s="5">
        <v>123543.35</v>
      </c>
      <c r="K9" s="5">
        <v>116720.29</v>
      </c>
      <c r="L9" s="5">
        <v>136202.38999999998</v>
      </c>
      <c r="M9" s="5">
        <v>238209.52</v>
      </c>
    </row>
    <row r="10" spans="1:13" x14ac:dyDescent="0.3">
      <c r="A10" t="s">
        <v>59</v>
      </c>
      <c r="B10" s="5">
        <v>-1607.84</v>
      </c>
      <c r="C10" s="5">
        <v>523.92000000000007</v>
      </c>
      <c r="D10" s="5">
        <v>1263.1000000000004</v>
      </c>
      <c r="E10" s="5">
        <v>-331.13999999999942</v>
      </c>
      <c r="F10" s="5">
        <v>1234.8700000000006</v>
      </c>
      <c r="G10" s="5">
        <v>2227.3300000000004</v>
      </c>
      <c r="H10" s="5">
        <v>-1557.0799999999997</v>
      </c>
      <c r="I10" s="5">
        <v>2771.1900000000005</v>
      </c>
      <c r="J10" s="5">
        <v>2082.0600000000004</v>
      </c>
      <c r="K10" s="5">
        <v>4105.97</v>
      </c>
      <c r="L10" s="5">
        <v>3074.6200000000008</v>
      </c>
      <c r="M10" s="5">
        <v>2775.7700000000004</v>
      </c>
    </row>
    <row r="11" spans="1:13" x14ac:dyDescent="0.3">
      <c r="A11" s="17" t="s">
        <v>147</v>
      </c>
      <c r="B11" s="5">
        <v>1531</v>
      </c>
      <c r="C11" s="5">
        <v>1570.37</v>
      </c>
      <c r="D11" s="5">
        <v>1436.67</v>
      </c>
      <c r="E11" s="5">
        <v>1929.67</v>
      </c>
      <c r="F11" s="5">
        <v>1021.91</v>
      </c>
      <c r="G11" s="5">
        <v>2309.23</v>
      </c>
      <c r="H11" s="5">
        <v>1700.3200000000002</v>
      </c>
      <c r="I11" s="5">
        <v>2549.83</v>
      </c>
      <c r="J11" s="5">
        <v>2258.9499999999998</v>
      </c>
      <c r="K11" s="5">
        <v>4781.5</v>
      </c>
      <c r="L11" s="5">
        <v>3804.04</v>
      </c>
      <c r="M11" s="5">
        <v>3757.06</v>
      </c>
    </row>
    <row r="12" spans="1:13" x14ac:dyDescent="0.3">
      <c r="A12" s="17" t="s">
        <v>148</v>
      </c>
      <c r="B12" s="5">
        <v>-3138.84</v>
      </c>
      <c r="C12" s="5">
        <v>-1046.4499999999998</v>
      </c>
      <c r="D12" s="5">
        <v>-173.56999999999971</v>
      </c>
      <c r="E12" s="5">
        <v>-2260.8099999999995</v>
      </c>
      <c r="F12" s="5">
        <v>212.96000000000049</v>
      </c>
      <c r="G12" s="5">
        <v>-81.899999999999523</v>
      </c>
      <c r="H12" s="5">
        <v>-3257.3999999999996</v>
      </c>
      <c r="I12" s="5">
        <v>221.36000000000055</v>
      </c>
      <c r="J12" s="5">
        <v>-176.88999999999942</v>
      </c>
      <c r="K12" s="5">
        <v>-675.5299999999994</v>
      </c>
      <c r="L12" s="5">
        <v>-729.41999999999939</v>
      </c>
      <c r="M12" s="5">
        <v>-981.2899999999994</v>
      </c>
    </row>
    <row r="13" spans="1:13" x14ac:dyDescent="0.3">
      <c r="A13" t="s">
        <v>48</v>
      </c>
      <c r="B13" s="5">
        <v>3446.0200000000004</v>
      </c>
      <c r="C13" s="5">
        <v>3233.4300000000003</v>
      </c>
      <c r="D13" s="5">
        <v>3310.8100000000004</v>
      </c>
      <c r="E13" s="5">
        <v>2958.99</v>
      </c>
      <c r="F13" s="5">
        <v>3087.17</v>
      </c>
      <c r="G13" s="5">
        <v>2905.1000000000004</v>
      </c>
      <c r="H13" s="5">
        <v>4109.8100000000004</v>
      </c>
      <c r="I13" s="5">
        <v>3914.71</v>
      </c>
      <c r="J13" s="5">
        <v>3694.97</v>
      </c>
      <c r="K13" s="5">
        <v>3908.8</v>
      </c>
      <c r="L13" s="5">
        <v>3592.5300000000007</v>
      </c>
      <c r="M13" s="5">
        <v>3343.2000000000003</v>
      </c>
    </row>
    <row r="14" spans="1:13" x14ac:dyDescent="0.3">
      <c r="A14" s="17" t="s">
        <v>149</v>
      </c>
      <c r="B14" s="5">
        <v>1427.4800000000002</v>
      </c>
      <c r="C14" s="5">
        <v>1270.0000000000002</v>
      </c>
      <c r="D14" s="5">
        <v>1457.9600000000005</v>
      </c>
      <c r="E14" s="5">
        <v>1173.4800000000002</v>
      </c>
      <c r="F14" s="5">
        <v>1325.8800000000003</v>
      </c>
      <c r="G14" s="5">
        <v>1163.3200000000004</v>
      </c>
      <c r="H14" s="5">
        <v>2402.84</v>
      </c>
      <c r="I14" s="5">
        <v>2270.7600000000002</v>
      </c>
      <c r="J14" s="5">
        <v>2103.1200000000003</v>
      </c>
      <c r="K14" s="5">
        <v>1925.3200000000004</v>
      </c>
      <c r="L14" s="5">
        <v>1676.4000000000003</v>
      </c>
      <c r="M14" s="5">
        <v>1457.9600000000005</v>
      </c>
    </row>
    <row r="15" spans="1:13" x14ac:dyDescent="0.3">
      <c r="A15" s="17" t="s">
        <v>150</v>
      </c>
      <c r="B15" s="5">
        <v>582.02</v>
      </c>
      <c r="C15" s="5">
        <v>543.22</v>
      </c>
      <c r="D15" s="5">
        <v>480.66</v>
      </c>
      <c r="E15" s="5">
        <v>442.44</v>
      </c>
      <c r="F15" s="5">
        <v>418.22</v>
      </c>
      <c r="G15" s="5">
        <v>421.43</v>
      </c>
      <c r="H15" s="5">
        <v>409.59</v>
      </c>
      <c r="I15" s="5">
        <v>392.84</v>
      </c>
      <c r="J15" s="5">
        <v>370.34</v>
      </c>
      <c r="K15" s="5">
        <v>619.3900000000001</v>
      </c>
      <c r="L15" s="5">
        <v>605.3900000000001</v>
      </c>
      <c r="M15" s="5">
        <v>597.80000000000007</v>
      </c>
    </row>
    <row r="16" spans="1:13" x14ac:dyDescent="0.3">
      <c r="A16" s="17" t="s">
        <v>151</v>
      </c>
      <c r="B16" s="5">
        <v>1436.52</v>
      </c>
      <c r="C16" s="5">
        <v>1420.21</v>
      </c>
      <c r="D16" s="5">
        <v>1372.19</v>
      </c>
      <c r="E16" s="5">
        <v>1343.07</v>
      </c>
      <c r="F16" s="5">
        <v>1343.07</v>
      </c>
      <c r="G16" s="5">
        <v>1320.35</v>
      </c>
      <c r="H16" s="5">
        <v>1297.3800000000001</v>
      </c>
      <c r="I16" s="5">
        <v>1251.1099999999999</v>
      </c>
      <c r="J16" s="5">
        <v>1221.51</v>
      </c>
      <c r="K16" s="5">
        <v>1364.09</v>
      </c>
      <c r="L16" s="5">
        <v>1310.74</v>
      </c>
      <c r="M16" s="5">
        <v>1287.44</v>
      </c>
    </row>
    <row r="17" spans="1:13" x14ac:dyDescent="0.3">
      <c r="A17" t="s">
        <v>60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3">
      <c r="A18" t="s">
        <v>53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x14ac:dyDescent="0.3">
      <c r="A19" t="s">
        <v>61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3">
      <c r="A20" t="s">
        <v>62</v>
      </c>
      <c r="B20" s="5">
        <v>4199.8599999999997</v>
      </c>
      <c r="C20" s="5">
        <v>4199.8599999999997</v>
      </c>
      <c r="D20" s="5">
        <v>4199.8599999999997</v>
      </c>
      <c r="E20" s="5">
        <v>4199.8599999999997</v>
      </c>
      <c r="F20" s="5">
        <v>4199.8599999999997</v>
      </c>
      <c r="G20" s="5">
        <v>6258.4699999999993</v>
      </c>
      <c r="H20" s="5">
        <v>8013.4699999999993</v>
      </c>
      <c r="I20" s="5">
        <v>8013.4699999999993</v>
      </c>
      <c r="J20" s="5">
        <v>8013.4699999999993</v>
      </c>
      <c r="K20" s="5">
        <v>10019.16</v>
      </c>
      <c r="L20" s="5">
        <v>10019.16</v>
      </c>
      <c r="M20" s="5">
        <v>13019.16</v>
      </c>
    </row>
    <row r="21" spans="1:13" x14ac:dyDescent="0.3">
      <c r="A21" s="17" t="s">
        <v>230</v>
      </c>
      <c r="B21" s="5">
        <v>3115.49</v>
      </c>
      <c r="C21" s="5">
        <v>3115.49</v>
      </c>
      <c r="D21" s="5">
        <v>3115.49</v>
      </c>
      <c r="E21" s="5">
        <v>3115.49</v>
      </c>
      <c r="F21" s="5">
        <v>3115.49</v>
      </c>
      <c r="G21" s="5">
        <v>3115.49</v>
      </c>
      <c r="H21" s="5">
        <v>3115.49</v>
      </c>
      <c r="I21" s="5">
        <v>3115.49</v>
      </c>
      <c r="J21" s="5">
        <v>3115.49</v>
      </c>
      <c r="K21" s="5">
        <v>3115.49</v>
      </c>
      <c r="L21" s="5">
        <v>3115.49</v>
      </c>
      <c r="M21" s="5">
        <v>3115.49</v>
      </c>
    </row>
    <row r="22" spans="1:13" x14ac:dyDescent="0.3">
      <c r="A22" s="17" t="s">
        <v>152</v>
      </c>
      <c r="B22" s="5">
        <v>1084.3699999999999</v>
      </c>
      <c r="C22" s="5">
        <v>1084.3699999999999</v>
      </c>
      <c r="D22" s="5">
        <v>1084.3699999999999</v>
      </c>
      <c r="E22" s="5">
        <v>1084.3699999999999</v>
      </c>
      <c r="F22" s="5">
        <v>1084.3699999999999</v>
      </c>
      <c r="G22" s="5">
        <v>3142.98</v>
      </c>
      <c r="H22" s="5">
        <v>4897.9799999999996</v>
      </c>
      <c r="I22" s="5">
        <v>4897.9799999999996</v>
      </c>
      <c r="J22" s="5">
        <v>4897.9799999999996</v>
      </c>
      <c r="K22" s="5">
        <v>6903.67</v>
      </c>
      <c r="L22" s="5">
        <v>6903.67</v>
      </c>
      <c r="M22" s="5">
        <v>9903.67</v>
      </c>
    </row>
    <row r="23" spans="1:13" x14ac:dyDescent="0.3">
      <c r="A23" s="17" t="s">
        <v>203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t="s">
        <v>65</v>
      </c>
      <c r="B25" s="5">
        <v>7933.1999999999989</v>
      </c>
      <c r="C25" s="5">
        <v>10221.89</v>
      </c>
      <c r="D25" s="5">
        <v>10030.44</v>
      </c>
      <c r="E25" s="5">
        <v>15402.690000000002</v>
      </c>
      <c r="F25" s="5">
        <v>9132.6500000000033</v>
      </c>
      <c r="G25" s="5">
        <v>20813.500000000004</v>
      </c>
      <c r="H25" s="5">
        <v>21860.63</v>
      </c>
      <c r="I25" s="5">
        <v>16556.059999999998</v>
      </c>
      <c r="J25" s="5">
        <v>8099.6999999999916</v>
      </c>
      <c r="K25" s="5">
        <v>9012.2399999999943</v>
      </c>
      <c r="L25" s="5">
        <v>20542.789999999994</v>
      </c>
      <c r="M25" s="5">
        <v>122481.29</v>
      </c>
    </row>
    <row r="26" spans="1:13" x14ac:dyDescent="0.3">
      <c r="A26" s="17" t="s">
        <v>153</v>
      </c>
      <c r="B26" s="5">
        <v>0</v>
      </c>
      <c r="C26" s="5">
        <v>0</v>
      </c>
      <c r="D26" s="5">
        <v>64.83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21.61</v>
      </c>
      <c r="K26" s="5">
        <v>0</v>
      </c>
      <c r="L26" s="5">
        <v>0</v>
      </c>
      <c r="M26" s="5">
        <v>0</v>
      </c>
    </row>
    <row r="27" spans="1:13" x14ac:dyDescent="0.3">
      <c r="A27" s="17" t="s">
        <v>154</v>
      </c>
      <c r="B27" s="5">
        <v>450</v>
      </c>
      <c r="C27" s="5">
        <v>1700</v>
      </c>
      <c r="D27" s="5">
        <v>365.76</v>
      </c>
      <c r="E27" s="5">
        <v>975</v>
      </c>
      <c r="F27" s="5">
        <v>0</v>
      </c>
      <c r="G27" s="5">
        <v>3503.67</v>
      </c>
      <c r="H27" s="5">
        <v>5414.88</v>
      </c>
      <c r="I27" s="5">
        <v>600</v>
      </c>
      <c r="J27" s="5">
        <v>0</v>
      </c>
      <c r="K27" s="5">
        <v>225</v>
      </c>
      <c r="L27" s="5">
        <v>225</v>
      </c>
      <c r="M27" s="5">
        <v>1068</v>
      </c>
    </row>
    <row r="28" spans="1:13" x14ac:dyDescent="0.3">
      <c r="A28" s="17" t="s">
        <v>155</v>
      </c>
      <c r="B28" s="5">
        <v>7646.5299999999988</v>
      </c>
      <c r="C28" s="5">
        <v>8679.8100000000013</v>
      </c>
      <c r="D28" s="5">
        <v>9745.86</v>
      </c>
      <c r="E28" s="5">
        <v>14483.030000000002</v>
      </c>
      <c r="F28" s="5">
        <v>9072.8200000000033</v>
      </c>
      <c r="G28" s="5">
        <v>17463.38</v>
      </c>
      <c r="H28" s="5">
        <v>15404.57</v>
      </c>
      <c r="I28" s="5">
        <v>15842.189999999997</v>
      </c>
      <c r="J28" s="5">
        <v>7668.169999999991</v>
      </c>
      <c r="K28" s="5">
        <v>8250.1199999999953</v>
      </c>
      <c r="L28" s="5">
        <v>19667.359999999993</v>
      </c>
      <c r="M28" s="5">
        <v>120458.89</v>
      </c>
    </row>
    <row r="29" spans="1:13" x14ac:dyDescent="0.3">
      <c r="A29" s="17" t="s">
        <v>156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1097.28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x14ac:dyDescent="0.3">
      <c r="A30" s="17" t="s">
        <v>170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x14ac:dyDescent="0.3">
      <c r="A31" s="17" t="s">
        <v>246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473.15</v>
      </c>
    </row>
    <row r="32" spans="1:13" x14ac:dyDescent="0.3">
      <c r="A32" s="17" t="s">
        <v>199</v>
      </c>
      <c r="B32" s="5">
        <v>0</v>
      </c>
      <c r="C32" s="5">
        <v>0</v>
      </c>
      <c r="D32" s="5">
        <v>179.25</v>
      </c>
      <c r="E32" s="5">
        <v>179.25</v>
      </c>
      <c r="F32" s="5">
        <v>179.25</v>
      </c>
      <c r="G32" s="5">
        <v>179.25</v>
      </c>
      <c r="H32" s="5">
        <v>179.25</v>
      </c>
      <c r="I32" s="5">
        <v>281.89999999999998</v>
      </c>
      <c r="J32" s="5">
        <v>335.79999999999995</v>
      </c>
      <c r="K32" s="5">
        <v>335.79999999999995</v>
      </c>
      <c r="L32" s="5">
        <v>335.79999999999995</v>
      </c>
      <c r="M32" s="5">
        <v>335.79999999999995</v>
      </c>
    </row>
    <row r="33" spans="1:13" x14ac:dyDescent="0.3">
      <c r="A33" s="17" t="s">
        <v>211</v>
      </c>
      <c r="B33" s="5">
        <v>-163.33000000000015</v>
      </c>
      <c r="C33" s="5">
        <v>-157.92000000000007</v>
      </c>
      <c r="D33" s="5">
        <v>-325.26</v>
      </c>
      <c r="E33" s="5">
        <v>-234.58999999999992</v>
      </c>
      <c r="F33" s="5">
        <v>-119.41999999999985</v>
      </c>
      <c r="G33" s="5">
        <v>-332.79999999999984</v>
      </c>
      <c r="H33" s="5">
        <v>-235.34999999999968</v>
      </c>
      <c r="I33" s="5">
        <v>-168.02999999999977</v>
      </c>
      <c r="J33" s="5">
        <v>74.120000000000346</v>
      </c>
      <c r="K33" s="5">
        <v>201.32000000000039</v>
      </c>
      <c r="L33" s="5">
        <v>314.63000000000034</v>
      </c>
      <c r="M33" s="5">
        <v>145.45000000000027</v>
      </c>
    </row>
    <row r="34" spans="1:13" x14ac:dyDescent="0.3">
      <c r="A34" t="s">
        <v>66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">
      <c r="A35" t="s">
        <v>67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3">
      <c r="A36" t="s">
        <v>68</v>
      </c>
      <c r="B36" s="5">
        <v>5504.6500000000005</v>
      </c>
      <c r="C36" s="5">
        <v>5201.51</v>
      </c>
      <c r="D36" s="5">
        <v>4759.6000000000004</v>
      </c>
      <c r="E36" s="5">
        <v>8203.1200000000008</v>
      </c>
      <c r="F36" s="5">
        <v>6476.1500000000005</v>
      </c>
      <c r="G36" s="5">
        <v>6459.34</v>
      </c>
      <c r="H36" s="5">
        <v>5500.32</v>
      </c>
      <c r="I36" s="5">
        <v>4661.3799999999992</v>
      </c>
      <c r="J36" s="5">
        <v>7582.82</v>
      </c>
      <c r="K36" s="5">
        <v>6263.16</v>
      </c>
      <c r="L36" s="5">
        <v>7679.2</v>
      </c>
      <c r="M36" s="5">
        <v>8077.8899999999994</v>
      </c>
    </row>
    <row r="37" spans="1:13" x14ac:dyDescent="0.3">
      <c r="A37" s="17" t="s">
        <v>157</v>
      </c>
      <c r="B37" s="5">
        <v>5504.6500000000005</v>
      </c>
      <c r="C37" s="5">
        <v>5201.51</v>
      </c>
      <c r="D37" s="5">
        <v>4759.6000000000004</v>
      </c>
      <c r="E37" s="5">
        <v>8203.1200000000008</v>
      </c>
      <c r="F37" s="5">
        <v>6476.1500000000005</v>
      </c>
      <c r="G37" s="5">
        <v>6459.34</v>
      </c>
      <c r="H37" s="5">
        <v>5500.32</v>
      </c>
      <c r="I37" s="5">
        <v>4661.3799999999992</v>
      </c>
      <c r="J37" s="5">
        <v>7582.82</v>
      </c>
      <c r="K37" s="5">
        <v>6263.16</v>
      </c>
      <c r="L37" s="5">
        <v>7679.2</v>
      </c>
      <c r="M37" s="5">
        <v>8077.8899999999994</v>
      </c>
    </row>
    <row r="38" spans="1:13" x14ac:dyDescent="0.3">
      <c r="A38" t="s">
        <v>70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t="s">
        <v>73</v>
      </c>
      <c r="B40" s="5">
        <v>44278.97</v>
      </c>
      <c r="C40" s="5">
        <v>44278.97</v>
      </c>
      <c r="D40" s="5">
        <v>-71898.539999999994</v>
      </c>
      <c r="E40" s="5">
        <v>-115101.65</v>
      </c>
      <c r="F40" s="5">
        <v>-162694.57999999999</v>
      </c>
      <c r="G40" s="5">
        <v>-211446.88</v>
      </c>
      <c r="H40" s="5">
        <v>-254401.36999999997</v>
      </c>
      <c r="I40" s="5">
        <v>-307006.05999999994</v>
      </c>
      <c r="J40" s="5">
        <v>-360253.01</v>
      </c>
      <c r="K40" s="5">
        <v>-431576.6</v>
      </c>
      <c r="L40" s="5">
        <v>-494665.9499999999</v>
      </c>
      <c r="M40" s="5">
        <v>-565652.96</v>
      </c>
    </row>
    <row r="41" spans="1:13" x14ac:dyDescent="0.3">
      <c r="A41" s="17" t="s">
        <v>223</v>
      </c>
      <c r="B41" s="5">
        <v>44278.97</v>
      </c>
      <c r="C41" s="5">
        <v>44278.97</v>
      </c>
      <c r="D41" s="5">
        <v>44278.97</v>
      </c>
      <c r="E41" s="5">
        <v>44278.97</v>
      </c>
      <c r="F41" s="5">
        <v>44278.97</v>
      </c>
      <c r="G41" s="5">
        <v>44278.97</v>
      </c>
      <c r="H41" s="5">
        <v>44278.97</v>
      </c>
      <c r="I41" s="5">
        <v>44278.97</v>
      </c>
      <c r="J41" s="5">
        <v>44278.97</v>
      </c>
      <c r="K41" s="5">
        <v>44278.97</v>
      </c>
      <c r="L41" s="5">
        <v>44278.97</v>
      </c>
      <c r="M41" s="5">
        <v>44278.97</v>
      </c>
    </row>
    <row r="42" spans="1:13" x14ac:dyDescent="0.3">
      <c r="A42" s="17" t="s">
        <v>171</v>
      </c>
      <c r="B42" s="5">
        <v>0</v>
      </c>
      <c r="C42" s="5">
        <v>0</v>
      </c>
      <c r="D42" s="5">
        <v>-116177.51</v>
      </c>
      <c r="E42" s="5">
        <v>-159380.62</v>
      </c>
      <c r="F42" s="5">
        <v>-206973.55</v>
      </c>
      <c r="G42" s="5">
        <v>-255725.85</v>
      </c>
      <c r="H42" s="5">
        <v>-298680.33999999997</v>
      </c>
      <c r="I42" s="5">
        <v>-351285.02999999997</v>
      </c>
      <c r="J42" s="5">
        <v>-404531.98</v>
      </c>
      <c r="K42" s="5">
        <v>-475855.56999999995</v>
      </c>
      <c r="L42" s="5">
        <v>-538944.91999999993</v>
      </c>
      <c r="M42" s="5">
        <v>-609931.92999999993</v>
      </c>
    </row>
    <row r="43" spans="1:13" x14ac:dyDescent="0.3">
      <c r="A43" t="s">
        <v>74</v>
      </c>
      <c r="B43" s="5">
        <v>33107.620000000003</v>
      </c>
      <c r="C43" s="5">
        <v>33107.620000000003</v>
      </c>
      <c r="D43" s="5">
        <v>33107.620000000003</v>
      </c>
      <c r="E43" s="5">
        <v>33107.620000000003</v>
      </c>
      <c r="F43" s="5">
        <v>33107.620000000003</v>
      </c>
      <c r="G43" s="5">
        <v>33107.620000000003</v>
      </c>
      <c r="H43" s="5">
        <v>33107.620000000003</v>
      </c>
      <c r="I43" s="5">
        <v>33107.620000000003</v>
      </c>
      <c r="J43" s="5">
        <v>33107.620000000003</v>
      </c>
      <c r="K43" s="5">
        <v>33107.620000000003</v>
      </c>
      <c r="L43" s="5">
        <v>33107.620000000003</v>
      </c>
      <c r="M43" s="5">
        <v>619332.66</v>
      </c>
    </row>
    <row r="44" spans="1:13" x14ac:dyDescent="0.3">
      <c r="A44" s="17" t="s">
        <v>158</v>
      </c>
      <c r="B44" s="5">
        <v>33107.620000000003</v>
      </c>
      <c r="C44" s="5">
        <v>33107.620000000003</v>
      </c>
      <c r="D44" s="5">
        <v>33107.620000000003</v>
      </c>
      <c r="E44" s="5">
        <v>33107.620000000003</v>
      </c>
      <c r="F44" s="5">
        <v>33107.620000000003</v>
      </c>
      <c r="G44" s="5">
        <v>33107.620000000003</v>
      </c>
      <c r="H44" s="5">
        <v>33107.620000000003</v>
      </c>
      <c r="I44" s="5">
        <v>33107.620000000003</v>
      </c>
      <c r="J44" s="5">
        <v>33107.620000000003</v>
      </c>
      <c r="K44" s="5">
        <v>33107.620000000003</v>
      </c>
      <c r="L44" s="5">
        <v>33107.620000000003</v>
      </c>
      <c r="M44" s="5">
        <v>619332.66</v>
      </c>
    </row>
    <row r="45" spans="1:13" x14ac:dyDescent="0.3">
      <c r="A45" t="s">
        <v>75</v>
      </c>
      <c r="B45" s="2">
        <v>53499.359999999986</v>
      </c>
      <c r="C45" s="2">
        <v>86872.04</v>
      </c>
      <c r="D45" s="2">
        <v>130281.49</v>
      </c>
      <c r="E45" s="2">
        <v>174572.07999999996</v>
      </c>
      <c r="F45" s="2">
        <v>224271.76999999996</v>
      </c>
      <c r="G45" s="2">
        <v>270406.92999999993</v>
      </c>
      <c r="H45" s="2">
        <v>325224.15999999997</v>
      </c>
      <c r="I45" s="2">
        <v>380959.09</v>
      </c>
      <c r="J45" s="2">
        <v>448796.72</v>
      </c>
      <c r="K45" s="2">
        <v>517947.8000000001</v>
      </c>
      <c r="L45" s="2">
        <v>586225.04</v>
      </c>
      <c r="M45" s="2">
        <v>73108.76999999999</v>
      </c>
    </row>
    <row r="46" spans="1:13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t="s">
        <v>1</v>
      </c>
      <c r="B49" s="5">
        <v>41324.649999999994</v>
      </c>
      <c r="C49" s="5">
        <v>48906.560000000005</v>
      </c>
      <c r="D49" s="5">
        <v>54138.43</v>
      </c>
      <c r="E49" s="5">
        <v>60857.869999999995</v>
      </c>
      <c r="F49" s="5">
        <v>65220.380000000005</v>
      </c>
      <c r="G49" s="5">
        <v>72813.540000000008</v>
      </c>
      <c r="H49" s="5">
        <v>75484.5</v>
      </c>
      <c r="I49" s="5">
        <v>77101.22</v>
      </c>
      <c r="J49" s="5">
        <v>81508.509999999995</v>
      </c>
      <c r="K49" s="5">
        <v>84146.790000000008</v>
      </c>
      <c r="L49" s="5">
        <v>82848.56</v>
      </c>
      <c r="M49" s="5">
        <v>88458.819999999992</v>
      </c>
    </row>
    <row r="50" spans="1:13" x14ac:dyDescent="0.3">
      <c r="A50" s="17" t="s">
        <v>86</v>
      </c>
      <c r="B50" s="5">
        <v>41228.660000000003</v>
      </c>
      <c r="C50" s="5">
        <v>48676.5</v>
      </c>
      <c r="D50" s="5">
        <v>53913.69</v>
      </c>
      <c r="E50" s="5">
        <v>64068.119999999995</v>
      </c>
      <c r="F50" s="5">
        <v>64854.37</v>
      </c>
      <c r="G50" s="5">
        <v>71547.31</v>
      </c>
      <c r="H50" s="5">
        <v>75135.39</v>
      </c>
      <c r="I50" s="5">
        <v>76212.460000000006</v>
      </c>
      <c r="J50" s="5">
        <v>84801.72</v>
      </c>
      <c r="K50" s="5">
        <v>80393.91</v>
      </c>
      <c r="L50" s="5">
        <v>86720.43</v>
      </c>
      <c r="M50" s="5">
        <v>88957.23</v>
      </c>
    </row>
    <row r="51" spans="1:13" x14ac:dyDescent="0.3">
      <c r="A51" s="17" t="s">
        <v>87</v>
      </c>
      <c r="B51" s="5">
        <v>-1</v>
      </c>
      <c r="C51" s="5">
        <v>-112.45</v>
      </c>
      <c r="D51" s="5">
        <v>-83.470000000000027</v>
      </c>
      <c r="E51" s="5">
        <v>-259.73</v>
      </c>
      <c r="F51" s="5">
        <v>-150.69999999999999</v>
      </c>
      <c r="G51" s="5">
        <v>-37.9</v>
      </c>
      <c r="H51" s="5">
        <v>-1</v>
      </c>
      <c r="I51" s="5">
        <v>-225.97</v>
      </c>
      <c r="J51" s="5">
        <v>-80.89</v>
      </c>
      <c r="K51" s="5">
        <v>-89.33</v>
      </c>
      <c r="L51" s="5">
        <v>-804</v>
      </c>
      <c r="M51" s="5">
        <v>-52.74</v>
      </c>
    </row>
    <row r="52" spans="1:13" x14ac:dyDescent="0.3">
      <c r="A52" s="17" t="s">
        <v>88</v>
      </c>
      <c r="B52" s="5">
        <v>0</v>
      </c>
      <c r="C52" s="5">
        <v>0</v>
      </c>
      <c r="D52" s="5">
        <v>0</v>
      </c>
      <c r="E52" s="5">
        <v>0</v>
      </c>
      <c r="F52" s="5">
        <v>-302.5</v>
      </c>
      <c r="G52" s="5">
        <v>0</v>
      </c>
      <c r="H52" s="5">
        <v>0</v>
      </c>
      <c r="I52" s="5">
        <v>-573.72</v>
      </c>
      <c r="J52" s="5">
        <v>0</v>
      </c>
      <c r="K52" s="5">
        <v>0</v>
      </c>
      <c r="L52" s="5">
        <v>-674.37</v>
      </c>
      <c r="M52" s="5">
        <v>0</v>
      </c>
    </row>
    <row r="53" spans="1:13" x14ac:dyDescent="0.3">
      <c r="A53" s="17" t="s">
        <v>89</v>
      </c>
      <c r="B53" s="5">
        <v>0.109999999999999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</row>
    <row r="54" spans="1:13" x14ac:dyDescent="0.3">
      <c r="A54" s="17" t="s">
        <v>196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</row>
    <row r="55" spans="1:13" x14ac:dyDescent="0.3">
      <c r="A55" s="17" t="s">
        <v>197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x14ac:dyDescent="0.3">
      <c r="A56" s="17" t="s">
        <v>90</v>
      </c>
      <c r="B56" s="5">
        <v>96.880000000000123</v>
      </c>
      <c r="C56" s="5">
        <v>342.51</v>
      </c>
      <c r="D56" s="5">
        <v>308.21000000000004</v>
      </c>
      <c r="E56" s="5">
        <v>-2950.52</v>
      </c>
      <c r="F56" s="5">
        <v>819.21</v>
      </c>
      <c r="G56" s="5">
        <v>1304.1300000000001</v>
      </c>
      <c r="H56" s="5">
        <v>350.11</v>
      </c>
      <c r="I56" s="5">
        <v>1688.45</v>
      </c>
      <c r="J56" s="5">
        <v>-3212.32</v>
      </c>
      <c r="K56" s="5">
        <v>3842.21</v>
      </c>
      <c r="L56" s="5">
        <v>-2393.5</v>
      </c>
      <c r="M56" s="5">
        <v>-445.67</v>
      </c>
    </row>
    <row r="57" spans="1:13" x14ac:dyDescent="0.3">
      <c r="A57" t="s">
        <v>2</v>
      </c>
      <c r="B57" s="5">
        <v>2454</v>
      </c>
      <c r="C57" s="5">
        <v>2646</v>
      </c>
      <c r="D57" s="5">
        <v>2742</v>
      </c>
      <c r="E57" s="5">
        <v>2964</v>
      </c>
      <c r="F57" s="5">
        <v>3054</v>
      </c>
      <c r="G57" s="5">
        <v>3102</v>
      </c>
      <c r="H57" s="5">
        <v>3144</v>
      </c>
      <c r="I57" s="5">
        <v>3096</v>
      </c>
      <c r="J57" s="5">
        <v>3084</v>
      </c>
      <c r="K57" s="5">
        <v>3078</v>
      </c>
      <c r="L57" s="5">
        <v>3174</v>
      </c>
      <c r="M57" s="5">
        <v>3258</v>
      </c>
    </row>
    <row r="58" spans="1:13" x14ac:dyDescent="0.3">
      <c r="A58" s="17" t="s">
        <v>102</v>
      </c>
      <c r="B58" s="5">
        <v>2454</v>
      </c>
      <c r="C58" s="5">
        <v>2646</v>
      </c>
      <c r="D58" s="5">
        <v>2742</v>
      </c>
      <c r="E58" s="5">
        <v>2964</v>
      </c>
      <c r="F58" s="5">
        <v>3054</v>
      </c>
      <c r="G58" s="5">
        <v>3102</v>
      </c>
      <c r="H58" s="5">
        <v>3144</v>
      </c>
      <c r="I58" s="5">
        <v>3096</v>
      </c>
      <c r="J58" s="5">
        <v>3084</v>
      </c>
      <c r="K58" s="5">
        <v>3078</v>
      </c>
      <c r="L58" s="5">
        <v>3174</v>
      </c>
      <c r="M58" s="5">
        <v>3258</v>
      </c>
    </row>
    <row r="59" spans="1:13" x14ac:dyDescent="0.3">
      <c r="A59" t="s">
        <v>3</v>
      </c>
      <c r="B59" s="5">
        <v>912.96000000000015</v>
      </c>
      <c r="C59" s="5">
        <v>756.68999999999983</v>
      </c>
      <c r="D59" s="5">
        <v>843.42000000000007</v>
      </c>
      <c r="E59" s="5">
        <v>1118.6300000000003</v>
      </c>
      <c r="F59" s="5">
        <v>889.55000000000007</v>
      </c>
      <c r="G59" s="5">
        <v>760.21</v>
      </c>
      <c r="H59" s="5">
        <v>1091.8</v>
      </c>
      <c r="I59" s="5">
        <v>619.78</v>
      </c>
      <c r="J59" s="5">
        <v>696.85000000000014</v>
      </c>
      <c r="K59" s="5">
        <v>687.25000000000011</v>
      </c>
      <c r="L59" s="5">
        <v>1066.98</v>
      </c>
      <c r="M59" s="5">
        <v>787.81000000000006</v>
      </c>
    </row>
    <row r="60" spans="1:13" x14ac:dyDescent="0.3">
      <c r="A60" s="17" t="s">
        <v>191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159.91999999999999</v>
      </c>
      <c r="I60" s="5">
        <v>79.959999999999994</v>
      </c>
      <c r="J60" s="5">
        <v>79.959999999999994</v>
      </c>
      <c r="K60" s="5">
        <v>59.97</v>
      </c>
      <c r="L60" s="5">
        <v>159.91999999999999</v>
      </c>
      <c r="M60" s="5">
        <v>109.95</v>
      </c>
    </row>
    <row r="61" spans="1:13" x14ac:dyDescent="0.3">
      <c r="A61" s="17" t="s">
        <v>91</v>
      </c>
      <c r="B61" s="5">
        <v>71.459999999999994</v>
      </c>
      <c r="C61" s="5">
        <v>24.569999999999993</v>
      </c>
      <c r="D61" s="5">
        <v>77.230000000000018</v>
      </c>
      <c r="E61" s="5">
        <v>27.97999999999999</v>
      </c>
      <c r="F61" s="5">
        <v>0</v>
      </c>
      <c r="G61" s="5">
        <v>20.58</v>
      </c>
      <c r="H61" s="5">
        <v>44.55</v>
      </c>
      <c r="I61" s="5">
        <v>75.91</v>
      </c>
      <c r="J61" s="5">
        <v>48.45</v>
      </c>
      <c r="K61" s="5">
        <v>7.59</v>
      </c>
      <c r="L61" s="5">
        <v>85.42</v>
      </c>
      <c r="M61" s="5">
        <v>7.99</v>
      </c>
    </row>
    <row r="62" spans="1:13" x14ac:dyDescent="0.3">
      <c r="A62" s="17" t="s">
        <v>92</v>
      </c>
      <c r="B62" s="5">
        <v>799.60000000000014</v>
      </c>
      <c r="C62" s="5">
        <v>679.65999999999985</v>
      </c>
      <c r="D62" s="5">
        <v>679.66000000000008</v>
      </c>
      <c r="E62" s="5">
        <v>1039.4800000000002</v>
      </c>
      <c r="F62" s="5">
        <v>859.57</v>
      </c>
      <c r="G62" s="5">
        <v>739.63</v>
      </c>
      <c r="H62" s="5">
        <v>869.59</v>
      </c>
      <c r="I62" s="5">
        <v>439.78</v>
      </c>
      <c r="J62" s="5">
        <v>539.73</v>
      </c>
      <c r="K62" s="5">
        <v>619.69000000000005</v>
      </c>
      <c r="L62" s="5">
        <v>801.6</v>
      </c>
      <c r="M62" s="5">
        <v>659.7</v>
      </c>
    </row>
    <row r="63" spans="1:13" x14ac:dyDescent="0.3">
      <c r="A63" s="17" t="s">
        <v>93</v>
      </c>
      <c r="B63" s="5">
        <v>41.9</v>
      </c>
      <c r="C63" s="5">
        <v>52.46</v>
      </c>
      <c r="D63" s="5">
        <v>86.53</v>
      </c>
      <c r="E63" s="5">
        <v>51.169999999999987</v>
      </c>
      <c r="F63" s="5">
        <v>29.98</v>
      </c>
      <c r="G63" s="5">
        <v>0</v>
      </c>
      <c r="H63" s="5">
        <v>17.739999999999998</v>
      </c>
      <c r="I63" s="5">
        <v>24.13</v>
      </c>
      <c r="J63" s="5">
        <v>28.71</v>
      </c>
      <c r="K63" s="5">
        <v>0</v>
      </c>
      <c r="L63" s="5">
        <v>20.04</v>
      </c>
      <c r="M63" s="5">
        <v>10.17</v>
      </c>
    </row>
    <row r="64" spans="1:13" x14ac:dyDescent="0.3">
      <c r="A64" t="s">
        <v>4</v>
      </c>
      <c r="B64" s="5">
        <v>2432</v>
      </c>
      <c r="C64" s="5">
        <v>2907.6000000000004</v>
      </c>
      <c r="D64" s="5">
        <v>3362.87</v>
      </c>
      <c r="E64" s="5">
        <v>3467.6000000000004</v>
      </c>
      <c r="F64" s="5">
        <v>3484.3999999999996</v>
      </c>
      <c r="G64" s="5">
        <v>2579.4</v>
      </c>
      <c r="H64" s="5">
        <v>3582.5899999999997</v>
      </c>
      <c r="I64" s="5">
        <v>3282.56</v>
      </c>
      <c r="J64" s="5">
        <v>4286.87</v>
      </c>
      <c r="K64" s="5">
        <v>3879.08</v>
      </c>
      <c r="L64" s="5">
        <v>6080.3</v>
      </c>
      <c r="M64" s="5">
        <v>4984.9799999999996</v>
      </c>
    </row>
    <row r="65" spans="1:13" x14ac:dyDescent="0.3">
      <c r="A65" s="17" t="s">
        <v>94</v>
      </c>
      <c r="B65" s="5">
        <v>25</v>
      </c>
      <c r="C65" s="5">
        <v>50</v>
      </c>
      <c r="D65" s="5">
        <v>150</v>
      </c>
      <c r="E65" s="5">
        <v>275</v>
      </c>
      <c r="F65" s="5">
        <v>100</v>
      </c>
      <c r="G65" s="5">
        <v>125</v>
      </c>
      <c r="H65" s="5">
        <v>50</v>
      </c>
      <c r="I65" s="5">
        <v>50</v>
      </c>
      <c r="J65" s="5">
        <v>125</v>
      </c>
      <c r="K65" s="5">
        <v>0</v>
      </c>
      <c r="L65" s="5">
        <v>50</v>
      </c>
      <c r="M65" s="5">
        <v>25</v>
      </c>
    </row>
    <row r="66" spans="1:13" x14ac:dyDescent="0.3">
      <c r="A66" s="17" t="s">
        <v>247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108.8</v>
      </c>
      <c r="M66" s="5">
        <v>99</v>
      </c>
    </row>
    <row r="67" spans="1:13" x14ac:dyDescent="0.3">
      <c r="A67" s="17" t="s">
        <v>95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160</v>
      </c>
      <c r="I67" s="5">
        <v>21.61</v>
      </c>
      <c r="J67" s="5">
        <v>75.22</v>
      </c>
      <c r="K67" s="5">
        <v>64.83</v>
      </c>
      <c r="L67" s="5">
        <v>108.05</v>
      </c>
      <c r="M67" s="5">
        <v>131.83000000000001</v>
      </c>
    </row>
    <row r="68" spans="1:13" x14ac:dyDescent="0.3">
      <c r="A68" s="17" t="s">
        <v>212</v>
      </c>
      <c r="B68" s="5">
        <v>0</v>
      </c>
      <c r="C68" s="5">
        <v>210</v>
      </c>
      <c r="D68" s="5">
        <v>0</v>
      </c>
      <c r="E68" s="5">
        <v>0</v>
      </c>
      <c r="F68" s="5">
        <v>530</v>
      </c>
      <c r="G68" s="5">
        <v>0</v>
      </c>
      <c r="H68" s="5">
        <v>0</v>
      </c>
      <c r="I68" s="5">
        <v>210</v>
      </c>
      <c r="J68" s="5">
        <v>210</v>
      </c>
      <c r="K68" s="5">
        <v>880</v>
      </c>
      <c r="L68" s="5">
        <v>330</v>
      </c>
      <c r="M68" s="5">
        <v>556.85</v>
      </c>
    </row>
    <row r="69" spans="1:13" x14ac:dyDescent="0.3">
      <c r="A69" s="17" t="s">
        <v>96</v>
      </c>
      <c r="B69" s="5">
        <v>0</v>
      </c>
      <c r="C69" s="5">
        <v>0</v>
      </c>
      <c r="D69" s="5">
        <v>720.75</v>
      </c>
      <c r="E69" s="5">
        <v>0</v>
      </c>
      <c r="F69" s="5">
        <v>321.2</v>
      </c>
      <c r="G69" s="5">
        <v>0</v>
      </c>
      <c r="H69" s="5">
        <v>30</v>
      </c>
      <c r="I69" s="5">
        <v>407.35</v>
      </c>
      <c r="J69" s="5">
        <v>676.1</v>
      </c>
      <c r="K69" s="5">
        <v>0</v>
      </c>
      <c r="L69" s="5">
        <v>1840</v>
      </c>
      <c r="M69" s="5">
        <v>180</v>
      </c>
    </row>
    <row r="70" spans="1:13" x14ac:dyDescent="0.3">
      <c r="A70" s="17" t="s">
        <v>213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-303.61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x14ac:dyDescent="0.3">
      <c r="A71" s="17" t="s">
        <v>97</v>
      </c>
      <c r="B71" s="5">
        <v>30</v>
      </c>
      <c r="C71" s="5">
        <v>60</v>
      </c>
      <c r="D71" s="5">
        <v>50</v>
      </c>
      <c r="E71" s="5">
        <v>40</v>
      </c>
      <c r="F71" s="5">
        <v>40</v>
      </c>
      <c r="G71" s="5">
        <v>50</v>
      </c>
      <c r="H71" s="5">
        <v>60</v>
      </c>
      <c r="I71" s="5">
        <v>40</v>
      </c>
      <c r="J71" s="5">
        <v>50</v>
      </c>
      <c r="K71" s="5">
        <v>60</v>
      </c>
      <c r="L71" s="5">
        <v>80</v>
      </c>
      <c r="M71" s="5">
        <v>120</v>
      </c>
    </row>
    <row r="72" spans="1:13" x14ac:dyDescent="0.3">
      <c r="A72" s="17" t="s">
        <v>98</v>
      </c>
      <c r="B72" s="5">
        <v>740.5</v>
      </c>
      <c r="C72" s="5">
        <v>788.60000000000014</v>
      </c>
      <c r="D72" s="5">
        <v>762.61999999999989</v>
      </c>
      <c r="E72" s="5">
        <v>989.10000000000036</v>
      </c>
      <c r="F72" s="5">
        <v>842.9</v>
      </c>
      <c r="G72" s="5">
        <v>978.4</v>
      </c>
      <c r="H72" s="5">
        <v>1580.35</v>
      </c>
      <c r="I72" s="5">
        <v>1421.1</v>
      </c>
      <c r="J72" s="5">
        <v>1497.55</v>
      </c>
      <c r="K72" s="5">
        <v>1474.75</v>
      </c>
      <c r="L72" s="5">
        <v>1769.45</v>
      </c>
      <c r="M72" s="5">
        <v>1826.4</v>
      </c>
    </row>
    <row r="73" spans="1:13" x14ac:dyDescent="0.3">
      <c r="A73" s="17" t="s">
        <v>99</v>
      </c>
      <c r="B73" s="5">
        <v>244.5</v>
      </c>
      <c r="C73" s="5">
        <v>378</v>
      </c>
      <c r="D73" s="5">
        <v>244.5</v>
      </c>
      <c r="E73" s="5">
        <v>307.5</v>
      </c>
      <c r="F73" s="5">
        <v>181.5</v>
      </c>
      <c r="G73" s="5">
        <v>237</v>
      </c>
      <c r="H73" s="5">
        <v>729.85</v>
      </c>
      <c r="I73" s="5">
        <v>248.5</v>
      </c>
      <c r="J73" s="5">
        <v>363</v>
      </c>
      <c r="K73" s="5">
        <v>384.5</v>
      </c>
      <c r="L73" s="5">
        <v>489</v>
      </c>
      <c r="M73" s="5">
        <v>726.9</v>
      </c>
    </row>
    <row r="74" spans="1:13" x14ac:dyDescent="0.3">
      <c r="A74" s="17" t="s">
        <v>100</v>
      </c>
      <c r="B74" s="5">
        <v>0</v>
      </c>
      <c r="C74" s="5">
        <v>0</v>
      </c>
      <c r="D74" s="5">
        <v>130</v>
      </c>
      <c r="E74" s="5">
        <v>0</v>
      </c>
      <c r="F74" s="5">
        <v>18.8</v>
      </c>
      <c r="G74" s="5">
        <v>0</v>
      </c>
      <c r="H74" s="5">
        <v>0</v>
      </c>
      <c r="I74" s="5">
        <v>130</v>
      </c>
      <c r="J74" s="5">
        <v>130</v>
      </c>
      <c r="K74" s="5">
        <v>0</v>
      </c>
      <c r="L74" s="5">
        <v>0</v>
      </c>
      <c r="M74" s="5">
        <v>130</v>
      </c>
    </row>
    <row r="75" spans="1:13" x14ac:dyDescent="0.3">
      <c r="A75" s="17" t="s">
        <v>101</v>
      </c>
      <c r="B75" s="5">
        <v>1392</v>
      </c>
      <c r="C75" s="5">
        <v>1421</v>
      </c>
      <c r="D75" s="5">
        <v>1305</v>
      </c>
      <c r="E75" s="5">
        <v>1856</v>
      </c>
      <c r="F75" s="5">
        <v>1450</v>
      </c>
      <c r="G75" s="5">
        <v>1189</v>
      </c>
      <c r="H75" s="5">
        <v>1276</v>
      </c>
      <c r="I75" s="5">
        <v>754</v>
      </c>
      <c r="J75" s="5">
        <v>1160</v>
      </c>
      <c r="K75" s="5">
        <v>1015</v>
      </c>
      <c r="L75" s="5">
        <v>1305</v>
      </c>
      <c r="M75" s="5">
        <v>1189</v>
      </c>
    </row>
    <row r="76" spans="1:13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t="s">
        <v>14</v>
      </c>
      <c r="B77" s="5">
        <v>299</v>
      </c>
      <c r="C77" s="5">
        <v>299</v>
      </c>
      <c r="D77" s="5">
        <v>299</v>
      </c>
      <c r="E77" s="5">
        <v>299.55</v>
      </c>
      <c r="F77" s="5">
        <v>300.86</v>
      </c>
      <c r="G77" s="5">
        <v>299</v>
      </c>
      <c r="H77" s="5">
        <v>299</v>
      </c>
      <c r="I77" s="5">
        <v>300.83</v>
      </c>
      <c r="J77" s="5">
        <v>299</v>
      </c>
      <c r="K77" s="5">
        <v>299</v>
      </c>
      <c r="L77" s="5">
        <v>300.81</v>
      </c>
      <c r="M77" s="5">
        <v>299</v>
      </c>
    </row>
    <row r="78" spans="1:13" x14ac:dyDescent="0.3">
      <c r="A78" s="17" t="s">
        <v>104</v>
      </c>
      <c r="B78" s="5">
        <v>0</v>
      </c>
      <c r="C78" s="5">
        <v>0</v>
      </c>
      <c r="D78" s="5">
        <v>0</v>
      </c>
      <c r="E78" s="5">
        <v>0.55000000000000004</v>
      </c>
      <c r="F78" s="5">
        <v>1.86</v>
      </c>
      <c r="G78" s="5">
        <v>0</v>
      </c>
      <c r="H78" s="5">
        <v>0</v>
      </c>
      <c r="I78" s="5">
        <v>1.83</v>
      </c>
      <c r="J78" s="5">
        <v>0</v>
      </c>
      <c r="K78" s="5">
        <v>0</v>
      </c>
      <c r="L78" s="5">
        <v>1.81</v>
      </c>
      <c r="M78" s="5">
        <v>0</v>
      </c>
    </row>
    <row r="79" spans="1:13" x14ac:dyDescent="0.3">
      <c r="A79" s="17" t="s">
        <v>105</v>
      </c>
      <c r="B79" s="5">
        <v>299</v>
      </c>
      <c r="C79" s="5">
        <v>299</v>
      </c>
      <c r="D79" s="5">
        <v>299</v>
      </c>
      <c r="E79" s="5">
        <v>299</v>
      </c>
      <c r="F79" s="5">
        <v>299</v>
      </c>
      <c r="G79" s="5">
        <v>299</v>
      </c>
      <c r="H79" s="5">
        <v>299</v>
      </c>
      <c r="I79" s="5">
        <v>299</v>
      </c>
      <c r="J79" s="5">
        <v>299</v>
      </c>
      <c r="K79" s="5">
        <v>299</v>
      </c>
      <c r="L79" s="5">
        <v>299</v>
      </c>
      <c r="M79" s="5">
        <v>299</v>
      </c>
    </row>
    <row r="80" spans="1:13" x14ac:dyDescent="0.3">
      <c r="A80" t="s">
        <v>17</v>
      </c>
      <c r="B80" s="5">
        <v>549</v>
      </c>
      <c r="C80" s="5">
        <v>549</v>
      </c>
      <c r="D80" s="5">
        <v>549</v>
      </c>
      <c r="E80" s="5">
        <v>549</v>
      </c>
      <c r="F80" s="5">
        <v>549</v>
      </c>
      <c r="G80" s="5">
        <v>549</v>
      </c>
      <c r="H80" s="5">
        <v>549</v>
      </c>
      <c r="I80" s="5">
        <v>549</v>
      </c>
      <c r="J80" s="5">
        <v>549</v>
      </c>
      <c r="K80" s="5">
        <v>549</v>
      </c>
      <c r="L80" s="5">
        <v>549</v>
      </c>
      <c r="M80" s="5">
        <v>549</v>
      </c>
    </row>
    <row r="81" spans="1:13" x14ac:dyDescent="0.3">
      <c r="A81" s="17" t="s">
        <v>106</v>
      </c>
      <c r="B81" s="5">
        <v>549</v>
      </c>
      <c r="C81" s="5">
        <v>549</v>
      </c>
      <c r="D81" s="5">
        <v>549</v>
      </c>
      <c r="E81" s="5">
        <v>549</v>
      </c>
      <c r="F81" s="5">
        <v>549</v>
      </c>
      <c r="G81" s="5">
        <v>549</v>
      </c>
      <c r="H81" s="5">
        <v>549</v>
      </c>
      <c r="I81" s="5">
        <v>549</v>
      </c>
      <c r="J81" s="5">
        <v>549</v>
      </c>
      <c r="K81" s="5">
        <v>549</v>
      </c>
      <c r="L81" s="5">
        <v>549</v>
      </c>
      <c r="M81" s="5">
        <v>549</v>
      </c>
    </row>
    <row r="82" spans="1:13" x14ac:dyDescent="0.3">
      <c r="A82" t="s">
        <v>15</v>
      </c>
      <c r="B82" s="5">
        <v>1754.77</v>
      </c>
      <c r="C82" s="5">
        <v>2058.87</v>
      </c>
      <c r="D82" s="5">
        <v>2286.1799999999998</v>
      </c>
      <c r="E82" s="5">
        <v>2694.28</v>
      </c>
      <c r="F82" s="5">
        <v>2709.73</v>
      </c>
      <c r="G82" s="5">
        <v>2950.41</v>
      </c>
      <c r="H82" s="5">
        <v>3144.77</v>
      </c>
      <c r="I82" s="5">
        <v>3149.43</v>
      </c>
      <c r="J82" s="5">
        <v>3536.17</v>
      </c>
      <c r="K82" s="5">
        <v>3345.34</v>
      </c>
      <c r="L82" s="5">
        <v>3636.85</v>
      </c>
      <c r="M82" s="5">
        <v>3727.71</v>
      </c>
    </row>
    <row r="83" spans="1:13" x14ac:dyDescent="0.3">
      <c r="A83" s="17" t="s">
        <v>103</v>
      </c>
      <c r="B83" s="5">
        <v>1754.77</v>
      </c>
      <c r="C83" s="5">
        <v>2058.87</v>
      </c>
      <c r="D83" s="5">
        <v>2286.1799999999998</v>
      </c>
      <c r="E83" s="5">
        <v>2694.28</v>
      </c>
      <c r="F83" s="5">
        <v>2709.73</v>
      </c>
      <c r="G83" s="5">
        <v>2950.41</v>
      </c>
      <c r="H83" s="5">
        <v>3144.77</v>
      </c>
      <c r="I83" s="5">
        <v>3149.43</v>
      </c>
      <c r="J83" s="5">
        <v>3536.17</v>
      </c>
      <c r="K83" s="5">
        <v>3345.34</v>
      </c>
      <c r="L83" s="5">
        <v>3636.85</v>
      </c>
      <c r="M83" s="5">
        <v>3727.71</v>
      </c>
    </row>
    <row r="84" spans="1:13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t="s">
        <v>19</v>
      </c>
      <c r="B85" s="5">
        <v>352.63</v>
      </c>
      <c r="C85" s="5">
        <v>212.59000000000009</v>
      </c>
      <c r="D85" s="5">
        <v>288.37999999999994</v>
      </c>
      <c r="E85" s="5">
        <v>351.81999999999994</v>
      </c>
      <c r="F85" s="5">
        <v>237.58</v>
      </c>
      <c r="G85" s="5">
        <v>182.07</v>
      </c>
      <c r="H85" s="5">
        <v>418.25</v>
      </c>
      <c r="I85" s="5">
        <v>275.06</v>
      </c>
      <c r="J85" s="5">
        <v>299.7</v>
      </c>
      <c r="K85" s="5">
        <v>243.02</v>
      </c>
      <c r="L85" s="5">
        <v>476.18999999999994</v>
      </c>
      <c r="M85" s="5">
        <v>359.28000000000003</v>
      </c>
    </row>
    <row r="86" spans="1:13" x14ac:dyDescent="0.3">
      <c r="A86" s="17" t="s">
        <v>192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159.91999999999999</v>
      </c>
      <c r="I86" s="5">
        <v>79.959999999999994</v>
      </c>
      <c r="J86" s="5">
        <v>79.959999999999994</v>
      </c>
      <c r="K86" s="5">
        <v>59.97</v>
      </c>
      <c r="L86" s="5">
        <v>159.91999999999999</v>
      </c>
      <c r="M86" s="5">
        <v>109.95</v>
      </c>
    </row>
    <row r="87" spans="1:13" x14ac:dyDescent="0.3">
      <c r="A87" s="17" t="s">
        <v>214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x14ac:dyDescent="0.3">
      <c r="A88" s="17" t="s">
        <v>108</v>
      </c>
      <c r="B88" s="5">
        <v>86.359999999999985</v>
      </c>
      <c r="C88" s="5">
        <v>-25.399999999999977</v>
      </c>
      <c r="D88" s="5">
        <v>0</v>
      </c>
      <c r="E88" s="5">
        <v>0</v>
      </c>
      <c r="F88" s="5">
        <v>-5.08</v>
      </c>
      <c r="G88" s="5">
        <v>-35.56</v>
      </c>
      <c r="H88" s="5">
        <v>-25.4</v>
      </c>
      <c r="I88" s="5">
        <v>-5.08</v>
      </c>
      <c r="J88" s="5">
        <v>10.16</v>
      </c>
      <c r="K88" s="5">
        <v>5.08</v>
      </c>
      <c r="L88" s="5">
        <v>10.16</v>
      </c>
      <c r="M88" s="5">
        <v>35.56</v>
      </c>
    </row>
    <row r="89" spans="1:13" x14ac:dyDescent="0.3">
      <c r="A89" s="17" t="s">
        <v>109</v>
      </c>
      <c r="B89" s="5">
        <v>-15.25</v>
      </c>
      <c r="C89" s="5">
        <v>3.680000000000001</v>
      </c>
      <c r="D89" s="5">
        <v>0</v>
      </c>
      <c r="E89" s="5">
        <v>2.5299999999999989</v>
      </c>
      <c r="F89" s="5">
        <v>0</v>
      </c>
      <c r="G89" s="5">
        <v>-3.21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 x14ac:dyDescent="0.3">
      <c r="A90" s="17" t="s">
        <v>110</v>
      </c>
      <c r="B90" s="5">
        <v>0</v>
      </c>
      <c r="C90" s="5">
        <v>0</v>
      </c>
      <c r="D90" s="5">
        <v>-10.18</v>
      </c>
      <c r="E90" s="5">
        <v>5.09</v>
      </c>
      <c r="F90" s="5">
        <v>0</v>
      </c>
      <c r="G90" s="5">
        <v>8.36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17.13</v>
      </c>
    </row>
    <row r="91" spans="1:13" x14ac:dyDescent="0.3">
      <c r="A91" s="17" t="s">
        <v>111</v>
      </c>
      <c r="B91" s="5">
        <v>47.14</v>
      </c>
      <c r="C91" s="5">
        <v>16.310000000000002</v>
      </c>
      <c r="D91" s="5">
        <v>58.199999999999989</v>
      </c>
      <c r="E91" s="5">
        <v>24.03</v>
      </c>
      <c r="F91" s="5">
        <v>0</v>
      </c>
      <c r="G91" s="5">
        <v>14.36</v>
      </c>
      <c r="H91" s="5">
        <v>22.97</v>
      </c>
      <c r="I91" s="5">
        <v>46.27</v>
      </c>
      <c r="J91" s="5">
        <v>29.6</v>
      </c>
      <c r="K91" s="5">
        <v>5.25</v>
      </c>
      <c r="L91" s="5">
        <v>53.35</v>
      </c>
      <c r="M91" s="5">
        <v>6.17</v>
      </c>
    </row>
    <row r="92" spans="1:13" x14ac:dyDescent="0.3">
      <c r="A92" s="17" t="s">
        <v>112</v>
      </c>
      <c r="B92" s="5">
        <v>203.2</v>
      </c>
      <c r="C92" s="5">
        <v>182.88000000000005</v>
      </c>
      <c r="D92" s="5">
        <v>177.79999999999995</v>
      </c>
      <c r="E92" s="5">
        <v>284.4799999999999</v>
      </c>
      <c r="F92" s="5">
        <v>218.44</v>
      </c>
      <c r="G92" s="5">
        <v>198.12</v>
      </c>
      <c r="H92" s="5">
        <v>248.92</v>
      </c>
      <c r="I92" s="5">
        <v>137.16</v>
      </c>
      <c r="J92" s="5">
        <v>157.47999999999999</v>
      </c>
      <c r="K92" s="5">
        <v>172.72</v>
      </c>
      <c r="L92" s="5">
        <v>238.76</v>
      </c>
      <c r="M92" s="5">
        <v>182.88</v>
      </c>
    </row>
    <row r="93" spans="1:13" x14ac:dyDescent="0.3">
      <c r="A93" s="17" t="s">
        <v>113</v>
      </c>
      <c r="B93" s="5">
        <v>31.18</v>
      </c>
      <c r="C93" s="5">
        <v>35.119999999999997</v>
      </c>
      <c r="D93" s="5">
        <v>62.559999999999988</v>
      </c>
      <c r="E93" s="5">
        <v>35.690000000000026</v>
      </c>
      <c r="F93" s="5">
        <v>24.22</v>
      </c>
      <c r="G93" s="5">
        <v>0</v>
      </c>
      <c r="H93" s="5">
        <v>11.84</v>
      </c>
      <c r="I93" s="5">
        <v>16.75</v>
      </c>
      <c r="J93" s="5">
        <v>22.5</v>
      </c>
      <c r="K93" s="5">
        <v>0</v>
      </c>
      <c r="L93" s="5">
        <v>14</v>
      </c>
      <c r="M93" s="5">
        <v>7.59</v>
      </c>
    </row>
    <row r="94" spans="1:13" x14ac:dyDescent="0.3">
      <c r="A94" t="s">
        <v>20</v>
      </c>
      <c r="B94" s="5">
        <v>7395.5700000000015</v>
      </c>
      <c r="C94" s="5">
        <v>5933.7699999999995</v>
      </c>
      <c r="D94" s="5">
        <v>7055.4400000000014</v>
      </c>
      <c r="E94" s="5">
        <v>8709.83</v>
      </c>
      <c r="F94" s="5">
        <v>8544.9500000000007</v>
      </c>
      <c r="G94" s="5">
        <v>7756.3999999999987</v>
      </c>
      <c r="H94" s="5">
        <v>8621.5500000000011</v>
      </c>
      <c r="I94" s="5">
        <v>8103.48</v>
      </c>
      <c r="J94" s="5">
        <v>6491.0899999999983</v>
      </c>
      <c r="K94" s="5">
        <v>6675.98</v>
      </c>
      <c r="L94" s="5">
        <v>7406.7300000000014</v>
      </c>
      <c r="M94" s="5">
        <v>6871.5000000000009</v>
      </c>
    </row>
    <row r="95" spans="1:13" x14ac:dyDescent="0.3">
      <c r="A95" s="17" t="s">
        <v>114</v>
      </c>
      <c r="B95" s="5">
        <v>2150.5100000000002</v>
      </c>
      <c r="C95" s="5">
        <v>2787.97</v>
      </c>
      <c r="D95" s="5">
        <v>3063.3700000000008</v>
      </c>
      <c r="E95" s="5">
        <v>3072.5599999999995</v>
      </c>
      <c r="F95" s="5">
        <v>3127.92</v>
      </c>
      <c r="G95" s="5">
        <v>2887.71</v>
      </c>
      <c r="H95" s="5">
        <v>2547.7199999999998</v>
      </c>
      <c r="I95" s="5">
        <v>2950.87</v>
      </c>
      <c r="J95" s="5">
        <v>3280.29</v>
      </c>
      <c r="K95" s="5">
        <v>3397.21</v>
      </c>
      <c r="L95" s="5">
        <v>3017.85</v>
      </c>
      <c r="M95" s="5">
        <v>2575.0100000000002</v>
      </c>
    </row>
    <row r="96" spans="1:13" x14ac:dyDescent="0.3">
      <c r="A96" s="17" t="s">
        <v>115</v>
      </c>
      <c r="B96" s="5">
        <v>4061.52</v>
      </c>
      <c r="C96" s="5">
        <v>1433.7200000000005</v>
      </c>
      <c r="D96" s="5">
        <v>1895.3500000000004</v>
      </c>
      <c r="E96" s="5">
        <v>3127.2099999999991</v>
      </c>
      <c r="F96" s="5">
        <v>2793.04</v>
      </c>
      <c r="G96" s="5">
        <v>2278.4499999999998</v>
      </c>
      <c r="H96" s="5">
        <v>3709.82</v>
      </c>
      <c r="I96" s="5">
        <v>2344.7399999999998</v>
      </c>
      <c r="J96" s="5">
        <v>755.62</v>
      </c>
      <c r="K96" s="5">
        <v>408.02</v>
      </c>
      <c r="L96" s="5">
        <v>1274.4000000000001</v>
      </c>
      <c r="M96" s="5">
        <v>1552.76</v>
      </c>
    </row>
    <row r="97" spans="1:13" x14ac:dyDescent="0.3">
      <c r="A97" s="17" t="s">
        <v>116</v>
      </c>
      <c r="B97" s="5">
        <v>0</v>
      </c>
      <c r="C97" s="5">
        <v>-129.28</v>
      </c>
      <c r="D97" s="5">
        <v>0</v>
      </c>
      <c r="E97" s="5">
        <v>0</v>
      </c>
      <c r="F97" s="5">
        <v>-35.26</v>
      </c>
      <c r="G97" s="5">
        <v>0</v>
      </c>
      <c r="H97" s="5">
        <v>0</v>
      </c>
      <c r="I97" s="5">
        <v>-38.869999999999997</v>
      </c>
      <c r="J97" s="5">
        <v>0</v>
      </c>
      <c r="K97" s="5">
        <v>0</v>
      </c>
      <c r="L97" s="5">
        <v>180.03</v>
      </c>
      <c r="M97" s="5">
        <v>0</v>
      </c>
    </row>
    <row r="98" spans="1:13" x14ac:dyDescent="0.3">
      <c r="A98" s="17" t="s">
        <v>117</v>
      </c>
      <c r="B98" s="5">
        <v>39.14</v>
      </c>
      <c r="C98" s="5">
        <v>16.329999999999998</v>
      </c>
      <c r="D98" s="5">
        <v>45.350000000000009</v>
      </c>
      <c r="E98" s="5">
        <v>54.539999999999992</v>
      </c>
      <c r="F98" s="5">
        <v>23.28</v>
      </c>
      <c r="G98" s="5">
        <v>27.31</v>
      </c>
      <c r="H98" s="5">
        <v>20.190000000000001</v>
      </c>
      <c r="I98" s="5">
        <v>273.14</v>
      </c>
      <c r="J98" s="5">
        <v>74.760000000000005</v>
      </c>
      <c r="K98" s="5">
        <v>501.58</v>
      </c>
      <c r="L98" s="5">
        <v>234.5</v>
      </c>
      <c r="M98" s="5">
        <v>10.130000000000001</v>
      </c>
    </row>
    <row r="99" spans="1:13" x14ac:dyDescent="0.3">
      <c r="A99" s="17" t="s">
        <v>118</v>
      </c>
      <c r="B99" s="5">
        <v>0</v>
      </c>
      <c r="C99" s="5">
        <v>121.29</v>
      </c>
      <c r="D99" s="5">
        <v>68.809999999999988</v>
      </c>
      <c r="E99" s="5">
        <v>66.500000000000028</v>
      </c>
      <c r="F99" s="5">
        <v>64.78</v>
      </c>
      <c r="G99" s="5">
        <v>60.86</v>
      </c>
      <c r="H99" s="5">
        <v>76.3</v>
      </c>
      <c r="I99" s="5">
        <v>78.08</v>
      </c>
      <c r="J99" s="5">
        <v>51.47</v>
      </c>
      <c r="K99" s="5">
        <v>73.150000000000006</v>
      </c>
      <c r="L99" s="5">
        <v>67.72</v>
      </c>
      <c r="M99" s="5">
        <v>68.150000000000006</v>
      </c>
    </row>
    <row r="100" spans="1:13" x14ac:dyDescent="0.3">
      <c r="A100" s="17" t="s">
        <v>119</v>
      </c>
      <c r="B100" s="5">
        <v>0</v>
      </c>
      <c r="C100" s="5">
        <v>42.04</v>
      </c>
      <c r="D100" s="5">
        <v>38.529999999999994</v>
      </c>
      <c r="E100" s="5">
        <v>40.120000000000005</v>
      </c>
      <c r="F100" s="5">
        <v>38.799999999999997</v>
      </c>
      <c r="G100" s="5">
        <v>37.57</v>
      </c>
      <c r="H100" s="5">
        <v>40.69</v>
      </c>
      <c r="I100" s="5">
        <v>41.15</v>
      </c>
      <c r="J100" s="5">
        <v>36.32</v>
      </c>
      <c r="K100" s="5">
        <v>35.47</v>
      </c>
      <c r="L100" s="5">
        <v>33.590000000000003</v>
      </c>
      <c r="M100" s="5">
        <v>36.229999999999997</v>
      </c>
    </row>
    <row r="101" spans="1:13" x14ac:dyDescent="0.3">
      <c r="A101" s="17" t="s">
        <v>120</v>
      </c>
      <c r="B101" s="5">
        <v>0</v>
      </c>
      <c r="C101" s="5">
        <v>67.900000000000006</v>
      </c>
      <c r="D101" s="5">
        <v>116.98999999999998</v>
      </c>
      <c r="E101" s="5">
        <v>74.259999999999991</v>
      </c>
      <c r="F101" s="5">
        <v>177.96</v>
      </c>
      <c r="G101" s="5">
        <v>213.79</v>
      </c>
      <c r="H101" s="5">
        <v>94.51</v>
      </c>
      <c r="I101" s="5">
        <v>155.88999999999999</v>
      </c>
      <c r="J101" s="5">
        <v>123.53</v>
      </c>
      <c r="K101" s="5">
        <v>105.1</v>
      </c>
      <c r="L101" s="5">
        <v>131.29</v>
      </c>
      <c r="M101" s="5">
        <v>168.1</v>
      </c>
    </row>
    <row r="102" spans="1:13" x14ac:dyDescent="0.3">
      <c r="A102" s="17" t="s">
        <v>121</v>
      </c>
      <c r="B102" s="5">
        <v>0</v>
      </c>
      <c r="C102" s="5">
        <v>51.05</v>
      </c>
      <c r="D102" s="5">
        <v>39.67</v>
      </c>
      <c r="E102" s="5">
        <v>143.47</v>
      </c>
      <c r="F102" s="5">
        <v>42.81</v>
      </c>
      <c r="G102" s="5">
        <v>56.8</v>
      </c>
      <c r="H102" s="5">
        <v>86.56</v>
      </c>
      <c r="I102" s="5">
        <v>74.88</v>
      </c>
      <c r="J102" s="5">
        <v>80.94</v>
      </c>
      <c r="K102" s="5">
        <v>67.48</v>
      </c>
      <c r="L102" s="5">
        <v>25.91</v>
      </c>
      <c r="M102" s="5">
        <v>63.27</v>
      </c>
    </row>
    <row r="103" spans="1:13" x14ac:dyDescent="0.3">
      <c r="A103" s="17" t="s">
        <v>248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37.909999999999997</v>
      </c>
      <c r="J103" s="5">
        <v>0</v>
      </c>
      <c r="K103" s="5">
        <v>0</v>
      </c>
      <c r="L103" s="5">
        <v>0</v>
      </c>
      <c r="M103" s="5">
        <v>6.5</v>
      </c>
    </row>
    <row r="104" spans="1:13" x14ac:dyDescent="0.3">
      <c r="A104" s="17" t="s">
        <v>249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183.22</v>
      </c>
      <c r="M104" s="5">
        <v>0</v>
      </c>
    </row>
    <row r="105" spans="1:13" x14ac:dyDescent="0.3">
      <c r="A105" s="17" t="s">
        <v>193</v>
      </c>
      <c r="B105" s="5">
        <v>0</v>
      </c>
      <c r="C105" s="5">
        <v>0</v>
      </c>
      <c r="D105" s="5">
        <v>48.91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4.8499999999999996</v>
      </c>
      <c r="L105" s="5">
        <v>0</v>
      </c>
      <c r="M105" s="5">
        <v>171.28</v>
      </c>
    </row>
    <row r="106" spans="1:13" x14ac:dyDescent="0.3">
      <c r="A106" s="17" t="s">
        <v>162</v>
      </c>
      <c r="B106" s="5">
        <v>133.76999999999998</v>
      </c>
      <c r="C106" s="5">
        <v>994.79</v>
      </c>
      <c r="D106" s="5">
        <v>1097.2599999999998</v>
      </c>
      <c r="E106" s="5">
        <v>1104.7200000000005</v>
      </c>
      <c r="F106" s="5">
        <v>1111.6099999999999</v>
      </c>
      <c r="G106" s="5">
        <v>1045.03</v>
      </c>
      <c r="H106" s="5">
        <v>809.17</v>
      </c>
      <c r="I106" s="5">
        <v>1043.9100000000001</v>
      </c>
      <c r="J106" s="5">
        <v>1106.03</v>
      </c>
      <c r="K106" s="5">
        <v>1061.6600000000001</v>
      </c>
      <c r="L106" s="5">
        <v>902.88</v>
      </c>
      <c r="M106" s="5">
        <v>931.66</v>
      </c>
    </row>
    <row r="107" spans="1:13" x14ac:dyDescent="0.3">
      <c r="A107" s="17" t="s">
        <v>145</v>
      </c>
      <c r="B107" s="5">
        <v>0</v>
      </c>
      <c r="C107" s="5">
        <v>0.56000000000000005</v>
      </c>
      <c r="D107" s="5">
        <v>3.55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</row>
    <row r="108" spans="1:13" x14ac:dyDescent="0.3">
      <c r="A108" s="17" t="s">
        <v>122</v>
      </c>
      <c r="B108" s="5">
        <v>159.97</v>
      </c>
      <c r="C108" s="5">
        <v>-29.56</v>
      </c>
      <c r="D108" s="5">
        <v>-11.560000000000002</v>
      </c>
      <c r="E108" s="5">
        <v>10.610000000000014</v>
      </c>
      <c r="F108" s="5">
        <v>-15.37</v>
      </c>
      <c r="G108" s="5">
        <v>-4.4400000000000004</v>
      </c>
      <c r="H108" s="5">
        <v>4.58</v>
      </c>
      <c r="I108" s="5">
        <v>-14.65</v>
      </c>
      <c r="J108" s="5">
        <v>0.66</v>
      </c>
      <c r="K108" s="5">
        <v>-1.59</v>
      </c>
      <c r="L108" s="5">
        <v>72.02</v>
      </c>
      <c r="M108" s="5">
        <v>-4.1500000000000004</v>
      </c>
    </row>
    <row r="109" spans="1:13" x14ac:dyDescent="0.3">
      <c r="A109" s="17" t="s">
        <v>123</v>
      </c>
      <c r="B109" s="5">
        <v>316.06000000000006</v>
      </c>
      <c r="C109" s="5">
        <v>240.42999999999995</v>
      </c>
      <c r="D109" s="5">
        <v>289.17000000000007</v>
      </c>
      <c r="E109" s="5">
        <v>366.86999999999989</v>
      </c>
      <c r="F109" s="5">
        <v>347.8</v>
      </c>
      <c r="G109" s="5">
        <v>312.83</v>
      </c>
      <c r="H109" s="5">
        <v>375.73</v>
      </c>
      <c r="I109" s="5">
        <v>331.88</v>
      </c>
      <c r="J109" s="5">
        <v>234.57</v>
      </c>
      <c r="K109" s="5">
        <v>246.53</v>
      </c>
      <c r="L109" s="5">
        <v>274.52</v>
      </c>
      <c r="M109" s="5">
        <v>247.32</v>
      </c>
    </row>
    <row r="110" spans="1:13" x14ac:dyDescent="0.3">
      <c r="A110" s="17" t="s">
        <v>124</v>
      </c>
      <c r="B110" s="5">
        <v>73.930000000000007</v>
      </c>
      <c r="C110" s="5">
        <v>56.22999999999999</v>
      </c>
      <c r="D110" s="5">
        <v>67.640000000000015</v>
      </c>
      <c r="E110" s="5">
        <v>85.789999999999992</v>
      </c>
      <c r="F110" s="5">
        <v>81.349999999999994</v>
      </c>
      <c r="G110" s="5">
        <v>73.17</v>
      </c>
      <c r="H110" s="5">
        <v>87.88</v>
      </c>
      <c r="I110" s="5">
        <v>77.62</v>
      </c>
      <c r="J110" s="5">
        <v>54.86</v>
      </c>
      <c r="K110" s="5">
        <v>57.67</v>
      </c>
      <c r="L110" s="5">
        <v>64.209999999999994</v>
      </c>
      <c r="M110" s="5">
        <v>57.85</v>
      </c>
    </row>
    <row r="111" spans="1:13" x14ac:dyDescent="0.3">
      <c r="A111" s="17" t="s">
        <v>125</v>
      </c>
      <c r="B111" s="5">
        <v>141.06</v>
      </c>
      <c r="C111" s="5">
        <v>15.53</v>
      </c>
      <c r="D111" s="5">
        <v>0.38999999999998602</v>
      </c>
      <c r="E111" s="5">
        <v>0.27000000000003899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24.09</v>
      </c>
      <c r="M111" s="5">
        <v>122.89</v>
      </c>
    </row>
    <row r="112" spans="1:13" x14ac:dyDescent="0.3">
      <c r="A112" s="17" t="s">
        <v>206</v>
      </c>
      <c r="B112" s="5">
        <v>4.88</v>
      </c>
      <c r="C112" s="5">
        <v>0.48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0.84</v>
      </c>
      <c r="M112" s="5">
        <v>3.41</v>
      </c>
    </row>
    <row r="113" spans="1:13" x14ac:dyDescent="0.3">
      <c r="A113" s="17" t="s">
        <v>126</v>
      </c>
      <c r="B113" s="5">
        <v>29.19</v>
      </c>
      <c r="C113" s="5">
        <v>3.2100000000000009</v>
      </c>
      <c r="D113" s="5">
        <v>7.9999999999998003E-2</v>
      </c>
      <c r="E113" s="5">
        <v>6.0000000000002003E-2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111.94</v>
      </c>
      <c r="M113" s="5">
        <v>23.78</v>
      </c>
    </row>
    <row r="114" spans="1:13" x14ac:dyDescent="0.3">
      <c r="A114" s="17" t="s">
        <v>127</v>
      </c>
      <c r="B114" s="5">
        <v>268.35000000000002</v>
      </c>
      <c r="C114" s="5">
        <v>254.97999999999996</v>
      </c>
      <c r="D114" s="5">
        <v>285.41000000000008</v>
      </c>
      <c r="E114" s="5">
        <v>364.41</v>
      </c>
      <c r="F114" s="5">
        <v>331.29</v>
      </c>
      <c r="G114" s="5">
        <v>311.45</v>
      </c>
      <c r="H114" s="5">
        <v>350.65</v>
      </c>
      <c r="I114" s="5">
        <v>322.64</v>
      </c>
      <c r="J114" s="5">
        <v>243.42</v>
      </c>
      <c r="K114" s="5">
        <v>244.1</v>
      </c>
      <c r="L114" s="5">
        <v>258.55</v>
      </c>
      <c r="M114" s="5">
        <v>255.13</v>
      </c>
    </row>
    <row r="115" spans="1:13" x14ac:dyDescent="0.3">
      <c r="A115" s="17" t="s">
        <v>128</v>
      </c>
      <c r="B115" s="5">
        <v>2.4</v>
      </c>
      <c r="C115" s="5">
        <v>2.52</v>
      </c>
      <c r="D115" s="5">
        <v>2.899999999999999</v>
      </c>
      <c r="E115" s="5">
        <v>3.2800000000000011</v>
      </c>
      <c r="F115" s="5">
        <v>3.16</v>
      </c>
      <c r="G115" s="5">
        <v>2.96</v>
      </c>
      <c r="H115" s="5">
        <v>2.76</v>
      </c>
      <c r="I115" s="5">
        <v>2.83</v>
      </c>
      <c r="J115" s="5">
        <v>2.74</v>
      </c>
      <c r="K115" s="5">
        <v>2.39</v>
      </c>
      <c r="L115" s="5">
        <v>2.2799999999999998</v>
      </c>
      <c r="M115" s="5">
        <v>2.56</v>
      </c>
    </row>
    <row r="116" spans="1:13" x14ac:dyDescent="0.3">
      <c r="A116" s="17" t="s">
        <v>129</v>
      </c>
      <c r="B116" s="5">
        <v>3.62</v>
      </c>
      <c r="C116" s="5">
        <v>3.21</v>
      </c>
      <c r="D116" s="5">
        <v>3.19</v>
      </c>
      <c r="E116" s="5">
        <v>3.390000000000001</v>
      </c>
      <c r="F116" s="5">
        <v>2.72</v>
      </c>
      <c r="G116" s="5">
        <v>2.0299999999999998</v>
      </c>
      <c r="H116" s="5">
        <v>1.73</v>
      </c>
      <c r="I116" s="5">
        <v>1.84</v>
      </c>
      <c r="J116" s="5">
        <v>1.33</v>
      </c>
      <c r="K116" s="5">
        <v>1.48</v>
      </c>
      <c r="L116" s="5">
        <v>4.22</v>
      </c>
      <c r="M116" s="5">
        <v>99.73</v>
      </c>
    </row>
    <row r="117" spans="1:13" x14ac:dyDescent="0.3">
      <c r="A117" s="17" t="s">
        <v>130</v>
      </c>
      <c r="B117" s="5">
        <v>0.37</v>
      </c>
      <c r="C117" s="5">
        <v>0.37</v>
      </c>
      <c r="D117" s="5">
        <v>0.43</v>
      </c>
      <c r="E117" s="5">
        <v>0.49</v>
      </c>
      <c r="F117" s="5">
        <v>0.47</v>
      </c>
      <c r="G117" s="5">
        <v>0.44</v>
      </c>
      <c r="H117" s="5">
        <v>0.42</v>
      </c>
      <c r="I117" s="5">
        <v>0.44</v>
      </c>
      <c r="J117" s="5">
        <v>0.42</v>
      </c>
      <c r="K117" s="5">
        <v>0.36</v>
      </c>
      <c r="L117" s="5">
        <v>0.35</v>
      </c>
      <c r="M117" s="5">
        <v>0.38</v>
      </c>
    </row>
    <row r="118" spans="1:13" x14ac:dyDescent="0.3">
      <c r="A118" s="17" t="s">
        <v>163</v>
      </c>
      <c r="B118" s="5">
        <v>10.8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x14ac:dyDescent="0.3">
      <c r="A119" s="17" t="s">
        <v>164</v>
      </c>
      <c r="B119" s="5">
        <v>0</v>
      </c>
      <c r="C119" s="5">
        <v>0</v>
      </c>
      <c r="D119" s="5">
        <v>0</v>
      </c>
      <c r="E119" s="5">
        <v>191.28</v>
      </c>
      <c r="F119" s="5">
        <v>192.08</v>
      </c>
      <c r="G119" s="5">
        <v>185.79</v>
      </c>
      <c r="H119" s="5">
        <v>177.51</v>
      </c>
      <c r="I119" s="5">
        <v>161.22</v>
      </c>
      <c r="J119" s="5">
        <v>177.49</v>
      </c>
      <c r="K119" s="5">
        <v>187.82</v>
      </c>
      <c r="L119" s="5">
        <v>189.22</v>
      </c>
      <c r="M119" s="5">
        <v>202.16</v>
      </c>
    </row>
    <row r="120" spans="1:13" x14ac:dyDescent="0.3">
      <c r="A120" s="17" t="s">
        <v>167</v>
      </c>
      <c r="B120" s="5">
        <v>0</v>
      </c>
      <c r="C120" s="5">
        <v>0</v>
      </c>
      <c r="D120" s="5">
        <v>0</v>
      </c>
      <c r="E120" s="5">
        <v>0</v>
      </c>
      <c r="F120" s="5">
        <v>256.51</v>
      </c>
      <c r="G120" s="5">
        <v>264.64999999999998</v>
      </c>
      <c r="H120" s="5">
        <v>235.33</v>
      </c>
      <c r="I120" s="5">
        <v>257.95999999999998</v>
      </c>
      <c r="J120" s="5">
        <v>266.64</v>
      </c>
      <c r="K120" s="5">
        <v>282.7</v>
      </c>
      <c r="L120" s="5">
        <v>353.1</v>
      </c>
      <c r="M120" s="5">
        <v>277.35000000000002</v>
      </c>
    </row>
    <row r="121" spans="1:13" x14ac:dyDescent="0.3">
      <c r="A121" t="s">
        <v>21</v>
      </c>
      <c r="B121" s="5">
        <v>1303.22</v>
      </c>
      <c r="C121" s="5">
        <v>1522.62</v>
      </c>
      <c r="D121" s="5">
        <v>726.55000000000041</v>
      </c>
      <c r="E121" s="5">
        <v>1063.1500000000001</v>
      </c>
      <c r="F121" s="5">
        <v>864.46</v>
      </c>
      <c r="G121" s="5">
        <v>899.05</v>
      </c>
      <c r="H121" s="5">
        <v>914.95</v>
      </c>
      <c r="I121" s="5">
        <v>1159.6600000000001</v>
      </c>
      <c r="J121" s="5">
        <v>779.34</v>
      </c>
      <c r="K121" s="5">
        <v>838.3</v>
      </c>
      <c r="L121" s="5">
        <v>986.78</v>
      </c>
      <c r="M121" s="5">
        <v>871.77</v>
      </c>
    </row>
    <row r="122" spans="1:13" x14ac:dyDescent="0.3">
      <c r="A122" s="17" t="s">
        <v>224</v>
      </c>
      <c r="B122" s="5">
        <v>1303.22</v>
      </c>
      <c r="C122" s="5">
        <v>1522.62</v>
      </c>
      <c r="D122" s="5">
        <v>723.29000000000042</v>
      </c>
      <c r="E122" s="5">
        <v>1056.6199999999999</v>
      </c>
      <c r="F122" s="5">
        <v>864.46</v>
      </c>
      <c r="G122" s="5">
        <v>892.53</v>
      </c>
      <c r="H122" s="5">
        <v>914.95</v>
      </c>
      <c r="I122" s="5">
        <v>883.54</v>
      </c>
      <c r="J122" s="5">
        <v>779.34</v>
      </c>
      <c r="K122" s="5">
        <v>838.3</v>
      </c>
      <c r="L122" s="5">
        <v>980.38</v>
      </c>
      <c r="M122" s="5">
        <v>871.77</v>
      </c>
    </row>
    <row r="123" spans="1:13" x14ac:dyDescent="0.3">
      <c r="A123" s="17" t="s">
        <v>225</v>
      </c>
      <c r="B123" s="5">
        <v>0</v>
      </c>
      <c r="C123" s="5">
        <v>0</v>
      </c>
      <c r="D123" s="5">
        <v>3.26</v>
      </c>
      <c r="E123" s="5">
        <v>6.5299999999999994</v>
      </c>
      <c r="F123" s="5">
        <v>0</v>
      </c>
      <c r="G123" s="5">
        <v>6.52</v>
      </c>
      <c r="H123" s="5">
        <v>0</v>
      </c>
      <c r="I123" s="5">
        <v>276.12</v>
      </c>
      <c r="J123" s="5">
        <v>0</v>
      </c>
      <c r="K123" s="5">
        <v>0</v>
      </c>
      <c r="L123" s="5">
        <v>6.4</v>
      </c>
      <c r="M123" s="5">
        <v>0</v>
      </c>
    </row>
    <row r="124" spans="1:13" x14ac:dyDescent="0.3">
      <c r="A124" t="s">
        <v>107</v>
      </c>
      <c r="B124" s="5">
        <v>835</v>
      </c>
      <c r="C124" s="5">
        <v>0</v>
      </c>
      <c r="D124" s="5">
        <v>0</v>
      </c>
      <c r="E124" s="5">
        <v>0</v>
      </c>
      <c r="F124" s="5">
        <v>0</v>
      </c>
      <c r="G124" s="5">
        <v>9037.35</v>
      </c>
      <c r="H124" s="5">
        <v>3057.52</v>
      </c>
      <c r="I124" s="5">
        <v>3231.46</v>
      </c>
      <c r="J124" s="5">
        <v>2923.3799999999997</v>
      </c>
      <c r="K124" s="5">
        <v>2871.81</v>
      </c>
      <c r="L124" s="5">
        <v>3218.15</v>
      </c>
      <c r="M124" s="5">
        <v>2948.17</v>
      </c>
    </row>
    <row r="125" spans="1:13" x14ac:dyDescent="0.3">
      <c r="A125" s="17" t="s">
        <v>172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9037.35</v>
      </c>
      <c r="H125" s="5">
        <v>3049.82</v>
      </c>
      <c r="I125" s="5">
        <v>3227.07</v>
      </c>
      <c r="J125" s="5">
        <v>2918.39</v>
      </c>
      <c r="K125" s="5">
        <v>2867.12</v>
      </c>
      <c r="L125" s="5">
        <v>3213.76</v>
      </c>
      <c r="M125" s="5">
        <v>2943.78</v>
      </c>
    </row>
    <row r="126" spans="1:13" x14ac:dyDescent="0.3">
      <c r="A126" s="17" t="s">
        <v>173</v>
      </c>
      <c r="B126" s="5">
        <v>835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x14ac:dyDescent="0.3">
      <c r="A127" s="17" t="s">
        <v>174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7.7</v>
      </c>
      <c r="I127" s="5">
        <v>4.3899999999999997</v>
      </c>
      <c r="J127" s="5">
        <v>4.3899999999999997</v>
      </c>
      <c r="K127" s="5">
        <v>4.3899999999999997</v>
      </c>
      <c r="L127" s="5">
        <v>4.3899999999999997</v>
      </c>
      <c r="M127" s="5">
        <v>4.3899999999999997</v>
      </c>
    </row>
    <row r="128" spans="1:13" x14ac:dyDescent="0.3">
      <c r="A128" s="17" t="s">
        <v>250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0.6</v>
      </c>
      <c r="K128" s="5">
        <v>0.3</v>
      </c>
      <c r="L128" s="5">
        <v>0</v>
      </c>
      <c r="M128" s="5">
        <v>0</v>
      </c>
    </row>
    <row r="129" spans="1:13" x14ac:dyDescent="0.3">
      <c r="A129" t="s">
        <v>22</v>
      </c>
      <c r="B129" s="5">
        <v>1787.91</v>
      </c>
      <c r="C129" s="5">
        <v>2478.2600000000002</v>
      </c>
      <c r="D129" s="5">
        <v>1154.6600000000001</v>
      </c>
      <c r="E129" s="5">
        <v>4197.6499999999996</v>
      </c>
      <c r="F129" s="5">
        <v>4226.4699999999993</v>
      </c>
      <c r="G129" s="5">
        <v>3614.1399999999994</v>
      </c>
      <c r="H129" s="5">
        <v>5572.98</v>
      </c>
      <c r="I129" s="5">
        <v>5344.8</v>
      </c>
      <c r="J129" s="5">
        <v>1458.36</v>
      </c>
      <c r="K129" s="5">
        <v>3092.95</v>
      </c>
      <c r="L129" s="5">
        <v>4347.63</v>
      </c>
      <c r="M129" s="5">
        <v>2511.8200000000002</v>
      </c>
    </row>
    <row r="130" spans="1:13" x14ac:dyDescent="0.3">
      <c r="A130" s="17" t="s">
        <v>231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x14ac:dyDescent="0.3">
      <c r="A131" s="17" t="s">
        <v>251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372.23</v>
      </c>
      <c r="J131" s="5">
        <v>0</v>
      </c>
      <c r="K131" s="5">
        <v>0</v>
      </c>
      <c r="L131" s="5">
        <v>0</v>
      </c>
      <c r="M131" s="5">
        <v>0</v>
      </c>
    </row>
    <row r="132" spans="1:13" x14ac:dyDescent="0.3">
      <c r="A132" s="17" t="s">
        <v>215</v>
      </c>
      <c r="B132" s="5">
        <v>0</v>
      </c>
      <c r="C132" s="5">
        <v>430</v>
      </c>
      <c r="D132" s="5">
        <v>0</v>
      </c>
      <c r="E132" s="5">
        <v>0</v>
      </c>
      <c r="F132" s="5">
        <v>0</v>
      </c>
      <c r="G132" s="5">
        <v>370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</row>
    <row r="133" spans="1:13" x14ac:dyDescent="0.3">
      <c r="A133" s="17" t="s">
        <v>216</v>
      </c>
      <c r="B133" s="5">
        <v>0</v>
      </c>
      <c r="C133" s="5">
        <v>320</v>
      </c>
      <c r="D133" s="5">
        <v>0</v>
      </c>
      <c r="E133" s="5">
        <v>0</v>
      </c>
      <c r="F133" s="5">
        <v>160</v>
      </c>
      <c r="G133" s="5">
        <v>0</v>
      </c>
      <c r="H133" s="5">
        <v>0</v>
      </c>
      <c r="I133" s="5">
        <v>0</v>
      </c>
      <c r="J133" s="5">
        <v>320</v>
      </c>
      <c r="K133" s="5">
        <v>0</v>
      </c>
      <c r="L133" s="5">
        <v>0</v>
      </c>
      <c r="M133" s="5">
        <v>0</v>
      </c>
    </row>
    <row r="134" spans="1:13" x14ac:dyDescent="0.3">
      <c r="A134" s="17" t="s">
        <v>217</v>
      </c>
      <c r="B134" s="5">
        <v>0</v>
      </c>
      <c r="C134" s="5">
        <v>0</v>
      </c>
      <c r="D134" s="5">
        <v>0</v>
      </c>
      <c r="E134" s="5">
        <v>841.25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x14ac:dyDescent="0.3">
      <c r="A135" s="17" t="s">
        <v>177</v>
      </c>
      <c r="B135" s="5">
        <v>0</v>
      </c>
      <c r="C135" s="5">
        <v>0</v>
      </c>
      <c r="D135" s="5">
        <v>450</v>
      </c>
      <c r="E135" s="5">
        <v>450</v>
      </c>
      <c r="F135" s="5">
        <v>450</v>
      </c>
      <c r="G135" s="5">
        <v>450</v>
      </c>
      <c r="H135" s="5">
        <v>450</v>
      </c>
      <c r="I135" s="5">
        <v>900</v>
      </c>
      <c r="J135" s="5">
        <v>0</v>
      </c>
      <c r="K135" s="5">
        <v>450</v>
      </c>
      <c r="L135" s="5">
        <v>450</v>
      </c>
      <c r="M135" s="5">
        <v>918</v>
      </c>
    </row>
    <row r="136" spans="1:13" x14ac:dyDescent="0.3">
      <c r="A136" s="17" t="s">
        <v>218</v>
      </c>
      <c r="B136" s="5">
        <v>0</v>
      </c>
      <c r="C136" s="5">
        <v>0</v>
      </c>
      <c r="D136" s="5">
        <v>0</v>
      </c>
      <c r="E136" s="5">
        <v>0</v>
      </c>
      <c r="F136" s="5">
        <v>1900</v>
      </c>
      <c r="G136" s="5">
        <v>0</v>
      </c>
      <c r="H136" s="5">
        <v>3375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</row>
    <row r="137" spans="1:13" x14ac:dyDescent="0.3">
      <c r="A137" s="17" t="s">
        <v>232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1445.06</v>
      </c>
      <c r="H137" s="5">
        <v>0</v>
      </c>
      <c r="I137" s="5">
        <v>600</v>
      </c>
      <c r="J137" s="5">
        <v>0</v>
      </c>
      <c r="K137" s="5">
        <v>0</v>
      </c>
      <c r="L137" s="5">
        <v>0</v>
      </c>
      <c r="M137" s="5">
        <v>0</v>
      </c>
    </row>
    <row r="138" spans="1:13" x14ac:dyDescent="0.3">
      <c r="A138" s="17" t="s">
        <v>204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</row>
    <row r="139" spans="1:13" x14ac:dyDescent="0.3">
      <c r="A139" s="17" t="s">
        <v>252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200</v>
      </c>
      <c r="K139" s="5">
        <v>0</v>
      </c>
      <c r="L139" s="5">
        <v>0</v>
      </c>
      <c r="M139" s="5">
        <v>0</v>
      </c>
    </row>
    <row r="140" spans="1:13" x14ac:dyDescent="0.3">
      <c r="A140" s="17" t="s">
        <v>178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x14ac:dyDescent="0.3">
      <c r="A141" s="17" t="s">
        <v>179</v>
      </c>
      <c r="B141" s="5">
        <v>0</v>
      </c>
      <c r="C141" s="5">
        <v>0</v>
      </c>
      <c r="D141" s="5">
        <v>2.25</v>
      </c>
      <c r="E141" s="5">
        <v>0</v>
      </c>
      <c r="F141" s="5">
        <v>1.75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x14ac:dyDescent="0.3">
      <c r="A142" s="17" t="s">
        <v>226</v>
      </c>
      <c r="B142" s="5">
        <v>53.66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48.42</v>
      </c>
      <c r="M142" s="5">
        <v>0</v>
      </c>
    </row>
    <row r="143" spans="1:13" x14ac:dyDescent="0.3">
      <c r="A143" s="17" t="s">
        <v>233</v>
      </c>
      <c r="B143" s="5">
        <v>67.179999999999978</v>
      </c>
      <c r="C143" s="5">
        <v>67.180000000000035</v>
      </c>
      <c r="D143" s="5">
        <v>67.17999999999995</v>
      </c>
      <c r="E143" s="5">
        <v>67.180000000000007</v>
      </c>
      <c r="F143" s="5">
        <v>67.180000000000007</v>
      </c>
      <c r="G143" s="5">
        <v>67.180000000000007</v>
      </c>
      <c r="H143" s="5">
        <v>67.180000000000007</v>
      </c>
      <c r="I143" s="5">
        <v>0</v>
      </c>
      <c r="J143" s="5">
        <v>71.88</v>
      </c>
      <c r="K143" s="5">
        <v>0</v>
      </c>
      <c r="L143" s="5">
        <v>0</v>
      </c>
      <c r="M143" s="5">
        <v>71.88</v>
      </c>
    </row>
    <row r="144" spans="1:13" x14ac:dyDescent="0.3">
      <c r="A144" s="17" t="s">
        <v>205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x14ac:dyDescent="0.3">
      <c r="A145" s="17" t="s">
        <v>234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</row>
    <row r="146" spans="1:13" x14ac:dyDescent="0.3">
      <c r="A146" s="17" t="s">
        <v>219</v>
      </c>
      <c r="B146" s="5">
        <v>0</v>
      </c>
      <c r="C146" s="5">
        <v>0</v>
      </c>
      <c r="D146" s="5">
        <v>0</v>
      </c>
      <c r="E146" s="5">
        <v>0</v>
      </c>
      <c r="F146" s="5">
        <v>445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x14ac:dyDescent="0.3">
      <c r="A147" s="17" t="s">
        <v>227</v>
      </c>
      <c r="B147" s="5">
        <v>0</v>
      </c>
      <c r="C147" s="5">
        <v>0</v>
      </c>
      <c r="D147" s="5">
        <v>0</v>
      </c>
      <c r="E147" s="5">
        <v>0</v>
      </c>
      <c r="F147" s="5">
        <v>165.42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</row>
    <row r="148" spans="1:13" x14ac:dyDescent="0.3">
      <c r="A148" s="17" t="s">
        <v>180</v>
      </c>
      <c r="B148" s="5">
        <v>0</v>
      </c>
      <c r="C148" s="5">
        <v>0</v>
      </c>
      <c r="D148" s="5">
        <v>300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</row>
    <row r="149" spans="1:13" x14ac:dyDescent="0.3">
      <c r="A149" s="17" t="s">
        <v>181</v>
      </c>
      <c r="B149" s="5">
        <v>533.59</v>
      </c>
      <c r="C149" s="5">
        <v>578.07999999999993</v>
      </c>
      <c r="D149" s="5">
        <v>-59.079999999999927</v>
      </c>
      <c r="E149" s="5">
        <v>528.90000000000009</v>
      </c>
      <c r="F149" s="5">
        <v>54.49</v>
      </c>
      <c r="G149" s="5">
        <v>553.49</v>
      </c>
      <c r="H149" s="5">
        <v>10</v>
      </c>
      <c r="I149" s="5">
        <v>1015.56</v>
      </c>
      <c r="J149" s="5">
        <v>0</v>
      </c>
      <c r="K149" s="5">
        <v>1907.95</v>
      </c>
      <c r="L149" s="5">
        <v>2540.44</v>
      </c>
      <c r="M149" s="5">
        <v>644.55999999999995</v>
      </c>
    </row>
    <row r="150" spans="1:13" x14ac:dyDescent="0.3">
      <c r="A150" s="17" t="s">
        <v>200</v>
      </c>
      <c r="B150" s="5">
        <v>0</v>
      </c>
      <c r="C150" s="5">
        <v>0</v>
      </c>
      <c r="D150" s="5">
        <v>0</v>
      </c>
      <c r="E150" s="5">
        <v>540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x14ac:dyDescent="0.3">
      <c r="A151" s="17" t="s">
        <v>182</v>
      </c>
      <c r="B151" s="5">
        <v>268.47999999999996</v>
      </c>
      <c r="C151" s="5">
        <v>18</v>
      </c>
      <c r="D151" s="5">
        <v>129.31</v>
      </c>
      <c r="E151" s="5">
        <v>77.37</v>
      </c>
      <c r="F151" s="5">
        <v>347.98</v>
      </c>
      <c r="G151" s="5">
        <v>123.41</v>
      </c>
      <c r="H151" s="5">
        <v>89.07</v>
      </c>
      <c r="I151" s="5">
        <v>52.01</v>
      </c>
      <c r="J151" s="5">
        <v>151.47999999999999</v>
      </c>
      <c r="K151" s="5">
        <v>0</v>
      </c>
      <c r="L151" s="5">
        <v>23.77</v>
      </c>
      <c r="M151" s="5">
        <v>0</v>
      </c>
    </row>
    <row r="152" spans="1:13" x14ac:dyDescent="0.3">
      <c r="A152" s="17" t="s">
        <v>253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225</v>
      </c>
      <c r="L152" s="5">
        <v>0</v>
      </c>
      <c r="M152" s="5">
        <v>0</v>
      </c>
    </row>
    <row r="153" spans="1:13" x14ac:dyDescent="0.3">
      <c r="A153" s="17" t="s">
        <v>254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80</v>
      </c>
      <c r="M153" s="5">
        <v>0</v>
      </c>
    </row>
    <row r="154" spans="1:13" x14ac:dyDescent="0.3">
      <c r="A154" s="17" t="s">
        <v>201</v>
      </c>
      <c r="B154" s="5">
        <v>0</v>
      </c>
      <c r="C154" s="5">
        <v>0</v>
      </c>
      <c r="D154" s="5">
        <v>0</v>
      </c>
      <c r="E154" s="5">
        <v>1005.62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</row>
    <row r="155" spans="1:13" x14ac:dyDescent="0.3">
      <c r="A155" s="17" t="s">
        <v>207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</row>
    <row r="156" spans="1:13" x14ac:dyDescent="0.3">
      <c r="A156" s="17" t="s">
        <v>220</v>
      </c>
      <c r="B156" s="5">
        <v>0</v>
      </c>
      <c r="C156" s="5">
        <v>0</v>
      </c>
      <c r="D156" s="5">
        <v>0</v>
      </c>
      <c r="E156" s="5">
        <v>0</v>
      </c>
      <c r="F156" s="5">
        <v>200</v>
      </c>
      <c r="G156" s="5">
        <v>0</v>
      </c>
      <c r="H156" s="5">
        <v>150</v>
      </c>
      <c r="I156" s="5">
        <v>0</v>
      </c>
      <c r="J156" s="5">
        <v>0</v>
      </c>
      <c r="K156" s="5">
        <v>150</v>
      </c>
      <c r="L156" s="5">
        <v>0</v>
      </c>
      <c r="M156" s="5">
        <v>0</v>
      </c>
    </row>
    <row r="157" spans="1:13" x14ac:dyDescent="0.3">
      <c r="A157" s="17" t="s">
        <v>221</v>
      </c>
      <c r="B157" s="5">
        <v>450</v>
      </c>
      <c r="C157" s="5">
        <v>950</v>
      </c>
      <c r="D157" s="5">
        <v>150</v>
      </c>
      <c r="E157" s="5">
        <v>435</v>
      </c>
      <c r="F157" s="5">
        <v>0</v>
      </c>
      <c r="G157" s="5">
        <v>490</v>
      </c>
      <c r="H157" s="5">
        <v>979.5</v>
      </c>
      <c r="I157" s="5">
        <v>490</v>
      </c>
      <c r="J157" s="5">
        <v>0</v>
      </c>
      <c r="K157" s="5">
        <v>245</v>
      </c>
      <c r="L157" s="5">
        <v>490</v>
      </c>
      <c r="M157" s="5">
        <v>0</v>
      </c>
    </row>
    <row r="158" spans="1:13" x14ac:dyDescent="0.3">
      <c r="A158" s="17" t="s">
        <v>208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162.38</v>
      </c>
    </row>
    <row r="159" spans="1:13" x14ac:dyDescent="0.3">
      <c r="A159" s="17" t="s">
        <v>228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337.23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x14ac:dyDescent="0.3">
      <c r="A160" s="17" t="s">
        <v>235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1800</v>
      </c>
      <c r="J160" s="5">
        <v>600</v>
      </c>
      <c r="K160" s="5">
        <v>0</v>
      </c>
      <c r="L160" s="5">
        <v>600</v>
      </c>
      <c r="M160" s="5">
        <v>600</v>
      </c>
    </row>
    <row r="161" spans="1:13" x14ac:dyDescent="0.3">
      <c r="A161" s="17" t="s">
        <v>202</v>
      </c>
      <c r="B161" s="5">
        <v>300</v>
      </c>
      <c r="C161" s="5">
        <v>0</v>
      </c>
      <c r="D161" s="5">
        <v>0</v>
      </c>
      <c r="E161" s="5">
        <v>0</v>
      </c>
      <c r="F161" s="5">
        <v>319.64999999999998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x14ac:dyDescent="0.3">
      <c r="A162" s="17" t="s">
        <v>198</v>
      </c>
      <c r="B162" s="5">
        <v>115</v>
      </c>
      <c r="C162" s="5">
        <v>115</v>
      </c>
      <c r="D162" s="5">
        <v>115</v>
      </c>
      <c r="E162" s="5">
        <v>115</v>
      </c>
      <c r="F162" s="5">
        <v>115</v>
      </c>
      <c r="G162" s="5">
        <v>115</v>
      </c>
      <c r="H162" s="5">
        <v>115</v>
      </c>
      <c r="I162" s="5">
        <v>115</v>
      </c>
      <c r="J162" s="5">
        <v>115</v>
      </c>
      <c r="K162" s="5">
        <v>115</v>
      </c>
      <c r="L162" s="5">
        <v>115</v>
      </c>
      <c r="M162" s="5">
        <v>115</v>
      </c>
    </row>
    <row r="163" spans="1:13" x14ac:dyDescent="0.3">
      <c r="A163" s="17" t="s">
        <v>229</v>
      </c>
      <c r="B163" s="5">
        <v>0</v>
      </c>
      <c r="C163" s="5">
        <v>0</v>
      </c>
      <c r="D163" s="5">
        <v>0</v>
      </c>
      <c r="E163" s="5">
        <v>137.33000000000001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x14ac:dyDescent="0.3">
      <c r="A164" s="17" t="s">
        <v>236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</row>
    <row r="165" spans="1:13" x14ac:dyDescent="0.3">
      <c r="A165" t="s">
        <v>23</v>
      </c>
      <c r="B165" s="5">
        <v>703.49</v>
      </c>
      <c r="C165" s="5">
        <v>756.68000000000006</v>
      </c>
      <c r="D165" s="5">
        <v>881.91999999999985</v>
      </c>
      <c r="E165" s="5">
        <v>1037.71</v>
      </c>
      <c r="F165" s="5">
        <v>1031.97</v>
      </c>
      <c r="G165" s="5">
        <v>1088.8699999999999</v>
      </c>
      <c r="H165" s="5">
        <v>1189.6199999999999</v>
      </c>
      <c r="I165" s="5">
        <v>1153.06</v>
      </c>
      <c r="J165" s="5">
        <v>1300.3200000000002</v>
      </c>
      <c r="K165" s="5">
        <v>1237.3900000000001</v>
      </c>
      <c r="L165" s="5">
        <v>1468.12</v>
      </c>
      <c r="M165" s="5">
        <v>1484.59</v>
      </c>
    </row>
    <row r="166" spans="1:13" x14ac:dyDescent="0.3">
      <c r="A166" s="17" t="s">
        <v>131</v>
      </c>
      <c r="B166" s="5">
        <v>688.79</v>
      </c>
      <c r="C166" s="5">
        <v>745.47</v>
      </c>
      <c r="D166" s="5">
        <v>868.92999999999984</v>
      </c>
      <c r="E166" s="5">
        <v>1018.65</v>
      </c>
      <c r="F166" s="5">
        <v>1018.08</v>
      </c>
      <c r="G166" s="5">
        <v>1078.19</v>
      </c>
      <c r="H166" s="5">
        <v>1173.52</v>
      </c>
      <c r="I166" s="5">
        <v>1145.32</v>
      </c>
      <c r="J166" s="5">
        <v>1288.68</v>
      </c>
      <c r="K166" s="5">
        <v>1225.78</v>
      </c>
      <c r="L166" s="5">
        <v>1449.96</v>
      </c>
      <c r="M166" s="5">
        <v>1469.89</v>
      </c>
    </row>
    <row r="167" spans="1:13" x14ac:dyDescent="0.3">
      <c r="A167" s="17" t="s">
        <v>132</v>
      </c>
      <c r="B167" s="5">
        <v>14.7</v>
      </c>
      <c r="C167" s="5">
        <v>11.21</v>
      </c>
      <c r="D167" s="5">
        <v>12.990000000000002</v>
      </c>
      <c r="E167" s="5">
        <v>19.059999999999999</v>
      </c>
      <c r="F167" s="5">
        <v>13.89</v>
      </c>
      <c r="G167" s="5">
        <v>10.68</v>
      </c>
      <c r="H167" s="5">
        <v>16.100000000000001</v>
      </c>
      <c r="I167" s="5">
        <v>7.74</v>
      </c>
      <c r="J167" s="5">
        <v>11.64</v>
      </c>
      <c r="K167" s="5">
        <v>11.61</v>
      </c>
      <c r="L167" s="5">
        <v>18.16</v>
      </c>
      <c r="M167" s="5">
        <v>14.7</v>
      </c>
    </row>
    <row r="168" spans="1:13" x14ac:dyDescent="0.3">
      <c r="A168" t="s">
        <v>24</v>
      </c>
      <c r="B168" s="5">
        <v>2690.57</v>
      </c>
      <c r="C168" s="5">
        <v>3766.329999999999</v>
      </c>
      <c r="D168" s="5">
        <v>3452.2200000000007</v>
      </c>
      <c r="E168" s="5">
        <v>4285.3999999999987</v>
      </c>
      <c r="F168" s="5">
        <v>3507.0499999999997</v>
      </c>
      <c r="G168" s="5">
        <v>2723.6</v>
      </c>
      <c r="H168" s="5">
        <v>3419.91</v>
      </c>
      <c r="I168" s="5">
        <v>3480.9100000000003</v>
      </c>
      <c r="J168" s="5">
        <v>1750.46</v>
      </c>
      <c r="K168" s="5">
        <v>1792.6</v>
      </c>
      <c r="L168" s="5">
        <v>1752.92</v>
      </c>
      <c r="M168" s="5">
        <v>2235.4499999999998</v>
      </c>
    </row>
    <row r="169" spans="1:13" x14ac:dyDescent="0.3">
      <c r="A169" s="17" t="s">
        <v>133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x14ac:dyDescent="0.3">
      <c r="A170" s="17" t="s">
        <v>134</v>
      </c>
      <c r="B170" s="5">
        <v>2171.0100000000002</v>
      </c>
      <c r="C170" s="5">
        <v>3638.099999999999</v>
      </c>
      <c r="D170" s="5">
        <v>3286.0300000000007</v>
      </c>
      <c r="E170" s="5">
        <v>3902.7699999999986</v>
      </c>
      <c r="F170" s="5">
        <v>3207.41</v>
      </c>
      <c r="G170" s="5">
        <v>2355.29</v>
      </c>
      <c r="H170" s="5">
        <v>3326.23</v>
      </c>
      <c r="I170" s="5">
        <v>3370.15</v>
      </c>
      <c r="J170" s="5">
        <v>1750.46</v>
      </c>
      <c r="K170" s="5">
        <v>1666.52</v>
      </c>
      <c r="L170" s="5">
        <v>1645.44</v>
      </c>
      <c r="M170" s="5">
        <v>2234.4499999999998</v>
      </c>
    </row>
    <row r="171" spans="1:13" x14ac:dyDescent="0.3">
      <c r="A171" s="17" t="s">
        <v>135</v>
      </c>
      <c r="B171" s="5">
        <v>293.24</v>
      </c>
      <c r="C171" s="5">
        <v>128.22999999999996</v>
      </c>
      <c r="D171" s="5">
        <v>166.19000000000003</v>
      </c>
      <c r="E171" s="5">
        <v>277.90999999999997</v>
      </c>
      <c r="F171" s="5">
        <v>299.64</v>
      </c>
      <c r="G171" s="5">
        <v>368.31</v>
      </c>
      <c r="H171" s="5">
        <v>93.68</v>
      </c>
      <c r="I171" s="5">
        <v>110.76</v>
      </c>
      <c r="J171" s="5">
        <v>0</v>
      </c>
      <c r="K171" s="5">
        <v>126.08</v>
      </c>
      <c r="L171" s="5">
        <v>107.48</v>
      </c>
      <c r="M171" s="5">
        <v>1</v>
      </c>
    </row>
    <row r="172" spans="1:13" x14ac:dyDescent="0.3">
      <c r="A172" s="17" t="s">
        <v>136</v>
      </c>
      <c r="B172" s="5">
        <v>226.32</v>
      </c>
      <c r="C172" s="5">
        <v>0</v>
      </c>
      <c r="D172" s="5">
        <v>0</v>
      </c>
      <c r="E172" s="5">
        <v>104.72000000000004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</row>
    <row r="173" spans="1:13" x14ac:dyDescent="0.3">
      <c r="A173" t="s">
        <v>25</v>
      </c>
      <c r="B173" s="5">
        <v>260.69</v>
      </c>
      <c r="C173" s="5">
        <v>260.68999999999994</v>
      </c>
      <c r="D173" s="5">
        <v>260.68999999999994</v>
      </c>
      <c r="E173" s="5">
        <v>260.69000000000005</v>
      </c>
      <c r="F173" s="5">
        <v>260.69</v>
      </c>
      <c r="G173" s="5">
        <v>260.69</v>
      </c>
      <c r="H173" s="5">
        <v>260.77</v>
      </c>
      <c r="I173" s="5">
        <v>260.77</v>
      </c>
      <c r="J173" s="5">
        <v>260.77</v>
      </c>
      <c r="K173" s="5">
        <v>260.77</v>
      </c>
      <c r="L173" s="5">
        <v>260.77</v>
      </c>
      <c r="M173" s="5">
        <v>273.08999999999997</v>
      </c>
    </row>
    <row r="174" spans="1:13" x14ac:dyDescent="0.3">
      <c r="A174" s="17" t="s">
        <v>137</v>
      </c>
      <c r="B174" s="5">
        <v>260.69</v>
      </c>
      <c r="C174" s="5">
        <v>260.68999999999994</v>
      </c>
      <c r="D174" s="5">
        <v>260.68999999999994</v>
      </c>
      <c r="E174" s="5">
        <v>260.69000000000005</v>
      </c>
      <c r="F174" s="5">
        <v>260.69</v>
      </c>
      <c r="G174" s="5">
        <v>260.69</v>
      </c>
      <c r="H174" s="5">
        <v>260.77</v>
      </c>
      <c r="I174" s="5">
        <v>260.77</v>
      </c>
      <c r="J174" s="5">
        <v>260.77</v>
      </c>
      <c r="K174" s="5">
        <v>260.77</v>
      </c>
      <c r="L174" s="5">
        <v>260.77</v>
      </c>
      <c r="M174" s="5">
        <v>273.08999999999997</v>
      </c>
    </row>
    <row r="175" spans="1:13" x14ac:dyDescent="0.3">
      <c r="A175" t="s">
        <v>26</v>
      </c>
      <c r="B175" s="5">
        <v>319.15999999999997</v>
      </c>
      <c r="C175" s="5">
        <v>299.78999999999996</v>
      </c>
      <c r="D175" s="5">
        <v>330.88000000000011</v>
      </c>
      <c r="E175" s="5">
        <v>330.70000000000005</v>
      </c>
      <c r="F175" s="5">
        <v>352.63</v>
      </c>
      <c r="G175" s="5">
        <v>316.58</v>
      </c>
      <c r="H175" s="5">
        <v>344.24</v>
      </c>
      <c r="I175" s="5">
        <v>360.28000000000003</v>
      </c>
      <c r="J175" s="5">
        <v>339.20000000000005</v>
      </c>
      <c r="K175" s="5">
        <v>352.57</v>
      </c>
      <c r="L175" s="5">
        <v>343.44</v>
      </c>
      <c r="M175" s="5">
        <v>287.56</v>
      </c>
    </row>
    <row r="176" spans="1:13" x14ac:dyDescent="0.3">
      <c r="A176" s="17" t="s">
        <v>169</v>
      </c>
      <c r="B176" s="5">
        <v>284.03999999999996</v>
      </c>
      <c r="C176" s="5">
        <v>264.89</v>
      </c>
      <c r="D176" s="5">
        <v>295.50000000000011</v>
      </c>
      <c r="E176" s="5">
        <v>295.24</v>
      </c>
      <c r="F176" s="5">
        <v>316.83999999999997</v>
      </c>
      <c r="G176" s="5">
        <v>281.08</v>
      </c>
      <c r="H176" s="5">
        <v>311.19</v>
      </c>
      <c r="I176" s="5">
        <v>327.42</v>
      </c>
      <c r="J176" s="5">
        <v>306.72000000000003</v>
      </c>
      <c r="K176" s="5">
        <v>319.68</v>
      </c>
      <c r="L176" s="5">
        <v>281.58</v>
      </c>
      <c r="M176" s="5">
        <v>256.38</v>
      </c>
    </row>
    <row r="177" spans="1:13" x14ac:dyDescent="0.3">
      <c r="A177" s="17" t="s">
        <v>209</v>
      </c>
      <c r="B177" s="5">
        <v>35.120000000000005</v>
      </c>
      <c r="C177" s="5">
        <v>34.899999999999991</v>
      </c>
      <c r="D177" s="5">
        <v>35.379999999999995</v>
      </c>
      <c r="E177" s="5">
        <v>35.460000000000008</v>
      </c>
      <c r="F177" s="5">
        <v>35.79</v>
      </c>
      <c r="G177" s="5">
        <v>35.5</v>
      </c>
      <c r="H177" s="5">
        <v>33.049999999999997</v>
      </c>
      <c r="I177" s="5">
        <v>32.86</v>
      </c>
      <c r="J177" s="5">
        <v>32.479999999999997</v>
      </c>
      <c r="K177" s="5">
        <v>32.89</v>
      </c>
      <c r="L177" s="5">
        <v>61.86</v>
      </c>
      <c r="M177" s="5">
        <v>31.18</v>
      </c>
    </row>
    <row r="178" spans="1:13" x14ac:dyDescent="0.3">
      <c r="A178" t="s">
        <v>27</v>
      </c>
      <c r="B178" s="5">
        <v>6.2099999999999991</v>
      </c>
      <c r="C178" s="5">
        <v>3303.3900000000003</v>
      </c>
      <c r="D178" s="5">
        <v>6.1900000000000546</v>
      </c>
      <c r="E178" s="5">
        <v>6.1599999999998536</v>
      </c>
      <c r="F178" s="5">
        <v>6.17</v>
      </c>
      <c r="G178" s="5">
        <v>3271.3</v>
      </c>
      <c r="H178" s="5">
        <v>6.04</v>
      </c>
      <c r="I178" s="5">
        <v>841.6</v>
      </c>
      <c r="J178" s="5">
        <v>977.89</v>
      </c>
      <c r="K178" s="5">
        <v>827.65</v>
      </c>
      <c r="L178" s="5">
        <v>15.49</v>
      </c>
      <c r="M178" s="5">
        <v>1645.42</v>
      </c>
    </row>
    <row r="179" spans="1:13" x14ac:dyDescent="0.3">
      <c r="A179" s="17" t="s">
        <v>138</v>
      </c>
      <c r="B179" s="5">
        <v>6.2099999999999991</v>
      </c>
      <c r="C179" s="5">
        <v>3303.3900000000003</v>
      </c>
      <c r="D179" s="5">
        <v>6.1900000000000546</v>
      </c>
      <c r="E179" s="5">
        <v>6.1599999999998536</v>
      </c>
      <c r="F179" s="5">
        <v>6.17</v>
      </c>
      <c r="G179" s="5">
        <v>3271.3</v>
      </c>
      <c r="H179" s="5">
        <v>6.04</v>
      </c>
      <c r="I179" s="5">
        <v>841.6</v>
      </c>
      <c r="J179" s="5">
        <v>977.89</v>
      </c>
      <c r="K179" s="5">
        <v>827.65</v>
      </c>
      <c r="L179" s="5">
        <v>15.49</v>
      </c>
      <c r="M179" s="5">
        <v>1645.42</v>
      </c>
    </row>
    <row r="180" spans="1:13" x14ac:dyDescent="0.3">
      <c r="A180" t="s">
        <v>28</v>
      </c>
      <c r="B180" s="5">
        <v>16.04</v>
      </c>
      <c r="C180" s="5">
        <v>17.869999999999997</v>
      </c>
      <c r="D180" s="5">
        <v>18.610000000000007</v>
      </c>
      <c r="E180" s="5">
        <v>23.909999999999997</v>
      </c>
      <c r="F180" s="5">
        <v>17.03</v>
      </c>
      <c r="G180" s="5">
        <v>35.270000000000003</v>
      </c>
      <c r="H180" s="5">
        <v>38.71</v>
      </c>
      <c r="I180" s="5">
        <v>42.98</v>
      </c>
      <c r="J180" s="5">
        <v>26.43</v>
      </c>
      <c r="K180" s="5">
        <v>33.21</v>
      </c>
      <c r="L180" s="5">
        <v>31.24</v>
      </c>
      <c r="M180" s="5">
        <v>16.72</v>
      </c>
    </row>
    <row r="181" spans="1:13" x14ac:dyDescent="0.3">
      <c r="A181" s="17" t="s">
        <v>139</v>
      </c>
      <c r="B181" s="5">
        <v>16.04</v>
      </c>
      <c r="C181" s="5">
        <v>17.869999999999997</v>
      </c>
      <c r="D181" s="5">
        <v>18.610000000000007</v>
      </c>
      <c r="E181" s="5">
        <v>23.909999999999997</v>
      </c>
      <c r="F181" s="5">
        <v>17.03</v>
      </c>
      <c r="G181" s="5">
        <v>35.270000000000003</v>
      </c>
      <c r="H181" s="5">
        <v>38.71</v>
      </c>
      <c r="I181" s="5">
        <v>42.98</v>
      </c>
      <c r="J181" s="5">
        <v>26.43</v>
      </c>
      <c r="K181" s="5">
        <v>33.21</v>
      </c>
      <c r="L181" s="5">
        <v>31.24</v>
      </c>
      <c r="M181" s="5">
        <v>16.72</v>
      </c>
    </row>
    <row r="182" spans="1:13" x14ac:dyDescent="0.3">
      <c r="A182" t="s">
        <v>29</v>
      </c>
      <c r="B182" s="5">
        <v>464.39</v>
      </c>
      <c r="C182" s="5">
        <v>3.77</v>
      </c>
      <c r="D182" s="5">
        <v>162.69</v>
      </c>
      <c r="E182" s="5">
        <v>155.28</v>
      </c>
      <c r="F182" s="5">
        <v>55.44</v>
      </c>
      <c r="G182" s="5">
        <v>79.73</v>
      </c>
      <c r="H182" s="5">
        <v>477.39</v>
      </c>
      <c r="I182" s="5">
        <v>54.14</v>
      </c>
      <c r="J182" s="5">
        <v>67.58</v>
      </c>
      <c r="K182" s="5">
        <v>2.2599999999999998</v>
      </c>
      <c r="L182" s="5">
        <v>43.02</v>
      </c>
      <c r="M182" s="5">
        <v>94.23</v>
      </c>
    </row>
    <row r="183" spans="1:13" x14ac:dyDescent="0.3">
      <c r="A183" s="17" t="s">
        <v>237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</row>
    <row r="184" spans="1:13" x14ac:dyDescent="0.3">
      <c r="A184" s="17" t="s">
        <v>140</v>
      </c>
      <c r="B184" s="5">
        <v>36.770000000000003</v>
      </c>
      <c r="C184" s="5">
        <v>0</v>
      </c>
      <c r="D184" s="5">
        <v>88.889999999999986</v>
      </c>
      <c r="E184" s="5">
        <v>154.66</v>
      </c>
      <c r="F184" s="5">
        <v>52.56</v>
      </c>
      <c r="G184" s="5">
        <v>48.77</v>
      </c>
      <c r="H184" s="5">
        <v>413.87</v>
      </c>
      <c r="I184" s="5">
        <v>45.65</v>
      </c>
      <c r="J184" s="5">
        <v>53.52</v>
      </c>
      <c r="K184" s="5">
        <v>0</v>
      </c>
      <c r="L184" s="5">
        <v>42.66</v>
      </c>
      <c r="M184" s="5">
        <v>0</v>
      </c>
    </row>
    <row r="185" spans="1:13" x14ac:dyDescent="0.3">
      <c r="A185" s="17" t="s">
        <v>141</v>
      </c>
      <c r="B185" s="5">
        <v>0</v>
      </c>
      <c r="C185" s="5">
        <v>0</v>
      </c>
      <c r="D185" s="5">
        <v>0.62</v>
      </c>
      <c r="E185" s="5">
        <v>0.62</v>
      </c>
      <c r="F185" s="5">
        <v>0.62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x14ac:dyDescent="0.3">
      <c r="A186" s="17" t="s">
        <v>142</v>
      </c>
      <c r="B186" s="5">
        <v>3.2100000000000009</v>
      </c>
      <c r="C186" s="5">
        <v>3.77</v>
      </c>
      <c r="D186" s="5">
        <v>0</v>
      </c>
      <c r="E186" s="5">
        <v>0</v>
      </c>
      <c r="F186" s="5">
        <v>2.2599999999999998</v>
      </c>
      <c r="G186" s="5">
        <v>30.96</v>
      </c>
      <c r="H186" s="5">
        <v>18.05</v>
      </c>
      <c r="I186" s="5">
        <v>8.49</v>
      </c>
      <c r="J186" s="5">
        <v>14.06</v>
      </c>
      <c r="K186" s="5">
        <v>2.2599999999999998</v>
      </c>
      <c r="L186" s="5">
        <v>0.36</v>
      </c>
      <c r="M186" s="5">
        <v>7.86</v>
      </c>
    </row>
    <row r="187" spans="1:13" x14ac:dyDescent="0.3">
      <c r="A187" s="17" t="s">
        <v>143</v>
      </c>
      <c r="B187" s="5">
        <v>424.41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x14ac:dyDescent="0.3">
      <c r="A188" s="17" t="s">
        <v>194</v>
      </c>
      <c r="B188" s="5">
        <v>0</v>
      </c>
      <c r="C188" s="5">
        <v>0</v>
      </c>
      <c r="D188" s="5">
        <v>73.180000000000007</v>
      </c>
      <c r="E188" s="5">
        <v>0</v>
      </c>
      <c r="F188" s="5">
        <v>0</v>
      </c>
      <c r="G188" s="5">
        <v>0</v>
      </c>
      <c r="H188" s="5">
        <v>45.47</v>
      </c>
      <c r="I188" s="5">
        <v>0</v>
      </c>
      <c r="J188" s="5">
        <v>0</v>
      </c>
      <c r="K188" s="5">
        <v>0</v>
      </c>
      <c r="L188" s="5">
        <v>0</v>
      </c>
      <c r="M188" s="5">
        <v>86.37</v>
      </c>
    </row>
    <row r="189" spans="1:13" x14ac:dyDescent="0.3">
      <c r="A189" t="s">
        <v>30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410.25</v>
      </c>
      <c r="K189" s="5">
        <v>0</v>
      </c>
      <c r="L189" s="5">
        <v>0</v>
      </c>
      <c r="M189" s="5">
        <v>0</v>
      </c>
    </row>
    <row r="190" spans="1:13" x14ac:dyDescent="0.3">
      <c r="A190" s="17" t="s">
        <v>255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410.25</v>
      </c>
      <c r="K190" s="5">
        <v>0</v>
      </c>
      <c r="L190" s="5">
        <v>0</v>
      </c>
      <c r="M190" s="5">
        <v>0</v>
      </c>
    </row>
    <row r="191" spans="1:13" x14ac:dyDescent="0.3">
      <c r="A191" t="s">
        <v>31</v>
      </c>
      <c r="B191" s="5">
        <v>101.4</v>
      </c>
      <c r="C191" s="5">
        <v>264.14999999999998</v>
      </c>
      <c r="D191" s="5">
        <v>204.85999999999996</v>
      </c>
      <c r="E191" s="5">
        <v>152.38</v>
      </c>
      <c r="F191" s="5">
        <v>284.61</v>
      </c>
      <c r="G191" s="5">
        <v>42.5</v>
      </c>
      <c r="H191" s="5">
        <v>158</v>
      </c>
      <c r="I191" s="5">
        <v>50.69</v>
      </c>
      <c r="J191" s="5">
        <v>263.18</v>
      </c>
      <c r="K191" s="5">
        <v>213.33</v>
      </c>
      <c r="L191" s="5">
        <v>42.5</v>
      </c>
      <c r="M191" s="5">
        <v>163.16</v>
      </c>
    </row>
    <row r="192" spans="1:13" x14ac:dyDescent="0.3">
      <c r="A192" s="17" t="s">
        <v>144</v>
      </c>
      <c r="B192" s="5">
        <v>101.4</v>
      </c>
      <c r="C192" s="5">
        <v>264.14999999999998</v>
      </c>
      <c r="D192" s="5">
        <v>204.85999999999996</v>
      </c>
      <c r="E192" s="5">
        <v>152.38</v>
      </c>
      <c r="F192" s="5">
        <v>284.61</v>
      </c>
      <c r="G192" s="5">
        <v>42.5</v>
      </c>
      <c r="H192" s="5">
        <v>158</v>
      </c>
      <c r="I192" s="5">
        <v>50.69</v>
      </c>
      <c r="J192" s="5">
        <v>263.18</v>
      </c>
      <c r="K192" s="5">
        <v>213.33</v>
      </c>
      <c r="L192" s="5">
        <v>42.5</v>
      </c>
      <c r="M192" s="5">
        <v>163.16</v>
      </c>
    </row>
    <row r="193" spans="1:13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t="s">
        <v>36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x14ac:dyDescent="0.3">
      <c r="A195" t="s">
        <v>37</v>
      </c>
      <c r="B195" s="5">
        <v>0</v>
      </c>
      <c r="C195" s="5">
        <v>117.39</v>
      </c>
      <c r="D195" s="5">
        <v>0</v>
      </c>
      <c r="E195" s="5">
        <v>0</v>
      </c>
      <c r="F195" s="5">
        <v>0</v>
      </c>
      <c r="G195" s="5">
        <v>14.03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33.42</v>
      </c>
    </row>
    <row r="196" spans="1:13" x14ac:dyDescent="0.3">
      <c r="A196" s="17" t="s">
        <v>210</v>
      </c>
      <c r="B196" s="5">
        <v>0</v>
      </c>
      <c r="C196" s="5">
        <v>117.39</v>
      </c>
      <c r="D196" s="5">
        <v>0</v>
      </c>
      <c r="E196" s="5">
        <v>0</v>
      </c>
      <c r="F196" s="5">
        <v>0</v>
      </c>
      <c r="G196" s="5">
        <v>14.03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33.42</v>
      </c>
    </row>
    <row r="197" spans="1:13" x14ac:dyDescent="0.3">
      <c r="A197" t="s">
        <v>38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x14ac:dyDescent="0.3">
      <c r="A198" t="s">
        <v>39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x14ac:dyDescent="0.3">
      <c r="A199" t="s">
        <v>40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12.96</v>
      </c>
      <c r="I199" s="5">
        <v>6.48</v>
      </c>
      <c r="J199" s="5">
        <v>6.48</v>
      </c>
      <c r="K199" s="5">
        <v>4.8600000000000003</v>
      </c>
      <c r="L199" s="5">
        <v>12.96</v>
      </c>
      <c r="M199" s="5">
        <v>8.9499999999999993</v>
      </c>
    </row>
    <row r="200" spans="1:13" x14ac:dyDescent="0.3">
      <c r="A200" s="17" t="s">
        <v>222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12.96</v>
      </c>
      <c r="I200" s="5">
        <v>6.48</v>
      </c>
      <c r="J200" s="5">
        <v>6.48</v>
      </c>
      <c r="K200" s="5">
        <v>4.8600000000000003</v>
      </c>
      <c r="L200" s="5">
        <v>12.96</v>
      </c>
      <c r="M200" s="5">
        <v>8.9499999999999993</v>
      </c>
    </row>
    <row r="201" spans="1:13" x14ac:dyDescent="0.3">
      <c r="A201" t="s">
        <v>41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x14ac:dyDescent="0.3">
      <c r="A202" t="s">
        <v>42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</row>
    <row r="203" spans="1:13" x14ac:dyDescent="0.3">
      <c r="A203" t="s">
        <v>43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</sheetData>
  <conditionalFormatting sqref="A7:M965">
    <cfRule type="expression" dxfId="0" priority="2">
      <formula>ISERR(VALUE(LEFT($A7,1)))</formula>
    </cfRule>
  </conditionalFormatting>
  <pageMargins left="0.7" right="0.7" top="0.75" bottom="0.75" header="0.3" footer="0.3"/>
  <customProperties>
    <customPr name="_pios_id" r:id="rId1"/>
    <customPr name="AdaptiveCustomXmlPartId" r:id="rId2"/>
    <customPr name="AdaptiveReportingSheetKey" r:id="rId3"/>
    <customPr name="CurrentId" r:id="rId4"/>
  </customPropertie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3663-B3BE-4CFD-81EA-D7B5AF32F51D}">
  <dimension ref="A1:P139"/>
  <sheetViews>
    <sheetView zoomScale="90" zoomScaleNormal="90" workbookViewId="0">
      <pane ySplit="1" topLeftCell="A110" activePane="bottomLeft" state="frozen"/>
      <selection pane="bottomLeft"/>
    </sheetView>
  </sheetViews>
  <sheetFormatPr defaultRowHeight="14.4" x14ac:dyDescent="0.3"/>
  <cols>
    <col min="1" max="1" width="9.6640625" bestFit="1" customWidth="1"/>
    <col min="2" max="2" width="15" bestFit="1" customWidth="1"/>
    <col min="3" max="3" width="22.44140625" bestFit="1" customWidth="1"/>
    <col min="4" max="4" width="23.109375" bestFit="1" customWidth="1"/>
    <col min="5" max="6" width="11.6640625" bestFit="1" customWidth="1"/>
    <col min="7" max="7" width="12.109375" bestFit="1" customWidth="1"/>
    <col min="8" max="15" width="11.6640625" bestFit="1" customWidth="1"/>
    <col min="16" max="16" width="12.88671875" bestFit="1" customWidth="1"/>
  </cols>
  <sheetData>
    <row r="1" spans="1:16" x14ac:dyDescent="0.3">
      <c r="A1" s="45" t="s">
        <v>256</v>
      </c>
      <c r="B1" s="46" t="s">
        <v>257</v>
      </c>
      <c r="C1" s="46" t="s">
        <v>258</v>
      </c>
      <c r="D1" s="46" t="s">
        <v>259</v>
      </c>
      <c r="E1" s="47">
        <v>45716</v>
      </c>
      <c r="F1" s="47">
        <v>45747</v>
      </c>
      <c r="G1" s="47">
        <v>45777</v>
      </c>
      <c r="H1" s="47">
        <v>45808</v>
      </c>
      <c r="I1" s="47">
        <v>45838</v>
      </c>
      <c r="J1" s="47">
        <v>45869</v>
      </c>
      <c r="K1" s="47">
        <v>45900</v>
      </c>
      <c r="L1" s="47">
        <v>45930</v>
      </c>
      <c r="M1" s="47">
        <v>45961</v>
      </c>
      <c r="N1" s="47">
        <v>45991</v>
      </c>
      <c r="O1" s="47">
        <v>46022</v>
      </c>
      <c r="P1" s="47">
        <v>46053</v>
      </c>
    </row>
    <row r="2" spans="1:16" x14ac:dyDescent="0.3">
      <c r="A2" t="s">
        <v>260</v>
      </c>
      <c r="B2">
        <v>77712</v>
      </c>
      <c r="C2">
        <v>129010</v>
      </c>
      <c r="D2" t="s">
        <v>261</v>
      </c>
      <c r="E2" s="2"/>
      <c r="F2" s="2"/>
      <c r="G2" s="2"/>
      <c r="H2" s="2"/>
      <c r="I2" s="2"/>
      <c r="J2" s="2">
        <v>2058.61</v>
      </c>
      <c r="K2" s="2">
        <v>1755</v>
      </c>
      <c r="L2" s="2"/>
      <c r="M2" s="2"/>
      <c r="N2" s="2">
        <v>2005.69</v>
      </c>
      <c r="O2" s="2"/>
      <c r="P2" s="2">
        <v>3000</v>
      </c>
    </row>
    <row r="3" spans="1:16" x14ac:dyDescent="0.3">
      <c r="A3" t="s">
        <v>260</v>
      </c>
      <c r="B3">
        <v>77712</v>
      </c>
      <c r="C3">
        <v>129030</v>
      </c>
      <c r="D3" t="s">
        <v>262</v>
      </c>
      <c r="E3" s="2"/>
      <c r="F3" s="2">
        <v>0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t="s">
        <v>263</v>
      </c>
      <c r="B4">
        <v>77712</v>
      </c>
      <c r="C4">
        <v>210050</v>
      </c>
      <c r="D4" t="s">
        <v>264</v>
      </c>
      <c r="E4" s="2"/>
      <c r="F4" s="2"/>
      <c r="G4" s="2">
        <v>4.8600000000000003</v>
      </c>
      <c r="H4" s="2">
        <v>1.62</v>
      </c>
      <c r="I4" s="2"/>
      <c r="J4" s="2"/>
      <c r="K4" s="2">
        <v>1.62</v>
      </c>
      <c r="L4" s="2"/>
      <c r="M4" s="2">
        <v>1.62</v>
      </c>
      <c r="N4" s="2"/>
      <c r="O4" s="2"/>
      <c r="P4" s="2"/>
    </row>
    <row r="5" spans="1:16" x14ac:dyDescent="0.3">
      <c r="A5" t="s">
        <v>263</v>
      </c>
      <c r="B5">
        <v>77712</v>
      </c>
      <c r="C5">
        <v>269020</v>
      </c>
      <c r="D5" t="s">
        <v>265</v>
      </c>
      <c r="E5" s="2"/>
      <c r="F5" s="2"/>
      <c r="G5" s="2">
        <v>116177.51</v>
      </c>
      <c r="H5" s="2">
        <v>43203.11</v>
      </c>
      <c r="I5" s="2">
        <v>47592.93</v>
      </c>
      <c r="J5" s="2">
        <v>48752.3</v>
      </c>
      <c r="K5" s="2">
        <v>42954.49</v>
      </c>
      <c r="L5" s="2">
        <v>52604.69</v>
      </c>
      <c r="M5" s="2">
        <v>53246.95</v>
      </c>
      <c r="N5" s="2">
        <v>71323.59</v>
      </c>
      <c r="O5" s="2">
        <v>63089.35</v>
      </c>
      <c r="P5" s="2">
        <v>70987.009999999995</v>
      </c>
    </row>
    <row r="6" spans="1:16" x14ac:dyDescent="0.3">
      <c r="A6" t="s">
        <v>266</v>
      </c>
      <c r="B6">
        <v>77712</v>
      </c>
      <c r="C6">
        <v>400060</v>
      </c>
      <c r="D6" t="s">
        <v>267</v>
      </c>
      <c r="E6" s="2"/>
      <c r="F6" s="2"/>
      <c r="G6" s="2"/>
      <c r="H6" s="2">
        <v>36.4</v>
      </c>
      <c r="I6" s="2"/>
      <c r="J6" s="2"/>
      <c r="K6" s="2">
        <v>1</v>
      </c>
      <c r="L6" s="2"/>
      <c r="M6" s="2"/>
      <c r="N6" s="2"/>
      <c r="O6" s="2"/>
      <c r="P6" s="2">
        <v>37.74</v>
      </c>
    </row>
    <row r="7" spans="1:16" x14ac:dyDescent="0.3">
      <c r="A7" t="s">
        <v>268</v>
      </c>
      <c r="B7">
        <v>77712</v>
      </c>
      <c r="C7">
        <v>426000</v>
      </c>
      <c r="D7" t="s">
        <v>269</v>
      </c>
      <c r="E7" s="2"/>
      <c r="F7" s="2"/>
      <c r="G7" s="2">
        <v>59.97</v>
      </c>
      <c r="H7" s="2">
        <v>19.989999999999998</v>
      </c>
      <c r="I7" s="2"/>
      <c r="J7" s="2"/>
      <c r="K7" s="2">
        <v>19.989999999999998</v>
      </c>
      <c r="L7" s="2"/>
      <c r="M7" s="2">
        <v>19.989999999999998</v>
      </c>
      <c r="N7" s="2"/>
      <c r="O7" s="2"/>
      <c r="P7" s="2"/>
    </row>
    <row r="8" spans="1:16" x14ac:dyDescent="0.3">
      <c r="A8" t="s">
        <v>270</v>
      </c>
      <c r="B8">
        <v>77712</v>
      </c>
      <c r="C8">
        <v>500220</v>
      </c>
      <c r="D8" t="s">
        <v>271</v>
      </c>
      <c r="E8" s="2">
        <v>2150.5100000000002</v>
      </c>
      <c r="F8" s="2">
        <v>2787.97</v>
      </c>
      <c r="G8" s="2">
        <v>3063.37</v>
      </c>
      <c r="H8" s="2">
        <v>3072.56</v>
      </c>
      <c r="I8" s="2">
        <v>3127.92</v>
      </c>
      <c r="J8" s="2">
        <v>2887.71</v>
      </c>
      <c r="K8" s="2">
        <v>2547.7199999999998</v>
      </c>
      <c r="L8" s="2">
        <v>2950.87</v>
      </c>
      <c r="M8" s="2">
        <v>3280.29</v>
      </c>
      <c r="N8" s="2">
        <v>3397.21</v>
      </c>
      <c r="O8" s="2">
        <v>3017.85</v>
      </c>
      <c r="P8" s="2">
        <v>2575.0100000000002</v>
      </c>
    </row>
    <row r="9" spans="1:16" x14ac:dyDescent="0.3">
      <c r="A9" t="s">
        <v>270</v>
      </c>
      <c r="B9">
        <v>77712</v>
      </c>
      <c r="C9">
        <v>500230</v>
      </c>
      <c r="D9" t="s">
        <v>272</v>
      </c>
      <c r="E9" s="2">
        <v>4061.52</v>
      </c>
      <c r="F9" s="2">
        <v>1433.72</v>
      </c>
      <c r="G9" s="2">
        <v>1895.35</v>
      </c>
      <c r="H9" s="2">
        <v>3127.21</v>
      </c>
      <c r="I9" s="2">
        <v>2793.04</v>
      </c>
      <c r="J9" s="2">
        <v>2278.4499999999998</v>
      </c>
      <c r="K9" s="2">
        <v>3709.82</v>
      </c>
      <c r="L9" s="2">
        <v>2344.7399999999998</v>
      </c>
      <c r="M9" s="2">
        <v>755.62</v>
      </c>
      <c r="N9" s="2">
        <v>408.02</v>
      </c>
      <c r="O9" s="2">
        <v>1274.4000000000001</v>
      </c>
      <c r="P9" s="2">
        <v>1552.76</v>
      </c>
    </row>
    <row r="10" spans="1:16" x14ac:dyDescent="0.3">
      <c r="A10" t="s">
        <v>270</v>
      </c>
      <c r="B10">
        <v>77712</v>
      </c>
      <c r="C10">
        <v>500250</v>
      </c>
      <c r="D10" t="s">
        <v>273</v>
      </c>
      <c r="E10" s="2"/>
      <c r="F10" s="2">
        <v>-129.28</v>
      </c>
      <c r="G10" s="2"/>
      <c r="H10" s="2"/>
      <c r="I10" s="2">
        <v>-35.26</v>
      </c>
      <c r="J10" s="2"/>
      <c r="K10" s="2"/>
      <c r="L10" s="2">
        <v>-38.869999999999997</v>
      </c>
      <c r="M10" s="2"/>
      <c r="N10" s="2"/>
      <c r="O10" s="2">
        <v>180.03</v>
      </c>
      <c r="P10" s="2"/>
    </row>
    <row r="11" spans="1:16" x14ac:dyDescent="0.3">
      <c r="A11" t="s">
        <v>270</v>
      </c>
      <c r="B11">
        <v>77712</v>
      </c>
      <c r="C11">
        <v>500300</v>
      </c>
      <c r="D11" t="s">
        <v>274</v>
      </c>
      <c r="E11" s="2">
        <v>39.14</v>
      </c>
      <c r="F11" s="2">
        <v>16.329999999999998</v>
      </c>
      <c r="G11" s="2">
        <v>45.35</v>
      </c>
      <c r="H11" s="2">
        <v>54.54</v>
      </c>
      <c r="I11" s="2">
        <v>23.28</v>
      </c>
      <c r="J11" s="2">
        <v>27.31</v>
      </c>
      <c r="K11" s="2">
        <v>20.190000000000001</v>
      </c>
      <c r="L11" s="2">
        <v>273.14</v>
      </c>
      <c r="M11" s="2">
        <v>74.760000000000005</v>
      </c>
      <c r="N11" s="2">
        <v>501.58</v>
      </c>
      <c r="O11" s="2">
        <v>234.5</v>
      </c>
      <c r="P11" s="2">
        <v>10.130000000000001</v>
      </c>
    </row>
    <row r="12" spans="1:16" x14ac:dyDescent="0.3">
      <c r="A12" t="s">
        <v>270</v>
      </c>
      <c r="B12">
        <v>77712</v>
      </c>
      <c r="C12">
        <v>500310</v>
      </c>
      <c r="D12" t="s">
        <v>275</v>
      </c>
      <c r="E12" s="2"/>
      <c r="F12" s="2">
        <v>121.29</v>
      </c>
      <c r="G12" s="2">
        <v>68.81</v>
      </c>
      <c r="H12" s="2">
        <v>66.5</v>
      </c>
      <c r="I12" s="2">
        <v>64.78</v>
      </c>
      <c r="J12" s="2">
        <v>60.86</v>
      </c>
      <c r="K12" s="2">
        <v>76.3</v>
      </c>
      <c r="L12" s="2">
        <v>78.08</v>
      </c>
      <c r="M12" s="2">
        <v>51.47</v>
      </c>
      <c r="N12" s="2">
        <v>73.150000000000006</v>
      </c>
      <c r="O12" s="2">
        <v>67.72</v>
      </c>
      <c r="P12" s="2">
        <v>68.150000000000006</v>
      </c>
    </row>
    <row r="13" spans="1:16" x14ac:dyDescent="0.3">
      <c r="A13" t="s">
        <v>270</v>
      </c>
      <c r="B13">
        <v>77712</v>
      </c>
      <c r="C13">
        <v>500320</v>
      </c>
      <c r="D13" t="s">
        <v>276</v>
      </c>
      <c r="E13" s="2"/>
      <c r="F13" s="2">
        <v>42.04</v>
      </c>
      <c r="G13" s="2">
        <v>38.53</v>
      </c>
      <c r="H13" s="2">
        <v>40.119999999999997</v>
      </c>
      <c r="I13" s="2">
        <v>38.799999999999997</v>
      </c>
      <c r="J13" s="2">
        <v>37.57</v>
      </c>
      <c r="K13" s="2">
        <v>40.69</v>
      </c>
      <c r="L13" s="2">
        <v>41.15</v>
      </c>
      <c r="M13" s="2">
        <v>36.32</v>
      </c>
      <c r="N13" s="2">
        <v>35.47</v>
      </c>
      <c r="O13" s="2">
        <v>33.590000000000003</v>
      </c>
      <c r="P13" s="2">
        <v>36.229999999999997</v>
      </c>
    </row>
    <row r="14" spans="1:16" x14ac:dyDescent="0.3">
      <c r="A14" t="s">
        <v>270</v>
      </c>
      <c r="B14">
        <v>77712</v>
      </c>
      <c r="C14">
        <v>500330</v>
      </c>
      <c r="D14" t="s">
        <v>277</v>
      </c>
      <c r="E14" s="2"/>
      <c r="F14" s="2">
        <v>67.900000000000006</v>
      </c>
      <c r="G14" s="2">
        <v>116.99</v>
      </c>
      <c r="H14" s="2">
        <v>74.260000000000005</v>
      </c>
      <c r="I14" s="2">
        <v>177.96</v>
      </c>
      <c r="J14" s="2">
        <v>213.79</v>
      </c>
      <c r="K14" s="2">
        <v>94.51</v>
      </c>
      <c r="L14" s="2">
        <v>155.88999999999999</v>
      </c>
      <c r="M14" s="2">
        <v>123.53</v>
      </c>
      <c r="N14" s="2">
        <v>105.1</v>
      </c>
      <c r="O14" s="2">
        <v>131.29</v>
      </c>
      <c r="P14" s="2">
        <v>168.1</v>
      </c>
    </row>
    <row r="15" spans="1:16" x14ac:dyDescent="0.3">
      <c r="A15" t="s">
        <v>270</v>
      </c>
      <c r="B15">
        <v>77712</v>
      </c>
      <c r="C15">
        <v>500350</v>
      </c>
      <c r="D15" t="s">
        <v>278</v>
      </c>
      <c r="E15" s="2"/>
      <c r="F15" s="2">
        <v>51.05</v>
      </c>
      <c r="G15" s="2">
        <v>39.67</v>
      </c>
      <c r="H15" s="2">
        <v>143.47</v>
      </c>
      <c r="I15" s="2">
        <v>42.81</v>
      </c>
      <c r="J15" s="2">
        <v>56.8</v>
      </c>
      <c r="K15" s="2">
        <v>86.56</v>
      </c>
      <c r="L15" s="2">
        <v>74.88</v>
      </c>
      <c r="M15" s="2">
        <v>80.94</v>
      </c>
      <c r="N15" s="2">
        <v>67.48</v>
      </c>
      <c r="O15" s="2">
        <v>25.91</v>
      </c>
      <c r="P15" s="2">
        <v>63.27</v>
      </c>
    </row>
    <row r="16" spans="1:16" x14ac:dyDescent="0.3">
      <c r="A16" t="s">
        <v>270</v>
      </c>
      <c r="B16">
        <v>77712</v>
      </c>
      <c r="C16">
        <v>500360</v>
      </c>
      <c r="D16" t="s">
        <v>279</v>
      </c>
      <c r="E16" s="2"/>
      <c r="F16" s="2"/>
      <c r="G16" s="2"/>
      <c r="H16" s="2"/>
      <c r="I16" s="2"/>
      <c r="J16" s="2"/>
      <c r="K16" s="2"/>
      <c r="L16" s="2">
        <v>37.909999999999997</v>
      </c>
      <c r="M16" s="2"/>
      <c r="N16" s="2"/>
      <c r="O16" s="2"/>
      <c r="P16" s="2">
        <v>6.5</v>
      </c>
    </row>
    <row r="17" spans="1:16" x14ac:dyDescent="0.3">
      <c r="A17" t="s">
        <v>270</v>
      </c>
      <c r="B17">
        <v>77712</v>
      </c>
      <c r="C17">
        <v>500390</v>
      </c>
      <c r="D17" t="s">
        <v>280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183.22</v>
      </c>
      <c r="P17" s="2"/>
    </row>
    <row r="18" spans="1:16" x14ac:dyDescent="0.3">
      <c r="A18" t="s">
        <v>270</v>
      </c>
      <c r="B18">
        <v>77712</v>
      </c>
      <c r="C18">
        <v>500400</v>
      </c>
      <c r="D18" t="s">
        <v>281</v>
      </c>
      <c r="E18" s="2"/>
      <c r="F18" s="2"/>
      <c r="G18" s="2">
        <v>48.91</v>
      </c>
      <c r="H18" s="2"/>
      <c r="I18" s="2"/>
      <c r="J18" s="2"/>
      <c r="K18" s="2"/>
      <c r="L18" s="2"/>
      <c r="M18" s="2"/>
      <c r="N18" s="2">
        <v>4.8499999999999996</v>
      </c>
      <c r="O18" s="2"/>
      <c r="P18" s="2">
        <v>171.28</v>
      </c>
    </row>
    <row r="19" spans="1:16" x14ac:dyDescent="0.3">
      <c r="A19" t="s">
        <v>270</v>
      </c>
      <c r="B19">
        <v>77712</v>
      </c>
      <c r="C19">
        <v>500410</v>
      </c>
      <c r="D19" t="s">
        <v>282</v>
      </c>
      <c r="E19" s="2">
        <v>159.97</v>
      </c>
      <c r="F19" s="2">
        <v>-29.56</v>
      </c>
      <c r="G19" s="2">
        <v>-11.56</v>
      </c>
      <c r="H19" s="2">
        <v>10.61</v>
      </c>
      <c r="I19" s="2">
        <v>-15.37</v>
      </c>
      <c r="J19" s="2">
        <v>-4.4400000000000004</v>
      </c>
      <c r="K19" s="2">
        <v>4.58</v>
      </c>
      <c r="L19" s="2">
        <v>-14.65</v>
      </c>
      <c r="M19" s="2">
        <v>0.66</v>
      </c>
      <c r="N19" s="2">
        <v>-1.59</v>
      </c>
      <c r="O19" s="2">
        <v>72.02</v>
      </c>
      <c r="P19" s="2">
        <v>-4.1500000000000004</v>
      </c>
    </row>
    <row r="20" spans="1:16" x14ac:dyDescent="0.3">
      <c r="A20" t="s">
        <v>270</v>
      </c>
      <c r="B20">
        <v>77712</v>
      </c>
      <c r="C20">
        <v>500420</v>
      </c>
      <c r="D20" t="s">
        <v>283</v>
      </c>
      <c r="E20" s="2">
        <v>316.06</v>
      </c>
      <c r="F20" s="2">
        <v>240.43</v>
      </c>
      <c r="G20" s="2">
        <v>289.17</v>
      </c>
      <c r="H20" s="2">
        <v>366.87</v>
      </c>
      <c r="I20" s="2">
        <v>347.8</v>
      </c>
      <c r="J20" s="2">
        <v>312.83</v>
      </c>
      <c r="K20" s="2">
        <v>375.73</v>
      </c>
      <c r="L20" s="2">
        <v>331.88</v>
      </c>
      <c r="M20" s="2">
        <v>234.57</v>
      </c>
      <c r="N20" s="2">
        <v>246.53</v>
      </c>
      <c r="O20" s="2">
        <v>274.52</v>
      </c>
      <c r="P20" s="2">
        <v>247.32</v>
      </c>
    </row>
    <row r="21" spans="1:16" x14ac:dyDescent="0.3">
      <c r="A21" t="s">
        <v>270</v>
      </c>
      <c r="B21">
        <v>77712</v>
      </c>
      <c r="C21">
        <v>500430</v>
      </c>
      <c r="D21" t="s">
        <v>284</v>
      </c>
      <c r="E21" s="2">
        <v>73.930000000000007</v>
      </c>
      <c r="F21" s="2">
        <v>56.23</v>
      </c>
      <c r="G21" s="2">
        <v>67.64</v>
      </c>
      <c r="H21" s="2">
        <v>85.79</v>
      </c>
      <c r="I21" s="2">
        <v>81.349999999999994</v>
      </c>
      <c r="J21" s="2">
        <v>73.17</v>
      </c>
      <c r="K21" s="2">
        <v>87.88</v>
      </c>
      <c r="L21" s="2">
        <v>77.62</v>
      </c>
      <c r="M21" s="2">
        <v>54.86</v>
      </c>
      <c r="N21" s="2">
        <v>57.67</v>
      </c>
      <c r="O21" s="2">
        <v>64.209999999999994</v>
      </c>
      <c r="P21" s="2">
        <v>57.85</v>
      </c>
    </row>
    <row r="22" spans="1:16" x14ac:dyDescent="0.3">
      <c r="A22" t="s">
        <v>270</v>
      </c>
      <c r="B22">
        <v>77712</v>
      </c>
      <c r="C22">
        <v>500440</v>
      </c>
      <c r="D22" t="s">
        <v>285</v>
      </c>
      <c r="E22" s="2">
        <v>141.06</v>
      </c>
      <c r="F22" s="2">
        <v>15.53</v>
      </c>
      <c r="G22" s="2">
        <v>0.39</v>
      </c>
      <c r="H22" s="2">
        <v>0.27</v>
      </c>
      <c r="I22" s="2"/>
      <c r="J22" s="2"/>
      <c r="K22" s="2"/>
      <c r="L22" s="2"/>
      <c r="M22" s="2"/>
      <c r="N22" s="2"/>
      <c r="O22" s="2">
        <v>24.09</v>
      </c>
      <c r="P22" s="2">
        <v>122.89</v>
      </c>
    </row>
    <row r="23" spans="1:16" x14ac:dyDescent="0.3">
      <c r="A23" t="s">
        <v>270</v>
      </c>
      <c r="B23">
        <v>77712</v>
      </c>
      <c r="C23">
        <v>500450</v>
      </c>
      <c r="D23" t="s">
        <v>286</v>
      </c>
      <c r="E23" s="2">
        <v>4.88</v>
      </c>
      <c r="F23" s="2">
        <v>0.48</v>
      </c>
      <c r="G23" s="2"/>
      <c r="H23" s="2"/>
      <c r="I23" s="2"/>
      <c r="J23" s="2"/>
      <c r="K23" s="2"/>
      <c r="L23" s="2"/>
      <c r="M23" s="2"/>
      <c r="N23" s="2"/>
      <c r="O23" s="2">
        <v>0.84</v>
      </c>
      <c r="P23" s="2">
        <v>3.41</v>
      </c>
    </row>
    <row r="24" spans="1:16" x14ac:dyDescent="0.3">
      <c r="A24" t="s">
        <v>270</v>
      </c>
      <c r="B24">
        <v>77712</v>
      </c>
      <c r="C24">
        <v>500470</v>
      </c>
      <c r="D24" t="s">
        <v>287</v>
      </c>
      <c r="E24" s="2">
        <v>268.35000000000002</v>
      </c>
      <c r="F24" s="2">
        <v>254.98</v>
      </c>
      <c r="G24" s="2">
        <v>285.41000000000003</v>
      </c>
      <c r="H24" s="2">
        <v>364.41</v>
      </c>
      <c r="I24" s="2">
        <v>331.29</v>
      </c>
      <c r="J24" s="2">
        <v>311.45</v>
      </c>
      <c r="K24" s="2">
        <v>350.65</v>
      </c>
      <c r="L24" s="2">
        <v>322.64</v>
      </c>
      <c r="M24" s="2">
        <v>243.42</v>
      </c>
      <c r="N24" s="2">
        <v>244.1</v>
      </c>
      <c r="O24" s="2">
        <v>258.55</v>
      </c>
      <c r="P24" s="2">
        <v>255.13</v>
      </c>
    </row>
    <row r="25" spans="1:16" x14ac:dyDescent="0.3">
      <c r="A25" t="s">
        <v>270</v>
      </c>
      <c r="B25">
        <v>77712</v>
      </c>
      <c r="C25">
        <v>500480</v>
      </c>
      <c r="D25" t="s">
        <v>288</v>
      </c>
      <c r="E25" s="2">
        <v>29.19</v>
      </c>
      <c r="F25" s="2">
        <v>3.21</v>
      </c>
      <c r="G25" s="2">
        <v>0.08</v>
      </c>
      <c r="H25" s="2">
        <v>0.06</v>
      </c>
      <c r="I25" s="2"/>
      <c r="J25" s="2"/>
      <c r="K25" s="2"/>
      <c r="L25" s="2"/>
      <c r="M25" s="2"/>
      <c r="N25" s="2"/>
      <c r="O25" s="2">
        <v>111.94</v>
      </c>
      <c r="P25" s="2">
        <v>23.78</v>
      </c>
    </row>
    <row r="26" spans="1:16" x14ac:dyDescent="0.3">
      <c r="A26" t="s">
        <v>270</v>
      </c>
      <c r="B26">
        <v>77712</v>
      </c>
      <c r="C26">
        <v>500490</v>
      </c>
      <c r="D26" t="s">
        <v>289</v>
      </c>
      <c r="E26" s="2">
        <v>133.77000000000001</v>
      </c>
      <c r="F26" s="2">
        <v>994.79</v>
      </c>
      <c r="G26" s="2">
        <v>1097.26</v>
      </c>
      <c r="H26" s="2">
        <v>1104.72</v>
      </c>
      <c r="I26" s="2">
        <v>1111.6099999999999</v>
      </c>
      <c r="J26" s="2">
        <v>1045.03</v>
      </c>
      <c r="K26" s="2">
        <v>809.17</v>
      </c>
      <c r="L26" s="2">
        <v>1043.9100000000001</v>
      </c>
      <c r="M26" s="2">
        <v>1106.03</v>
      </c>
      <c r="N26" s="2">
        <v>1061.6600000000001</v>
      </c>
      <c r="O26" s="2">
        <v>902.88</v>
      </c>
      <c r="P26" s="2">
        <v>931.66</v>
      </c>
    </row>
    <row r="27" spans="1:16" x14ac:dyDescent="0.3">
      <c r="A27" t="s">
        <v>270</v>
      </c>
      <c r="B27">
        <v>77712</v>
      </c>
      <c r="C27">
        <v>500500</v>
      </c>
      <c r="D27" t="s">
        <v>290</v>
      </c>
      <c r="E27" s="2"/>
      <c r="F27" s="2">
        <v>0.56000000000000005</v>
      </c>
      <c r="G27" s="2">
        <v>3.55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t="s">
        <v>270</v>
      </c>
      <c r="B28">
        <v>77712</v>
      </c>
      <c r="C28">
        <v>500520</v>
      </c>
      <c r="D28" t="s">
        <v>291</v>
      </c>
      <c r="E28" s="2">
        <v>2.4</v>
      </c>
      <c r="F28" s="2">
        <v>2.52</v>
      </c>
      <c r="G28" s="2">
        <v>2.9</v>
      </c>
      <c r="H28" s="2">
        <v>3.28</v>
      </c>
      <c r="I28" s="2">
        <v>3.16</v>
      </c>
      <c r="J28" s="2">
        <v>2.96</v>
      </c>
      <c r="K28" s="2">
        <v>2.76</v>
      </c>
      <c r="L28" s="2">
        <v>2.83</v>
      </c>
      <c r="M28" s="2">
        <v>2.74</v>
      </c>
      <c r="N28" s="2">
        <v>2.39</v>
      </c>
      <c r="O28" s="2">
        <v>2.2799999999999998</v>
      </c>
      <c r="P28" s="2">
        <v>2.56</v>
      </c>
    </row>
    <row r="29" spans="1:16" x14ac:dyDescent="0.3">
      <c r="A29" t="s">
        <v>270</v>
      </c>
      <c r="B29">
        <v>77712</v>
      </c>
      <c r="C29">
        <v>500530</v>
      </c>
      <c r="D29" t="s">
        <v>292</v>
      </c>
      <c r="E29" s="2">
        <v>3.62</v>
      </c>
      <c r="F29" s="2">
        <v>3.21</v>
      </c>
      <c r="G29" s="2">
        <v>3.19</v>
      </c>
      <c r="H29" s="2">
        <v>3.39</v>
      </c>
      <c r="I29" s="2">
        <v>2.72</v>
      </c>
      <c r="J29" s="2">
        <v>2.0299999999999998</v>
      </c>
      <c r="K29" s="2">
        <v>1.73</v>
      </c>
      <c r="L29" s="2">
        <v>1.84</v>
      </c>
      <c r="M29" s="2">
        <v>1.33</v>
      </c>
      <c r="N29" s="2">
        <v>1.48</v>
      </c>
      <c r="O29" s="2">
        <v>4.22</v>
      </c>
      <c r="P29" s="2">
        <v>99.73</v>
      </c>
    </row>
    <row r="30" spans="1:16" x14ac:dyDescent="0.3">
      <c r="A30" t="s">
        <v>270</v>
      </c>
      <c r="B30">
        <v>77712</v>
      </c>
      <c r="C30">
        <v>500540</v>
      </c>
      <c r="D30" t="s">
        <v>293</v>
      </c>
      <c r="E30" s="2">
        <v>0.37</v>
      </c>
      <c r="F30" s="2">
        <v>0.37</v>
      </c>
      <c r="G30" s="2">
        <v>0.43</v>
      </c>
      <c r="H30" s="2">
        <v>0.49</v>
      </c>
      <c r="I30" s="2">
        <v>0.47</v>
      </c>
      <c r="J30" s="2">
        <v>0.44</v>
      </c>
      <c r="K30" s="2">
        <v>0.42</v>
      </c>
      <c r="L30" s="2">
        <v>0.44</v>
      </c>
      <c r="M30" s="2">
        <v>0.42</v>
      </c>
      <c r="N30" s="2">
        <v>0.36</v>
      </c>
      <c r="O30" s="2">
        <v>0.35</v>
      </c>
      <c r="P30" s="2">
        <v>0.38</v>
      </c>
    </row>
    <row r="31" spans="1:16" x14ac:dyDescent="0.3">
      <c r="A31" t="s">
        <v>294</v>
      </c>
      <c r="B31">
        <v>77712</v>
      </c>
      <c r="C31">
        <v>500720</v>
      </c>
      <c r="D31" t="s">
        <v>295</v>
      </c>
      <c r="E31" s="2"/>
      <c r="F31" s="2"/>
      <c r="G31" s="2"/>
      <c r="H31" s="2"/>
      <c r="I31" s="2"/>
      <c r="J31" s="2"/>
      <c r="K31" s="2"/>
      <c r="L31" s="2">
        <v>372.23</v>
      </c>
      <c r="M31" s="2"/>
      <c r="N31" s="2"/>
      <c r="O31" s="2"/>
      <c r="P31" s="2"/>
    </row>
    <row r="32" spans="1:16" x14ac:dyDescent="0.3">
      <c r="A32" t="s">
        <v>294</v>
      </c>
      <c r="B32">
        <v>77712</v>
      </c>
      <c r="C32">
        <v>500730</v>
      </c>
      <c r="D32" t="s">
        <v>296</v>
      </c>
      <c r="E32" s="2"/>
      <c r="F32" s="2"/>
      <c r="G32" s="2">
        <v>450</v>
      </c>
      <c r="H32" s="2">
        <v>450</v>
      </c>
      <c r="I32" s="2">
        <v>450</v>
      </c>
      <c r="J32" s="2">
        <v>450</v>
      </c>
      <c r="K32" s="2">
        <v>450</v>
      </c>
      <c r="L32" s="2">
        <v>900</v>
      </c>
      <c r="M32" s="2"/>
      <c r="N32" s="2">
        <v>450</v>
      </c>
      <c r="O32" s="2">
        <v>450</v>
      </c>
      <c r="P32" s="2">
        <v>918</v>
      </c>
    </row>
    <row r="33" spans="1:16" x14ac:dyDescent="0.3">
      <c r="A33" t="s">
        <v>294</v>
      </c>
      <c r="B33">
        <v>77712</v>
      </c>
      <c r="C33">
        <v>500740</v>
      </c>
      <c r="D33" t="s">
        <v>297</v>
      </c>
      <c r="E33" s="2"/>
      <c r="F33" s="2"/>
      <c r="G33" s="2"/>
      <c r="H33" s="2"/>
      <c r="I33" s="2">
        <v>1900</v>
      </c>
      <c r="J33" s="2"/>
      <c r="K33" s="2">
        <v>3375</v>
      </c>
      <c r="L33" s="2"/>
      <c r="M33" s="2"/>
      <c r="N33" s="2"/>
      <c r="O33" s="2"/>
      <c r="P33" s="2"/>
    </row>
    <row r="34" spans="1:16" x14ac:dyDescent="0.3">
      <c r="A34" t="s">
        <v>294</v>
      </c>
      <c r="B34">
        <v>77712</v>
      </c>
      <c r="C34">
        <v>500840</v>
      </c>
      <c r="D34" t="s">
        <v>298</v>
      </c>
      <c r="E34" s="2">
        <v>67.180000000000007</v>
      </c>
      <c r="F34" s="2">
        <v>67.180000000000007</v>
      </c>
      <c r="G34" s="2">
        <v>67.180000000000007</v>
      </c>
      <c r="H34" s="2">
        <v>67.180000000000007</v>
      </c>
      <c r="I34" s="2">
        <v>67.180000000000007</v>
      </c>
      <c r="J34" s="2">
        <v>67.180000000000007</v>
      </c>
      <c r="K34" s="2">
        <v>67.180000000000007</v>
      </c>
      <c r="L34" s="2"/>
      <c r="M34" s="2">
        <v>71.88</v>
      </c>
      <c r="N34" s="2"/>
      <c r="O34" s="2"/>
      <c r="P34" s="2">
        <v>71.88</v>
      </c>
    </row>
    <row r="35" spans="1:16" x14ac:dyDescent="0.3">
      <c r="A35" t="s">
        <v>294</v>
      </c>
      <c r="B35">
        <v>77712</v>
      </c>
      <c r="C35">
        <v>500900</v>
      </c>
      <c r="D35" t="s">
        <v>299</v>
      </c>
      <c r="E35" s="2"/>
      <c r="F35" s="2"/>
      <c r="G35" s="2"/>
      <c r="H35" s="2"/>
      <c r="I35" s="2">
        <v>445</v>
      </c>
      <c r="J35" s="2"/>
      <c r="K35" s="2"/>
      <c r="L35" s="2"/>
      <c r="M35" s="2"/>
      <c r="N35" s="2"/>
      <c r="O35" s="2"/>
      <c r="P35" s="2"/>
    </row>
    <row r="36" spans="1:16" x14ac:dyDescent="0.3">
      <c r="A36" t="s">
        <v>294</v>
      </c>
      <c r="B36">
        <v>77712</v>
      </c>
      <c r="C36">
        <v>500930</v>
      </c>
      <c r="D36" t="s">
        <v>300</v>
      </c>
      <c r="E36" s="2"/>
      <c r="F36" s="2">
        <v>430</v>
      </c>
      <c r="G36" s="2"/>
      <c r="H36" s="2"/>
      <c r="I36" s="2"/>
      <c r="J36" s="2">
        <v>370</v>
      </c>
      <c r="K36" s="2"/>
      <c r="L36" s="2"/>
      <c r="M36" s="2"/>
      <c r="N36" s="2"/>
      <c r="O36" s="2"/>
      <c r="P36" s="2"/>
    </row>
    <row r="37" spans="1:16" x14ac:dyDescent="0.3">
      <c r="A37" t="s">
        <v>294</v>
      </c>
      <c r="B37">
        <v>77712</v>
      </c>
      <c r="C37">
        <v>500960</v>
      </c>
      <c r="D37" t="s">
        <v>301</v>
      </c>
      <c r="E37" s="2"/>
      <c r="F37" s="2"/>
      <c r="G37" s="2">
        <v>300</v>
      </c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t="s">
        <v>294</v>
      </c>
      <c r="B38">
        <v>77712</v>
      </c>
      <c r="C38">
        <v>500970</v>
      </c>
      <c r="D38" t="s">
        <v>302</v>
      </c>
      <c r="E38" s="2"/>
      <c r="F38" s="2"/>
      <c r="G38" s="2"/>
      <c r="H38" s="2"/>
      <c r="I38" s="2">
        <v>165.42</v>
      </c>
      <c r="J38" s="2"/>
      <c r="K38" s="2"/>
      <c r="L38" s="2"/>
      <c r="M38" s="2"/>
      <c r="N38" s="2"/>
      <c r="O38" s="2"/>
      <c r="P38" s="2"/>
    </row>
    <row r="39" spans="1:16" x14ac:dyDescent="0.3">
      <c r="A39" t="s">
        <v>294</v>
      </c>
      <c r="B39">
        <v>77712</v>
      </c>
      <c r="C39">
        <v>501020</v>
      </c>
      <c r="D39" t="s">
        <v>303</v>
      </c>
      <c r="E39" s="2"/>
      <c r="F39" s="2"/>
      <c r="G39" s="2"/>
      <c r="H39" s="2"/>
      <c r="I39" s="2"/>
      <c r="J39" s="2">
        <v>1445.06</v>
      </c>
      <c r="K39" s="2"/>
      <c r="L39" s="2">
        <v>600</v>
      </c>
      <c r="M39" s="2"/>
      <c r="N39" s="2"/>
      <c r="O39" s="2"/>
      <c r="P39" s="2"/>
    </row>
    <row r="40" spans="1:16" x14ac:dyDescent="0.3">
      <c r="A40" t="s">
        <v>294</v>
      </c>
      <c r="B40">
        <v>77712</v>
      </c>
      <c r="C40">
        <v>501070</v>
      </c>
      <c r="D40" t="s">
        <v>304</v>
      </c>
      <c r="E40" s="2"/>
      <c r="F40" s="2">
        <v>320</v>
      </c>
      <c r="G40" s="2"/>
      <c r="H40" s="2"/>
      <c r="I40" s="2">
        <v>160</v>
      </c>
      <c r="J40" s="2"/>
      <c r="K40" s="2"/>
      <c r="L40" s="2"/>
      <c r="M40" s="2">
        <v>320</v>
      </c>
      <c r="N40" s="2"/>
      <c r="O40" s="2"/>
      <c r="P40" s="2"/>
    </row>
    <row r="41" spans="1:16" x14ac:dyDescent="0.3">
      <c r="A41" t="s">
        <v>294</v>
      </c>
      <c r="B41">
        <v>77712</v>
      </c>
      <c r="C41">
        <v>501110</v>
      </c>
      <c r="D41" t="s">
        <v>305</v>
      </c>
      <c r="E41" s="2"/>
      <c r="F41" s="2"/>
      <c r="G41" s="2"/>
      <c r="H41" s="2"/>
      <c r="I41" s="2"/>
      <c r="J41" s="2"/>
      <c r="K41" s="2"/>
      <c r="L41" s="2"/>
      <c r="M41" s="2">
        <v>200</v>
      </c>
      <c r="N41" s="2"/>
      <c r="O41" s="2"/>
      <c r="P41" s="2"/>
    </row>
    <row r="42" spans="1:16" x14ac:dyDescent="0.3">
      <c r="A42" t="s">
        <v>294</v>
      </c>
      <c r="B42">
        <v>77712</v>
      </c>
      <c r="C42">
        <v>501130</v>
      </c>
      <c r="D42" t="s">
        <v>306</v>
      </c>
      <c r="E42" s="2">
        <v>533.59</v>
      </c>
      <c r="F42" s="2">
        <v>578.08000000000004</v>
      </c>
      <c r="G42" s="2">
        <v>-59.08</v>
      </c>
      <c r="H42" s="2">
        <v>528.9</v>
      </c>
      <c r="I42" s="2">
        <v>54.49</v>
      </c>
      <c r="J42" s="2">
        <v>553.49</v>
      </c>
      <c r="K42" s="2">
        <v>10</v>
      </c>
      <c r="L42" s="2">
        <v>1015.56</v>
      </c>
      <c r="M42" s="2"/>
      <c r="N42" s="2">
        <v>1907.95</v>
      </c>
      <c r="O42" s="2">
        <v>2540.44</v>
      </c>
      <c r="P42" s="2">
        <v>644.55999999999995</v>
      </c>
    </row>
    <row r="43" spans="1:16" x14ac:dyDescent="0.3">
      <c r="A43" t="s">
        <v>294</v>
      </c>
      <c r="B43">
        <v>77712</v>
      </c>
      <c r="C43">
        <v>501160</v>
      </c>
      <c r="D43" t="s">
        <v>307</v>
      </c>
      <c r="E43" s="2"/>
      <c r="F43" s="2"/>
      <c r="G43" s="2"/>
      <c r="H43" s="2">
        <v>540</v>
      </c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t="s">
        <v>294</v>
      </c>
      <c r="B44">
        <v>77712</v>
      </c>
      <c r="C44">
        <v>501180</v>
      </c>
      <c r="D44" t="s">
        <v>308</v>
      </c>
      <c r="E44" s="2"/>
      <c r="F44" s="2"/>
      <c r="G44" s="2"/>
      <c r="H44" s="2">
        <v>841.25</v>
      </c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t="s">
        <v>294</v>
      </c>
      <c r="B45">
        <v>77712</v>
      </c>
      <c r="C45">
        <v>501190</v>
      </c>
      <c r="D45" t="s">
        <v>309</v>
      </c>
      <c r="E45" s="2">
        <v>268.48</v>
      </c>
      <c r="F45" s="2">
        <v>18</v>
      </c>
      <c r="G45" s="2">
        <v>129.31</v>
      </c>
      <c r="H45" s="2">
        <v>77.37</v>
      </c>
      <c r="I45" s="2">
        <v>347.98</v>
      </c>
      <c r="J45" s="2">
        <v>123.41</v>
      </c>
      <c r="K45" s="2">
        <v>89.07</v>
      </c>
      <c r="L45" s="2">
        <v>52.01</v>
      </c>
      <c r="M45" s="2">
        <v>151.47999999999999</v>
      </c>
      <c r="N45" s="2"/>
      <c r="O45" s="2">
        <v>23.77</v>
      </c>
      <c r="P45" s="2"/>
    </row>
    <row r="46" spans="1:16" x14ac:dyDescent="0.3">
      <c r="A46" t="s">
        <v>294</v>
      </c>
      <c r="B46">
        <v>77712</v>
      </c>
      <c r="C46">
        <v>501200</v>
      </c>
      <c r="D46" t="s">
        <v>310</v>
      </c>
      <c r="E46" s="2"/>
      <c r="F46" s="2"/>
      <c r="G46" s="2">
        <v>2.25</v>
      </c>
      <c r="H46" s="2"/>
      <c r="I46" s="2">
        <v>1.75</v>
      </c>
      <c r="J46" s="2"/>
      <c r="K46" s="2"/>
      <c r="L46" s="2"/>
      <c r="M46" s="2"/>
      <c r="N46" s="2"/>
      <c r="O46" s="2"/>
      <c r="P46" s="2"/>
    </row>
    <row r="47" spans="1:16" x14ac:dyDescent="0.3">
      <c r="A47" t="s">
        <v>294</v>
      </c>
      <c r="B47">
        <v>77712</v>
      </c>
      <c r="C47">
        <v>501400</v>
      </c>
      <c r="D47" t="s">
        <v>311</v>
      </c>
      <c r="E47" s="2">
        <v>53.66</v>
      </c>
      <c r="F47" s="2"/>
      <c r="G47" s="2"/>
      <c r="H47" s="2"/>
      <c r="I47" s="2"/>
      <c r="J47" s="2"/>
      <c r="K47" s="2"/>
      <c r="L47" s="2"/>
      <c r="M47" s="2"/>
      <c r="N47" s="2"/>
      <c r="O47" s="2">
        <v>48.42</v>
      </c>
      <c r="P47" s="2"/>
    </row>
    <row r="48" spans="1:16" x14ac:dyDescent="0.3">
      <c r="A48" t="s">
        <v>294</v>
      </c>
      <c r="B48">
        <v>77712</v>
      </c>
      <c r="C48">
        <v>501580</v>
      </c>
      <c r="D48" t="s">
        <v>312</v>
      </c>
      <c r="E48" s="2"/>
      <c r="F48" s="2"/>
      <c r="G48" s="2"/>
      <c r="H48" s="2"/>
      <c r="I48" s="2"/>
      <c r="J48" s="2"/>
      <c r="K48" s="2"/>
      <c r="L48" s="2"/>
      <c r="M48" s="2"/>
      <c r="N48" s="2">
        <v>225</v>
      </c>
      <c r="O48" s="2"/>
      <c r="P48" s="2"/>
    </row>
    <row r="49" spans="1:16" x14ac:dyDescent="0.3">
      <c r="A49" t="s">
        <v>294</v>
      </c>
      <c r="B49">
        <v>77712</v>
      </c>
      <c r="C49">
        <v>501590</v>
      </c>
      <c r="D49" t="s">
        <v>313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>
        <v>80</v>
      </c>
      <c r="P49" s="2"/>
    </row>
    <row r="50" spans="1:16" x14ac:dyDescent="0.3">
      <c r="A50" t="s">
        <v>294</v>
      </c>
      <c r="B50">
        <v>77712</v>
      </c>
      <c r="C50">
        <v>501610</v>
      </c>
      <c r="D50" t="s">
        <v>314</v>
      </c>
      <c r="E50" s="2">
        <v>300</v>
      </c>
      <c r="F50" s="2"/>
      <c r="G50" s="2"/>
      <c r="H50" s="2"/>
      <c r="I50" s="2">
        <v>319.64999999999998</v>
      </c>
      <c r="J50" s="2"/>
      <c r="K50" s="2"/>
      <c r="L50" s="2"/>
      <c r="M50" s="2"/>
      <c r="N50" s="2"/>
      <c r="O50" s="2"/>
      <c r="P50" s="2"/>
    </row>
    <row r="51" spans="1:16" x14ac:dyDescent="0.3">
      <c r="A51" t="s">
        <v>294</v>
      </c>
      <c r="B51">
        <v>77712</v>
      </c>
      <c r="C51">
        <v>501630</v>
      </c>
      <c r="D51" t="s">
        <v>315</v>
      </c>
      <c r="E51" s="2"/>
      <c r="F51" s="2"/>
      <c r="G51" s="2"/>
      <c r="H51" s="2">
        <v>1005.62</v>
      </c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t="s">
        <v>294</v>
      </c>
      <c r="B52">
        <v>77712</v>
      </c>
      <c r="C52">
        <v>501700</v>
      </c>
      <c r="D52" t="s">
        <v>316</v>
      </c>
      <c r="E52" s="2"/>
      <c r="F52" s="2"/>
      <c r="G52" s="2"/>
      <c r="H52" s="2"/>
      <c r="I52" s="2">
        <v>200</v>
      </c>
      <c r="J52" s="2"/>
      <c r="K52" s="2">
        <v>150</v>
      </c>
      <c r="L52" s="2"/>
      <c r="M52" s="2"/>
      <c r="N52" s="2">
        <v>150</v>
      </c>
      <c r="O52" s="2"/>
      <c r="P52" s="2"/>
    </row>
    <row r="53" spans="1:16" x14ac:dyDescent="0.3">
      <c r="A53" t="s">
        <v>294</v>
      </c>
      <c r="B53">
        <v>77712</v>
      </c>
      <c r="C53">
        <v>501710</v>
      </c>
      <c r="D53" t="s">
        <v>317</v>
      </c>
      <c r="E53" s="2">
        <v>450</v>
      </c>
      <c r="F53" s="2">
        <v>950</v>
      </c>
      <c r="G53" s="2">
        <v>150</v>
      </c>
      <c r="H53" s="2">
        <v>435</v>
      </c>
      <c r="I53" s="2"/>
      <c r="J53" s="2">
        <v>490</v>
      </c>
      <c r="K53" s="2">
        <v>979.5</v>
      </c>
      <c r="L53" s="2">
        <v>490</v>
      </c>
      <c r="M53" s="2"/>
      <c r="N53" s="2">
        <v>245</v>
      </c>
      <c r="O53" s="2">
        <v>490</v>
      </c>
      <c r="P53" s="2"/>
    </row>
    <row r="54" spans="1:16" x14ac:dyDescent="0.3">
      <c r="A54" t="s">
        <v>294</v>
      </c>
      <c r="B54">
        <v>77712</v>
      </c>
      <c r="C54">
        <v>501720</v>
      </c>
      <c r="D54" t="s">
        <v>318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162.38</v>
      </c>
    </row>
    <row r="55" spans="1:16" x14ac:dyDescent="0.3">
      <c r="A55" t="s">
        <v>294</v>
      </c>
      <c r="B55">
        <v>77712</v>
      </c>
      <c r="C55">
        <v>501850</v>
      </c>
      <c r="D55" t="s">
        <v>319</v>
      </c>
      <c r="E55" s="2"/>
      <c r="F55" s="2"/>
      <c r="G55" s="2"/>
      <c r="H55" s="2"/>
      <c r="I55" s="2"/>
      <c r="J55" s="2"/>
      <c r="K55" s="2"/>
      <c r="L55" s="2">
        <v>1800</v>
      </c>
      <c r="M55" s="2">
        <v>600</v>
      </c>
      <c r="N55" s="2"/>
      <c r="O55" s="2">
        <v>600</v>
      </c>
      <c r="P55" s="2">
        <v>600</v>
      </c>
    </row>
    <row r="56" spans="1:16" x14ac:dyDescent="0.3">
      <c r="A56" t="s">
        <v>294</v>
      </c>
      <c r="B56">
        <v>77712</v>
      </c>
      <c r="C56">
        <v>501910</v>
      </c>
      <c r="D56" t="s">
        <v>320</v>
      </c>
      <c r="E56" s="2"/>
      <c r="F56" s="2"/>
      <c r="G56" s="2"/>
      <c r="H56" s="2"/>
      <c r="I56" s="2"/>
      <c r="J56" s="2"/>
      <c r="K56" s="2">
        <v>337.23</v>
      </c>
      <c r="L56" s="2"/>
      <c r="M56" s="2"/>
      <c r="N56" s="2"/>
      <c r="O56" s="2"/>
      <c r="P56" s="2"/>
    </row>
    <row r="57" spans="1:16" x14ac:dyDescent="0.3">
      <c r="A57" t="s">
        <v>321</v>
      </c>
      <c r="B57">
        <v>77712</v>
      </c>
      <c r="C57">
        <v>505010</v>
      </c>
      <c r="D57" t="s">
        <v>322</v>
      </c>
      <c r="E57" s="2"/>
      <c r="F57" s="2"/>
      <c r="G57" s="2"/>
      <c r="H57" s="2"/>
      <c r="I57" s="2"/>
      <c r="J57" s="2">
        <v>9037.35</v>
      </c>
      <c r="K57" s="2">
        <v>3049.82</v>
      </c>
      <c r="L57" s="2">
        <v>3227.07</v>
      </c>
      <c r="M57" s="2">
        <v>2918.39</v>
      </c>
      <c r="N57" s="2">
        <v>2867.12</v>
      </c>
      <c r="O57" s="2">
        <v>3213.76</v>
      </c>
      <c r="P57" s="2">
        <v>2943.78</v>
      </c>
    </row>
    <row r="58" spans="1:16" x14ac:dyDescent="0.3">
      <c r="A58" t="s">
        <v>321</v>
      </c>
      <c r="B58">
        <v>77712</v>
      </c>
      <c r="C58">
        <v>505040</v>
      </c>
      <c r="D58" t="s">
        <v>323</v>
      </c>
      <c r="E58" s="2">
        <v>835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t="s">
        <v>321</v>
      </c>
      <c r="B59">
        <v>77712</v>
      </c>
      <c r="C59">
        <v>505100</v>
      </c>
      <c r="D59" t="s">
        <v>324</v>
      </c>
      <c r="E59" s="2"/>
      <c r="F59" s="2"/>
      <c r="G59" s="2"/>
      <c r="H59" s="2"/>
      <c r="I59" s="2"/>
      <c r="J59" s="2"/>
      <c r="K59" s="2">
        <v>7.7</v>
      </c>
      <c r="L59" s="2">
        <v>4.3899999999999997</v>
      </c>
      <c r="M59" s="2">
        <v>4.3899999999999997</v>
      </c>
      <c r="N59" s="2">
        <v>4.3899999999999997</v>
      </c>
      <c r="O59" s="2">
        <v>4.3899999999999997</v>
      </c>
      <c r="P59" s="2">
        <v>4.3899999999999997</v>
      </c>
    </row>
    <row r="60" spans="1:16" x14ac:dyDescent="0.3">
      <c r="A60" t="s">
        <v>321</v>
      </c>
      <c r="B60">
        <v>77712</v>
      </c>
      <c r="C60">
        <v>505110</v>
      </c>
      <c r="D60" t="s">
        <v>325</v>
      </c>
      <c r="E60" s="2"/>
      <c r="F60" s="2"/>
      <c r="G60" s="2"/>
      <c r="H60" s="2"/>
      <c r="I60" s="2"/>
      <c r="J60" s="2"/>
      <c r="K60" s="2"/>
      <c r="L60" s="2"/>
      <c r="M60" s="2">
        <v>0.6</v>
      </c>
      <c r="N60" s="2">
        <v>0.3</v>
      </c>
      <c r="O60" s="2"/>
      <c r="P60" s="2"/>
    </row>
    <row r="61" spans="1:16" x14ac:dyDescent="0.3">
      <c r="A61" t="s">
        <v>326</v>
      </c>
      <c r="B61">
        <v>77712</v>
      </c>
      <c r="C61">
        <v>505500</v>
      </c>
      <c r="D61" t="s">
        <v>327</v>
      </c>
      <c r="E61" s="2">
        <v>2171.0100000000002</v>
      </c>
      <c r="F61" s="2">
        <v>3638.1</v>
      </c>
      <c r="G61" s="2">
        <v>3286.03</v>
      </c>
      <c r="H61" s="2">
        <v>3902.77</v>
      </c>
      <c r="I61" s="2">
        <v>3207.41</v>
      </c>
      <c r="J61" s="2">
        <v>2355.29</v>
      </c>
      <c r="K61" s="2">
        <v>3326.23</v>
      </c>
      <c r="L61" s="2">
        <v>3370.15</v>
      </c>
      <c r="M61" s="2">
        <v>1750.46</v>
      </c>
      <c r="N61" s="2">
        <v>1666.52</v>
      </c>
      <c r="O61" s="2">
        <v>1645.44</v>
      </c>
      <c r="P61" s="2">
        <v>2234.4499999999998</v>
      </c>
    </row>
    <row r="62" spans="1:16" x14ac:dyDescent="0.3">
      <c r="A62" t="s">
        <v>326</v>
      </c>
      <c r="B62">
        <v>77712</v>
      </c>
      <c r="C62">
        <v>505510</v>
      </c>
      <c r="D62" t="s">
        <v>328</v>
      </c>
      <c r="E62" s="2">
        <v>293.24</v>
      </c>
      <c r="F62" s="2">
        <v>128.22999999999999</v>
      </c>
      <c r="G62" s="2">
        <v>166.19</v>
      </c>
      <c r="H62" s="2">
        <v>277.91000000000003</v>
      </c>
      <c r="I62" s="2">
        <v>299.64</v>
      </c>
      <c r="J62" s="2">
        <v>368.31</v>
      </c>
      <c r="K62" s="2">
        <v>93.68</v>
      </c>
      <c r="L62" s="2">
        <v>110.76</v>
      </c>
      <c r="M62" s="2"/>
      <c r="N62" s="2">
        <v>126.08</v>
      </c>
      <c r="O62" s="2">
        <v>107.48</v>
      </c>
      <c r="P62" s="2">
        <v>1</v>
      </c>
    </row>
    <row r="63" spans="1:16" x14ac:dyDescent="0.3">
      <c r="A63" t="s">
        <v>326</v>
      </c>
      <c r="B63">
        <v>77712</v>
      </c>
      <c r="C63">
        <v>505530</v>
      </c>
      <c r="D63" t="s">
        <v>329</v>
      </c>
      <c r="E63" s="2">
        <v>226.32</v>
      </c>
      <c r="F63" s="2"/>
      <c r="G63" s="2"/>
      <c r="H63" s="2">
        <v>104.72</v>
      </c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t="s">
        <v>326</v>
      </c>
      <c r="B64">
        <v>77712</v>
      </c>
      <c r="C64">
        <v>505570</v>
      </c>
      <c r="D64" t="s">
        <v>330</v>
      </c>
      <c r="E64" s="2"/>
      <c r="F64" s="2"/>
      <c r="G64" s="2"/>
      <c r="H64" s="2"/>
      <c r="I64" s="2"/>
      <c r="J64" s="2"/>
      <c r="K64" s="2"/>
      <c r="L64" s="2">
        <v>0</v>
      </c>
      <c r="M64" s="2"/>
      <c r="N64" s="2"/>
      <c r="O64" s="2"/>
      <c r="P64" s="2"/>
    </row>
    <row r="65" spans="1:16" x14ac:dyDescent="0.3">
      <c r="A65" t="s">
        <v>331</v>
      </c>
      <c r="B65">
        <v>77712</v>
      </c>
      <c r="C65">
        <v>506010</v>
      </c>
      <c r="D65" t="s">
        <v>332</v>
      </c>
      <c r="E65" s="2">
        <v>36.770000000000003</v>
      </c>
      <c r="F65" s="2"/>
      <c r="G65" s="2">
        <v>88.89</v>
      </c>
      <c r="H65" s="2">
        <v>154.66</v>
      </c>
      <c r="I65" s="2">
        <v>52.56</v>
      </c>
      <c r="J65" s="2">
        <v>48.77</v>
      </c>
      <c r="K65" s="2">
        <v>413.87</v>
      </c>
      <c r="L65" s="2">
        <v>45.65</v>
      </c>
      <c r="M65" s="2">
        <v>53.52</v>
      </c>
      <c r="N65" s="2"/>
      <c r="O65" s="2">
        <v>42.66</v>
      </c>
      <c r="P65" s="2"/>
    </row>
    <row r="66" spans="1:16" x14ac:dyDescent="0.3">
      <c r="A66" t="s">
        <v>331</v>
      </c>
      <c r="B66">
        <v>77712</v>
      </c>
      <c r="C66">
        <v>506020</v>
      </c>
      <c r="D66" t="s">
        <v>333</v>
      </c>
      <c r="E66" s="2">
        <v>424.41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t="s">
        <v>334</v>
      </c>
      <c r="B67">
        <v>77712</v>
      </c>
      <c r="C67">
        <v>506040</v>
      </c>
      <c r="D67" t="s">
        <v>335</v>
      </c>
      <c r="E67" s="2"/>
      <c r="F67" s="2">
        <v>0</v>
      </c>
      <c r="G67" s="2"/>
      <c r="H67" s="2">
        <v>0.55000000000000004</v>
      </c>
      <c r="I67" s="2">
        <v>1.86</v>
      </c>
      <c r="J67" s="2"/>
      <c r="K67" s="2"/>
      <c r="L67" s="2">
        <v>1.83</v>
      </c>
      <c r="M67" s="2"/>
      <c r="N67" s="2"/>
      <c r="O67" s="2">
        <v>1.81</v>
      </c>
      <c r="P67" s="2"/>
    </row>
    <row r="68" spans="1:16" x14ac:dyDescent="0.3">
      <c r="A68" t="s">
        <v>331</v>
      </c>
      <c r="B68">
        <v>77712</v>
      </c>
      <c r="C68">
        <v>506050</v>
      </c>
      <c r="D68" t="s">
        <v>336</v>
      </c>
      <c r="E68" s="2"/>
      <c r="F68" s="2"/>
      <c r="G68" s="2">
        <v>0.62</v>
      </c>
      <c r="H68" s="2">
        <v>0.62</v>
      </c>
      <c r="I68" s="2">
        <v>0.62</v>
      </c>
      <c r="J68" s="2"/>
      <c r="K68" s="2"/>
      <c r="L68" s="2"/>
      <c r="M68" s="2"/>
      <c r="N68" s="2"/>
      <c r="O68" s="2"/>
      <c r="P68" s="2"/>
    </row>
    <row r="69" spans="1:16" x14ac:dyDescent="0.3">
      <c r="A69" t="s">
        <v>337</v>
      </c>
      <c r="B69">
        <v>77712</v>
      </c>
      <c r="C69">
        <v>506060</v>
      </c>
      <c r="D69" t="s">
        <v>27</v>
      </c>
      <c r="E69" s="2">
        <v>6.21</v>
      </c>
      <c r="F69" s="2">
        <v>3303.39</v>
      </c>
      <c r="G69" s="2">
        <v>6.19</v>
      </c>
      <c r="H69" s="2">
        <v>6.16</v>
      </c>
      <c r="I69" s="2">
        <v>6.17</v>
      </c>
      <c r="J69" s="2">
        <v>3271.3</v>
      </c>
      <c r="K69" s="2">
        <v>6.04</v>
      </c>
      <c r="L69" s="2">
        <v>841.6</v>
      </c>
      <c r="M69" s="2">
        <v>977.89</v>
      </c>
      <c r="N69" s="2">
        <v>827.65</v>
      </c>
      <c r="O69" s="2">
        <v>15.49</v>
      </c>
      <c r="P69" s="2">
        <v>1645.42</v>
      </c>
    </row>
    <row r="70" spans="1:16" x14ac:dyDescent="0.3">
      <c r="A70" t="s">
        <v>338</v>
      </c>
      <c r="B70">
        <v>77712</v>
      </c>
      <c r="C70">
        <v>506080</v>
      </c>
      <c r="D70" t="s">
        <v>339</v>
      </c>
      <c r="E70" s="2">
        <v>16.04</v>
      </c>
      <c r="F70" s="2">
        <v>17.87</v>
      </c>
      <c r="G70" s="2">
        <v>18.61</v>
      </c>
      <c r="H70" s="2">
        <v>23.91</v>
      </c>
      <c r="I70" s="2">
        <v>17.03</v>
      </c>
      <c r="J70" s="2">
        <v>35.270000000000003</v>
      </c>
      <c r="K70" s="2">
        <v>38.71</v>
      </c>
      <c r="L70" s="2">
        <v>42.98</v>
      </c>
      <c r="M70" s="2">
        <v>26.43</v>
      </c>
      <c r="N70" s="2">
        <v>33.21</v>
      </c>
      <c r="O70" s="2">
        <v>31.24</v>
      </c>
      <c r="P70" s="2">
        <v>16.72</v>
      </c>
    </row>
    <row r="71" spans="1:16" x14ac:dyDescent="0.3">
      <c r="A71" t="s">
        <v>331</v>
      </c>
      <c r="B71">
        <v>77712</v>
      </c>
      <c r="C71">
        <v>506110</v>
      </c>
      <c r="D71" t="s">
        <v>340</v>
      </c>
      <c r="E71" s="2">
        <v>3.21</v>
      </c>
      <c r="F71" s="2">
        <v>3.77</v>
      </c>
      <c r="G71" s="2"/>
      <c r="H71" s="2"/>
      <c r="I71" s="2">
        <v>2.2599999999999998</v>
      </c>
      <c r="J71" s="2">
        <v>30.96</v>
      </c>
      <c r="K71" s="2">
        <v>18.05</v>
      </c>
      <c r="L71" s="2">
        <v>8.49</v>
      </c>
      <c r="M71" s="2">
        <v>14.06</v>
      </c>
      <c r="N71" s="2">
        <v>2.2599999999999998</v>
      </c>
      <c r="O71" s="2">
        <v>0.36</v>
      </c>
      <c r="P71" s="2">
        <v>7.86</v>
      </c>
    </row>
    <row r="72" spans="1:16" x14ac:dyDescent="0.3">
      <c r="A72" t="s">
        <v>331</v>
      </c>
      <c r="B72">
        <v>77712</v>
      </c>
      <c r="C72">
        <v>506120</v>
      </c>
      <c r="D72" t="s">
        <v>341</v>
      </c>
      <c r="E72" s="2"/>
      <c r="F72" s="2"/>
      <c r="G72" s="2">
        <v>73.180000000000007</v>
      </c>
      <c r="H72" s="2"/>
      <c r="I72" s="2"/>
      <c r="J72" s="2"/>
      <c r="K72" s="2">
        <v>45.47</v>
      </c>
      <c r="L72" s="2"/>
      <c r="M72" s="2"/>
      <c r="N72" s="2"/>
      <c r="O72" s="2"/>
      <c r="P72" s="2">
        <v>86.37</v>
      </c>
    </row>
    <row r="73" spans="1:16" x14ac:dyDescent="0.3">
      <c r="A73" t="s">
        <v>342</v>
      </c>
      <c r="B73">
        <v>77712</v>
      </c>
      <c r="C73">
        <v>506140</v>
      </c>
      <c r="D73" t="s">
        <v>343</v>
      </c>
      <c r="E73" s="2">
        <v>101.4</v>
      </c>
      <c r="F73" s="2">
        <v>264.14999999999998</v>
      </c>
      <c r="G73" s="2">
        <v>204.86</v>
      </c>
      <c r="H73" s="2">
        <v>152.38</v>
      </c>
      <c r="I73" s="2">
        <v>284.61</v>
      </c>
      <c r="J73" s="2">
        <v>42.5</v>
      </c>
      <c r="K73" s="2">
        <v>158</v>
      </c>
      <c r="L73" s="2">
        <v>50.69</v>
      </c>
      <c r="M73" s="2">
        <v>263.18</v>
      </c>
      <c r="N73" s="2">
        <v>213.33</v>
      </c>
      <c r="O73" s="2">
        <v>42.5</v>
      </c>
      <c r="P73" s="2">
        <v>163.16</v>
      </c>
    </row>
    <row r="74" spans="1:16" x14ac:dyDescent="0.3">
      <c r="A74" t="s">
        <v>344</v>
      </c>
      <c r="B74">
        <v>77712</v>
      </c>
      <c r="C74">
        <v>506150</v>
      </c>
      <c r="D74" t="s">
        <v>25</v>
      </c>
      <c r="E74" s="2">
        <v>260.69</v>
      </c>
      <c r="F74" s="2">
        <v>260.69</v>
      </c>
      <c r="G74" s="2">
        <v>260.69</v>
      </c>
      <c r="H74" s="2">
        <v>260.69</v>
      </c>
      <c r="I74" s="2">
        <v>260.69</v>
      </c>
      <c r="J74" s="2">
        <v>260.69</v>
      </c>
      <c r="K74" s="2">
        <v>260.77</v>
      </c>
      <c r="L74" s="2">
        <v>260.77</v>
      </c>
      <c r="M74" s="2">
        <v>260.77</v>
      </c>
      <c r="N74" s="2">
        <v>260.77</v>
      </c>
      <c r="O74" s="2">
        <v>260.77</v>
      </c>
      <c r="P74" s="2">
        <v>273.08999999999997</v>
      </c>
    </row>
    <row r="75" spans="1:16" x14ac:dyDescent="0.3">
      <c r="A75" t="s">
        <v>345</v>
      </c>
      <c r="B75">
        <v>77712</v>
      </c>
      <c r="C75">
        <v>506180</v>
      </c>
      <c r="D75" t="s">
        <v>26</v>
      </c>
      <c r="E75" s="2">
        <v>284.04000000000002</v>
      </c>
      <c r="F75" s="2">
        <v>264.89</v>
      </c>
      <c r="G75" s="2">
        <v>295.5</v>
      </c>
      <c r="H75" s="2">
        <v>295.24</v>
      </c>
      <c r="I75" s="2">
        <v>316.83999999999997</v>
      </c>
      <c r="J75" s="2">
        <v>281.08</v>
      </c>
      <c r="K75" s="2">
        <v>311.19</v>
      </c>
      <c r="L75" s="2">
        <v>327.42</v>
      </c>
      <c r="M75" s="2">
        <v>306.72000000000003</v>
      </c>
      <c r="N75" s="2">
        <v>319.68</v>
      </c>
      <c r="O75" s="2">
        <v>281.58</v>
      </c>
      <c r="P75" s="2">
        <v>256.38</v>
      </c>
    </row>
    <row r="76" spans="1:16" x14ac:dyDescent="0.3">
      <c r="A76" t="s">
        <v>346</v>
      </c>
      <c r="B76">
        <v>77712</v>
      </c>
      <c r="C76">
        <v>506190</v>
      </c>
      <c r="D76" t="s">
        <v>347</v>
      </c>
      <c r="E76" s="2">
        <v>688.79</v>
      </c>
      <c r="F76" s="2">
        <v>745.47</v>
      </c>
      <c r="G76" s="2">
        <v>868.93</v>
      </c>
      <c r="H76" s="2">
        <v>1018.65</v>
      </c>
      <c r="I76" s="2">
        <v>1018.08</v>
      </c>
      <c r="J76" s="2">
        <v>1078.19</v>
      </c>
      <c r="K76" s="2">
        <v>1173.52</v>
      </c>
      <c r="L76" s="2">
        <v>1145.32</v>
      </c>
      <c r="M76" s="2">
        <v>1288.68</v>
      </c>
      <c r="N76" s="2">
        <v>1225.78</v>
      </c>
      <c r="O76" s="2">
        <v>1449.96</v>
      </c>
      <c r="P76" s="2">
        <v>1469.89</v>
      </c>
    </row>
    <row r="77" spans="1:16" x14ac:dyDescent="0.3">
      <c r="A77" t="s">
        <v>345</v>
      </c>
      <c r="B77">
        <v>77712</v>
      </c>
      <c r="C77">
        <v>506200</v>
      </c>
      <c r="D77" t="s">
        <v>348</v>
      </c>
      <c r="E77" s="2">
        <v>35.119999999999997</v>
      </c>
      <c r="F77" s="2">
        <v>34.9</v>
      </c>
      <c r="G77" s="2">
        <v>35.380000000000003</v>
      </c>
      <c r="H77" s="2">
        <v>35.46</v>
      </c>
      <c r="I77" s="2">
        <v>35.79</v>
      </c>
      <c r="J77" s="2">
        <v>35.5</v>
      </c>
      <c r="K77" s="2">
        <v>33.049999999999997</v>
      </c>
      <c r="L77" s="2">
        <v>32.86</v>
      </c>
      <c r="M77" s="2">
        <v>32.479999999999997</v>
      </c>
      <c r="N77" s="2">
        <v>32.89</v>
      </c>
      <c r="O77" s="2">
        <v>61.86</v>
      </c>
      <c r="P77" s="2">
        <v>31.18</v>
      </c>
    </row>
    <row r="78" spans="1:16" x14ac:dyDescent="0.3">
      <c r="A78" t="s">
        <v>349</v>
      </c>
      <c r="B78">
        <v>77712</v>
      </c>
      <c r="C78">
        <v>506210</v>
      </c>
      <c r="D78" t="s">
        <v>350</v>
      </c>
      <c r="E78" s="2"/>
      <c r="F78" s="2"/>
      <c r="G78" s="2"/>
      <c r="H78" s="2"/>
      <c r="I78" s="2"/>
      <c r="J78" s="2"/>
      <c r="K78" s="2"/>
      <c r="L78" s="2"/>
      <c r="M78" s="2">
        <v>410.25</v>
      </c>
      <c r="N78" s="2"/>
      <c r="O78" s="2"/>
      <c r="P78" s="2"/>
    </row>
    <row r="79" spans="1:16" x14ac:dyDescent="0.3">
      <c r="A79" t="s">
        <v>294</v>
      </c>
      <c r="B79">
        <v>77712</v>
      </c>
      <c r="C79">
        <v>506260</v>
      </c>
      <c r="D79" t="s">
        <v>351</v>
      </c>
      <c r="E79" s="2">
        <v>115</v>
      </c>
      <c r="F79" s="2">
        <v>115</v>
      </c>
      <c r="G79" s="2">
        <v>115</v>
      </c>
      <c r="H79" s="2">
        <v>115</v>
      </c>
      <c r="I79" s="2">
        <v>115</v>
      </c>
      <c r="J79" s="2">
        <v>115</v>
      </c>
      <c r="K79" s="2">
        <v>115</v>
      </c>
      <c r="L79" s="2">
        <v>115</v>
      </c>
      <c r="M79" s="2">
        <v>115</v>
      </c>
      <c r="N79" s="2">
        <v>115</v>
      </c>
      <c r="O79" s="2">
        <v>115</v>
      </c>
      <c r="P79" s="2">
        <v>115</v>
      </c>
    </row>
    <row r="80" spans="1:16" x14ac:dyDescent="0.3">
      <c r="A80" t="s">
        <v>270</v>
      </c>
      <c r="B80">
        <v>77712</v>
      </c>
      <c r="C80">
        <v>506275</v>
      </c>
      <c r="D80" t="s">
        <v>352</v>
      </c>
      <c r="E80" s="2">
        <v>10.8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t="s">
        <v>353</v>
      </c>
      <c r="B81">
        <v>77712</v>
      </c>
      <c r="C81">
        <v>506280</v>
      </c>
      <c r="D81" t="s">
        <v>18</v>
      </c>
      <c r="E81" s="2"/>
      <c r="F81" s="2">
        <v>117.39</v>
      </c>
      <c r="G81" s="2"/>
      <c r="H81" s="2"/>
      <c r="I81" s="2"/>
      <c r="J81" s="2">
        <v>14.03</v>
      </c>
      <c r="K81" s="2"/>
      <c r="L81" s="2"/>
      <c r="M81" s="2"/>
      <c r="N81" s="2"/>
      <c r="O81" s="2"/>
      <c r="P81" s="2">
        <v>33.42</v>
      </c>
    </row>
    <row r="82" spans="1:16" x14ac:dyDescent="0.3">
      <c r="A82" t="s">
        <v>354</v>
      </c>
      <c r="B82">
        <v>77712</v>
      </c>
      <c r="C82">
        <v>510050</v>
      </c>
      <c r="D82" t="s">
        <v>355</v>
      </c>
      <c r="E82" s="2">
        <v>1303.22</v>
      </c>
      <c r="F82" s="2">
        <v>1522.62</v>
      </c>
      <c r="G82" s="2">
        <v>723.29</v>
      </c>
      <c r="H82" s="2">
        <v>1056.6199999999999</v>
      </c>
      <c r="I82" s="2">
        <v>864.46</v>
      </c>
      <c r="J82" s="2">
        <v>892.53</v>
      </c>
      <c r="K82" s="2">
        <v>914.95</v>
      </c>
      <c r="L82" s="2">
        <v>883.54</v>
      </c>
      <c r="M82" s="2">
        <v>779.34</v>
      </c>
      <c r="N82" s="2">
        <v>838.3</v>
      </c>
      <c r="O82" s="2">
        <v>980.38</v>
      </c>
      <c r="P82" s="2">
        <v>871.77</v>
      </c>
    </row>
    <row r="83" spans="1:16" x14ac:dyDescent="0.3">
      <c r="A83" t="s">
        <v>270</v>
      </c>
      <c r="B83">
        <v>77712</v>
      </c>
      <c r="C83">
        <v>510070</v>
      </c>
      <c r="D83" t="s">
        <v>356</v>
      </c>
      <c r="E83" s="2"/>
      <c r="F83" s="2"/>
      <c r="G83" s="2"/>
      <c r="H83" s="2">
        <v>191.28</v>
      </c>
      <c r="I83" s="2">
        <v>192.08</v>
      </c>
      <c r="J83" s="2">
        <v>185.79</v>
      </c>
      <c r="K83" s="2">
        <v>177.51</v>
      </c>
      <c r="L83" s="2">
        <v>161.22</v>
      </c>
      <c r="M83" s="2">
        <v>177.49</v>
      </c>
      <c r="N83" s="2">
        <v>187.82</v>
      </c>
      <c r="O83" s="2">
        <v>189.22</v>
      </c>
      <c r="P83" s="2">
        <v>202.16</v>
      </c>
    </row>
    <row r="84" spans="1:16" x14ac:dyDescent="0.3">
      <c r="A84" t="s">
        <v>270</v>
      </c>
      <c r="B84">
        <v>77712</v>
      </c>
      <c r="C84">
        <v>510510</v>
      </c>
      <c r="D84" t="s">
        <v>357</v>
      </c>
      <c r="E84" s="2"/>
      <c r="F84" s="2"/>
      <c r="G84" s="2"/>
      <c r="H84" s="2"/>
      <c r="I84" s="2">
        <v>256.51</v>
      </c>
      <c r="J84" s="2">
        <v>264.64999999999998</v>
      </c>
      <c r="K84" s="2">
        <v>235.33</v>
      </c>
      <c r="L84" s="2">
        <v>257.95999999999998</v>
      </c>
      <c r="M84" s="2">
        <v>266.64</v>
      </c>
      <c r="N84" s="2">
        <v>282.7</v>
      </c>
      <c r="O84" s="2">
        <v>353.1</v>
      </c>
      <c r="P84" s="2">
        <v>277.35000000000002</v>
      </c>
    </row>
    <row r="85" spans="1:16" x14ac:dyDescent="0.3">
      <c r="A85" t="s">
        <v>354</v>
      </c>
      <c r="B85">
        <v>77712</v>
      </c>
      <c r="C85">
        <v>510840</v>
      </c>
      <c r="D85" t="s">
        <v>358</v>
      </c>
      <c r="E85" s="2"/>
      <c r="F85" s="2"/>
      <c r="G85" s="2">
        <v>3.26</v>
      </c>
      <c r="H85" s="2">
        <v>6.53</v>
      </c>
      <c r="I85" s="2"/>
      <c r="J85" s="2">
        <v>6.52</v>
      </c>
      <c r="K85" s="2"/>
      <c r="L85" s="2">
        <v>276.12</v>
      </c>
      <c r="M85" s="2"/>
      <c r="N85" s="2"/>
      <c r="O85" s="2">
        <v>6.4</v>
      </c>
      <c r="P85" s="2"/>
    </row>
    <row r="86" spans="1:16" x14ac:dyDescent="0.3">
      <c r="A86" t="s">
        <v>359</v>
      </c>
      <c r="B86">
        <v>77712</v>
      </c>
      <c r="C86">
        <v>556000</v>
      </c>
      <c r="D86" t="s">
        <v>15</v>
      </c>
      <c r="E86" s="2">
        <v>1754.77</v>
      </c>
      <c r="F86" s="2">
        <v>2058.87</v>
      </c>
      <c r="G86" s="2">
        <v>2286.1799999999998</v>
      </c>
      <c r="H86" s="2">
        <v>2694.28</v>
      </c>
      <c r="I86" s="2">
        <v>2709.73</v>
      </c>
      <c r="J86" s="2">
        <v>2950.41</v>
      </c>
      <c r="K86" s="2">
        <v>3144.77</v>
      </c>
      <c r="L86" s="2">
        <v>3149.43</v>
      </c>
      <c r="M86" s="2">
        <v>3536.17</v>
      </c>
      <c r="N86" s="2">
        <v>3345.34</v>
      </c>
      <c r="O86" s="2">
        <v>3636.85</v>
      </c>
      <c r="P86" s="2">
        <v>3727.71</v>
      </c>
    </row>
    <row r="87" spans="1:16" x14ac:dyDescent="0.3">
      <c r="A87" t="s">
        <v>360</v>
      </c>
      <c r="B87">
        <v>77712</v>
      </c>
      <c r="C87">
        <v>556650</v>
      </c>
      <c r="D87" t="s">
        <v>361</v>
      </c>
      <c r="E87" s="2">
        <v>549</v>
      </c>
      <c r="F87" s="2">
        <v>549</v>
      </c>
      <c r="G87" s="2">
        <v>549</v>
      </c>
      <c r="H87" s="2">
        <v>549</v>
      </c>
      <c r="I87" s="2">
        <v>549</v>
      </c>
      <c r="J87" s="2">
        <v>549</v>
      </c>
      <c r="K87" s="2">
        <v>549</v>
      </c>
      <c r="L87" s="2">
        <v>549</v>
      </c>
      <c r="M87" s="2">
        <v>549</v>
      </c>
      <c r="N87" s="2">
        <v>549</v>
      </c>
      <c r="O87" s="2">
        <v>549</v>
      </c>
      <c r="P87" s="2">
        <v>549</v>
      </c>
    </row>
    <row r="88" spans="1:16" x14ac:dyDescent="0.3">
      <c r="A88" t="s">
        <v>334</v>
      </c>
      <c r="B88">
        <v>77712</v>
      </c>
      <c r="C88">
        <v>556670</v>
      </c>
      <c r="D88" t="s">
        <v>362</v>
      </c>
      <c r="E88" s="2">
        <v>299</v>
      </c>
      <c r="F88" s="2">
        <v>299</v>
      </c>
      <c r="G88" s="2">
        <v>299</v>
      </c>
      <c r="H88" s="2">
        <v>299</v>
      </c>
      <c r="I88" s="2">
        <v>299</v>
      </c>
      <c r="J88" s="2">
        <v>299</v>
      </c>
      <c r="K88" s="2">
        <v>299</v>
      </c>
      <c r="L88" s="2">
        <v>299</v>
      </c>
      <c r="M88" s="2">
        <v>299</v>
      </c>
      <c r="N88" s="2">
        <v>299</v>
      </c>
      <c r="O88" s="2">
        <v>299</v>
      </c>
      <c r="P88" s="2">
        <v>299</v>
      </c>
    </row>
    <row r="89" spans="1:16" x14ac:dyDescent="0.3">
      <c r="A89" t="s">
        <v>263</v>
      </c>
      <c r="B89">
        <v>77712</v>
      </c>
      <c r="C89">
        <v>100110</v>
      </c>
      <c r="D89" t="s">
        <v>363</v>
      </c>
      <c r="E89" s="2">
        <v>28861.34</v>
      </c>
      <c r="F89" s="2">
        <v>33439.06</v>
      </c>
      <c r="G89" s="2">
        <v>-74217.98</v>
      </c>
      <c r="H89" s="2">
        <v>11849.31</v>
      </c>
      <c r="I89" s="2">
        <v>-7584.44</v>
      </c>
      <c r="J89" s="2">
        <v>6177.9</v>
      </c>
      <c r="K89" s="2">
        <v>12775.55</v>
      </c>
      <c r="L89" s="2">
        <v>-7146.44</v>
      </c>
      <c r="M89" s="2">
        <v>9964.6299999999992</v>
      </c>
      <c r="N89" s="2">
        <v>-6823.06</v>
      </c>
      <c r="O89" s="2">
        <v>19482.099999999999</v>
      </c>
      <c r="P89" s="2">
        <v>102007.13</v>
      </c>
    </row>
    <row r="90" spans="1:16" x14ac:dyDescent="0.3">
      <c r="A90" t="s">
        <v>263</v>
      </c>
      <c r="B90">
        <v>77712</v>
      </c>
      <c r="C90">
        <v>191000</v>
      </c>
      <c r="D90" t="s">
        <v>364</v>
      </c>
      <c r="E90" s="2">
        <v>1138</v>
      </c>
      <c r="F90" s="2">
        <v>39.369999999999997</v>
      </c>
      <c r="G90" s="2">
        <v>-133.69999999999999</v>
      </c>
      <c r="H90" s="2">
        <v>493</v>
      </c>
      <c r="I90" s="2">
        <v>-907.76</v>
      </c>
      <c r="J90" s="2">
        <v>1287.32</v>
      </c>
      <c r="K90" s="2">
        <v>-608.91</v>
      </c>
      <c r="L90" s="2">
        <v>849.51</v>
      </c>
      <c r="M90" s="2">
        <v>-290.88</v>
      </c>
      <c r="N90" s="2">
        <v>2522.5500000000002</v>
      </c>
      <c r="O90" s="2">
        <v>-977.46</v>
      </c>
      <c r="P90" s="2">
        <v>-46.98</v>
      </c>
    </row>
    <row r="91" spans="1:16" x14ac:dyDescent="0.3">
      <c r="A91" t="s">
        <v>263</v>
      </c>
      <c r="B91">
        <v>77712</v>
      </c>
      <c r="C91">
        <v>192900</v>
      </c>
      <c r="D91" t="s">
        <v>365</v>
      </c>
      <c r="E91" s="2">
        <v>-1292.02</v>
      </c>
      <c r="F91" s="2">
        <v>2092.39</v>
      </c>
      <c r="G91" s="2">
        <v>872.88</v>
      </c>
      <c r="H91" s="2">
        <v>-2087.2399999999998</v>
      </c>
      <c r="I91" s="2">
        <v>2473.77</v>
      </c>
      <c r="J91" s="2">
        <v>-294.86</v>
      </c>
      <c r="K91" s="2">
        <v>-3175.5</v>
      </c>
      <c r="L91" s="2">
        <v>3478.76</v>
      </c>
      <c r="M91" s="2">
        <v>-398.25</v>
      </c>
      <c r="N91" s="2">
        <v>-498.64</v>
      </c>
      <c r="O91" s="2">
        <v>-53.89</v>
      </c>
      <c r="P91" s="2">
        <v>-251.87</v>
      </c>
    </row>
    <row r="92" spans="1:16" x14ac:dyDescent="0.3">
      <c r="A92" t="s">
        <v>263</v>
      </c>
      <c r="B92">
        <v>77712</v>
      </c>
      <c r="C92">
        <v>200000</v>
      </c>
      <c r="D92" t="s">
        <v>366</v>
      </c>
      <c r="E92" s="2"/>
      <c r="F92" s="2"/>
      <c r="G92" s="2">
        <v>-64.83</v>
      </c>
      <c r="H92" s="2">
        <v>64.83</v>
      </c>
      <c r="I92" s="2"/>
      <c r="J92" s="2"/>
      <c r="K92" s="2">
        <v>0</v>
      </c>
      <c r="L92" s="2"/>
      <c r="M92" s="2">
        <v>-21.61</v>
      </c>
      <c r="N92" s="2">
        <v>21.61</v>
      </c>
      <c r="O92" s="2"/>
      <c r="P92" s="2">
        <v>0</v>
      </c>
    </row>
    <row r="93" spans="1:16" x14ac:dyDescent="0.3">
      <c r="A93" t="s">
        <v>263</v>
      </c>
      <c r="B93">
        <v>77712</v>
      </c>
      <c r="C93">
        <v>200010</v>
      </c>
      <c r="D93" t="s">
        <v>367</v>
      </c>
      <c r="E93" s="2">
        <v>-450</v>
      </c>
      <c r="F93" s="2">
        <v>-1250</v>
      </c>
      <c r="G93" s="2">
        <v>1700</v>
      </c>
      <c r="H93" s="2">
        <v>-975</v>
      </c>
      <c r="I93" s="2">
        <v>975</v>
      </c>
      <c r="J93" s="2">
        <v>-3503.67</v>
      </c>
      <c r="K93" s="2">
        <v>-1911.21</v>
      </c>
      <c r="L93" s="2">
        <v>4814.88</v>
      </c>
      <c r="M93" s="2">
        <v>600</v>
      </c>
      <c r="N93" s="2">
        <v>-225</v>
      </c>
      <c r="O93" s="2">
        <v>0</v>
      </c>
      <c r="P93" s="2">
        <v>-843</v>
      </c>
    </row>
    <row r="94" spans="1:16" x14ac:dyDescent="0.3">
      <c r="A94" t="s">
        <v>263</v>
      </c>
      <c r="B94">
        <v>77712</v>
      </c>
      <c r="C94">
        <v>200100</v>
      </c>
      <c r="D94" t="s">
        <v>368</v>
      </c>
      <c r="E94" s="2">
        <v>-2572.2199999999998</v>
      </c>
      <c r="F94" s="2">
        <v>-4481.5600000000004</v>
      </c>
      <c r="G94" s="2">
        <v>-4650.3900000000003</v>
      </c>
      <c r="H94" s="2">
        <v>-8361.2099999999991</v>
      </c>
      <c r="I94" s="2">
        <v>1812.18</v>
      </c>
      <c r="J94" s="2">
        <v>-11985.49</v>
      </c>
      <c r="K94" s="2">
        <v>-1894.75</v>
      </c>
      <c r="L94" s="2">
        <v>-3175.13</v>
      </c>
      <c r="M94" s="2">
        <v>4087.15</v>
      </c>
      <c r="N94" s="2">
        <v>-4022.69</v>
      </c>
      <c r="O94" s="2">
        <v>-15753.37</v>
      </c>
      <c r="P94" s="2">
        <v>-105079.05</v>
      </c>
    </row>
    <row r="95" spans="1:16" x14ac:dyDescent="0.3">
      <c r="A95" t="s">
        <v>263</v>
      </c>
      <c r="B95">
        <v>77712</v>
      </c>
      <c r="C95">
        <v>210050</v>
      </c>
      <c r="D95" t="s">
        <v>264</v>
      </c>
      <c r="E95" s="2">
        <v>749</v>
      </c>
      <c r="F95" s="2">
        <v>73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t="s">
        <v>263</v>
      </c>
      <c r="B96">
        <v>77712</v>
      </c>
      <c r="C96">
        <v>215060</v>
      </c>
      <c r="D96" t="s">
        <v>369</v>
      </c>
      <c r="E96" s="2">
        <v>-1041.1199999999999</v>
      </c>
      <c r="F96" s="2">
        <v>303.14</v>
      </c>
      <c r="G96" s="2">
        <v>441.91</v>
      </c>
      <c r="H96" s="2">
        <v>-3443.52</v>
      </c>
      <c r="I96" s="2">
        <v>1726.97</v>
      </c>
      <c r="J96" s="2">
        <v>16.809999999999999</v>
      </c>
      <c r="K96" s="2">
        <v>959.02</v>
      </c>
      <c r="L96" s="2">
        <v>838.94</v>
      </c>
      <c r="M96" s="2">
        <v>-2921.44</v>
      </c>
      <c r="N96" s="2">
        <v>1319.66</v>
      </c>
      <c r="O96" s="2">
        <v>-1416.04</v>
      </c>
      <c r="P96" s="2">
        <v>-398.69</v>
      </c>
    </row>
    <row r="97" spans="1:16" x14ac:dyDescent="0.3">
      <c r="A97" t="s">
        <v>263</v>
      </c>
      <c r="B97">
        <v>77712</v>
      </c>
      <c r="C97">
        <v>295000</v>
      </c>
      <c r="D97" t="s">
        <v>370</v>
      </c>
      <c r="E97" s="2">
        <v>-108.05</v>
      </c>
      <c r="F97" s="2">
        <v>-21.61</v>
      </c>
      <c r="G97" s="2">
        <v>-64.83</v>
      </c>
      <c r="H97" s="2">
        <v>-48.72</v>
      </c>
      <c r="I97" s="2">
        <v>-81.040000000000006</v>
      </c>
      <c r="J97" s="2">
        <v>-43.22</v>
      </c>
      <c r="K97" s="2">
        <v>-19.440000000000001</v>
      </c>
      <c r="L97" s="2">
        <v>-43.22</v>
      </c>
      <c r="M97" s="2"/>
      <c r="N97" s="2">
        <v>-43.22</v>
      </c>
      <c r="O97" s="2"/>
      <c r="P97" s="2">
        <v>-47.56</v>
      </c>
    </row>
    <row r="98" spans="1:16" x14ac:dyDescent="0.3">
      <c r="A98" t="s">
        <v>266</v>
      </c>
      <c r="B98">
        <v>77712</v>
      </c>
      <c r="C98">
        <v>400000</v>
      </c>
      <c r="D98" t="s">
        <v>371</v>
      </c>
      <c r="E98" s="2">
        <v>-41228.660000000003</v>
      </c>
      <c r="F98" s="2">
        <v>-48676.5</v>
      </c>
      <c r="G98" s="2">
        <v>-53913.69</v>
      </c>
      <c r="H98" s="2">
        <v>-64068.12</v>
      </c>
      <c r="I98" s="2">
        <v>-64854.37</v>
      </c>
      <c r="J98" s="2">
        <v>-71547.31</v>
      </c>
      <c r="K98" s="2">
        <v>-75135.39</v>
      </c>
      <c r="L98" s="2">
        <v>-76212.460000000006</v>
      </c>
      <c r="M98" s="2">
        <v>-84801.72</v>
      </c>
      <c r="N98" s="2">
        <v>-80393.91</v>
      </c>
      <c r="O98" s="2">
        <v>-86720.43</v>
      </c>
      <c r="P98" s="2">
        <v>-88957.23</v>
      </c>
    </row>
    <row r="99" spans="1:16" x14ac:dyDescent="0.3">
      <c r="A99" t="s">
        <v>372</v>
      </c>
      <c r="B99">
        <v>77712</v>
      </c>
      <c r="C99">
        <v>400020</v>
      </c>
      <c r="D99" t="s">
        <v>373</v>
      </c>
      <c r="E99" s="2">
        <v>-25</v>
      </c>
      <c r="F99" s="2">
        <v>-50</v>
      </c>
      <c r="G99" s="2">
        <v>-150</v>
      </c>
      <c r="H99" s="2">
        <v>-275</v>
      </c>
      <c r="I99" s="2">
        <v>-100</v>
      </c>
      <c r="J99" s="2">
        <v>-125</v>
      </c>
      <c r="K99" s="2">
        <v>-50</v>
      </c>
      <c r="L99" s="2">
        <v>-50</v>
      </c>
      <c r="M99" s="2">
        <v>-125</v>
      </c>
      <c r="N99" s="2"/>
      <c r="O99" s="2">
        <v>-50</v>
      </c>
      <c r="P99" s="2">
        <v>-25</v>
      </c>
    </row>
    <row r="100" spans="1:16" x14ac:dyDescent="0.3">
      <c r="A100" t="s">
        <v>372</v>
      </c>
      <c r="B100">
        <v>77712</v>
      </c>
      <c r="C100">
        <v>400030</v>
      </c>
      <c r="D100" t="s">
        <v>374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>
        <v>-108.8</v>
      </c>
      <c r="P100" s="2">
        <v>-99</v>
      </c>
    </row>
    <row r="101" spans="1:16" x14ac:dyDescent="0.3">
      <c r="A101" t="s">
        <v>266</v>
      </c>
      <c r="B101">
        <v>77712</v>
      </c>
      <c r="C101">
        <v>400060</v>
      </c>
      <c r="D101" t="s">
        <v>267</v>
      </c>
      <c r="E101" s="2">
        <v>1</v>
      </c>
      <c r="F101" s="2">
        <v>112.45</v>
      </c>
      <c r="G101" s="2">
        <v>83.47</v>
      </c>
      <c r="H101" s="2">
        <v>223.33</v>
      </c>
      <c r="I101" s="2">
        <v>150.69999999999999</v>
      </c>
      <c r="J101" s="2">
        <v>37.9</v>
      </c>
      <c r="K101" s="2"/>
      <c r="L101" s="2">
        <v>225.97</v>
      </c>
      <c r="M101" s="2">
        <v>80.89</v>
      </c>
      <c r="N101" s="2">
        <v>89.33</v>
      </c>
      <c r="O101" s="2">
        <v>804</v>
      </c>
      <c r="P101" s="2">
        <v>15</v>
      </c>
    </row>
    <row r="102" spans="1:16" x14ac:dyDescent="0.3">
      <c r="A102" t="s">
        <v>372</v>
      </c>
      <c r="B102">
        <v>77712</v>
      </c>
      <c r="C102">
        <v>400070</v>
      </c>
      <c r="D102" t="s">
        <v>375</v>
      </c>
      <c r="E102" s="2"/>
      <c r="F102" s="2"/>
      <c r="G102" s="2"/>
      <c r="H102" s="2"/>
      <c r="I102" s="2"/>
      <c r="J102" s="2"/>
      <c r="K102" s="2">
        <v>-160</v>
      </c>
      <c r="L102" s="2">
        <v>-21.61</v>
      </c>
      <c r="M102" s="2">
        <v>-75.22</v>
      </c>
      <c r="N102" s="2">
        <v>-64.83</v>
      </c>
      <c r="O102" s="2">
        <v>-108.05</v>
      </c>
      <c r="P102" s="2">
        <v>-131.83000000000001</v>
      </c>
    </row>
    <row r="103" spans="1:16" x14ac:dyDescent="0.3">
      <c r="A103" t="s">
        <v>372</v>
      </c>
      <c r="B103">
        <v>77712</v>
      </c>
      <c r="C103">
        <v>400080</v>
      </c>
      <c r="D103" t="s">
        <v>376</v>
      </c>
      <c r="E103" s="2"/>
      <c r="F103" s="2">
        <v>-210</v>
      </c>
      <c r="G103" s="2"/>
      <c r="H103" s="2"/>
      <c r="I103" s="2">
        <v>-530</v>
      </c>
      <c r="J103" s="2"/>
      <c r="K103" s="2"/>
      <c r="L103" s="2">
        <v>-210</v>
      </c>
      <c r="M103" s="2">
        <v>-210</v>
      </c>
      <c r="N103" s="2">
        <v>-880</v>
      </c>
      <c r="O103" s="2">
        <v>-330</v>
      </c>
      <c r="P103" s="2">
        <v>-556.85</v>
      </c>
    </row>
    <row r="104" spans="1:16" x14ac:dyDescent="0.3">
      <c r="A104" t="s">
        <v>372</v>
      </c>
      <c r="B104">
        <v>77712</v>
      </c>
      <c r="C104">
        <v>400090</v>
      </c>
      <c r="D104" t="s">
        <v>377</v>
      </c>
      <c r="E104" s="2"/>
      <c r="F104" s="2"/>
      <c r="G104" s="2">
        <v>-720.75</v>
      </c>
      <c r="H104" s="2"/>
      <c r="I104" s="2">
        <v>-321.2</v>
      </c>
      <c r="J104" s="2"/>
      <c r="K104" s="2">
        <v>-30</v>
      </c>
      <c r="L104" s="2">
        <v>-407.35</v>
      </c>
      <c r="M104" s="2">
        <v>-676.1</v>
      </c>
      <c r="N104" s="2"/>
      <c r="O104" s="2">
        <v>-1840</v>
      </c>
      <c r="P104" s="2">
        <v>-180</v>
      </c>
    </row>
    <row r="105" spans="1:16" x14ac:dyDescent="0.3">
      <c r="A105" t="s">
        <v>372</v>
      </c>
      <c r="B105">
        <v>77712</v>
      </c>
      <c r="C105">
        <v>400160</v>
      </c>
      <c r="D105" t="s">
        <v>378</v>
      </c>
      <c r="E105" s="2"/>
      <c r="F105" s="2"/>
      <c r="G105" s="2"/>
      <c r="H105" s="2"/>
      <c r="I105" s="2"/>
      <c r="J105" s="2"/>
      <c r="K105" s="2">
        <v>303.61</v>
      </c>
      <c r="L105" s="2"/>
      <c r="M105" s="2"/>
      <c r="N105" s="2"/>
      <c r="O105" s="2"/>
      <c r="P105" s="2"/>
    </row>
    <row r="106" spans="1:16" x14ac:dyDescent="0.3">
      <c r="A106" t="s">
        <v>266</v>
      </c>
      <c r="B106">
        <v>77712</v>
      </c>
      <c r="C106">
        <v>400170</v>
      </c>
      <c r="D106" t="s">
        <v>379</v>
      </c>
      <c r="E106" s="2"/>
      <c r="F106" s="2"/>
      <c r="G106" s="2"/>
      <c r="H106" s="2"/>
      <c r="I106" s="2">
        <v>302.5</v>
      </c>
      <c r="J106" s="2"/>
      <c r="K106" s="2"/>
      <c r="L106" s="2">
        <v>573.72</v>
      </c>
      <c r="M106" s="2"/>
      <c r="N106" s="2"/>
      <c r="O106" s="2">
        <v>674.37</v>
      </c>
      <c r="P106" s="2"/>
    </row>
    <row r="107" spans="1:16" x14ac:dyDescent="0.3">
      <c r="A107" t="s">
        <v>266</v>
      </c>
      <c r="B107">
        <v>77712</v>
      </c>
      <c r="C107">
        <v>400180</v>
      </c>
      <c r="D107" t="s">
        <v>380</v>
      </c>
      <c r="E107" s="2">
        <v>-0.11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t="s">
        <v>372</v>
      </c>
      <c r="B108">
        <v>77712</v>
      </c>
      <c r="C108">
        <v>400210</v>
      </c>
      <c r="D108" t="s">
        <v>381</v>
      </c>
      <c r="E108" s="2">
        <v>-30</v>
      </c>
      <c r="F108" s="2">
        <v>-60</v>
      </c>
      <c r="G108" s="2">
        <v>-50</v>
      </c>
      <c r="H108" s="2">
        <v>-40</v>
      </c>
      <c r="I108" s="2">
        <v>-40</v>
      </c>
      <c r="J108" s="2">
        <v>-50</v>
      </c>
      <c r="K108" s="2">
        <v>-60</v>
      </c>
      <c r="L108" s="2">
        <v>-40</v>
      </c>
      <c r="M108" s="2">
        <v>-50</v>
      </c>
      <c r="N108" s="2">
        <v>-60</v>
      </c>
      <c r="O108" s="2">
        <v>-80</v>
      </c>
      <c r="P108" s="2">
        <v>-120</v>
      </c>
    </row>
    <row r="109" spans="1:16" x14ac:dyDescent="0.3">
      <c r="A109" t="s">
        <v>263</v>
      </c>
      <c r="B109">
        <v>77712</v>
      </c>
      <c r="C109">
        <v>400220</v>
      </c>
      <c r="D109" t="s">
        <v>382</v>
      </c>
      <c r="E109" s="2">
        <v>-96.88</v>
      </c>
      <c r="F109" s="2">
        <v>-342.51</v>
      </c>
      <c r="G109" s="2">
        <v>-308.20999999999998</v>
      </c>
      <c r="H109" s="2">
        <v>2950.52</v>
      </c>
      <c r="I109" s="2">
        <v>-819.21</v>
      </c>
      <c r="J109" s="2">
        <v>-1304.1300000000001</v>
      </c>
      <c r="K109" s="2">
        <v>-350.11</v>
      </c>
      <c r="L109" s="2">
        <v>-1688.45</v>
      </c>
      <c r="M109" s="2">
        <v>3212.32</v>
      </c>
      <c r="N109" s="2">
        <v>-3842.21</v>
      </c>
      <c r="O109" s="2">
        <v>2393.5</v>
      </c>
      <c r="P109" s="2">
        <v>445.67</v>
      </c>
    </row>
    <row r="110" spans="1:16" x14ac:dyDescent="0.3">
      <c r="A110" t="s">
        <v>372</v>
      </c>
      <c r="B110">
        <v>77712</v>
      </c>
      <c r="C110">
        <v>402000</v>
      </c>
      <c r="D110" t="s">
        <v>383</v>
      </c>
      <c r="E110" s="2">
        <v>-244.5</v>
      </c>
      <c r="F110" s="2">
        <v>-378</v>
      </c>
      <c r="G110" s="2">
        <v>-244.5</v>
      </c>
      <c r="H110" s="2">
        <v>-307.5</v>
      </c>
      <c r="I110" s="2">
        <v>-181.5</v>
      </c>
      <c r="J110" s="2">
        <v>-237</v>
      </c>
      <c r="K110" s="2">
        <v>-729.85</v>
      </c>
      <c r="L110" s="2">
        <v>-248.5</v>
      </c>
      <c r="M110" s="2">
        <v>-363</v>
      </c>
      <c r="N110" s="2">
        <v>-384.5</v>
      </c>
      <c r="O110" s="2">
        <v>-489</v>
      </c>
      <c r="P110" s="2">
        <v>-726.9</v>
      </c>
    </row>
    <row r="111" spans="1:16" x14ac:dyDescent="0.3">
      <c r="A111" t="s">
        <v>372</v>
      </c>
      <c r="B111">
        <v>77712</v>
      </c>
      <c r="C111">
        <v>402010</v>
      </c>
      <c r="D111" t="s">
        <v>384</v>
      </c>
      <c r="E111" s="2"/>
      <c r="F111" s="2"/>
      <c r="G111" s="2">
        <v>-130</v>
      </c>
      <c r="H111" s="2"/>
      <c r="I111" s="2">
        <v>-18.8</v>
      </c>
      <c r="J111" s="2"/>
      <c r="K111" s="2"/>
      <c r="L111" s="2">
        <v>-130</v>
      </c>
      <c r="M111" s="2">
        <v>-130</v>
      </c>
      <c r="N111" s="2"/>
      <c r="O111" s="2"/>
      <c r="P111" s="2">
        <v>-130</v>
      </c>
    </row>
    <row r="112" spans="1:16" x14ac:dyDescent="0.3">
      <c r="A112" t="s">
        <v>372</v>
      </c>
      <c r="B112">
        <v>77712</v>
      </c>
      <c r="C112">
        <v>402020</v>
      </c>
      <c r="D112" t="s">
        <v>385</v>
      </c>
      <c r="E112" s="2">
        <v>-740.5</v>
      </c>
      <c r="F112" s="2">
        <v>-788.6</v>
      </c>
      <c r="G112" s="2">
        <v>-762.62</v>
      </c>
      <c r="H112" s="2">
        <v>-989.1</v>
      </c>
      <c r="I112" s="2">
        <v>-842.9</v>
      </c>
      <c r="J112" s="2">
        <v>-978.4</v>
      </c>
      <c r="K112" s="2">
        <v>-1580.35</v>
      </c>
      <c r="L112" s="2">
        <v>-1421.1</v>
      </c>
      <c r="M112" s="2">
        <v>-1497.55</v>
      </c>
      <c r="N112" s="2">
        <v>-1474.75</v>
      </c>
      <c r="O112" s="2">
        <v>-1769.45</v>
      </c>
      <c r="P112" s="2">
        <v>-1826.4</v>
      </c>
    </row>
    <row r="113" spans="1:16" x14ac:dyDescent="0.3">
      <c r="A113" t="s">
        <v>372</v>
      </c>
      <c r="B113">
        <v>77712</v>
      </c>
      <c r="C113">
        <v>402030</v>
      </c>
      <c r="D113" t="s">
        <v>386</v>
      </c>
      <c r="E113" s="2">
        <v>-1392</v>
      </c>
      <c r="F113" s="2">
        <v>-1421</v>
      </c>
      <c r="G113" s="2">
        <v>-1305</v>
      </c>
      <c r="H113" s="2">
        <v>-1856</v>
      </c>
      <c r="I113" s="2">
        <v>-1450</v>
      </c>
      <c r="J113" s="2">
        <v>-1189</v>
      </c>
      <c r="K113" s="2">
        <v>-1276</v>
      </c>
      <c r="L113" s="2">
        <v>-754</v>
      </c>
      <c r="M113" s="2">
        <v>-1160</v>
      </c>
      <c r="N113" s="2">
        <v>-1015</v>
      </c>
      <c r="O113" s="2">
        <v>-1305</v>
      </c>
      <c r="P113" s="2">
        <v>-1189</v>
      </c>
    </row>
    <row r="114" spans="1:16" x14ac:dyDescent="0.3">
      <c r="A114" t="s">
        <v>387</v>
      </c>
      <c r="B114">
        <v>77712</v>
      </c>
      <c r="C114">
        <v>603175</v>
      </c>
      <c r="D114" t="s">
        <v>388</v>
      </c>
      <c r="E114" s="2"/>
      <c r="F114" s="2"/>
      <c r="G114" s="2"/>
      <c r="H114" s="2"/>
      <c r="I114" s="2"/>
      <c r="J114" s="2"/>
      <c r="K114" s="2">
        <v>12.96</v>
      </c>
      <c r="L114" s="2">
        <v>6.48</v>
      </c>
      <c r="M114" s="2">
        <v>6.48</v>
      </c>
      <c r="N114" s="2">
        <v>4.8600000000000003</v>
      </c>
      <c r="O114" s="2">
        <v>12.96</v>
      </c>
      <c r="P114" s="2">
        <v>8.9499999999999993</v>
      </c>
    </row>
    <row r="115" spans="1:16" x14ac:dyDescent="0.3">
      <c r="A115" t="s">
        <v>389</v>
      </c>
      <c r="B115">
        <v>77712</v>
      </c>
      <c r="C115">
        <v>620410</v>
      </c>
      <c r="D115" t="s">
        <v>390</v>
      </c>
      <c r="E115" s="2"/>
      <c r="F115" s="2"/>
      <c r="G115" s="2"/>
      <c r="H115" s="2"/>
      <c r="I115" s="2"/>
      <c r="J115" s="2"/>
      <c r="K115" s="2">
        <v>159.91999999999999</v>
      </c>
      <c r="L115" s="2">
        <v>79.959999999999994</v>
      </c>
      <c r="M115" s="2">
        <v>79.959999999999994</v>
      </c>
      <c r="N115" s="2">
        <v>59.97</v>
      </c>
      <c r="O115" s="2">
        <v>159.91999999999999</v>
      </c>
      <c r="P115" s="2">
        <v>109.95</v>
      </c>
    </row>
    <row r="116" spans="1:16" x14ac:dyDescent="0.3">
      <c r="A116" t="s">
        <v>263</v>
      </c>
      <c r="B116" t="s">
        <v>391</v>
      </c>
      <c r="C116">
        <v>210050</v>
      </c>
      <c r="D116" t="s">
        <v>264</v>
      </c>
      <c r="E116" s="2"/>
      <c r="F116" s="2"/>
      <c r="G116" s="2"/>
      <c r="H116" s="2"/>
      <c r="I116" s="2"/>
      <c r="J116" s="2">
        <v>275</v>
      </c>
      <c r="K116" s="2"/>
      <c r="L116" s="2"/>
      <c r="M116" s="2">
        <v>-166</v>
      </c>
      <c r="N116" s="2"/>
      <c r="O116" s="2"/>
      <c r="P116" s="2">
        <v>317</v>
      </c>
    </row>
    <row r="117" spans="1:16" x14ac:dyDescent="0.3">
      <c r="A117" t="s">
        <v>389</v>
      </c>
      <c r="B117" t="s">
        <v>391</v>
      </c>
      <c r="C117">
        <v>555000</v>
      </c>
      <c r="D117" t="s">
        <v>392</v>
      </c>
      <c r="E117" s="2">
        <v>203.2</v>
      </c>
      <c r="F117" s="2">
        <v>182.88</v>
      </c>
      <c r="G117" s="2">
        <v>177.8</v>
      </c>
      <c r="H117" s="2">
        <v>284.48</v>
      </c>
      <c r="I117" s="2">
        <v>218.44</v>
      </c>
      <c r="J117" s="2">
        <v>198.12</v>
      </c>
      <c r="K117" s="2">
        <v>248.92</v>
      </c>
      <c r="L117" s="2">
        <v>137.16</v>
      </c>
      <c r="M117" s="2">
        <v>157.47999999999999</v>
      </c>
      <c r="N117" s="2">
        <v>172.72</v>
      </c>
      <c r="O117" s="2">
        <v>238.76</v>
      </c>
      <c r="P117" s="2">
        <v>182.88</v>
      </c>
    </row>
    <row r="118" spans="1:16" x14ac:dyDescent="0.3">
      <c r="A118" t="s">
        <v>389</v>
      </c>
      <c r="B118" t="s">
        <v>391</v>
      </c>
      <c r="C118">
        <v>555010</v>
      </c>
      <c r="D118" t="s">
        <v>393</v>
      </c>
      <c r="E118" s="2">
        <v>31.18</v>
      </c>
      <c r="F118" s="2">
        <v>35.119999999999997</v>
      </c>
      <c r="G118" s="2">
        <v>62.56</v>
      </c>
      <c r="H118" s="2">
        <v>35.69</v>
      </c>
      <c r="I118" s="2">
        <v>24.22</v>
      </c>
      <c r="J118" s="2"/>
      <c r="K118" s="2">
        <v>11.84</v>
      </c>
      <c r="L118" s="2">
        <v>16.75</v>
      </c>
      <c r="M118" s="2">
        <v>22.5</v>
      </c>
      <c r="N118" s="2"/>
      <c r="O118" s="2">
        <v>14</v>
      </c>
      <c r="P118" s="2">
        <v>7.59</v>
      </c>
    </row>
    <row r="119" spans="1:16" x14ac:dyDescent="0.3">
      <c r="A119" t="s">
        <v>389</v>
      </c>
      <c r="B119" t="s">
        <v>391</v>
      </c>
      <c r="C119">
        <v>555020</v>
      </c>
      <c r="D119" t="s">
        <v>394</v>
      </c>
      <c r="E119" s="2">
        <v>47.14</v>
      </c>
      <c r="F119" s="2">
        <v>16.309999999999999</v>
      </c>
      <c r="G119" s="2">
        <v>58.2</v>
      </c>
      <c r="H119" s="2">
        <v>24.03</v>
      </c>
      <c r="I119" s="2"/>
      <c r="J119" s="2">
        <v>14.36</v>
      </c>
      <c r="K119" s="2">
        <v>22.97</v>
      </c>
      <c r="L119" s="2">
        <v>46.27</v>
      </c>
      <c r="M119" s="2">
        <v>29.6</v>
      </c>
      <c r="N119" s="2">
        <v>5.25</v>
      </c>
      <c r="O119" s="2">
        <v>53.35</v>
      </c>
      <c r="P119" s="2">
        <v>6.17</v>
      </c>
    </row>
    <row r="120" spans="1:16" x14ac:dyDescent="0.3">
      <c r="A120" t="s">
        <v>389</v>
      </c>
      <c r="B120" t="s">
        <v>391</v>
      </c>
      <c r="C120">
        <v>555030</v>
      </c>
      <c r="D120" t="s">
        <v>395</v>
      </c>
      <c r="E120" s="2">
        <v>86.36</v>
      </c>
      <c r="F120" s="2">
        <v>-25.4</v>
      </c>
      <c r="G120" s="2"/>
      <c r="H120" s="2"/>
      <c r="I120" s="2">
        <v>-5.08</v>
      </c>
      <c r="J120" s="2">
        <v>-35.56</v>
      </c>
      <c r="K120" s="2">
        <v>-25.4</v>
      </c>
      <c r="L120" s="2">
        <v>-5.08</v>
      </c>
      <c r="M120" s="2">
        <v>10.16</v>
      </c>
      <c r="N120" s="2">
        <v>5.08</v>
      </c>
      <c r="O120" s="2">
        <v>10.16</v>
      </c>
      <c r="P120" s="2">
        <v>35.56</v>
      </c>
    </row>
    <row r="121" spans="1:16" x14ac:dyDescent="0.3">
      <c r="A121" t="s">
        <v>389</v>
      </c>
      <c r="B121" t="s">
        <v>391</v>
      </c>
      <c r="C121">
        <v>555040</v>
      </c>
      <c r="D121" t="s">
        <v>396</v>
      </c>
      <c r="E121" s="2">
        <v>-15.25</v>
      </c>
      <c r="F121" s="2">
        <v>3.68</v>
      </c>
      <c r="G121" s="2"/>
      <c r="H121" s="2">
        <v>2.5299999999999998</v>
      </c>
      <c r="I121" s="2"/>
      <c r="J121" s="2">
        <v>-3.21</v>
      </c>
      <c r="K121" s="2"/>
      <c r="L121" s="2"/>
      <c r="M121" s="2"/>
      <c r="N121" s="2"/>
      <c r="O121" s="2"/>
      <c r="P121" s="2"/>
    </row>
    <row r="122" spans="1:16" x14ac:dyDescent="0.3">
      <c r="A122" t="s">
        <v>389</v>
      </c>
      <c r="B122" t="s">
        <v>391</v>
      </c>
      <c r="C122">
        <v>555050</v>
      </c>
      <c r="D122" t="s">
        <v>397</v>
      </c>
      <c r="E122" s="2"/>
      <c r="F122" s="2"/>
      <c r="G122" s="2">
        <v>-10.18</v>
      </c>
      <c r="H122" s="2">
        <v>5.09</v>
      </c>
      <c r="I122" s="2"/>
      <c r="J122" s="2">
        <v>8.36</v>
      </c>
      <c r="K122" s="2"/>
      <c r="L122" s="2"/>
      <c r="M122" s="2"/>
      <c r="N122" s="2"/>
      <c r="O122" s="2"/>
      <c r="P122" s="2">
        <v>17.13</v>
      </c>
    </row>
    <row r="123" spans="1:16" x14ac:dyDescent="0.3">
      <c r="A123" t="s">
        <v>346</v>
      </c>
      <c r="B123" t="s">
        <v>391</v>
      </c>
      <c r="C123">
        <v>555070</v>
      </c>
      <c r="D123" t="s">
        <v>398</v>
      </c>
      <c r="E123" s="2">
        <v>14.7</v>
      </c>
      <c r="F123" s="2">
        <v>11.21</v>
      </c>
      <c r="G123" s="2">
        <v>12.99</v>
      </c>
      <c r="H123" s="2">
        <v>19.059999999999999</v>
      </c>
      <c r="I123" s="2">
        <v>13.89</v>
      </c>
      <c r="J123" s="2">
        <v>10.68</v>
      </c>
      <c r="K123" s="2">
        <v>16.100000000000001</v>
      </c>
      <c r="L123" s="2">
        <v>7.74</v>
      </c>
      <c r="M123" s="2">
        <v>11.64</v>
      </c>
      <c r="N123" s="2">
        <v>11.61</v>
      </c>
      <c r="O123" s="2">
        <v>18.16</v>
      </c>
      <c r="P123" s="2">
        <v>14.7</v>
      </c>
    </row>
    <row r="124" spans="1:16" x14ac:dyDescent="0.3">
      <c r="A124" t="s">
        <v>294</v>
      </c>
      <c r="B124" t="s">
        <v>391</v>
      </c>
      <c r="C124">
        <v>603300</v>
      </c>
      <c r="D124" t="s">
        <v>399</v>
      </c>
      <c r="E124" s="2"/>
      <c r="F124" s="2"/>
      <c r="G124" s="2"/>
      <c r="H124" s="2">
        <v>137.33000000000001</v>
      </c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t="s">
        <v>400</v>
      </c>
      <c r="B125" t="s">
        <v>391</v>
      </c>
      <c r="C125">
        <v>193000</v>
      </c>
      <c r="D125" t="s">
        <v>401</v>
      </c>
      <c r="E125" s="2">
        <v>76.2</v>
      </c>
      <c r="F125" s="2">
        <v>-157.47999999999999</v>
      </c>
      <c r="G125" s="2">
        <v>187.96</v>
      </c>
      <c r="H125" s="2">
        <v>-284.48</v>
      </c>
      <c r="I125" s="2">
        <v>152.4</v>
      </c>
      <c r="J125" s="2">
        <v>-162.56</v>
      </c>
      <c r="K125" s="2">
        <v>1239.52</v>
      </c>
      <c r="L125" s="2">
        <v>-132.08000000000001</v>
      </c>
      <c r="M125" s="2">
        <v>-167.64</v>
      </c>
      <c r="N125" s="2">
        <v>-177.8</v>
      </c>
      <c r="O125" s="2">
        <v>-248.92</v>
      </c>
      <c r="P125" s="2">
        <v>-218.44</v>
      </c>
    </row>
    <row r="126" spans="1:16" x14ac:dyDescent="0.3">
      <c r="A126" t="s">
        <v>400</v>
      </c>
      <c r="B126" t="s">
        <v>391</v>
      </c>
      <c r="C126">
        <v>193010</v>
      </c>
      <c r="D126" t="s">
        <v>402</v>
      </c>
      <c r="E126" s="2">
        <v>-15.93</v>
      </c>
      <c r="F126" s="2">
        <v>-38.799999999999997</v>
      </c>
      <c r="G126" s="2">
        <v>-62.56</v>
      </c>
      <c r="H126" s="2">
        <v>-38.22</v>
      </c>
      <c r="I126" s="2">
        <v>-24.22</v>
      </c>
      <c r="J126" s="2">
        <v>3.21</v>
      </c>
      <c r="K126" s="2">
        <v>-11.84</v>
      </c>
      <c r="L126" s="2">
        <v>-16.75</v>
      </c>
      <c r="M126" s="2">
        <v>-22.5</v>
      </c>
      <c r="N126" s="2">
        <v>249.05</v>
      </c>
      <c r="O126" s="2">
        <v>-14</v>
      </c>
      <c r="P126" s="2">
        <v>-7.59</v>
      </c>
    </row>
    <row r="127" spans="1:16" x14ac:dyDescent="0.3">
      <c r="A127" t="s">
        <v>400</v>
      </c>
      <c r="B127" t="s">
        <v>391</v>
      </c>
      <c r="C127">
        <v>193020</v>
      </c>
      <c r="D127" t="s">
        <v>403</v>
      </c>
      <c r="E127" s="2">
        <v>-22.46</v>
      </c>
      <c r="F127" s="2">
        <v>-16.309999999999999</v>
      </c>
      <c r="G127" s="2">
        <v>-48.02</v>
      </c>
      <c r="H127" s="2">
        <v>-29.12</v>
      </c>
      <c r="I127" s="2"/>
      <c r="J127" s="2">
        <v>-22.72</v>
      </c>
      <c r="K127" s="2">
        <v>-22.97</v>
      </c>
      <c r="L127" s="2">
        <v>-46.27</v>
      </c>
      <c r="M127" s="2">
        <v>-29.6</v>
      </c>
      <c r="N127" s="2">
        <v>142.58000000000001</v>
      </c>
      <c r="O127" s="2">
        <v>-53.35</v>
      </c>
      <c r="P127" s="2">
        <v>-23.3</v>
      </c>
    </row>
    <row r="128" spans="1:16" x14ac:dyDescent="0.3">
      <c r="A128" t="s">
        <v>263</v>
      </c>
      <c r="B128" t="s">
        <v>391</v>
      </c>
      <c r="C128">
        <v>200010</v>
      </c>
      <c r="D128" t="s">
        <v>367</v>
      </c>
      <c r="E128" s="2">
        <v>400.91</v>
      </c>
      <c r="F128" s="2"/>
      <c r="G128" s="2">
        <v>-365.76</v>
      </c>
      <c r="H128" s="2">
        <v>365.76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0</v>
      </c>
    </row>
    <row r="129" spans="1:16" x14ac:dyDescent="0.3">
      <c r="A129" t="s">
        <v>263</v>
      </c>
      <c r="B129" t="s">
        <v>391</v>
      </c>
      <c r="C129">
        <v>200100</v>
      </c>
      <c r="D129" t="s">
        <v>368</v>
      </c>
      <c r="E129" s="2">
        <v>2526.87</v>
      </c>
      <c r="F129" s="2">
        <v>3448.28</v>
      </c>
      <c r="G129" s="2">
        <v>3584.34</v>
      </c>
      <c r="H129" s="2">
        <v>3624.04</v>
      </c>
      <c r="I129" s="2">
        <v>3598.03</v>
      </c>
      <c r="J129" s="2">
        <v>3594.93</v>
      </c>
      <c r="K129" s="2">
        <v>3953.56</v>
      </c>
      <c r="L129" s="2">
        <v>2737.51</v>
      </c>
      <c r="M129" s="2">
        <v>4086.87</v>
      </c>
      <c r="N129" s="2">
        <v>3440.74</v>
      </c>
      <c r="O129" s="2">
        <v>4336.13</v>
      </c>
      <c r="P129" s="2">
        <v>4287.5200000000004</v>
      </c>
    </row>
    <row r="130" spans="1:16" x14ac:dyDescent="0.3">
      <c r="A130" t="s">
        <v>404</v>
      </c>
      <c r="B130" t="s">
        <v>391</v>
      </c>
      <c r="C130">
        <v>200110</v>
      </c>
      <c r="D130" t="s">
        <v>405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>
        <v>-473.15</v>
      </c>
    </row>
    <row r="131" spans="1:16" x14ac:dyDescent="0.3">
      <c r="A131" t="s">
        <v>404</v>
      </c>
      <c r="B131" t="s">
        <v>391</v>
      </c>
      <c r="C131">
        <v>200120</v>
      </c>
      <c r="D131" t="s">
        <v>406</v>
      </c>
      <c r="E131" s="2"/>
      <c r="F131" s="2"/>
      <c r="G131" s="2">
        <v>-179.25</v>
      </c>
      <c r="H131" s="2"/>
      <c r="I131" s="2"/>
      <c r="J131" s="2"/>
      <c r="K131" s="2"/>
      <c r="L131" s="2">
        <v>-102.65</v>
      </c>
      <c r="M131" s="2">
        <v>-53.9</v>
      </c>
      <c r="N131" s="2"/>
      <c r="O131" s="2"/>
      <c r="P131" s="2"/>
    </row>
    <row r="132" spans="1:16" x14ac:dyDescent="0.3">
      <c r="A132" t="s">
        <v>404</v>
      </c>
      <c r="B132" t="s">
        <v>391</v>
      </c>
      <c r="C132">
        <v>200170</v>
      </c>
      <c r="D132" t="s">
        <v>407</v>
      </c>
      <c r="E132" s="2">
        <v>0</v>
      </c>
      <c r="F132" s="2"/>
      <c r="G132" s="2">
        <v>0</v>
      </c>
      <c r="H132" s="2"/>
      <c r="I132" s="2">
        <v>0</v>
      </c>
      <c r="J132" s="2"/>
      <c r="K132" s="2">
        <v>-1097.28</v>
      </c>
      <c r="L132" s="2">
        <v>1097.28</v>
      </c>
      <c r="M132" s="2"/>
      <c r="N132" s="2">
        <v>0</v>
      </c>
      <c r="O132" s="2"/>
      <c r="P132" s="2"/>
    </row>
    <row r="133" spans="1:16" x14ac:dyDescent="0.3">
      <c r="A133" t="s">
        <v>263</v>
      </c>
      <c r="B133" t="s">
        <v>391</v>
      </c>
      <c r="C133">
        <v>210050</v>
      </c>
      <c r="D133" t="s">
        <v>264</v>
      </c>
      <c r="E133" s="2">
        <v>-74.010000000000005</v>
      </c>
      <c r="F133" s="2">
        <v>-78.41</v>
      </c>
      <c r="G133" s="2">
        <v>162.47999999999999</v>
      </c>
      <c r="H133" s="2">
        <v>-92.29</v>
      </c>
      <c r="I133" s="2">
        <v>-115.17</v>
      </c>
      <c r="J133" s="2">
        <v>-61.62</v>
      </c>
      <c r="K133" s="2">
        <v>-99.07</v>
      </c>
      <c r="L133" s="2">
        <v>-67.319999999999993</v>
      </c>
      <c r="M133" s="2">
        <v>-77.77</v>
      </c>
      <c r="N133" s="2">
        <v>-127.2</v>
      </c>
      <c r="O133" s="2">
        <v>-113.31</v>
      </c>
      <c r="P133" s="2">
        <v>-147.82</v>
      </c>
    </row>
    <row r="134" spans="1:16" x14ac:dyDescent="0.3">
      <c r="A134" t="s">
        <v>263</v>
      </c>
      <c r="B134" t="s">
        <v>391</v>
      </c>
      <c r="C134">
        <v>295000</v>
      </c>
      <c r="D134" t="s">
        <v>370</v>
      </c>
      <c r="E134" s="2">
        <v>108.05</v>
      </c>
      <c r="F134" s="2">
        <v>21.61</v>
      </c>
      <c r="G134" s="2">
        <v>64.83</v>
      </c>
      <c r="H134" s="2">
        <v>48.72</v>
      </c>
      <c r="I134" s="2">
        <v>81.040000000000006</v>
      </c>
      <c r="J134" s="2">
        <v>43.22</v>
      </c>
      <c r="K134" s="2">
        <v>19.440000000000001</v>
      </c>
      <c r="L134" s="2">
        <v>43.22</v>
      </c>
      <c r="M134" s="2"/>
      <c r="N134" s="2">
        <v>43.22</v>
      </c>
      <c r="O134" s="2"/>
      <c r="P134" s="2">
        <v>47.56</v>
      </c>
    </row>
    <row r="135" spans="1:16" x14ac:dyDescent="0.3">
      <c r="A135" t="s">
        <v>268</v>
      </c>
      <c r="B135" t="s">
        <v>391</v>
      </c>
      <c r="C135">
        <v>426000</v>
      </c>
      <c r="D135" t="s">
        <v>269</v>
      </c>
      <c r="E135" s="2">
        <v>-799.6</v>
      </c>
      <c r="F135" s="2">
        <v>-679.66</v>
      </c>
      <c r="G135" s="2">
        <v>-739.63</v>
      </c>
      <c r="H135" s="2">
        <v>-1059.47</v>
      </c>
      <c r="I135" s="2">
        <v>-859.57</v>
      </c>
      <c r="J135" s="2">
        <v>-739.63</v>
      </c>
      <c r="K135" s="2">
        <v>-889.58</v>
      </c>
      <c r="L135" s="2">
        <v>-439.78</v>
      </c>
      <c r="M135" s="2">
        <v>-559.72</v>
      </c>
      <c r="N135" s="2">
        <v>-619.69000000000005</v>
      </c>
      <c r="O135" s="2">
        <v>-801.6</v>
      </c>
      <c r="P135" s="2">
        <v>-659.7</v>
      </c>
    </row>
    <row r="136" spans="1:16" x14ac:dyDescent="0.3">
      <c r="A136" t="s">
        <v>268</v>
      </c>
      <c r="B136" t="s">
        <v>391</v>
      </c>
      <c r="C136">
        <v>426010</v>
      </c>
      <c r="D136" t="s">
        <v>408</v>
      </c>
      <c r="E136" s="2">
        <v>-41.9</v>
      </c>
      <c r="F136" s="2">
        <v>-52.46</v>
      </c>
      <c r="G136" s="2">
        <v>-86.53</v>
      </c>
      <c r="H136" s="2">
        <v>-51.17</v>
      </c>
      <c r="I136" s="2">
        <v>-29.98</v>
      </c>
      <c r="J136" s="2"/>
      <c r="K136" s="2">
        <v>-17.739999999999998</v>
      </c>
      <c r="L136" s="2">
        <v>-24.13</v>
      </c>
      <c r="M136" s="2">
        <v>-28.71</v>
      </c>
      <c r="N136" s="2"/>
      <c r="O136" s="2">
        <v>-20.04</v>
      </c>
      <c r="P136" s="2">
        <v>-10.17</v>
      </c>
    </row>
    <row r="137" spans="1:16" x14ac:dyDescent="0.3">
      <c r="A137" t="s">
        <v>268</v>
      </c>
      <c r="B137" t="s">
        <v>391</v>
      </c>
      <c r="C137">
        <v>426020</v>
      </c>
      <c r="D137" t="s">
        <v>409</v>
      </c>
      <c r="E137" s="2">
        <v>-71.459999999999994</v>
      </c>
      <c r="F137" s="2">
        <v>-24.57</v>
      </c>
      <c r="G137" s="2">
        <v>-77.23</v>
      </c>
      <c r="H137" s="2">
        <v>-27.98</v>
      </c>
      <c r="I137" s="2"/>
      <c r="J137" s="2">
        <v>-20.58</v>
      </c>
      <c r="K137" s="2">
        <v>-44.55</v>
      </c>
      <c r="L137" s="2">
        <v>-75.91</v>
      </c>
      <c r="M137" s="2">
        <v>-48.45</v>
      </c>
      <c r="N137" s="2">
        <v>-7.59</v>
      </c>
      <c r="O137" s="2">
        <v>-85.42</v>
      </c>
      <c r="P137" s="2">
        <v>-7.99</v>
      </c>
    </row>
    <row r="138" spans="1:16" x14ac:dyDescent="0.3">
      <c r="A138" t="s">
        <v>268</v>
      </c>
      <c r="B138" t="s">
        <v>391</v>
      </c>
      <c r="C138">
        <v>480170</v>
      </c>
      <c r="D138" t="s">
        <v>410</v>
      </c>
      <c r="E138" s="2"/>
      <c r="F138" s="2"/>
      <c r="G138" s="2"/>
      <c r="H138" s="2"/>
      <c r="I138" s="2"/>
      <c r="J138" s="2"/>
      <c r="K138" s="2">
        <v>-159.91999999999999</v>
      </c>
      <c r="L138" s="2">
        <v>-79.959999999999994</v>
      </c>
      <c r="M138" s="2">
        <v>-79.959999999999994</v>
      </c>
      <c r="N138" s="2">
        <v>-59.97</v>
      </c>
      <c r="O138" s="2">
        <v>-159.91999999999999</v>
      </c>
      <c r="P138" s="2">
        <v>-109.95</v>
      </c>
    </row>
    <row r="139" spans="1:16" x14ac:dyDescent="0.3">
      <c r="A139" t="s">
        <v>411</v>
      </c>
      <c r="B139" t="s">
        <v>391</v>
      </c>
      <c r="C139">
        <v>480800</v>
      </c>
      <c r="D139" t="s">
        <v>412</v>
      </c>
      <c r="E139" s="2">
        <v>-2454</v>
      </c>
      <c r="F139" s="2">
        <v>-2646</v>
      </c>
      <c r="G139" s="2">
        <v>-2742</v>
      </c>
      <c r="H139" s="2">
        <v>-2964</v>
      </c>
      <c r="I139" s="2">
        <v>-3054</v>
      </c>
      <c r="J139" s="2">
        <v>-3102</v>
      </c>
      <c r="K139" s="2">
        <v>-3144</v>
      </c>
      <c r="L139" s="2">
        <v>-3096</v>
      </c>
      <c r="M139" s="2">
        <v>-3084</v>
      </c>
      <c r="N139" s="2">
        <v>-3078</v>
      </c>
      <c r="O139" s="2">
        <v>-3174</v>
      </c>
      <c r="P139" s="2">
        <v>-3258</v>
      </c>
    </row>
  </sheetData>
  <autoFilter ref="A1:P139" xr:uid="{56C43663-B3BE-4CFD-81EA-D7B5AF32F51D}"/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840D-28B4-4FAD-893B-3D4E31FB9B7F}">
  <dimension ref="A1:E143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6640625" bestFit="1" customWidth="1"/>
    <col min="2" max="2" width="15" bestFit="1" customWidth="1"/>
    <col min="3" max="3" width="22.44140625" bestFit="1" customWidth="1"/>
    <col min="4" max="4" width="40.6640625" bestFit="1" customWidth="1"/>
    <col min="5" max="5" width="12.88671875" bestFit="1" customWidth="1"/>
    <col min="6" max="16" width="16.6640625" customWidth="1"/>
  </cols>
  <sheetData>
    <row r="1" spans="1:5" x14ac:dyDescent="0.3">
      <c r="A1" s="45" t="s">
        <v>256</v>
      </c>
      <c r="B1" s="46" t="s">
        <v>257</v>
      </c>
      <c r="C1" s="46" t="s">
        <v>258</v>
      </c>
      <c r="D1" s="46" t="s">
        <v>259</v>
      </c>
      <c r="E1" s="47">
        <v>46053</v>
      </c>
    </row>
    <row r="2" spans="1:5" x14ac:dyDescent="0.3">
      <c r="A2" t="s">
        <v>260</v>
      </c>
      <c r="B2">
        <v>77712</v>
      </c>
      <c r="C2">
        <v>129010</v>
      </c>
      <c r="D2" t="s">
        <v>413</v>
      </c>
      <c r="E2" s="2">
        <v>9903.67</v>
      </c>
    </row>
    <row r="3" spans="1:5" x14ac:dyDescent="0.3">
      <c r="A3" t="s">
        <v>260</v>
      </c>
      <c r="B3">
        <v>77712</v>
      </c>
      <c r="C3">
        <v>129020</v>
      </c>
      <c r="D3" t="s">
        <v>414</v>
      </c>
      <c r="E3" s="2">
        <v>3115.49</v>
      </c>
    </row>
    <row r="4" spans="1:5" x14ac:dyDescent="0.3">
      <c r="A4" t="s">
        <v>260</v>
      </c>
      <c r="B4">
        <v>77712</v>
      </c>
      <c r="C4">
        <v>129030</v>
      </c>
      <c r="D4" t="s">
        <v>262</v>
      </c>
      <c r="E4" s="2">
        <v>0</v>
      </c>
    </row>
    <row r="5" spans="1:5" x14ac:dyDescent="0.3">
      <c r="A5" t="s">
        <v>415</v>
      </c>
      <c r="B5">
        <v>77712</v>
      </c>
      <c r="C5">
        <v>210050</v>
      </c>
      <c r="D5" t="s">
        <v>416</v>
      </c>
      <c r="E5" s="2">
        <v>14.58</v>
      </c>
    </row>
    <row r="6" spans="1:5" x14ac:dyDescent="0.3">
      <c r="A6" t="s">
        <v>417</v>
      </c>
      <c r="B6">
        <v>77712</v>
      </c>
      <c r="C6">
        <v>269020</v>
      </c>
      <c r="D6" t="s">
        <v>418</v>
      </c>
      <c r="E6" s="2">
        <v>609931.93000000005</v>
      </c>
    </row>
    <row r="7" spans="1:5" x14ac:dyDescent="0.3">
      <c r="A7" t="s">
        <v>419</v>
      </c>
      <c r="B7">
        <v>77712</v>
      </c>
      <c r="C7">
        <v>400060</v>
      </c>
      <c r="D7" t="s">
        <v>267</v>
      </c>
      <c r="E7" s="2">
        <v>37.74</v>
      </c>
    </row>
    <row r="8" spans="1:5" x14ac:dyDescent="0.3">
      <c r="A8" t="s">
        <v>419</v>
      </c>
      <c r="B8">
        <v>77712</v>
      </c>
      <c r="C8">
        <v>426000</v>
      </c>
      <c r="D8" t="s">
        <v>420</v>
      </c>
      <c r="E8" s="2"/>
    </row>
    <row r="9" spans="1:5" x14ac:dyDescent="0.3">
      <c r="A9" t="s">
        <v>419</v>
      </c>
      <c r="B9">
        <v>77712</v>
      </c>
      <c r="C9">
        <v>500220</v>
      </c>
      <c r="D9" t="s">
        <v>421</v>
      </c>
      <c r="E9" s="2">
        <v>2575.0100000000002</v>
      </c>
    </row>
    <row r="10" spans="1:5" x14ac:dyDescent="0.3">
      <c r="A10" t="s">
        <v>419</v>
      </c>
      <c r="B10">
        <v>77712</v>
      </c>
      <c r="C10">
        <v>500230</v>
      </c>
      <c r="D10" t="s">
        <v>422</v>
      </c>
      <c r="E10" s="2">
        <v>1552.76</v>
      </c>
    </row>
    <row r="11" spans="1:5" x14ac:dyDescent="0.3">
      <c r="A11" t="s">
        <v>419</v>
      </c>
      <c r="B11">
        <v>77712</v>
      </c>
      <c r="C11">
        <v>500250</v>
      </c>
      <c r="D11" t="s">
        <v>273</v>
      </c>
      <c r="E11" s="2"/>
    </row>
    <row r="12" spans="1:5" x14ac:dyDescent="0.3">
      <c r="A12" t="s">
        <v>419</v>
      </c>
      <c r="B12">
        <v>77712</v>
      </c>
      <c r="C12">
        <v>500300</v>
      </c>
      <c r="D12" t="s">
        <v>274</v>
      </c>
      <c r="E12" s="2">
        <v>10.130000000000001</v>
      </c>
    </row>
    <row r="13" spans="1:5" x14ac:dyDescent="0.3">
      <c r="A13" t="s">
        <v>419</v>
      </c>
      <c r="B13">
        <v>77712</v>
      </c>
      <c r="C13">
        <v>500310</v>
      </c>
      <c r="D13" t="s">
        <v>423</v>
      </c>
      <c r="E13" s="2">
        <v>68.150000000000006</v>
      </c>
    </row>
    <row r="14" spans="1:5" x14ac:dyDescent="0.3">
      <c r="A14" t="s">
        <v>419</v>
      </c>
      <c r="B14">
        <v>77712</v>
      </c>
      <c r="C14">
        <v>500320</v>
      </c>
      <c r="D14" t="s">
        <v>276</v>
      </c>
      <c r="E14" s="2">
        <v>36.229999999999997</v>
      </c>
    </row>
    <row r="15" spans="1:5" x14ac:dyDescent="0.3">
      <c r="A15" t="s">
        <v>419</v>
      </c>
      <c r="B15">
        <v>77712</v>
      </c>
      <c r="C15">
        <v>500330</v>
      </c>
      <c r="D15" t="s">
        <v>277</v>
      </c>
      <c r="E15" s="2">
        <v>168.1</v>
      </c>
    </row>
    <row r="16" spans="1:5" x14ac:dyDescent="0.3">
      <c r="A16" t="s">
        <v>419</v>
      </c>
      <c r="B16">
        <v>77712</v>
      </c>
      <c r="C16">
        <v>500350</v>
      </c>
      <c r="D16" t="s">
        <v>278</v>
      </c>
      <c r="E16" s="2">
        <v>63.27</v>
      </c>
    </row>
    <row r="17" spans="1:5" x14ac:dyDescent="0.3">
      <c r="A17" t="s">
        <v>419</v>
      </c>
      <c r="B17">
        <v>77712</v>
      </c>
      <c r="C17">
        <v>500360</v>
      </c>
      <c r="D17" t="s">
        <v>424</v>
      </c>
      <c r="E17" s="2">
        <v>6.5</v>
      </c>
    </row>
    <row r="18" spans="1:5" x14ac:dyDescent="0.3">
      <c r="A18" t="s">
        <v>419</v>
      </c>
      <c r="B18">
        <v>77712</v>
      </c>
      <c r="C18">
        <v>500390</v>
      </c>
      <c r="D18" t="s">
        <v>280</v>
      </c>
      <c r="E18" s="2"/>
    </row>
    <row r="19" spans="1:5" x14ac:dyDescent="0.3">
      <c r="A19" t="s">
        <v>419</v>
      </c>
      <c r="B19">
        <v>77712</v>
      </c>
      <c r="C19">
        <v>500400</v>
      </c>
      <c r="D19" t="s">
        <v>281</v>
      </c>
      <c r="E19" s="2">
        <v>171.28</v>
      </c>
    </row>
    <row r="20" spans="1:5" x14ac:dyDescent="0.3">
      <c r="A20" t="s">
        <v>419</v>
      </c>
      <c r="B20">
        <v>77712</v>
      </c>
      <c r="C20">
        <v>500410</v>
      </c>
      <c r="D20" t="s">
        <v>282</v>
      </c>
      <c r="E20" s="2">
        <v>-4.1500000000000004</v>
      </c>
    </row>
    <row r="21" spans="1:5" x14ac:dyDescent="0.3">
      <c r="A21" t="s">
        <v>419</v>
      </c>
      <c r="B21">
        <v>77712</v>
      </c>
      <c r="C21">
        <v>500420</v>
      </c>
      <c r="D21" t="s">
        <v>283</v>
      </c>
      <c r="E21" s="2">
        <v>247.32</v>
      </c>
    </row>
    <row r="22" spans="1:5" x14ac:dyDescent="0.3">
      <c r="A22" t="s">
        <v>419</v>
      </c>
      <c r="B22">
        <v>77712</v>
      </c>
      <c r="C22">
        <v>500430</v>
      </c>
      <c r="D22" t="s">
        <v>284</v>
      </c>
      <c r="E22" s="2">
        <v>57.85</v>
      </c>
    </row>
    <row r="23" spans="1:5" x14ac:dyDescent="0.3">
      <c r="A23" t="s">
        <v>419</v>
      </c>
      <c r="B23">
        <v>77712</v>
      </c>
      <c r="C23">
        <v>500440</v>
      </c>
      <c r="D23" t="s">
        <v>285</v>
      </c>
      <c r="E23" s="2">
        <v>122.89</v>
      </c>
    </row>
    <row r="24" spans="1:5" x14ac:dyDescent="0.3">
      <c r="A24" t="s">
        <v>419</v>
      </c>
      <c r="B24">
        <v>77712</v>
      </c>
      <c r="C24">
        <v>500450</v>
      </c>
      <c r="D24" t="s">
        <v>425</v>
      </c>
      <c r="E24" s="2">
        <v>3.41</v>
      </c>
    </row>
    <row r="25" spans="1:5" x14ac:dyDescent="0.3">
      <c r="A25" t="s">
        <v>419</v>
      </c>
      <c r="B25">
        <v>77712</v>
      </c>
      <c r="C25">
        <v>500470</v>
      </c>
      <c r="D25" t="s">
        <v>287</v>
      </c>
      <c r="E25" s="2">
        <v>255.13</v>
      </c>
    </row>
    <row r="26" spans="1:5" x14ac:dyDescent="0.3">
      <c r="A26" t="s">
        <v>419</v>
      </c>
      <c r="B26">
        <v>77712</v>
      </c>
      <c r="C26">
        <v>500480</v>
      </c>
      <c r="D26" t="s">
        <v>288</v>
      </c>
      <c r="E26" s="2">
        <v>23.78</v>
      </c>
    </row>
    <row r="27" spans="1:5" x14ac:dyDescent="0.3">
      <c r="A27" t="s">
        <v>419</v>
      </c>
      <c r="B27">
        <v>77712</v>
      </c>
      <c r="C27">
        <v>500490</v>
      </c>
      <c r="D27" t="s">
        <v>426</v>
      </c>
      <c r="E27" s="2">
        <v>931.66</v>
      </c>
    </row>
    <row r="28" spans="1:5" x14ac:dyDescent="0.3">
      <c r="A28" t="s">
        <v>419</v>
      </c>
      <c r="B28">
        <v>77712</v>
      </c>
      <c r="C28">
        <v>500500</v>
      </c>
      <c r="D28" t="s">
        <v>427</v>
      </c>
      <c r="E28" s="2"/>
    </row>
    <row r="29" spans="1:5" x14ac:dyDescent="0.3">
      <c r="A29" t="s">
        <v>419</v>
      </c>
      <c r="B29">
        <v>77712</v>
      </c>
      <c r="C29">
        <v>500520</v>
      </c>
      <c r="D29" t="s">
        <v>291</v>
      </c>
      <c r="E29" s="2">
        <v>2.56</v>
      </c>
    </row>
    <row r="30" spans="1:5" x14ac:dyDescent="0.3">
      <c r="A30" t="s">
        <v>419</v>
      </c>
      <c r="B30">
        <v>77712</v>
      </c>
      <c r="C30">
        <v>500530</v>
      </c>
      <c r="D30" t="s">
        <v>292</v>
      </c>
      <c r="E30" s="2">
        <v>99.73</v>
      </c>
    </row>
    <row r="31" spans="1:5" x14ac:dyDescent="0.3">
      <c r="A31" t="s">
        <v>419</v>
      </c>
      <c r="B31">
        <v>77712</v>
      </c>
      <c r="C31">
        <v>500540</v>
      </c>
      <c r="D31" t="s">
        <v>293</v>
      </c>
      <c r="E31" s="2">
        <v>0.38</v>
      </c>
    </row>
    <row r="32" spans="1:5" x14ac:dyDescent="0.3">
      <c r="A32" t="s">
        <v>419</v>
      </c>
      <c r="B32">
        <v>77712</v>
      </c>
      <c r="C32">
        <v>500720</v>
      </c>
      <c r="D32" t="s">
        <v>295</v>
      </c>
      <c r="E32" s="2"/>
    </row>
    <row r="33" spans="1:5" x14ac:dyDescent="0.3">
      <c r="A33" t="s">
        <v>419</v>
      </c>
      <c r="B33">
        <v>77712</v>
      </c>
      <c r="C33">
        <v>500730</v>
      </c>
      <c r="D33" t="s">
        <v>428</v>
      </c>
      <c r="E33" s="2">
        <v>918</v>
      </c>
    </row>
    <row r="34" spans="1:5" x14ac:dyDescent="0.3">
      <c r="A34" t="s">
        <v>419</v>
      </c>
      <c r="B34">
        <v>77712</v>
      </c>
      <c r="C34">
        <v>500740</v>
      </c>
      <c r="D34" t="s">
        <v>429</v>
      </c>
      <c r="E34" s="2"/>
    </row>
    <row r="35" spans="1:5" x14ac:dyDescent="0.3">
      <c r="A35" t="s">
        <v>419</v>
      </c>
      <c r="B35">
        <v>77712</v>
      </c>
      <c r="C35">
        <v>500840</v>
      </c>
      <c r="D35" t="s">
        <v>430</v>
      </c>
      <c r="E35" s="2">
        <v>71.88</v>
      </c>
    </row>
    <row r="36" spans="1:5" x14ac:dyDescent="0.3">
      <c r="A36" t="s">
        <v>419</v>
      </c>
      <c r="B36">
        <v>77712</v>
      </c>
      <c r="C36">
        <v>500900</v>
      </c>
      <c r="D36" t="s">
        <v>431</v>
      </c>
      <c r="E36" s="2"/>
    </row>
    <row r="37" spans="1:5" x14ac:dyDescent="0.3">
      <c r="A37" t="s">
        <v>419</v>
      </c>
      <c r="B37">
        <v>77712</v>
      </c>
      <c r="C37">
        <v>500930</v>
      </c>
      <c r="D37" t="s">
        <v>300</v>
      </c>
      <c r="E37" s="2"/>
    </row>
    <row r="38" spans="1:5" x14ac:dyDescent="0.3">
      <c r="A38" t="s">
        <v>419</v>
      </c>
      <c r="B38">
        <v>77712</v>
      </c>
      <c r="C38">
        <v>500960</v>
      </c>
      <c r="D38" t="s">
        <v>301</v>
      </c>
      <c r="E38" s="2"/>
    </row>
    <row r="39" spans="1:5" x14ac:dyDescent="0.3">
      <c r="A39" t="s">
        <v>419</v>
      </c>
      <c r="B39">
        <v>77712</v>
      </c>
      <c r="C39">
        <v>500970</v>
      </c>
      <c r="D39" t="s">
        <v>432</v>
      </c>
      <c r="E39" s="2"/>
    </row>
    <row r="40" spans="1:5" x14ac:dyDescent="0.3">
      <c r="A40" t="s">
        <v>419</v>
      </c>
      <c r="B40">
        <v>77712</v>
      </c>
      <c r="C40">
        <v>501020</v>
      </c>
      <c r="D40" t="s">
        <v>433</v>
      </c>
      <c r="E40" s="2">
        <v>0</v>
      </c>
    </row>
    <row r="41" spans="1:5" x14ac:dyDescent="0.3">
      <c r="A41" t="s">
        <v>419</v>
      </c>
      <c r="B41">
        <v>77712</v>
      </c>
      <c r="C41">
        <v>501070</v>
      </c>
      <c r="D41" t="s">
        <v>434</v>
      </c>
      <c r="E41" s="2"/>
    </row>
    <row r="42" spans="1:5" x14ac:dyDescent="0.3">
      <c r="A42" t="s">
        <v>419</v>
      </c>
      <c r="B42">
        <v>77712</v>
      </c>
      <c r="C42">
        <v>501110</v>
      </c>
      <c r="D42" t="s">
        <v>435</v>
      </c>
      <c r="E42" s="2"/>
    </row>
    <row r="43" spans="1:5" x14ac:dyDescent="0.3">
      <c r="A43" t="s">
        <v>419</v>
      </c>
      <c r="B43">
        <v>77712</v>
      </c>
      <c r="C43">
        <v>501130</v>
      </c>
      <c r="D43" t="s">
        <v>436</v>
      </c>
      <c r="E43" s="2">
        <v>644.55999999999995</v>
      </c>
    </row>
    <row r="44" spans="1:5" x14ac:dyDescent="0.3">
      <c r="A44" t="s">
        <v>419</v>
      </c>
      <c r="B44">
        <v>77712</v>
      </c>
      <c r="C44">
        <v>501160</v>
      </c>
      <c r="D44" t="s">
        <v>437</v>
      </c>
      <c r="E44" s="2"/>
    </row>
    <row r="45" spans="1:5" x14ac:dyDescent="0.3">
      <c r="A45" t="s">
        <v>419</v>
      </c>
      <c r="B45">
        <v>77712</v>
      </c>
      <c r="C45">
        <v>501180</v>
      </c>
      <c r="D45" t="s">
        <v>438</v>
      </c>
      <c r="E45" s="2"/>
    </row>
    <row r="46" spans="1:5" x14ac:dyDescent="0.3">
      <c r="A46" t="s">
        <v>419</v>
      </c>
      <c r="B46">
        <v>77712</v>
      </c>
      <c r="C46">
        <v>501190</v>
      </c>
      <c r="D46" t="s">
        <v>439</v>
      </c>
      <c r="E46" s="2"/>
    </row>
    <row r="47" spans="1:5" x14ac:dyDescent="0.3">
      <c r="A47" t="s">
        <v>419</v>
      </c>
      <c r="B47">
        <v>77712</v>
      </c>
      <c r="C47">
        <v>501200</v>
      </c>
      <c r="D47" t="s">
        <v>440</v>
      </c>
      <c r="E47" s="2"/>
    </row>
    <row r="48" spans="1:5" x14ac:dyDescent="0.3">
      <c r="A48" t="s">
        <v>419</v>
      </c>
      <c r="B48">
        <v>77712</v>
      </c>
      <c r="C48">
        <v>501400</v>
      </c>
      <c r="D48" t="s">
        <v>311</v>
      </c>
      <c r="E48" s="2"/>
    </row>
    <row r="49" spans="1:5" x14ac:dyDescent="0.3">
      <c r="A49" t="s">
        <v>419</v>
      </c>
      <c r="B49">
        <v>77712</v>
      </c>
      <c r="C49">
        <v>501580</v>
      </c>
      <c r="D49" t="s">
        <v>441</v>
      </c>
      <c r="E49" s="2"/>
    </row>
    <row r="50" spans="1:5" x14ac:dyDescent="0.3">
      <c r="A50" t="s">
        <v>419</v>
      </c>
      <c r="B50">
        <v>77712</v>
      </c>
      <c r="C50">
        <v>501590</v>
      </c>
      <c r="D50" t="s">
        <v>442</v>
      </c>
      <c r="E50" s="2"/>
    </row>
    <row r="51" spans="1:5" x14ac:dyDescent="0.3">
      <c r="A51" t="s">
        <v>419</v>
      </c>
      <c r="B51">
        <v>77712</v>
      </c>
      <c r="C51">
        <v>501610</v>
      </c>
      <c r="D51" t="s">
        <v>314</v>
      </c>
      <c r="E51" s="2"/>
    </row>
    <row r="52" spans="1:5" x14ac:dyDescent="0.3">
      <c r="A52" t="s">
        <v>419</v>
      </c>
      <c r="B52">
        <v>77712</v>
      </c>
      <c r="C52">
        <v>501630</v>
      </c>
      <c r="D52" t="s">
        <v>315</v>
      </c>
      <c r="E52" s="2"/>
    </row>
    <row r="53" spans="1:5" x14ac:dyDescent="0.3">
      <c r="A53" t="s">
        <v>419</v>
      </c>
      <c r="B53">
        <v>77712</v>
      </c>
      <c r="C53">
        <v>501700</v>
      </c>
      <c r="D53" t="s">
        <v>443</v>
      </c>
      <c r="E53" s="2"/>
    </row>
    <row r="54" spans="1:5" x14ac:dyDescent="0.3">
      <c r="A54" t="s">
        <v>419</v>
      </c>
      <c r="B54">
        <v>77712</v>
      </c>
      <c r="C54">
        <v>501710</v>
      </c>
      <c r="D54" t="s">
        <v>444</v>
      </c>
      <c r="E54" s="2"/>
    </row>
    <row r="55" spans="1:5" x14ac:dyDescent="0.3">
      <c r="A55" t="s">
        <v>419</v>
      </c>
      <c r="B55">
        <v>77712</v>
      </c>
      <c r="C55">
        <v>501720</v>
      </c>
      <c r="D55" t="s">
        <v>445</v>
      </c>
      <c r="E55" s="2">
        <v>162.38</v>
      </c>
    </row>
    <row r="56" spans="1:5" x14ac:dyDescent="0.3">
      <c r="A56" t="s">
        <v>419</v>
      </c>
      <c r="B56">
        <v>77712</v>
      </c>
      <c r="C56">
        <v>501850</v>
      </c>
      <c r="D56" t="s">
        <v>446</v>
      </c>
      <c r="E56" s="2">
        <v>600</v>
      </c>
    </row>
    <row r="57" spans="1:5" x14ac:dyDescent="0.3">
      <c r="A57" t="s">
        <v>419</v>
      </c>
      <c r="B57">
        <v>77712</v>
      </c>
      <c r="C57">
        <v>501910</v>
      </c>
      <c r="D57" t="s">
        <v>320</v>
      </c>
      <c r="E57" s="2"/>
    </row>
    <row r="58" spans="1:5" x14ac:dyDescent="0.3">
      <c r="A58" t="s">
        <v>419</v>
      </c>
      <c r="B58">
        <v>77712</v>
      </c>
      <c r="C58">
        <v>505010</v>
      </c>
      <c r="D58" t="s">
        <v>322</v>
      </c>
      <c r="E58" s="2">
        <v>2943.78</v>
      </c>
    </row>
    <row r="59" spans="1:5" x14ac:dyDescent="0.3">
      <c r="A59" t="s">
        <v>419</v>
      </c>
      <c r="B59">
        <v>77712</v>
      </c>
      <c r="C59">
        <v>505040</v>
      </c>
      <c r="D59" t="s">
        <v>323</v>
      </c>
      <c r="E59" s="2"/>
    </row>
    <row r="60" spans="1:5" x14ac:dyDescent="0.3">
      <c r="A60" t="s">
        <v>419</v>
      </c>
      <c r="B60">
        <v>77712</v>
      </c>
      <c r="C60">
        <v>505100</v>
      </c>
      <c r="D60" t="s">
        <v>447</v>
      </c>
      <c r="E60" s="2">
        <v>4.3899999999999997</v>
      </c>
    </row>
    <row r="61" spans="1:5" x14ac:dyDescent="0.3">
      <c r="A61" t="s">
        <v>419</v>
      </c>
      <c r="B61">
        <v>77712</v>
      </c>
      <c r="C61">
        <v>505110</v>
      </c>
      <c r="D61" t="s">
        <v>448</v>
      </c>
      <c r="E61" s="2"/>
    </row>
    <row r="62" spans="1:5" x14ac:dyDescent="0.3">
      <c r="A62" t="s">
        <v>419</v>
      </c>
      <c r="B62">
        <v>77712</v>
      </c>
      <c r="C62">
        <v>505500</v>
      </c>
      <c r="D62" t="s">
        <v>449</v>
      </c>
      <c r="E62" s="2">
        <v>2234.4499999999998</v>
      </c>
    </row>
    <row r="63" spans="1:5" x14ac:dyDescent="0.3">
      <c r="A63" t="s">
        <v>419</v>
      </c>
      <c r="B63">
        <v>77712</v>
      </c>
      <c r="C63">
        <v>505510</v>
      </c>
      <c r="D63" t="s">
        <v>450</v>
      </c>
      <c r="E63" s="2">
        <v>1</v>
      </c>
    </row>
    <row r="64" spans="1:5" x14ac:dyDescent="0.3">
      <c r="A64" t="s">
        <v>419</v>
      </c>
      <c r="B64">
        <v>77712</v>
      </c>
      <c r="C64">
        <v>505530</v>
      </c>
      <c r="D64" t="s">
        <v>451</v>
      </c>
      <c r="E64" s="2"/>
    </row>
    <row r="65" spans="1:5" x14ac:dyDescent="0.3">
      <c r="A65" t="s">
        <v>419</v>
      </c>
      <c r="B65">
        <v>77712</v>
      </c>
      <c r="C65">
        <v>505570</v>
      </c>
      <c r="D65" t="s">
        <v>452</v>
      </c>
      <c r="E65" s="2"/>
    </row>
    <row r="66" spans="1:5" x14ac:dyDescent="0.3">
      <c r="A66" t="s">
        <v>419</v>
      </c>
      <c r="B66">
        <v>77712</v>
      </c>
      <c r="C66">
        <v>506010</v>
      </c>
      <c r="D66" t="s">
        <v>332</v>
      </c>
      <c r="E66" s="2"/>
    </row>
    <row r="67" spans="1:5" x14ac:dyDescent="0.3">
      <c r="A67" t="s">
        <v>419</v>
      </c>
      <c r="B67">
        <v>77712</v>
      </c>
      <c r="C67">
        <v>506020</v>
      </c>
      <c r="D67" t="s">
        <v>333</v>
      </c>
      <c r="E67" s="2"/>
    </row>
    <row r="68" spans="1:5" x14ac:dyDescent="0.3">
      <c r="A68" t="s">
        <v>419</v>
      </c>
      <c r="B68">
        <v>77712</v>
      </c>
      <c r="C68">
        <v>506040</v>
      </c>
      <c r="D68" t="s">
        <v>453</v>
      </c>
      <c r="E68" s="2"/>
    </row>
    <row r="69" spans="1:5" x14ac:dyDescent="0.3">
      <c r="A69" t="s">
        <v>419</v>
      </c>
      <c r="B69">
        <v>77712</v>
      </c>
      <c r="C69">
        <v>506050</v>
      </c>
      <c r="D69" t="s">
        <v>454</v>
      </c>
      <c r="E69" s="2"/>
    </row>
    <row r="70" spans="1:5" x14ac:dyDescent="0.3">
      <c r="A70" t="s">
        <v>419</v>
      </c>
      <c r="B70">
        <v>77712</v>
      </c>
      <c r="C70">
        <v>506060</v>
      </c>
      <c r="D70" t="s">
        <v>27</v>
      </c>
      <c r="E70" s="2">
        <v>1645.42</v>
      </c>
    </row>
    <row r="71" spans="1:5" x14ac:dyDescent="0.3">
      <c r="A71" t="s">
        <v>419</v>
      </c>
      <c r="B71">
        <v>77712</v>
      </c>
      <c r="C71">
        <v>506080</v>
      </c>
      <c r="D71" t="s">
        <v>455</v>
      </c>
      <c r="E71" s="2">
        <v>16.72</v>
      </c>
    </row>
    <row r="72" spans="1:5" x14ac:dyDescent="0.3">
      <c r="A72" t="s">
        <v>419</v>
      </c>
      <c r="B72">
        <v>77712</v>
      </c>
      <c r="C72">
        <v>506110</v>
      </c>
      <c r="D72" t="s">
        <v>456</v>
      </c>
      <c r="E72" s="2">
        <v>7.86</v>
      </c>
    </row>
    <row r="73" spans="1:5" x14ac:dyDescent="0.3">
      <c r="A73" t="s">
        <v>419</v>
      </c>
      <c r="B73">
        <v>77712</v>
      </c>
      <c r="C73">
        <v>506120</v>
      </c>
      <c r="D73" t="s">
        <v>457</v>
      </c>
      <c r="E73" s="2">
        <v>86.37</v>
      </c>
    </row>
    <row r="74" spans="1:5" x14ac:dyDescent="0.3">
      <c r="A74" t="s">
        <v>419</v>
      </c>
      <c r="B74">
        <v>77712</v>
      </c>
      <c r="C74">
        <v>506140</v>
      </c>
      <c r="D74" t="s">
        <v>343</v>
      </c>
      <c r="E74" s="2">
        <v>163.16</v>
      </c>
    </row>
    <row r="75" spans="1:5" x14ac:dyDescent="0.3">
      <c r="A75" t="s">
        <v>419</v>
      </c>
      <c r="B75">
        <v>77712</v>
      </c>
      <c r="C75">
        <v>506150</v>
      </c>
      <c r="D75" t="s">
        <v>25</v>
      </c>
      <c r="E75" s="2">
        <v>273.08999999999997</v>
      </c>
    </row>
    <row r="76" spans="1:5" x14ac:dyDescent="0.3">
      <c r="A76" t="s">
        <v>419</v>
      </c>
      <c r="B76">
        <v>77712</v>
      </c>
      <c r="C76">
        <v>506180</v>
      </c>
      <c r="D76" t="s">
        <v>26</v>
      </c>
      <c r="E76" s="2">
        <v>256.38</v>
      </c>
    </row>
    <row r="77" spans="1:5" x14ac:dyDescent="0.3">
      <c r="A77" t="s">
        <v>419</v>
      </c>
      <c r="B77">
        <v>77712</v>
      </c>
      <c r="C77">
        <v>506190</v>
      </c>
      <c r="D77" t="s">
        <v>458</v>
      </c>
      <c r="E77" s="2">
        <v>1469.89</v>
      </c>
    </row>
    <row r="78" spans="1:5" x14ac:dyDescent="0.3">
      <c r="A78" t="s">
        <v>419</v>
      </c>
      <c r="B78">
        <v>77712</v>
      </c>
      <c r="C78">
        <v>506200</v>
      </c>
      <c r="D78" t="s">
        <v>459</v>
      </c>
      <c r="E78" s="2">
        <v>31.18</v>
      </c>
    </row>
    <row r="79" spans="1:5" x14ac:dyDescent="0.3">
      <c r="A79" t="s">
        <v>419</v>
      </c>
      <c r="B79">
        <v>77712</v>
      </c>
      <c r="C79">
        <v>506210</v>
      </c>
      <c r="D79" t="s">
        <v>350</v>
      </c>
      <c r="E79" s="2"/>
    </row>
    <row r="80" spans="1:5" x14ac:dyDescent="0.3">
      <c r="A80" t="s">
        <v>419</v>
      </c>
      <c r="B80">
        <v>77712</v>
      </c>
      <c r="C80">
        <v>506260</v>
      </c>
      <c r="D80" t="s">
        <v>351</v>
      </c>
      <c r="E80" s="2">
        <v>115</v>
      </c>
    </row>
    <row r="81" spans="1:5" x14ac:dyDescent="0.3">
      <c r="A81" t="s">
        <v>419</v>
      </c>
      <c r="B81">
        <v>77712</v>
      </c>
      <c r="C81">
        <v>506275</v>
      </c>
      <c r="D81" t="s">
        <v>352</v>
      </c>
      <c r="E81" s="2"/>
    </row>
    <row r="82" spans="1:5" x14ac:dyDescent="0.3">
      <c r="A82" t="s">
        <v>419</v>
      </c>
      <c r="B82">
        <v>77712</v>
      </c>
      <c r="C82">
        <v>506280</v>
      </c>
      <c r="D82" t="s">
        <v>18</v>
      </c>
      <c r="E82" s="2">
        <v>33.42</v>
      </c>
    </row>
    <row r="83" spans="1:5" x14ac:dyDescent="0.3">
      <c r="A83" t="s">
        <v>419</v>
      </c>
      <c r="B83">
        <v>77712</v>
      </c>
      <c r="C83">
        <v>510050</v>
      </c>
      <c r="D83" t="s">
        <v>460</v>
      </c>
      <c r="E83" s="2">
        <v>871.77</v>
      </c>
    </row>
    <row r="84" spans="1:5" x14ac:dyDescent="0.3">
      <c r="A84" t="s">
        <v>419</v>
      </c>
      <c r="B84">
        <v>77712</v>
      </c>
      <c r="C84">
        <v>510070</v>
      </c>
      <c r="D84" t="s">
        <v>356</v>
      </c>
      <c r="E84" s="2">
        <v>202.16</v>
      </c>
    </row>
    <row r="85" spans="1:5" x14ac:dyDescent="0.3">
      <c r="A85" t="s">
        <v>419</v>
      </c>
      <c r="B85">
        <v>77712</v>
      </c>
      <c r="C85">
        <v>510510</v>
      </c>
      <c r="D85" t="s">
        <v>357</v>
      </c>
      <c r="E85" s="2">
        <v>277.35000000000002</v>
      </c>
    </row>
    <row r="86" spans="1:5" x14ac:dyDescent="0.3">
      <c r="A86" t="s">
        <v>419</v>
      </c>
      <c r="B86">
        <v>77712</v>
      </c>
      <c r="C86">
        <v>510840</v>
      </c>
      <c r="D86" t="s">
        <v>461</v>
      </c>
      <c r="E86" s="2"/>
    </row>
    <row r="87" spans="1:5" x14ac:dyDescent="0.3">
      <c r="A87" t="s">
        <v>419</v>
      </c>
      <c r="B87">
        <v>77712</v>
      </c>
      <c r="C87">
        <v>556000</v>
      </c>
      <c r="D87" t="s">
        <v>15</v>
      </c>
      <c r="E87" s="2">
        <v>3727.71</v>
      </c>
    </row>
    <row r="88" spans="1:5" x14ac:dyDescent="0.3">
      <c r="A88" t="s">
        <v>419</v>
      </c>
      <c r="B88">
        <v>77712</v>
      </c>
      <c r="C88">
        <v>556650</v>
      </c>
      <c r="D88" t="s">
        <v>462</v>
      </c>
      <c r="E88" s="2">
        <v>549</v>
      </c>
    </row>
    <row r="89" spans="1:5" x14ac:dyDescent="0.3">
      <c r="A89" t="s">
        <v>419</v>
      </c>
      <c r="B89">
        <v>77712</v>
      </c>
      <c r="C89">
        <v>556670</v>
      </c>
      <c r="D89" t="s">
        <v>463</v>
      </c>
      <c r="E89" s="2">
        <v>299</v>
      </c>
    </row>
    <row r="90" spans="1:5" x14ac:dyDescent="0.3">
      <c r="A90" t="s">
        <v>464</v>
      </c>
      <c r="B90">
        <v>77712</v>
      </c>
      <c r="C90">
        <v>100110</v>
      </c>
      <c r="D90" t="s">
        <v>363</v>
      </c>
      <c r="E90" s="2">
        <v>238209.52</v>
      </c>
    </row>
    <row r="91" spans="1:5" x14ac:dyDescent="0.3">
      <c r="A91" t="s">
        <v>465</v>
      </c>
      <c r="B91">
        <v>77712</v>
      </c>
      <c r="C91">
        <v>191000</v>
      </c>
      <c r="D91" t="s">
        <v>466</v>
      </c>
      <c r="E91" s="2">
        <v>3757.06</v>
      </c>
    </row>
    <row r="92" spans="1:5" x14ac:dyDescent="0.3">
      <c r="A92" t="s">
        <v>465</v>
      </c>
      <c r="B92">
        <v>77712</v>
      </c>
      <c r="C92">
        <v>192900</v>
      </c>
      <c r="D92" t="s">
        <v>467</v>
      </c>
      <c r="E92" s="2">
        <v>-981.29</v>
      </c>
    </row>
    <row r="93" spans="1:5" x14ac:dyDescent="0.3">
      <c r="A93" t="s">
        <v>415</v>
      </c>
      <c r="B93">
        <v>77712</v>
      </c>
      <c r="C93">
        <v>200000</v>
      </c>
      <c r="D93" t="s">
        <v>366</v>
      </c>
      <c r="E93" s="2">
        <v>0</v>
      </c>
    </row>
    <row r="94" spans="1:5" x14ac:dyDescent="0.3">
      <c r="A94" t="s">
        <v>415</v>
      </c>
      <c r="B94">
        <v>77712</v>
      </c>
      <c r="C94">
        <v>200010</v>
      </c>
      <c r="D94" t="s">
        <v>468</v>
      </c>
      <c r="E94" s="2">
        <v>-1068</v>
      </c>
    </row>
    <row r="95" spans="1:5" x14ac:dyDescent="0.3">
      <c r="A95" t="s">
        <v>415</v>
      </c>
      <c r="B95">
        <v>77712</v>
      </c>
      <c r="C95">
        <v>200100</v>
      </c>
      <c r="D95" t="s">
        <v>368</v>
      </c>
      <c r="E95" s="2">
        <v>-175318.56</v>
      </c>
    </row>
    <row r="96" spans="1:5" x14ac:dyDescent="0.3">
      <c r="A96" t="s">
        <v>415</v>
      </c>
      <c r="B96">
        <v>77712</v>
      </c>
      <c r="C96">
        <v>210050</v>
      </c>
      <c r="D96" t="s">
        <v>416</v>
      </c>
      <c r="E96" s="2">
        <v>1214</v>
      </c>
    </row>
    <row r="97" spans="1:5" x14ac:dyDescent="0.3">
      <c r="A97" t="s">
        <v>469</v>
      </c>
      <c r="B97">
        <v>77712</v>
      </c>
      <c r="C97">
        <v>215060</v>
      </c>
      <c r="D97" t="s">
        <v>470</v>
      </c>
      <c r="E97" s="2">
        <v>-8077.89</v>
      </c>
    </row>
    <row r="98" spans="1:5" x14ac:dyDescent="0.3">
      <c r="A98" t="s">
        <v>417</v>
      </c>
      <c r="B98">
        <v>77712</v>
      </c>
      <c r="C98">
        <v>269000</v>
      </c>
      <c r="D98" t="s">
        <v>471</v>
      </c>
      <c r="E98" s="2">
        <v>-44278.97</v>
      </c>
    </row>
    <row r="99" spans="1:5" x14ac:dyDescent="0.3">
      <c r="A99" t="s">
        <v>415</v>
      </c>
      <c r="B99">
        <v>77712</v>
      </c>
      <c r="C99">
        <v>295000</v>
      </c>
      <c r="D99" t="s">
        <v>472</v>
      </c>
      <c r="E99" s="2">
        <v>-4822.9399999999996</v>
      </c>
    </row>
    <row r="100" spans="1:5" x14ac:dyDescent="0.3">
      <c r="A100" t="s">
        <v>473</v>
      </c>
      <c r="B100">
        <v>77712</v>
      </c>
      <c r="C100">
        <v>350000</v>
      </c>
      <c r="D100" t="s">
        <v>474</v>
      </c>
      <c r="E100" s="2">
        <v>-562271.61</v>
      </c>
    </row>
    <row r="101" spans="1:5" x14ac:dyDescent="0.3">
      <c r="A101" t="s">
        <v>419</v>
      </c>
      <c r="B101">
        <v>77712</v>
      </c>
      <c r="C101">
        <v>400000</v>
      </c>
      <c r="D101" t="s">
        <v>475</v>
      </c>
      <c r="E101" s="2">
        <v>-88957.23</v>
      </c>
    </row>
    <row r="102" spans="1:5" x14ac:dyDescent="0.3">
      <c r="A102" t="s">
        <v>419</v>
      </c>
      <c r="B102">
        <v>77712</v>
      </c>
      <c r="C102">
        <v>400020</v>
      </c>
      <c r="D102" t="s">
        <v>476</v>
      </c>
      <c r="E102" s="2">
        <v>-25</v>
      </c>
    </row>
    <row r="103" spans="1:5" x14ac:dyDescent="0.3">
      <c r="A103" t="s">
        <v>419</v>
      </c>
      <c r="B103">
        <v>77712</v>
      </c>
      <c r="C103">
        <v>400030</v>
      </c>
      <c r="D103" t="s">
        <v>374</v>
      </c>
      <c r="E103" s="2">
        <v>-99</v>
      </c>
    </row>
    <row r="104" spans="1:5" x14ac:dyDescent="0.3">
      <c r="A104" t="s">
        <v>419</v>
      </c>
      <c r="B104">
        <v>77712</v>
      </c>
      <c r="C104">
        <v>400060</v>
      </c>
      <c r="D104" t="s">
        <v>267</v>
      </c>
      <c r="E104" s="2">
        <v>15</v>
      </c>
    </row>
    <row r="105" spans="1:5" x14ac:dyDescent="0.3">
      <c r="A105" t="s">
        <v>419</v>
      </c>
      <c r="B105">
        <v>77712</v>
      </c>
      <c r="C105">
        <v>400070</v>
      </c>
      <c r="D105" t="s">
        <v>477</v>
      </c>
      <c r="E105" s="2">
        <v>-131.83000000000001</v>
      </c>
    </row>
    <row r="106" spans="1:5" x14ac:dyDescent="0.3">
      <c r="A106" t="s">
        <v>419</v>
      </c>
      <c r="B106">
        <v>77712</v>
      </c>
      <c r="C106">
        <v>400080</v>
      </c>
      <c r="D106" t="s">
        <v>478</v>
      </c>
      <c r="E106" s="2">
        <v>-556.85</v>
      </c>
    </row>
    <row r="107" spans="1:5" x14ac:dyDescent="0.3">
      <c r="A107" t="s">
        <v>419</v>
      </c>
      <c r="B107">
        <v>77712</v>
      </c>
      <c r="C107">
        <v>400090</v>
      </c>
      <c r="D107" t="s">
        <v>479</v>
      </c>
      <c r="E107" s="2">
        <v>-180</v>
      </c>
    </row>
    <row r="108" spans="1:5" x14ac:dyDescent="0.3">
      <c r="A108" t="s">
        <v>419</v>
      </c>
      <c r="B108">
        <v>77712</v>
      </c>
      <c r="C108">
        <v>400160</v>
      </c>
      <c r="D108" t="s">
        <v>378</v>
      </c>
      <c r="E108" s="2"/>
    </row>
    <row r="109" spans="1:5" x14ac:dyDescent="0.3">
      <c r="A109" t="s">
        <v>419</v>
      </c>
      <c r="B109">
        <v>77712</v>
      </c>
      <c r="C109">
        <v>400170</v>
      </c>
      <c r="D109" t="s">
        <v>480</v>
      </c>
      <c r="E109" s="2"/>
    </row>
    <row r="110" spans="1:5" x14ac:dyDescent="0.3">
      <c r="A110" t="s">
        <v>419</v>
      </c>
      <c r="B110">
        <v>77712</v>
      </c>
      <c r="C110">
        <v>400180</v>
      </c>
      <c r="D110" t="s">
        <v>481</v>
      </c>
      <c r="E110" s="2"/>
    </row>
    <row r="111" spans="1:5" x14ac:dyDescent="0.3">
      <c r="A111" t="s">
        <v>419</v>
      </c>
      <c r="B111">
        <v>77712</v>
      </c>
      <c r="C111">
        <v>400210</v>
      </c>
      <c r="D111" t="s">
        <v>381</v>
      </c>
      <c r="E111" s="2">
        <v>-120</v>
      </c>
    </row>
    <row r="112" spans="1:5" x14ac:dyDescent="0.3">
      <c r="A112" t="s">
        <v>419</v>
      </c>
      <c r="B112">
        <v>77712</v>
      </c>
      <c r="C112">
        <v>400220</v>
      </c>
      <c r="D112" t="s">
        <v>482</v>
      </c>
      <c r="E112" s="2">
        <v>445.67</v>
      </c>
    </row>
    <row r="113" spans="1:5" x14ac:dyDescent="0.3">
      <c r="A113" t="s">
        <v>419</v>
      </c>
      <c r="B113">
        <v>77712</v>
      </c>
      <c r="C113">
        <v>402000</v>
      </c>
      <c r="D113" t="s">
        <v>383</v>
      </c>
      <c r="E113" s="2">
        <v>-726.9</v>
      </c>
    </row>
    <row r="114" spans="1:5" x14ac:dyDescent="0.3">
      <c r="A114" t="s">
        <v>419</v>
      </c>
      <c r="B114">
        <v>77712</v>
      </c>
      <c r="C114">
        <v>402010</v>
      </c>
      <c r="D114" t="s">
        <v>384</v>
      </c>
      <c r="E114" s="2">
        <v>-130</v>
      </c>
    </row>
    <row r="115" spans="1:5" x14ac:dyDescent="0.3">
      <c r="A115" t="s">
        <v>419</v>
      </c>
      <c r="B115">
        <v>77712</v>
      </c>
      <c r="C115">
        <v>402020</v>
      </c>
      <c r="D115" t="s">
        <v>385</v>
      </c>
      <c r="E115" s="2">
        <v>-1826.4</v>
      </c>
    </row>
    <row r="116" spans="1:5" x14ac:dyDescent="0.3">
      <c r="A116" t="s">
        <v>419</v>
      </c>
      <c r="B116">
        <v>77712</v>
      </c>
      <c r="C116">
        <v>402030</v>
      </c>
      <c r="D116" t="s">
        <v>386</v>
      </c>
      <c r="E116" s="2">
        <v>-1189</v>
      </c>
    </row>
    <row r="117" spans="1:5" x14ac:dyDescent="0.3">
      <c r="A117" t="s">
        <v>419</v>
      </c>
      <c r="B117">
        <v>77712</v>
      </c>
      <c r="C117">
        <v>603175</v>
      </c>
      <c r="D117" t="s">
        <v>388</v>
      </c>
      <c r="E117" s="2">
        <v>8.9499999999999993</v>
      </c>
    </row>
    <row r="118" spans="1:5" x14ac:dyDescent="0.3">
      <c r="A118" t="s">
        <v>419</v>
      </c>
      <c r="B118">
        <v>77712</v>
      </c>
      <c r="C118">
        <v>620410</v>
      </c>
      <c r="D118" t="s">
        <v>483</v>
      </c>
      <c r="E118" s="2">
        <v>109.95</v>
      </c>
    </row>
    <row r="119" spans="1:5" x14ac:dyDescent="0.3">
      <c r="A119" t="s">
        <v>415</v>
      </c>
      <c r="B119" t="s">
        <v>391</v>
      </c>
      <c r="C119">
        <v>210050</v>
      </c>
      <c r="D119" t="s">
        <v>416</v>
      </c>
      <c r="E119" s="2">
        <v>426</v>
      </c>
    </row>
    <row r="120" spans="1:5" x14ac:dyDescent="0.3">
      <c r="A120" t="s">
        <v>419</v>
      </c>
      <c r="B120" t="s">
        <v>391</v>
      </c>
      <c r="C120">
        <v>555000</v>
      </c>
      <c r="D120" t="s">
        <v>484</v>
      </c>
      <c r="E120" s="2">
        <v>182.88</v>
      </c>
    </row>
    <row r="121" spans="1:5" x14ac:dyDescent="0.3">
      <c r="A121" t="s">
        <v>419</v>
      </c>
      <c r="B121" t="s">
        <v>391</v>
      </c>
      <c r="C121">
        <v>555010</v>
      </c>
      <c r="D121" t="s">
        <v>485</v>
      </c>
      <c r="E121" s="2">
        <v>7.59</v>
      </c>
    </row>
    <row r="122" spans="1:5" x14ac:dyDescent="0.3">
      <c r="A122" t="s">
        <v>419</v>
      </c>
      <c r="B122" t="s">
        <v>391</v>
      </c>
      <c r="C122">
        <v>555020</v>
      </c>
      <c r="D122" t="s">
        <v>486</v>
      </c>
      <c r="E122" s="2">
        <v>6.17</v>
      </c>
    </row>
    <row r="123" spans="1:5" x14ac:dyDescent="0.3">
      <c r="A123" t="s">
        <v>419</v>
      </c>
      <c r="B123" t="s">
        <v>391</v>
      </c>
      <c r="C123">
        <v>555030</v>
      </c>
      <c r="D123" t="s">
        <v>487</v>
      </c>
      <c r="E123" s="2">
        <v>35.56</v>
      </c>
    </row>
    <row r="124" spans="1:5" x14ac:dyDescent="0.3">
      <c r="A124" t="s">
        <v>419</v>
      </c>
      <c r="B124" t="s">
        <v>391</v>
      </c>
      <c r="C124">
        <v>555040</v>
      </c>
      <c r="D124" t="s">
        <v>488</v>
      </c>
      <c r="E124" s="2">
        <v>0</v>
      </c>
    </row>
    <row r="125" spans="1:5" x14ac:dyDescent="0.3">
      <c r="A125" t="s">
        <v>419</v>
      </c>
      <c r="B125" t="s">
        <v>391</v>
      </c>
      <c r="C125">
        <v>555050</v>
      </c>
      <c r="D125" t="s">
        <v>489</v>
      </c>
      <c r="E125" s="2">
        <v>17.13</v>
      </c>
    </row>
    <row r="126" spans="1:5" x14ac:dyDescent="0.3">
      <c r="A126" t="s">
        <v>419</v>
      </c>
      <c r="B126" t="s">
        <v>391</v>
      </c>
      <c r="C126">
        <v>555070</v>
      </c>
      <c r="D126" t="s">
        <v>490</v>
      </c>
      <c r="E126" s="2">
        <v>14.7</v>
      </c>
    </row>
    <row r="127" spans="1:5" x14ac:dyDescent="0.3">
      <c r="A127" t="s">
        <v>419</v>
      </c>
      <c r="B127" t="s">
        <v>391</v>
      </c>
      <c r="C127">
        <v>603300</v>
      </c>
      <c r="D127" t="s">
        <v>491</v>
      </c>
      <c r="E127" s="2"/>
    </row>
    <row r="128" spans="1:5" x14ac:dyDescent="0.3">
      <c r="A128" t="s">
        <v>400</v>
      </c>
      <c r="B128" t="s">
        <v>391</v>
      </c>
      <c r="C128">
        <v>193000</v>
      </c>
      <c r="D128" t="s">
        <v>401</v>
      </c>
      <c r="E128" s="2">
        <v>1457.96</v>
      </c>
    </row>
    <row r="129" spans="1:5" x14ac:dyDescent="0.3">
      <c r="A129" t="s">
        <v>400</v>
      </c>
      <c r="B129" t="s">
        <v>391</v>
      </c>
      <c r="C129">
        <v>193010</v>
      </c>
      <c r="D129" t="s">
        <v>402</v>
      </c>
      <c r="E129" s="2">
        <v>597.79999999999995</v>
      </c>
    </row>
    <row r="130" spans="1:5" x14ac:dyDescent="0.3">
      <c r="A130" t="s">
        <v>400</v>
      </c>
      <c r="B130" t="s">
        <v>391</v>
      </c>
      <c r="C130">
        <v>193020</v>
      </c>
      <c r="D130" t="s">
        <v>403</v>
      </c>
      <c r="E130" s="2">
        <v>1287.44</v>
      </c>
    </row>
    <row r="131" spans="1:5" x14ac:dyDescent="0.3">
      <c r="A131" t="s">
        <v>415</v>
      </c>
      <c r="B131" t="s">
        <v>391</v>
      </c>
      <c r="C131">
        <v>200010</v>
      </c>
      <c r="D131" t="s">
        <v>468</v>
      </c>
      <c r="E131" s="2">
        <v>0</v>
      </c>
    </row>
    <row r="132" spans="1:5" x14ac:dyDescent="0.3">
      <c r="A132" t="s">
        <v>415</v>
      </c>
      <c r="B132" t="s">
        <v>391</v>
      </c>
      <c r="C132">
        <v>200100</v>
      </c>
      <c r="D132" t="s">
        <v>368</v>
      </c>
      <c r="E132" s="2">
        <v>54859.67</v>
      </c>
    </row>
    <row r="133" spans="1:5" x14ac:dyDescent="0.3">
      <c r="A133" t="s">
        <v>415</v>
      </c>
      <c r="B133" t="s">
        <v>391</v>
      </c>
      <c r="C133">
        <v>200110</v>
      </c>
      <c r="D133" t="s">
        <v>492</v>
      </c>
      <c r="E133" s="2">
        <v>-473.15</v>
      </c>
    </row>
    <row r="134" spans="1:5" x14ac:dyDescent="0.3">
      <c r="A134" t="s">
        <v>415</v>
      </c>
      <c r="B134" t="s">
        <v>391</v>
      </c>
      <c r="C134">
        <v>200120</v>
      </c>
      <c r="D134" t="s">
        <v>493</v>
      </c>
      <c r="E134" s="2">
        <v>-335.8</v>
      </c>
    </row>
    <row r="135" spans="1:5" x14ac:dyDescent="0.3">
      <c r="A135" t="s">
        <v>415</v>
      </c>
      <c r="B135" t="s">
        <v>391</v>
      </c>
      <c r="C135">
        <v>200170</v>
      </c>
      <c r="D135" t="s">
        <v>494</v>
      </c>
      <c r="E135" s="2">
        <v>0</v>
      </c>
    </row>
    <row r="136" spans="1:5" x14ac:dyDescent="0.3">
      <c r="A136" t="s">
        <v>415</v>
      </c>
      <c r="B136" t="s">
        <v>391</v>
      </c>
      <c r="C136">
        <v>210050</v>
      </c>
      <c r="D136" t="s">
        <v>416</v>
      </c>
      <c r="E136" s="2">
        <v>-1800.03</v>
      </c>
    </row>
    <row r="137" spans="1:5" x14ac:dyDescent="0.3">
      <c r="A137" t="s">
        <v>415</v>
      </c>
      <c r="B137" t="s">
        <v>391</v>
      </c>
      <c r="C137">
        <v>295000</v>
      </c>
      <c r="D137" t="s">
        <v>472</v>
      </c>
      <c r="E137" s="2">
        <v>4822.9399999999996</v>
      </c>
    </row>
    <row r="138" spans="1:5" x14ac:dyDescent="0.3">
      <c r="A138" t="s">
        <v>473</v>
      </c>
      <c r="B138" t="s">
        <v>391</v>
      </c>
      <c r="C138">
        <v>350000</v>
      </c>
      <c r="D138" t="s">
        <v>474</v>
      </c>
      <c r="E138" s="2">
        <v>-57061.05</v>
      </c>
    </row>
    <row r="139" spans="1:5" x14ac:dyDescent="0.3">
      <c r="A139" t="s">
        <v>419</v>
      </c>
      <c r="B139" t="s">
        <v>391</v>
      </c>
      <c r="C139">
        <v>426000</v>
      </c>
      <c r="D139" t="s">
        <v>420</v>
      </c>
      <c r="E139" s="2">
        <v>-659.7</v>
      </c>
    </row>
    <row r="140" spans="1:5" x14ac:dyDescent="0.3">
      <c r="A140" t="s">
        <v>419</v>
      </c>
      <c r="B140" t="s">
        <v>391</v>
      </c>
      <c r="C140">
        <v>426010</v>
      </c>
      <c r="D140" t="s">
        <v>495</v>
      </c>
      <c r="E140" s="2">
        <v>-10.17</v>
      </c>
    </row>
    <row r="141" spans="1:5" x14ac:dyDescent="0.3">
      <c r="A141" t="s">
        <v>419</v>
      </c>
      <c r="B141" t="s">
        <v>391</v>
      </c>
      <c r="C141">
        <v>426020</v>
      </c>
      <c r="D141" t="s">
        <v>496</v>
      </c>
      <c r="E141" s="2">
        <v>-7.99</v>
      </c>
    </row>
    <row r="142" spans="1:5" x14ac:dyDescent="0.3">
      <c r="A142" t="s">
        <v>419</v>
      </c>
      <c r="B142" t="s">
        <v>391</v>
      </c>
      <c r="C142">
        <v>480170</v>
      </c>
      <c r="D142" t="s">
        <v>497</v>
      </c>
      <c r="E142" s="2">
        <v>-109.95</v>
      </c>
    </row>
    <row r="143" spans="1:5" x14ac:dyDescent="0.3">
      <c r="A143" t="s">
        <v>419</v>
      </c>
      <c r="B143" t="s">
        <v>391</v>
      </c>
      <c r="C143">
        <v>480800</v>
      </c>
      <c r="D143" t="s">
        <v>498</v>
      </c>
      <c r="E143" s="2">
        <v>-3258</v>
      </c>
    </row>
  </sheetData>
  <autoFilter ref="A1:E143" xr:uid="{FAC3840D-28B4-4FAD-893B-3D4E31FB9B7F}"/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A057-5A29-42AD-939F-76709D22FBD3}">
  <dimension ref="A1:N784"/>
  <sheetViews>
    <sheetView topLeftCell="E1" zoomScale="90" zoomScaleNormal="90" workbookViewId="0">
      <pane ySplit="1" topLeftCell="A747" activePane="bottomLeft" state="frozen"/>
      <selection pane="bottomLeft" activeCell="I786" sqref="I786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5.88671875" bestFit="1" customWidth="1"/>
    <col min="4" max="4" width="21.109375" bestFit="1" customWidth="1"/>
    <col min="5" max="5" width="33.5546875" bestFit="1" customWidth="1"/>
    <col min="6" max="6" width="20.6640625" bestFit="1" customWidth="1"/>
    <col min="7" max="7" width="15.109375" bestFit="1" customWidth="1"/>
    <col min="8" max="8" width="22.88671875" bestFit="1" customWidth="1"/>
    <col min="9" max="9" width="20.88671875" bestFit="1" customWidth="1"/>
    <col min="10" max="10" width="11.5546875" bestFit="1" customWidth="1"/>
    <col min="11" max="11" width="75.33203125" bestFit="1" customWidth="1"/>
    <col min="12" max="12" width="16.6640625" bestFit="1" customWidth="1"/>
    <col min="13" max="13" width="52" bestFit="1" customWidth="1"/>
    <col min="14" max="14" width="9.88671875" bestFit="1" customWidth="1"/>
  </cols>
  <sheetData>
    <row r="1" spans="1:14" x14ac:dyDescent="0.3">
      <c r="A1" s="48" t="s">
        <v>499</v>
      </c>
      <c r="B1" s="48" t="s">
        <v>500</v>
      </c>
      <c r="C1" s="48" t="s">
        <v>501</v>
      </c>
      <c r="D1" s="48" t="s">
        <v>502</v>
      </c>
      <c r="E1" s="48" t="s">
        <v>503</v>
      </c>
      <c r="F1" s="48" t="s">
        <v>504</v>
      </c>
      <c r="G1" s="48" t="s">
        <v>257</v>
      </c>
      <c r="H1" s="48" t="s">
        <v>258</v>
      </c>
      <c r="I1" s="48" t="s">
        <v>259</v>
      </c>
      <c r="J1" s="48" t="s">
        <v>505</v>
      </c>
      <c r="K1" s="48" t="s">
        <v>506</v>
      </c>
      <c r="L1" s="48" t="s">
        <v>507</v>
      </c>
      <c r="M1" s="48" t="s">
        <v>508</v>
      </c>
      <c r="N1" s="49" t="s">
        <v>509</v>
      </c>
    </row>
    <row r="2" spans="1:14" x14ac:dyDescent="0.3">
      <c r="A2" s="50" t="s">
        <v>510</v>
      </c>
      <c r="B2" s="50" t="s">
        <v>511</v>
      </c>
      <c r="C2" s="50" t="s">
        <v>512</v>
      </c>
      <c r="D2" s="50" t="s">
        <v>513</v>
      </c>
      <c r="E2" s="50" t="s">
        <v>514</v>
      </c>
      <c r="F2" s="50" t="s">
        <v>515</v>
      </c>
      <c r="G2" s="50" t="s">
        <v>516</v>
      </c>
      <c r="H2" s="50" t="s">
        <v>517</v>
      </c>
      <c r="I2" s="50" t="s">
        <v>27</v>
      </c>
      <c r="J2" s="50" t="s">
        <v>518</v>
      </c>
      <c r="K2" s="50" t="s">
        <v>518</v>
      </c>
      <c r="L2" s="50" t="s">
        <v>519</v>
      </c>
      <c r="M2" s="50" t="s">
        <v>520</v>
      </c>
      <c r="N2" s="51">
        <v>817.82</v>
      </c>
    </row>
    <row r="3" spans="1:14" x14ac:dyDescent="0.3">
      <c r="A3" s="50" t="s">
        <v>510</v>
      </c>
      <c r="B3" s="50" t="s">
        <v>511</v>
      </c>
      <c r="C3" s="50" t="s">
        <v>512</v>
      </c>
      <c r="D3" s="50" t="s">
        <v>513</v>
      </c>
      <c r="E3" s="50" t="s">
        <v>514</v>
      </c>
      <c r="F3" s="50" t="s">
        <v>515</v>
      </c>
      <c r="G3" s="50" t="s">
        <v>516</v>
      </c>
      <c r="H3" s="50" t="s">
        <v>521</v>
      </c>
      <c r="I3" s="50" t="s">
        <v>367</v>
      </c>
      <c r="J3" s="50" t="s">
        <v>519</v>
      </c>
      <c r="K3" s="50" t="s">
        <v>522</v>
      </c>
      <c r="L3" s="50" t="s">
        <v>517</v>
      </c>
      <c r="M3" s="50" t="s">
        <v>27</v>
      </c>
      <c r="N3" s="51">
        <v>-817.82</v>
      </c>
    </row>
    <row r="4" spans="1:14" x14ac:dyDescent="0.3">
      <c r="A4" s="50" t="s">
        <v>510</v>
      </c>
      <c r="B4" s="50" t="s">
        <v>511</v>
      </c>
      <c r="C4" s="50" t="s">
        <v>512</v>
      </c>
      <c r="D4" s="50" t="s">
        <v>513</v>
      </c>
      <c r="E4" s="50" t="s">
        <v>514</v>
      </c>
      <c r="F4" s="50" t="s">
        <v>515</v>
      </c>
      <c r="G4" s="50" t="s">
        <v>516</v>
      </c>
      <c r="H4" s="50" t="s">
        <v>521</v>
      </c>
      <c r="I4" s="50" t="s">
        <v>367</v>
      </c>
      <c r="J4" s="50" t="s">
        <v>519</v>
      </c>
      <c r="K4" s="50" t="s">
        <v>522</v>
      </c>
      <c r="L4" s="50" t="s">
        <v>519</v>
      </c>
      <c r="M4" s="50" t="s">
        <v>520</v>
      </c>
      <c r="N4" s="51">
        <v>817.82</v>
      </c>
    </row>
    <row r="5" spans="1:14" x14ac:dyDescent="0.3">
      <c r="A5" s="50" t="s">
        <v>510</v>
      </c>
      <c r="B5" s="50" t="s">
        <v>511</v>
      </c>
      <c r="C5" s="50" t="s">
        <v>512</v>
      </c>
      <c r="D5" s="50" t="s">
        <v>513</v>
      </c>
      <c r="E5" s="50" t="s">
        <v>514</v>
      </c>
      <c r="F5" s="50" t="s">
        <v>515</v>
      </c>
      <c r="G5" s="50" t="s">
        <v>516</v>
      </c>
      <c r="H5" s="50" t="s">
        <v>521</v>
      </c>
      <c r="I5" s="50" t="s">
        <v>367</v>
      </c>
      <c r="J5" s="50" t="s">
        <v>523</v>
      </c>
      <c r="K5" s="50" t="s">
        <v>524</v>
      </c>
      <c r="L5" s="50" t="s">
        <v>517</v>
      </c>
      <c r="M5" s="50" t="s">
        <v>27</v>
      </c>
      <c r="N5" s="51">
        <v>-817.82</v>
      </c>
    </row>
    <row r="6" spans="1:14" x14ac:dyDescent="0.3">
      <c r="A6" s="50" t="s">
        <v>510</v>
      </c>
      <c r="B6" s="50" t="s">
        <v>510</v>
      </c>
      <c r="C6" s="50" t="s">
        <v>525</v>
      </c>
      <c r="D6" s="50" t="s">
        <v>526</v>
      </c>
      <c r="E6" s="50" t="s">
        <v>527</v>
      </c>
      <c r="F6" s="50" t="s">
        <v>528</v>
      </c>
      <c r="G6" s="50" t="s">
        <v>516</v>
      </c>
      <c r="H6" s="50" t="s">
        <v>529</v>
      </c>
      <c r="I6" s="50" t="s">
        <v>363</v>
      </c>
      <c r="J6" s="50" t="s">
        <v>518</v>
      </c>
      <c r="K6" s="50" t="s">
        <v>518</v>
      </c>
      <c r="L6" s="50" t="s">
        <v>530</v>
      </c>
      <c r="M6" s="50" t="s">
        <v>382</v>
      </c>
      <c r="N6" s="51">
        <v>146</v>
      </c>
    </row>
    <row r="7" spans="1:14" x14ac:dyDescent="0.3">
      <c r="A7" s="50" t="s">
        <v>510</v>
      </c>
      <c r="B7" s="50" t="s">
        <v>510</v>
      </c>
      <c r="C7" s="50" t="s">
        <v>525</v>
      </c>
      <c r="D7" s="50" t="s">
        <v>526</v>
      </c>
      <c r="E7" s="50" t="s">
        <v>531</v>
      </c>
      <c r="F7" s="50" t="s">
        <v>528</v>
      </c>
      <c r="G7" s="50" t="s">
        <v>516</v>
      </c>
      <c r="H7" s="50" t="s">
        <v>532</v>
      </c>
      <c r="I7" s="50" t="s">
        <v>381</v>
      </c>
      <c r="J7" s="50" t="s">
        <v>518</v>
      </c>
      <c r="K7" s="50" t="s">
        <v>518</v>
      </c>
      <c r="L7" s="50" t="s">
        <v>533</v>
      </c>
      <c r="M7" s="50" t="s">
        <v>364</v>
      </c>
      <c r="N7" s="51">
        <v>-20</v>
      </c>
    </row>
    <row r="8" spans="1:14" x14ac:dyDescent="0.3">
      <c r="A8" s="50" t="s">
        <v>510</v>
      </c>
      <c r="B8" s="50" t="s">
        <v>510</v>
      </c>
      <c r="C8" s="50" t="s">
        <v>525</v>
      </c>
      <c r="D8" s="50" t="s">
        <v>526</v>
      </c>
      <c r="E8" s="50" t="s">
        <v>534</v>
      </c>
      <c r="F8" s="50" t="s">
        <v>528</v>
      </c>
      <c r="G8" s="50" t="s">
        <v>516</v>
      </c>
      <c r="H8" s="50" t="s">
        <v>535</v>
      </c>
      <c r="I8" s="50" t="s">
        <v>371</v>
      </c>
      <c r="J8" s="50" t="s">
        <v>518</v>
      </c>
      <c r="K8" s="50" t="s">
        <v>518</v>
      </c>
      <c r="L8" s="50" t="s">
        <v>533</v>
      </c>
      <c r="M8" s="50" t="s">
        <v>364</v>
      </c>
      <c r="N8" s="51">
        <v>-1371.1</v>
      </c>
    </row>
    <row r="9" spans="1:14" x14ac:dyDescent="0.3">
      <c r="A9" s="50" t="s">
        <v>510</v>
      </c>
      <c r="B9" s="50" t="s">
        <v>510</v>
      </c>
      <c r="C9" s="50" t="s">
        <v>525</v>
      </c>
      <c r="D9" s="50" t="s">
        <v>526</v>
      </c>
      <c r="E9" s="50" t="s">
        <v>536</v>
      </c>
      <c r="F9" s="50" t="s">
        <v>528</v>
      </c>
      <c r="G9" s="50" t="s">
        <v>516</v>
      </c>
      <c r="H9" s="50" t="s">
        <v>537</v>
      </c>
      <c r="I9" s="50" t="s">
        <v>385</v>
      </c>
      <c r="J9" s="50" t="s">
        <v>518</v>
      </c>
      <c r="K9" s="50" t="s">
        <v>518</v>
      </c>
      <c r="L9" s="50" t="s">
        <v>533</v>
      </c>
      <c r="M9" s="50" t="s">
        <v>364</v>
      </c>
      <c r="N9" s="51">
        <v>-32.549999999999997</v>
      </c>
    </row>
    <row r="10" spans="1:14" x14ac:dyDescent="0.3">
      <c r="A10" s="50" t="s">
        <v>510</v>
      </c>
      <c r="B10" s="50" t="s">
        <v>510</v>
      </c>
      <c r="C10" s="50" t="s">
        <v>525</v>
      </c>
      <c r="D10" s="50" t="s">
        <v>526</v>
      </c>
      <c r="E10" s="50" t="s">
        <v>383</v>
      </c>
      <c r="F10" s="50" t="s">
        <v>528</v>
      </c>
      <c r="G10" s="50" t="s">
        <v>516</v>
      </c>
      <c r="H10" s="50" t="s">
        <v>538</v>
      </c>
      <c r="I10" s="50" t="s">
        <v>383</v>
      </c>
      <c r="J10" s="50" t="s">
        <v>518</v>
      </c>
      <c r="K10" s="50" t="s">
        <v>518</v>
      </c>
      <c r="L10" s="50" t="s">
        <v>533</v>
      </c>
      <c r="M10" s="50" t="s">
        <v>364</v>
      </c>
      <c r="N10" s="51">
        <v>-55.5</v>
      </c>
    </row>
    <row r="11" spans="1:14" x14ac:dyDescent="0.3">
      <c r="A11" s="50" t="s">
        <v>510</v>
      </c>
      <c r="B11" s="50" t="s">
        <v>510</v>
      </c>
      <c r="C11" s="50" t="s">
        <v>525</v>
      </c>
      <c r="D11" s="50" t="s">
        <v>526</v>
      </c>
      <c r="E11" s="50" t="s">
        <v>539</v>
      </c>
      <c r="F11" s="50" t="s">
        <v>528</v>
      </c>
      <c r="G11" s="50" t="s">
        <v>516</v>
      </c>
      <c r="H11" s="50" t="s">
        <v>529</v>
      </c>
      <c r="I11" s="50" t="s">
        <v>363</v>
      </c>
      <c r="J11" s="50" t="s">
        <v>518</v>
      </c>
      <c r="K11" s="50" t="s">
        <v>518</v>
      </c>
      <c r="L11" s="50" t="s">
        <v>530</v>
      </c>
      <c r="M11" s="50" t="s">
        <v>382</v>
      </c>
      <c r="N11" s="51">
        <v>531.15</v>
      </c>
    </row>
    <row r="12" spans="1:14" x14ac:dyDescent="0.3">
      <c r="A12" s="50" t="s">
        <v>510</v>
      </c>
      <c r="B12" s="50" t="s">
        <v>510</v>
      </c>
      <c r="C12" s="50" t="s">
        <v>525</v>
      </c>
      <c r="D12" s="50" t="s">
        <v>526</v>
      </c>
      <c r="E12" s="50" t="s">
        <v>540</v>
      </c>
      <c r="F12" s="50" t="s">
        <v>528</v>
      </c>
      <c r="G12" s="50" t="s">
        <v>516</v>
      </c>
      <c r="H12" s="50" t="s">
        <v>533</v>
      </c>
      <c r="I12" s="50" t="s">
        <v>364</v>
      </c>
      <c r="J12" s="50" t="s">
        <v>518</v>
      </c>
      <c r="K12" s="50" t="s">
        <v>518</v>
      </c>
      <c r="L12" s="50" t="s">
        <v>530</v>
      </c>
      <c r="M12" s="50" t="s">
        <v>382</v>
      </c>
      <c r="N12" s="51">
        <v>81893.14</v>
      </c>
    </row>
    <row r="13" spans="1:14" x14ac:dyDescent="0.3">
      <c r="A13" s="50" t="s">
        <v>510</v>
      </c>
      <c r="B13" s="50" t="s">
        <v>510</v>
      </c>
      <c r="C13" s="50" t="s">
        <v>525</v>
      </c>
      <c r="D13" s="50" t="s">
        <v>526</v>
      </c>
      <c r="E13" s="50" t="s">
        <v>540</v>
      </c>
      <c r="F13" s="50" t="s">
        <v>528</v>
      </c>
      <c r="G13" s="50" t="s">
        <v>516</v>
      </c>
      <c r="H13" s="50" t="s">
        <v>530</v>
      </c>
      <c r="I13" s="50" t="s">
        <v>382</v>
      </c>
      <c r="J13" s="50" t="s">
        <v>518</v>
      </c>
      <c r="K13" s="50" t="s">
        <v>518</v>
      </c>
      <c r="L13" s="50" t="s">
        <v>533</v>
      </c>
      <c r="M13" s="50" t="s">
        <v>364</v>
      </c>
      <c r="N13" s="51">
        <v>-81893.14</v>
      </c>
    </row>
    <row r="14" spans="1:14" x14ac:dyDescent="0.3">
      <c r="A14" s="50" t="s">
        <v>510</v>
      </c>
      <c r="B14" s="50" t="s">
        <v>510</v>
      </c>
      <c r="C14" s="50" t="s">
        <v>525</v>
      </c>
      <c r="D14" s="50" t="s">
        <v>526</v>
      </c>
      <c r="E14" s="50" t="s">
        <v>541</v>
      </c>
      <c r="F14" s="50" t="s">
        <v>528</v>
      </c>
      <c r="G14" s="50" t="s">
        <v>516</v>
      </c>
      <c r="H14" s="50" t="s">
        <v>542</v>
      </c>
      <c r="I14" s="50" t="s">
        <v>369</v>
      </c>
      <c r="J14" s="50" t="s">
        <v>518</v>
      </c>
      <c r="K14" s="50" t="s">
        <v>518</v>
      </c>
      <c r="L14" s="50" t="s">
        <v>530</v>
      </c>
      <c r="M14" s="50" t="s">
        <v>382</v>
      </c>
      <c r="N14" s="51">
        <v>5744.29</v>
      </c>
    </row>
    <row r="15" spans="1:14" x14ac:dyDescent="0.3">
      <c r="A15" s="50" t="s">
        <v>510</v>
      </c>
      <c r="B15" s="50" t="s">
        <v>510</v>
      </c>
      <c r="C15" s="50" t="s">
        <v>525</v>
      </c>
      <c r="D15" s="50" t="s">
        <v>526</v>
      </c>
      <c r="E15" s="50" t="s">
        <v>541</v>
      </c>
      <c r="F15" s="50" t="s">
        <v>528</v>
      </c>
      <c r="G15" s="50" t="s">
        <v>516</v>
      </c>
      <c r="H15" s="50" t="s">
        <v>530</v>
      </c>
      <c r="I15" s="50" t="s">
        <v>382</v>
      </c>
      <c r="J15" s="50" t="s">
        <v>518</v>
      </c>
      <c r="K15" s="50" t="s">
        <v>518</v>
      </c>
      <c r="L15" s="50" t="s">
        <v>533</v>
      </c>
      <c r="M15" s="50" t="s">
        <v>364</v>
      </c>
      <c r="N15" s="51">
        <v>-5744.29</v>
      </c>
    </row>
    <row r="16" spans="1:14" x14ac:dyDescent="0.3">
      <c r="A16" s="50" t="s">
        <v>510</v>
      </c>
      <c r="B16" s="50" t="s">
        <v>510</v>
      </c>
      <c r="C16" s="50" t="s">
        <v>525</v>
      </c>
      <c r="D16" s="50" t="s">
        <v>526</v>
      </c>
      <c r="E16" s="50" t="s">
        <v>543</v>
      </c>
      <c r="F16" s="50" t="s">
        <v>528</v>
      </c>
      <c r="G16" s="50" t="s">
        <v>516</v>
      </c>
      <c r="H16" s="50" t="s">
        <v>529</v>
      </c>
      <c r="I16" s="50" t="s">
        <v>363</v>
      </c>
      <c r="J16" s="50" t="s">
        <v>518</v>
      </c>
      <c r="K16" s="50" t="s">
        <v>518</v>
      </c>
      <c r="L16" s="50" t="s">
        <v>530</v>
      </c>
      <c r="M16" s="50" t="s">
        <v>382</v>
      </c>
      <c r="N16" s="51">
        <v>862</v>
      </c>
    </row>
    <row r="17" spans="1:14" x14ac:dyDescent="0.3">
      <c r="A17" s="50" t="s">
        <v>510</v>
      </c>
      <c r="B17" s="50" t="s">
        <v>510</v>
      </c>
      <c r="C17" s="50" t="s">
        <v>525</v>
      </c>
      <c r="D17" s="50" t="s">
        <v>526</v>
      </c>
      <c r="E17" s="50" t="s">
        <v>518</v>
      </c>
      <c r="F17" s="50" t="s">
        <v>528</v>
      </c>
      <c r="G17" s="50" t="s">
        <v>516</v>
      </c>
      <c r="H17" s="50" t="s">
        <v>544</v>
      </c>
      <c r="I17" s="50" t="s">
        <v>368</v>
      </c>
      <c r="J17" s="50" t="s">
        <v>518</v>
      </c>
      <c r="K17" s="50" t="s">
        <v>518</v>
      </c>
      <c r="L17" s="50" t="s">
        <v>533</v>
      </c>
      <c r="M17" s="50" t="s">
        <v>364</v>
      </c>
      <c r="N17" s="51">
        <v>-60</v>
      </c>
    </row>
    <row r="18" spans="1:14" x14ac:dyDescent="0.3">
      <c r="A18" s="50" t="s">
        <v>545</v>
      </c>
      <c r="B18" s="50" t="s">
        <v>546</v>
      </c>
      <c r="C18" s="50" t="s">
        <v>547</v>
      </c>
      <c r="D18" s="50" t="s">
        <v>548</v>
      </c>
      <c r="E18" s="50" t="s">
        <v>549</v>
      </c>
      <c r="F18" s="50" t="s">
        <v>550</v>
      </c>
      <c r="G18" s="50" t="s">
        <v>516</v>
      </c>
      <c r="H18" s="50" t="s">
        <v>551</v>
      </c>
      <c r="I18" s="50" t="s">
        <v>318</v>
      </c>
      <c r="J18" s="50" t="s">
        <v>518</v>
      </c>
      <c r="K18" s="50" t="s">
        <v>518</v>
      </c>
      <c r="L18" s="50" t="s">
        <v>552</v>
      </c>
      <c r="M18" s="50" t="s">
        <v>553</v>
      </c>
      <c r="N18" s="51">
        <v>162.38</v>
      </c>
    </row>
    <row r="19" spans="1:14" x14ac:dyDescent="0.3">
      <c r="A19" s="50" t="s">
        <v>545</v>
      </c>
      <c r="B19" s="50" t="s">
        <v>546</v>
      </c>
      <c r="C19" s="50" t="s">
        <v>547</v>
      </c>
      <c r="D19" s="50" t="s">
        <v>548</v>
      </c>
      <c r="E19" s="50" t="s">
        <v>549</v>
      </c>
      <c r="F19" s="50" t="s">
        <v>550</v>
      </c>
      <c r="G19" s="50" t="s">
        <v>516</v>
      </c>
      <c r="H19" s="50" t="s">
        <v>521</v>
      </c>
      <c r="I19" s="50" t="s">
        <v>367</v>
      </c>
      <c r="J19" s="50" t="s">
        <v>552</v>
      </c>
      <c r="K19" s="50" t="s">
        <v>554</v>
      </c>
      <c r="L19" s="50" t="s">
        <v>551</v>
      </c>
      <c r="M19" s="50" t="s">
        <v>318</v>
      </c>
      <c r="N19" s="51">
        <v>-162.38</v>
      </c>
    </row>
    <row r="20" spans="1:14" x14ac:dyDescent="0.3">
      <c r="A20" s="50" t="s">
        <v>545</v>
      </c>
      <c r="B20" s="50" t="s">
        <v>545</v>
      </c>
      <c r="C20" s="50" t="s">
        <v>555</v>
      </c>
      <c r="D20" s="50" t="s">
        <v>526</v>
      </c>
      <c r="E20" s="50" t="s">
        <v>527</v>
      </c>
      <c r="F20" s="50" t="s">
        <v>528</v>
      </c>
      <c r="G20" s="50" t="s">
        <v>516</v>
      </c>
      <c r="H20" s="50" t="s">
        <v>529</v>
      </c>
      <c r="I20" s="50" t="s">
        <v>363</v>
      </c>
      <c r="J20" s="50" t="s">
        <v>518</v>
      </c>
      <c r="K20" s="50" t="s">
        <v>518</v>
      </c>
      <c r="L20" s="50" t="s">
        <v>533</v>
      </c>
      <c r="M20" s="50" t="s">
        <v>364</v>
      </c>
      <c r="N20" s="51">
        <v>7896.87</v>
      </c>
    </row>
    <row r="21" spans="1:14" x14ac:dyDescent="0.3">
      <c r="A21" s="50" t="s">
        <v>545</v>
      </c>
      <c r="B21" s="50" t="s">
        <v>545</v>
      </c>
      <c r="C21" s="50" t="s">
        <v>555</v>
      </c>
      <c r="D21" s="50" t="s">
        <v>526</v>
      </c>
      <c r="E21" s="50" t="s">
        <v>556</v>
      </c>
      <c r="F21" s="50" t="s">
        <v>528</v>
      </c>
      <c r="G21" s="50" t="s">
        <v>516</v>
      </c>
      <c r="H21" s="50" t="s">
        <v>529</v>
      </c>
      <c r="I21" s="50" t="s">
        <v>363</v>
      </c>
      <c r="J21" s="50" t="s">
        <v>518</v>
      </c>
      <c r="K21" s="50" t="s">
        <v>518</v>
      </c>
      <c r="L21" s="50" t="s">
        <v>533</v>
      </c>
      <c r="M21" s="50" t="s">
        <v>364</v>
      </c>
      <c r="N21" s="51">
        <v>6693.41</v>
      </c>
    </row>
    <row r="22" spans="1:14" x14ac:dyDescent="0.3">
      <c r="A22" s="50" t="s">
        <v>545</v>
      </c>
      <c r="B22" s="50" t="s">
        <v>545</v>
      </c>
      <c r="C22" s="50" t="s">
        <v>555</v>
      </c>
      <c r="D22" s="50" t="s">
        <v>526</v>
      </c>
      <c r="E22" s="50" t="s">
        <v>557</v>
      </c>
      <c r="F22" s="50" t="s">
        <v>528</v>
      </c>
      <c r="G22" s="50" t="s">
        <v>516</v>
      </c>
      <c r="H22" s="50" t="s">
        <v>558</v>
      </c>
      <c r="I22" s="50" t="s">
        <v>386</v>
      </c>
      <c r="J22" s="50" t="s">
        <v>518</v>
      </c>
      <c r="K22" s="50" t="s">
        <v>518</v>
      </c>
      <c r="L22" s="50" t="s">
        <v>530</v>
      </c>
      <c r="M22" s="50" t="s">
        <v>382</v>
      </c>
      <c r="N22" s="51">
        <v>-58</v>
      </c>
    </row>
    <row r="23" spans="1:14" x14ac:dyDescent="0.3">
      <c r="A23" s="50" t="s">
        <v>545</v>
      </c>
      <c r="B23" s="50" t="s">
        <v>545</v>
      </c>
      <c r="C23" s="50" t="s">
        <v>555</v>
      </c>
      <c r="D23" s="50" t="s">
        <v>526</v>
      </c>
      <c r="E23" s="50" t="s">
        <v>534</v>
      </c>
      <c r="F23" s="50" t="s">
        <v>528</v>
      </c>
      <c r="G23" s="50" t="s">
        <v>516</v>
      </c>
      <c r="H23" s="50" t="s">
        <v>535</v>
      </c>
      <c r="I23" s="50" t="s">
        <v>371</v>
      </c>
      <c r="J23" s="50" t="s">
        <v>518</v>
      </c>
      <c r="K23" s="50" t="s">
        <v>518</v>
      </c>
      <c r="L23" s="50" t="s">
        <v>530</v>
      </c>
      <c r="M23" s="50" t="s">
        <v>382</v>
      </c>
      <c r="N23" s="51">
        <v>-60006.21</v>
      </c>
    </row>
    <row r="24" spans="1:14" x14ac:dyDescent="0.3">
      <c r="A24" s="50" t="s">
        <v>545</v>
      </c>
      <c r="B24" s="50" t="s">
        <v>545</v>
      </c>
      <c r="C24" s="50" t="s">
        <v>555</v>
      </c>
      <c r="D24" s="50" t="s">
        <v>526</v>
      </c>
      <c r="E24" s="50" t="s">
        <v>559</v>
      </c>
      <c r="F24" s="50" t="s">
        <v>528</v>
      </c>
      <c r="G24" s="50" t="s">
        <v>516</v>
      </c>
      <c r="H24" s="50" t="s">
        <v>529</v>
      </c>
      <c r="I24" s="50" t="s">
        <v>363</v>
      </c>
      <c r="J24" s="50" t="s">
        <v>518</v>
      </c>
      <c r="K24" s="50" t="s">
        <v>518</v>
      </c>
      <c r="L24" s="50" t="s">
        <v>533</v>
      </c>
      <c r="M24" s="50" t="s">
        <v>364</v>
      </c>
      <c r="N24" s="51">
        <v>151</v>
      </c>
    </row>
    <row r="25" spans="1:14" x14ac:dyDescent="0.3">
      <c r="A25" s="50" t="s">
        <v>545</v>
      </c>
      <c r="B25" s="50" t="s">
        <v>545</v>
      </c>
      <c r="C25" s="50" t="s">
        <v>555</v>
      </c>
      <c r="D25" s="50" t="s">
        <v>526</v>
      </c>
      <c r="E25" s="50" t="s">
        <v>539</v>
      </c>
      <c r="F25" s="50" t="s">
        <v>528</v>
      </c>
      <c r="G25" s="50" t="s">
        <v>516</v>
      </c>
      <c r="H25" s="50" t="s">
        <v>529</v>
      </c>
      <c r="I25" s="50" t="s">
        <v>363</v>
      </c>
      <c r="J25" s="50" t="s">
        <v>518</v>
      </c>
      <c r="K25" s="50" t="s">
        <v>518</v>
      </c>
      <c r="L25" s="50" t="s">
        <v>533</v>
      </c>
      <c r="M25" s="50" t="s">
        <v>364</v>
      </c>
      <c r="N25" s="51">
        <v>9158.0300000000007</v>
      </c>
    </row>
    <row r="26" spans="1:14" x14ac:dyDescent="0.3">
      <c r="A26" s="50" t="s">
        <v>545</v>
      </c>
      <c r="B26" s="50" t="s">
        <v>545</v>
      </c>
      <c r="C26" s="50" t="s">
        <v>555</v>
      </c>
      <c r="D26" s="50" t="s">
        <v>526</v>
      </c>
      <c r="E26" s="50" t="s">
        <v>495</v>
      </c>
      <c r="F26" s="50" t="s">
        <v>528</v>
      </c>
      <c r="G26" s="50" t="s">
        <v>391</v>
      </c>
      <c r="H26" s="50" t="s">
        <v>560</v>
      </c>
      <c r="I26" s="50" t="s">
        <v>408</v>
      </c>
      <c r="J26" s="50" t="s">
        <v>518</v>
      </c>
      <c r="K26" s="50" t="s">
        <v>518</v>
      </c>
      <c r="L26" s="50" t="s">
        <v>530</v>
      </c>
      <c r="M26" s="50" t="s">
        <v>382</v>
      </c>
      <c r="N26" s="51">
        <v>-10.17</v>
      </c>
    </row>
    <row r="27" spans="1:14" x14ac:dyDescent="0.3">
      <c r="A27" s="50" t="s">
        <v>545</v>
      </c>
      <c r="B27" s="50" t="s">
        <v>545</v>
      </c>
      <c r="C27" s="50" t="s">
        <v>555</v>
      </c>
      <c r="D27" s="50" t="s">
        <v>526</v>
      </c>
      <c r="E27" s="50" t="s">
        <v>420</v>
      </c>
      <c r="F27" s="50" t="s">
        <v>528</v>
      </c>
      <c r="G27" s="50" t="s">
        <v>391</v>
      </c>
      <c r="H27" s="50" t="s">
        <v>561</v>
      </c>
      <c r="I27" s="50" t="s">
        <v>269</v>
      </c>
      <c r="J27" s="50" t="s">
        <v>518</v>
      </c>
      <c r="K27" s="50" t="s">
        <v>518</v>
      </c>
      <c r="L27" s="50" t="s">
        <v>530</v>
      </c>
      <c r="M27" s="50" t="s">
        <v>382</v>
      </c>
      <c r="N27" s="51">
        <v>-21.99</v>
      </c>
    </row>
    <row r="28" spans="1:14" x14ac:dyDescent="0.3">
      <c r="A28" s="50" t="s">
        <v>545</v>
      </c>
      <c r="B28" s="50" t="s">
        <v>545</v>
      </c>
      <c r="C28" s="50" t="s">
        <v>555</v>
      </c>
      <c r="D28" s="50" t="s">
        <v>526</v>
      </c>
      <c r="E28" s="50" t="s">
        <v>540</v>
      </c>
      <c r="F28" s="50" t="s">
        <v>528</v>
      </c>
      <c r="G28" s="50" t="s">
        <v>516</v>
      </c>
      <c r="H28" s="50" t="s">
        <v>533</v>
      </c>
      <c r="I28" s="50" t="s">
        <v>364</v>
      </c>
      <c r="J28" s="50" t="s">
        <v>518</v>
      </c>
      <c r="K28" s="50" t="s">
        <v>518</v>
      </c>
      <c r="L28" s="50" t="s">
        <v>530</v>
      </c>
      <c r="M28" s="50" t="s">
        <v>382</v>
      </c>
      <c r="N28" s="51">
        <v>-60075.6</v>
      </c>
    </row>
    <row r="29" spans="1:14" x14ac:dyDescent="0.3">
      <c r="A29" s="50" t="s">
        <v>545</v>
      </c>
      <c r="B29" s="50" t="s">
        <v>545</v>
      </c>
      <c r="C29" s="50" t="s">
        <v>555</v>
      </c>
      <c r="D29" s="50" t="s">
        <v>526</v>
      </c>
      <c r="E29" s="50" t="s">
        <v>540</v>
      </c>
      <c r="F29" s="50" t="s">
        <v>528</v>
      </c>
      <c r="G29" s="50" t="s">
        <v>516</v>
      </c>
      <c r="H29" s="50" t="s">
        <v>530</v>
      </c>
      <c r="I29" s="50" t="s">
        <v>382</v>
      </c>
      <c r="J29" s="50" t="s">
        <v>518</v>
      </c>
      <c r="K29" s="50" t="s">
        <v>518</v>
      </c>
      <c r="L29" s="50" t="s">
        <v>533</v>
      </c>
      <c r="M29" s="50" t="s">
        <v>364</v>
      </c>
      <c r="N29" s="51">
        <v>60075.6</v>
      </c>
    </row>
    <row r="30" spans="1:14" x14ac:dyDescent="0.3">
      <c r="A30" s="50" t="s">
        <v>545</v>
      </c>
      <c r="B30" s="50" t="s">
        <v>545</v>
      </c>
      <c r="C30" s="50" t="s">
        <v>555</v>
      </c>
      <c r="D30" s="50" t="s">
        <v>526</v>
      </c>
      <c r="E30" s="50" t="s">
        <v>541</v>
      </c>
      <c r="F30" s="50" t="s">
        <v>528</v>
      </c>
      <c r="G30" s="50" t="s">
        <v>516</v>
      </c>
      <c r="H30" s="50" t="s">
        <v>542</v>
      </c>
      <c r="I30" s="50" t="s">
        <v>369</v>
      </c>
      <c r="J30" s="50" t="s">
        <v>518</v>
      </c>
      <c r="K30" s="50" t="s">
        <v>518</v>
      </c>
      <c r="L30" s="50" t="s">
        <v>530</v>
      </c>
      <c r="M30" s="50" t="s">
        <v>382</v>
      </c>
      <c r="N30" s="51">
        <v>-700.6</v>
      </c>
    </row>
    <row r="31" spans="1:14" x14ac:dyDescent="0.3">
      <c r="A31" s="50" t="s">
        <v>545</v>
      </c>
      <c r="B31" s="50" t="s">
        <v>545</v>
      </c>
      <c r="C31" s="50" t="s">
        <v>555</v>
      </c>
      <c r="D31" s="50" t="s">
        <v>526</v>
      </c>
      <c r="E31" s="50" t="s">
        <v>541</v>
      </c>
      <c r="F31" s="50" t="s">
        <v>528</v>
      </c>
      <c r="G31" s="50" t="s">
        <v>516</v>
      </c>
      <c r="H31" s="50" t="s">
        <v>530</v>
      </c>
      <c r="I31" s="50" t="s">
        <v>382</v>
      </c>
      <c r="J31" s="50" t="s">
        <v>518</v>
      </c>
      <c r="K31" s="50" t="s">
        <v>518</v>
      </c>
      <c r="L31" s="50" t="s">
        <v>533</v>
      </c>
      <c r="M31" s="50" t="s">
        <v>364</v>
      </c>
      <c r="N31" s="51">
        <v>700.6</v>
      </c>
    </row>
    <row r="32" spans="1:14" x14ac:dyDescent="0.3">
      <c r="A32" s="50" t="s">
        <v>545</v>
      </c>
      <c r="B32" s="50" t="s">
        <v>545</v>
      </c>
      <c r="C32" s="50" t="s">
        <v>555</v>
      </c>
      <c r="D32" s="50" t="s">
        <v>526</v>
      </c>
      <c r="E32" s="50" t="s">
        <v>562</v>
      </c>
      <c r="F32" s="50" t="s">
        <v>528</v>
      </c>
      <c r="G32" s="50" t="s">
        <v>391</v>
      </c>
      <c r="H32" s="50" t="s">
        <v>563</v>
      </c>
      <c r="I32" s="50" t="s">
        <v>264</v>
      </c>
      <c r="J32" s="50" t="s">
        <v>518</v>
      </c>
      <c r="K32" s="50" t="s">
        <v>518</v>
      </c>
      <c r="L32" s="50" t="s">
        <v>530</v>
      </c>
      <c r="M32" s="50" t="s">
        <v>382</v>
      </c>
      <c r="N32" s="51">
        <v>-2.62</v>
      </c>
    </row>
    <row r="33" spans="1:14" x14ac:dyDescent="0.3">
      <c r="A33" s="50" t="s">
        <v>545</v>
      </c>
      <c r="B33" s="50" t="s">
        <v>545</v>
      </c>
      <c r="C33" s="50" t="s">
        <v>555</v>
      </c>
      <c r="D33" s="50" t="s">
        <v>526</v>
      </c>
      <c r="E33" s="50" t="s">
        <v>543</v>
      </c>
      <c r="F33" s="50" t="s">
        <v>528</v>
      </c>
      <c r="G33" s="50" t="s">
        <v>516</v>
      </c>
      <c r="H33" s="50" t="s">
        <v>529</v>
      </c>
      <c r="I33" s="50" t="s">
        <v>363</v>
      </c>
      <c r="J33" s="50" t="s">
        <v>518</v>
      </c>
      <c r="K33" s="50" t="s">
        <v>518</v>
      </c>
      <c r="L33" s="50" t="s">
        <v>533</v>
      </c>
      <c r="M33" s="50" t="s">
        <v>364</v>
      </c>
      <c r="N33" s="51">
        <v>40211.949999999997</v>
      </c>
    </row>
    <row r="34" spans="1:14" x14ac:dyDescent="0.3">
      <c r="A34" s="50" t="s">
        <v>545</v>
      </c>
      <c r="B34" s="50" t="s">
        <v>545</v>
      </c>
      <c r="C34" s="50" t="s">
        <v>555</v>
      </c>
      <c r="D34" s="50" t="s">
        <v>526</v>
      </c>
      <c r="E34" s="50" t="s">
        <v>518</v>
      </c>
      <c r="F34" s="50" t="s">
        <v>528</v>
      </c>
      <c r="G34" s="50" t="s">
        <v>516</v>
      </c>
      <c r="H34" s="50" t="s">
        <v>544</v>
      </c>
      <c r="I34" s="50" t="s">
        <v>368</v>
      </c>
      <c r="J34" s="50" t="s">
        <v>518</v>
      </c>
      <c r="K34" s="50" t="s">
        <v>518</v>
      </c>
      <c r="L34" s="50" t="s">
        <v>530</v>
      </c>
      <c r="M34" s="50" t="s">
        <v>382</v>
      </c>
      <c r="N34" s="51">
        <v>-4047.05</v>
      </c>
    </row>
    <row r="35" spans="1:14" x14ac:dyDescent="0.3">
      <c r="A35" s="50" t="s">
        <v>545</v>
      </c>
      <c r="B35" s="50" t="s">
        <v>545</v>
      </c>
      <c r="C35" s="50" t="s">
        <v>555</v>
      </c>
      <c r="D35" s="50" t="s">
        <v>526</v>
      </c>
      <c r="E35" s="50" t="s">
        <v>518</v>
      </c>
      <c r="F35" s="50" t="s">
        <v>528</v>
      </c>
      <c r="G35" s="50" t="s">
        <v>391</v>
      </c>
      <c r="H35" s="50" t="s">
        <v>544</v>
      </c>
      <c r="I35" s="50" t="s">
        <v>368</v>
      </c>
      <c r="J35" s="50" t="s">
        <v>518</v>
      </c>
      <c r="K35" s="50" t="s">
        <v>518</v>
      </c>
      <c r="L35" s="50" t="s">
        <v>530</v>
      </c>
      <c r="M35" s="50" t="s">
        <v>382</v>
      </c>
      <c r="N35" s="51">
        <v>34.78</v>
      </c>
    </row>
    <row r="36" spans="1:14" x14ac:dyDescent="0.3">
      <c r="A36" s="50" t="s">
        <v>545</v>
      </c>
      <c r="B36" s="50" t="s">
        <v>545</v>
      </c>
      <c r="C36" s="50" t="s">
        <v>564</v>
      </c>
      <c r="D36" s="50" t="s">
        <v>565</v>
      </c>
      <c r="E36" s="50" t="s">
        <v>518</v>
      </c>
      <c r="F36" s="50" t="s">
        <v>566</v>
      </c>
      <c r="G36" s="50" t="s">
        <v>391</v>
      </c>
      <c r="H36" s="50" t="s">
        <v>567</v>
      </c>
      <c r="I36" s="50" t="s">
        <v>395</v>
      </c>
      <c r="J36" s="50" t="s">
        <v>518</v>
      </c>
      <c r="K36" s="50" t="s">
        <v>518</v>
      </c>
      <c r="L36" s="50" t="s">
        <v>568</v>
      </c>
      <c r="M36" s="50" t="s">
        <v>401</v>
      </c>
      <c r="N36" s="51">
        <v>-15.24</v>
      </c>
    </row>
    <row r="37" spans="1:14" x14ac:dyDescent="0.3">
      <c r="A37" s="50" t="s">
        <v>545</v>
      </c>
      <c r="B37" s="50" t="s">
        <v>545</v>
      </c>
      <c r="C37" s="50" t="s">
        <v>564</v>
      </c>
      <c r="D37" s="50" t="s">
        <v>565</v>
      </c>
      <c r="E37" s="50" t="s">
        <v>518</v>
      </c>
      <c r="F37" s="50" t="s">
        <v>566</v>
      </c>
      <c r="G37" s="50" t="s">
        <v>391</v>
      </c>
      <c r="H37" s="50" t="s">
        <v>568</v>
      </c>
      <c r="I37" s="50" t="s">
        <v>401</v>
      </c>
      <c r="J37" s="50" t="s">
        <v>518</v>
      </c>
      <c r="K37" s="50" t="s">
        <v>518</v>
      </c>
      <c r="L37" s="50" t="s">
        <v>567</v>
      </c>
      <c r="M37" s="50" t="s">
        <v>395</v>
      </c>
      <c r="N37" s="51">
        <v>15.24</v>
      </c>
    </row>
    <row r="38" spans="1:14" x14ac:dyDescent="0.3">
      <c r="A38" s="50" t="s">
        <v>545</v>
      </c>
      <c r="B38" s="50" t="s">
        <v>545</v>
      </c>
      <c r="C38" s="50" t="s">
        <v>569</v>
      </c>
      <c r="D38" s="50" t="s">
        <v>565</v>
      </c>
      <c r="E38" s="50" t="s">
        <v>518</v>
      </c>
      <c r="F38" s="50" t="s">
        <v>566</v>
      </c>
      <c r="G38" s="50" t="s">
        <v>391</v>
      </c>
      <c r="H38" s="50" t="s">
        <v>567</v>
      </c>
      <c r="I38" s="50" t="s">
        <v>395</v>
      </c>
      <c r="J38" s="50" t="s">
        <v>518</v>
      </c>
      <c r="K38" s="50" t="s">
        <v>518</v>
      </c>
      <c r="L38" s="50" t="s">
        <v>568</v>
      </c>
      <c r="M38" s="50" t="s">
        <v>401</v>
      </c>
      <c r="N38" s="51">
        <v>5.08</v>
      </c>
    </row>
    <row r="39" spans="1:14" x14ac:dyDescent="0.3">
      <c r="A39" s="50" t="s">
        <v>545</v>
      </c>
      <c r="B39" s="50" t="s">
        <v>545</v>
      </c>
      <c r="C39" s="50" t="s">
        <v>569</v>
      </c>
      <c r="D39" s="50" t="s">
        <v>565</v>
      </c>
      <c r="E39" s="50" t="s">
        <v>518</v>
      </c>
      <c r="F39" s="50" t="s">
        <v>566</v>
      </c>
      <c r="G39" s="50" t="s">
        <v>391</v>
      </c>
      <c r="H39" s="50" t="s">
        <v>568</v>
      </c>
      <c r="I39" s="50" t="s">
        <v>401</v>
      </c>
      <c r="J39" s="50" t="s">
        <v>518</v>
      </c>
      <c r="K39" s="50" t="s">
        <v>518</v>
      </c>
      <c r="L39" s="50" t="s">
        <v>567</v>
      </c>
      <c r="M39" s="50" t="s">
        <v>395</v>
      </c>
      <c r="N39" s="51">
        <v>-5.08</v>
      </c>
    </row>
    <row r="40" spans="1:14" x14ac:dyDescent="0.3">
      <c r="A40" s="50" t="s">
        <v>545</v>
      </c>
      <c r="B40" s="50" t="s">
        <v>545</v>
      </c>
      <c r="C40" s="50" t="s">
        <v>570</v>
      </c>
      <c r="D40" s="50" t="s">
        <v>565</v>
      </c>
      <c r="E40" s="50" t="s">
        <v>518</v>
      </c>
      <c r="F40" s="50" t="s">
        <v>566</v>
      </c>
      <c r="G40" s="50" t="s">
        <v>391</v>
      </c>
      <c r="H40" s="50" t="s">
        <v>571</v>
      </c>
      <c r="I40" s="50" t="s">
        <v>393</v>
      </c>
      <c r="J40" s="50" t="s">
        <v>518</v>
      </c>
      <c r="K40" s="50" t="s">
        <v>518</v>
      </c>
      <c r="L40" s="50" t="s">
        <v>572</v>
      </c>
      <c r="M40" s="50" t="s">
        <v>402</v>
      </c>
      <c r="N40" s="51">
        <v>7.59</v>
      </c>
    </row>
    <row r="41" spans="1:14" x14ac:dyDescent="0.3">
      <c r="A41" s="50" t="s">
        <v>545</v>
      </c>
      <c r="B41" s="50" t="s">
        <v>545</v>
      </c>
      <c r="C41" s="50" t="s">
        <v>570</v>
      </c>
      <c r="D41" s="50" t="s">
        <v>565</v>
      </c>
      <c r="E41" s="50" t="s">
        <v>518</v>
      </c>
      <c r="F41" s="50" t="s">
        <v>566</v>
      </c>
      <c r="G41" s="50" t="s">
        <v>391</v>
      </c>
      <c r="H41" s="50" t="s">
        <v>572</v>
      </c>
      <c r="I41" s="50" t="s">
        <v>402</v>
      </c>
      <c r="J41" s="50" t="s">
        <v>518</v>
      </c>
      <c r="K41" s="50" t="s">
        <v>518</v>
      </c>
      <c r="L41" s="50" t="s">
        <v>571</v>
      </c>
      <c r="M41" s="50" t="s">
        <v>393</v>
      </c>
      <c r="N41" s="51">
        <v>-7.59</v>
      </c>
    </row>
    <row r="42" spans="1:14" x14ac:dyDescent="0.3">
      <c r="A42" s="50" t="s">
        <v>545</v>
      </c>
      <c r="B42" s="50" t="s">
        <v>545</v>
      </c>
      <c r="C42" s="50" t="s">
        <v>573</v>
      </c>
      <c r="D42" s="50" t="s">
        <v>565</v>
      </c>
      <c r="E42" s="50" t="s">
        <v>518</v>
      </c>
      <c r="F42" s="50" t="s">
        <v>566</v>
      </c>
      <c r="G42" s="50" t="s">
        <v>391</v>
      </c>
      <c r="H42" s="50" t="s">
        <v>574</v>
      </c>
      <c r="I42" s="50" t="s">
        <v>392</v>
      </c>
      <c r="J42" s="50" t="s">
        <v>518</v>
      </c>
      <c r="K42" s="50" t="s">
        <v>518</v>
      </c>
      <c r="L42" s="50" t="s">
        <v>568</v>
      </c>
      <c r="M42" s="50" t="s">
        <v>401</v>
      </c>
      <c r="N42" s="51">
        <v>5.08</v>
      </c>
    </row>
    <row r="43" spans="1:14" x14ac:dyDescent="0.3">
      <c r="A43" s="50" t="s">
        <v>545</v>
      </c>
      <c r="B43" s="50" t="s">
        <v>545</v>
      </c>
      <c r="C43" s="50" t="s">
        <v>573</v>
      </c>
      <c r="D43" s="50" t="s">
        <v>565</v>
      </c>
      <c r="E43" s="50" t="s">
        <v>518</v>
      </c>
      <c r="F43" s="50" t="s">
        <v>566</v>
      </c>
      <c r="G43" s="50" t="s">
        <v>391</v>
      </c>
      <c r="H43" s="50" t="s">
        <v>568</v>
      </c>
      <c r="I43" s="50" t="s">
        <v>401</v>
      </c>
      <c r="J43" s="50" t="s">
        <v>518</v>
      </c>
      <c r="K43" s="50" t="s">
        <v>518</v>
      </c>
      <c r="L43" s="50" t="s">
        <v>574</v>
      </c>
      <c r="M43" s="50" t="s">
        <v>392</v>
      </c>
      <c r="N43" s="51">
        <v>-5.08</v>
      </c>
    </row>
    <row r="44" spans="1:14" x14ac:dyDescent="0.3">
      <c r="A44" s="50" t="s">
        <v>575</v>
      </c>
      <c r="B44" s="50" t="s">
        <v>575</v>
      </c>
      <c r="C44" s="50" t="s">
        <v>576</v>
      </c>
      <c r="D44" s="50" t="s">
        <v>526</v>
      </c>
      <c r="E44" s="50" t="s">
        <v>527</v>
      </c>
      <c r="F44" s="50" t="s">
        <v>528</v>
      </c>
      <c r="G44" s="50" t="s">
        <v>516</v>
      </c>
      <c r="H44" s="50" t="s">
        <v>529</v>
      </c>
      <c r="I44" s="50" t="s">
        <v>363</v>
      </c>
      <c r="J44" s="50" t="s">
        <v>518</v>
      </c>
      <c r="K44" s="50" t="s">
        <v>518</v>
      </c>
      <c r="L44" s="50" t="s">
        <v>533</v>
      </c>
      <c r="M44" s="50" t="s">
        <v>364</v>
      </c>
      <c r="N44" s="51">
        <v>312</v>
      </c>
    </row>
    <row r="45" spans="1:14" x14ac:dyDescent="0.3">
      <c r="A45" s="50" t="s">
        <v>575</v>
      </c>
      <c r="B45" s="50" t="s">
        <v>575</v>
      </c>
      <c r="C45" s="50" t="s">
        <v>576</v>
      </c>
      <c r="D45" s="50" t="s">
        <v>526</v>
      </c>
      <c r="E45" s="50" t="s">
        <v>557</v>
      </c>
      <c r="F45" s="50" t="s">
        <v>528</v>
      </c>
      <c r="G45" s="50" t="s">
        <v>516</v>
      </c>
      <c r="H45" s="50" t="s">
        <v>558</v>
      </c>
      <c r="I45" s="50" t="s">
        <v>386</v>
      </c>
      <c r="J45" s="50" t="s">
        <v>518</v>
      </c>
      <c r="K45" s="50" t="s">
        <v>518</v>
      </c>
      <c r="L45" s="50" t="s">
        <v>529</v>
      </c>
      <c r="M45" s="50" t="s">
        <v>363</v>
      </c>
      <c r="N45" s="51">
        <v>-87</v>
      </c>
    </row>
    <row r="46" spans="1:14" x14ac:dyDescent="0.3">
      <c r="A46" s="50" t="s">
        <v>575</v>
      </c>
      <c r="B46" s="50" t="s">
        <v>575</v>
      </c>
      <c r="C46" s="50" t="s">
        <v>576</v>
      </c>
      <c r="D46" s="50" t="s">
        <v>526</v>
      </c>
      <c r="E46" s="50" t="s">
        <v>577</v>
      </c>
      <c r="F46" s="50" t="s">
        <v>528</v>
      </c>
      <c r="G46" s="50" t="s">
        <v>516</v>
      </c>
      <c r="H46" s="50" t="s">
        <v>529</v>
      </c>
      <c r="I46" s="50" t="s">
        <v>363</v>
      </c>
      <c r="J46" s="50" t="s">
        <v>518</v>
      </c>
      <c r="K46" s="50" t="s">
        <v>518</v>
      </c>
      <c r="L46" s="50" t="s">
        <v>533</v>
      </c>
      <c r="M46" s="50" t="s">
        <v>364</v>
      </c>
      <c r="N46" s="51">
        <v>770.45</v>
      </c>
    </row>
    <row r="47" spans="1:14" x14ac:dyDescent="0.3">
      <c r="A47" s="50" t="s">
        <v>575</v>
      </c>
      <c r="B47" s="50" t="s">
        <v>575</v>
      </c>
      <c r="C47" s="50" t="s">
        <v>576</v>
      </c>
      <c r="D47" s="50" t="s">
        <v>526</v>
      </c>
      <c r="E47" s="50" t="s">
        <v>534</v>
      </c>
      <c r="F47" s="50" t="s">
        <v>528</v>
      </c>
      <c r="G47" s="50" t="s">
        <v>516</v>
      </c>
      <c r="H47" s="50" t="s">
        <v>535</v>
      </c>
      <c r="I47" s="50" t="s">
        <v>371</v>
      </c>
      <c r="J47" s="50" t="s">
        <v>518</v>
      </c>
      <c r="K47" s="50" t="s">
        <v>518</v>
      </c>
      <c r="L47" s="50" t="s">
        <v>529</v>
      </c>
      <c r="M47" s="50" t="s">
        <v>363</v>
      </c>
      <c r="N47" s="51">
        <v>-3413.58</v>
      </c>
    </row>
    <row r="48" spans="1:14" x14ac:dyDescent="0.3">
      <c r="A48" s="50" t="s">
        <v>575</v>
      </c>
      <c r="B48" s="50" t="s">
        <v>575</v>
      </c>
      <c r="C48" s="50" t="s">
        <v>576</v>
      </c>
      <c r="D48" s="50" t="s">
        <v>526</v>
      </c>
      <c r="E48" s="50" t="s">
        <v>578</v>
      </c>
      <c r="F48" s="50" t="s">
        <v>528</v>
      </c>
      <c r="G48" s="50" t="s">
        <v>516</v>
      </c>
      <c r="H48" s="50" t="s">
        <v>579</v>
      </c>
      <c r="I48" s="50" t="s">
        <v>390</v>
      </c>
      <c r="J48" s="50" t="s">
        <v>518</v>
      </c>
      <c r="K48" s="50" t="s">
        <v>518</v>
      </c>
      <c r="L48" s="50" t="s">
        <v>533</v>
      </c>
      <c r="M48" s="50" t="s">
        <v>364</v>
      </c>
      <c r="N48" s="51">
        <v>21.99</v>
      </c>
    </row>
    <row r="49" spans="1:14" x14ac:dyDescent="0.3">
      <c r="A49" s="50" t="s">
        <v>575</v>
      </c>
      <c r="B49" s="50" t="s">
        <v>575</v>
      </c>
      <c r="C49" s="50" t="s">
        <v>576</v>
      </c>
      <c r="D49" s="50" t="s">
        <v>526</v>
      </c>
      <c r="E49" s="50" t="s">
        <v>580</v>
      </c>
      <c r="F49" s="50" t="s">
        <v>528</v>
      </c>
      <c r="G49" s="50" t="s">
        <v>391</v>
      </c>
      <c r="H49" s="50" t="s">
        <v>581</v>
      </c>
      <c r="I49" s="50" t="s">
        <v>410</v>
      </c>
      <c r="J49" s="50" t="s">
        <v>518</v>
      </c>
      <c r="K49" s="50" t="s">
        <v>518</v>
      </c>
      <c r="L49" s="50" t="s">
        <v>529</v>
      </c>
      <c r="M49" s="50" t="s">
        <v>363</v>
      </c>
      <c r="N49" s="51">
        <v>-21.99</v>
      </c>
    </row>
    <row r="50" spans="1:14" x14ac:dyDescent="0.3">
      <c r="A50" s="50" t="s">
        <v>575</v>
      </c>
      <c r="B50" s="50" t="s">
        <v>575</v>
      </c>
      <c r="C50" s="50" t="s">
        <v>576</v>
      </c>
      <c r="D50" s="50" t="s">
        <v>526</v>
      </c>
      <c r="E50" s="50" t="s">
        <v>582</v>
      </c>
      <c r="F50" s="50" t="s">
        <v>528</v>
      </c>
      <c r="G50" s="50" t="s">
        <v>516</v>
      </c>
      <c r="H50" s="50" t="s">
        <v>583</v>
      </c>
      <c r="I50" s="50" t="s">
        <v>388</v>
      </c>
      <c r="J50" s="50" t="s">
        <v>518</v>
      </c>
      <c r="K50" s="50" t="s">
        <v>518</v>
      </c>
      <c r="L50" s="50" t="s">
        <v>533</v>
      </c>
      <c r="M50" s="50" t="s">
        <v>364</v>
      </c>
      <c r="N50" s="51">
        <v>1.79</v>
      </c>
    </row>
    <row r="51" spans="1:14" x14ac:dyDescent="0.3">
      <c r="A51" s="50" t="s">
        <v>575</v>
      </c>
      <c r="B51" s="50" t="s">
        <v>575</v>
      </c>
      <c r="C51" s="50" t="s">
        <v>576</v>
      </c>
      <c r="D51" s="50" t="s">
        <v>526</v>
      </c>
      <c r="E51" s="50" t="s">
        <v>584</v>
      </c>
      <c r="F51" s="50" t="s">
        <v>528</v>
      </c>
      <c r="G51" s="50" t="s">
        <v>391</v>
      </c>
      <c r="H51" s="50" t="s">
        <v>563</v>
      </c>
      <c r="I51" s="50" t="s">
        <v>264</v>
      </c>
      <c r="J51" s="50" t="s">
        <v>518</v>
      </c>
      <c r="K51" s="50" t="s">
        <v>518</v>
      </c>
      <c r="L51" s="50" t="s">
        <v>529</v>
      </c>
      <c r="M51" s="50" t="s">
        <v>363</v>
      </c>
      <c r="N51" s="51">
        <v>-1.79</v>
      </c>
    </row>
    <row r="52" spans="1:14" x14ac:dyDescent="0.3">
      <c r="A52" s="50" t="s">
        <v>575</v>
      </c>
      <c r="B52" s="50" t="s">
        <v>575</v>
      </c>
      <c r="C52" s="50" t="s">
        <v>576</v>
      </c>
      <c r="D52" s="50" t="s">
        <v>526</v>
      </c>
      <c r="E52" s="50" t="s">
        <v>585</v>
      </c>
      <c r="F52" s="50" t="s">
        <v>528</v>
      </c>
      <c r="G52" s="50" t="s">
        <v>516</v>
      </c>
      <c r="H52" s="50" t="s">
        <v>586</v>
      </c>
      <c r="I52" s="50" t="s">
        <v>365</v>
      </c>
      <c r="J52" s="50" t="s">
        <v>518</v>
      </c>
      <c r="K52" s="50" t="s">
        <v>518</v>
      </c>
      <c r="L52" s="50" t="s">
        <v>529</v>
      </c>
      <c r="M52" s="50" t="s">
        <v>363</v>
      </c>
      <c r="N52" s="51">
        <v>-770.45</v>
      </c>
    </row>
    <row r="53" spans="1:14" x14ac:dyDescent="0.3">
      <c r="A53" s="50" t="s">
        <v>575</v>
      </c>
      <c r="B53" s="50" t="s">
        <v>575</v>
      </c>
      <c r="C53" s="50" t="s">
        <v>576</v>
      </c>
      <c r="D53" s="50" t="s">
        <v>526</v>
      </c>
      <c r="E53" s="50" t="s">
        <v>539</v>
      </c>
      <c r="F53" s="50" t="s">
        <v>528</v>
      </c>
      <c r="G53" s="50" t="s">
        <v>516</v>
      </c>
      <c r="H53" s="50" t="s">
        <v>529</v>
      </c>
      <c r="I53" s="50" t="s">
        <v>363</v>
      </c>
      <c r="J53" s="50" t="s">
        <v>518</v>
      </c>
      <c r="K53" s="50" t="s">
        <v>518</v>
      </c>
      <c r="L53" s="50" t="s">
        <v>533</v>
      </c>
      <c r="M53" s="50" t="s">
        <v>364</v>
      </c>
      <c r="N53" s="51">
        <v>152</v>
      </c>
    </row>
    <row r="54" spans="1:14" x14ac:dyDescent="0.3">
      <c r="A54" s="50" t="s">
        <v>575</v>
      </c>
      <c r="B54" s="50" t="s">
        <v>575</v>
      </c>
      <c r="C54" s="50" t="s">
        <v>576</v>
      </c>
      <c r="D54" s="50" t="s">
        <v>526</v>
      </c>
      <c r="E54" s="50" t="s">
        <v>420</v>
      </c>
      <c r="F54" s="50" t="s">
        <v>528</v>
      </c>
      <c r="G54" s="50" t="s">
        <v>391</v>
      </c>
      <c r="H54" s="50" t="s">
        <v>561</v>
      </c>
      <c r="I54" s="50" t="s">
        <v>269</v>
      </c>
      <c r="J54" s="50" t="s">
        <v>518</v>
      </c>
      <c r="K54" s="50" t="s">
        <v>518</v>
      </c>
      <c r="L54" s="50" t="s">
        <v>529</v>
      </c>
      <c r="M54" s="50" t="s">
        <v>363</v>
      </c>
      <c r="N54" s="51">
        <v>-65.97</v>
      </c>
    </row>
    <row r="55" spans="1:14" x14ac:dyDescent="0.3">
      <c r="A55" s="50" t="s">
        <v>575</v>
      </c>
      <c r="B55" s="50" t="s">
        <v>575</v>
      </c>
      <c r="C55" s="50" t="s">
        <v>576</v>
      </c>
      <c r="D55" s="50" t="s">
        <v>526</v>
      </c>
      <c r="E55" s="50" t="s">
        <v>540</v>
      </c>
      <c r="F55" s="50" t="s">
        <v>528</v>
      </c>
      <c r="G55" s="50" t="s">
        <v>516</v>
      </c>
      <c r="H55" s="50" t="s">
        <v>533</v>
      </c>
      <c r="I55" s="50" t="s">
        <v>364</v>
      </c>
      <c r="J55" s="50" t="s">
        <v>518</v>
      </c>
      <c r="K55" s="50" t="s">
        <v>518</v>
      </c>
      <c r="L55" s="50" t="s">
        <v>529</v>
      </c>
      <c r="M55" s="50" t="s">
        <v>363</v>
      </c>
      <c r="N55" s="51">
        <v>-3378.33</v>
      </c>
    </row>
    <row r="56" spans="1:14" x14ac:dyDescent="0.3">
      <c r="A56" s="50" t="s">
        <v>575</v>
      </c>
      <c r="B56" s="50" t="s">
        <v>575</v>
      </c>
      <c r="C56" s="50" t="s">
        <v>576</v>
      </c>
      <c r="D56" s="50" t="s">
        <v>526</v>
      </c>
      <c r="E56" s="50" t="s">
        <v>540</v>
      </c>
      <c r="F56" s="50" t="s">
        <v>528</v>
      </c>
      <c r="G56" s="50" t="s">
        <v>516</v>
      </c>
      <c r="H56" s="50" t="s">
        <v>530</v>
      </c>
      <c r="I56" s="50" t="s">
        <v>382</v>
      </c>
      <c r="J56" s="50" t="s">
        <v>518</v>
      </c>
      <c r="K56" s="50" t="s">
        <v>518</v>
      </c>
      <c r="L56" s="50" t="s">
        <v>533</v>
      </c>
      <c r="M56" s="50" t="s">
        <v>364</v>
      </c>
      <c r="N56" s="51">
        <v>3378.33</v>
      </c>
    </row>
    <row r="57" spans="1:14" x14ac:dyDescent="0.3">
      <c r="A57" s="50" t="s">
        <v>575</v>
      </c>
      <c r="B57" s="50" t="s">
        <v>575</v>
      </c>
      <c r="C57" s="50" t="s">
        <v>576</v>
      </c>
      <c r="D57" s="50" t="s">
        <v>526</v>
      </c>
      <c r="E57" s="50" t="s">
        <v>541</v>
      </c>
      <c r="F57" s="50" t="s">
        <v>528</v>
      </c>
      <c r="G57" s="50" t="s">
        <v>516</v>
      </c>
      <c r="H57" s="50" t="s">
        <v>542</v>
      </c>
      <c r="I57" s="50" t="s">
        <v>369</v>
      </c>
      <c r="J57" s="50" t="s">
        <v>518</v>
      </c>
      <c r="K57" s="50" t="s">
        <v>518</v>
      </c>
      <c r="L57" s="50" t="s">
        <v>529</v>
      </c>
      <c r="M57" s="50" t="s">
        <v>363</v>
      </c>
      <c r="N57" s="51">
        <v>-162</v>
      </c>
    </row>
    <row r="58" spans="1:14" x14ac:dyDescent="0.3">
      <c r="A58" s="50" t="s">
        <v>575</v>
      </c>
      <c r="B58" s="50" t="s">
        <v>575</v>
      </c>
      <c r="C58" s="50" t="s">
        <v>576</v>
      </c>
      <c r="D58" s="50" t="s">
        <v>526</v>
      </c>
      <c r="E58" s="50" t="s">
        <v>541</v>
      </c>
      <c r="F58" s="50" t="s">
        <v>528</v>
      </c>
      <c r="G58" s="50" t="s">
        <v>516</v>
      </c>
      <c r="H58" s="50" t="s">
        <v>530</v>
      </c>
      <c r="I58" s="50" t="s">
        <v>382</v>
      </c>
      <c r="J58" s="50" t="s">
        <v>518</v>
      </c>
      <c r="K58" s="50" t="s">
        <v>518</v>
      </c>
      <c r="L58" s="50" t="s">
        <v>533</v>
      </c>
      <c r="M58" s="50" t="s">
        <v>364</v>
      </c>
      <c r="N58" s="51">
        <v>162</v>
      </c>
    </row>
    <row r="59" spans="1:14" x14ac:dyDescent="0.3">
      <c r="A59" s="50" t="s">
        <v>575</v>
      </c>
      <c r="B59" s="50" t="s">
        <v>575</v>
      </c>
      <c r="C59" s="50" t="s">
        <v>576</v>
      </c>
      <c r="D59" s="50" t="s">
        <v>526</v>
      </c>
      <c r="E59" s="50" t="s">
        <v>562</v>
      </c>
      <c r="F59" s="50" t="s">
        <v>528</v>
      </c>
      <c r="G59" s="50" t="s">
        <v>391</v>
      </c>
      <c r="H59" s="50" t="s">
        <v>563</v>
      </c>
      <c r="I59" s="50" t="s">
        <v>264</v>
      </c>
      <c r="J59" s="50" t="s">
        <v>518</v>
      </c>
      <c r="K59" s="50" t="s">
        <v>518</v>
      </c>
      <c r="L59" s="50" t="s">
        <v>529</v>
      </c>
      <c r="M59" s="50" t="s">
        <v>363</v>
      </c>
      <c r="N59" s="51">
        <v>-5.37</v>
      </c>
    </row>
    <row r="60" spans="1:14" x14ac:dyDescent="0.3">
      <c r="A60" s="50" t="s">
        <v>575</v>
      </c>
      <c r="B60" s="50" t="s">
        <v>575</v>
      </c>
      <c r="C60" s="50" t="s">
        <v>576</v>
      </c>
      <c r="D60" s="50" t="s">
        <v>526</v>
      </c>
      <c r="E60" s="50" t="s">
        <v>543</v>
      </c>
      <c r="F60" s="50" t="s">
        <v>528</v>
      </c>
      <c r="G60" s="50" t="s">
        <v>516</v>
      </c>
      <c r="H60" s="50" t="s">
        <v>529</v>
      </c>
      <c r="I60" s="50" t="s">
        <v>363</v>
      </c>
      <c r="J60" s="50" t="s">
        <v>518</v>
      </c>
      <c r="K60" s="50" t="s">
        <v>518</v>
      </c>
      <c r="L60" s="50" t="s">
        <v>533</v>
      </c>
      <c r="M60" s="50" t="s">
        <v>364</v>
      </c>
      <c r="N60" s="51">
        <v>3400.66</v>
      </c>
    </row>
    <row r="61" spans="1:14" x14ac:dyDescent="0.3">
      <c r="A61" s="50" t="s">
        <v>575</v>
      </c>
      <c r="B61" s="50" t="s">
        <v>575</v>
      </c>
      <c r="C61" s="50" t="s">
        <v>576</v>
      </c>
      <c r="D61" s="50" t="s">
        <v>526</v>
      </c>
      <c r="E61" s="50" t="s">
        <v>518</v>
      </c>
      <c r="F61" s="50" t="s">
        <v>528</v>
      </c>
      <c r="G61" s="50" t="s">
        <v>516</v>
      </c>
      <c r="H61" s="50" t="s">
        <v>544</v>
      </c>
      <c r="I61" s="50" t="s">
        <v>368</v>
      </c>
      <c r="J61" s="50" t="s">
        <v>518</v>
      </c>
      <c r="K61" s="50" t="s">
        <v>518</v>
      </c>
      <c r="L61" s="50" t="s">
        <v>529</v>
      </c>
      <c r="M61" s="50" t="s">
        <v>363</v>
      </c>
      <c r="N61" s="51">
        <v>-387.86</v>
      </c>
    </row>
    <row r="62" spans="1:14" x14ac:dyDescent="0.3">
      <c r="A62" s="50" t="s">
        <v>575</v>
      </c>
      <c r="B62" s="50" t="s">
        <v>575</v>
      </c>
      <c r="C62" s="50" t="s">
        <v>576</v>
      </c>
      <c r="D62" s="50" t="s">
        <v>526</v>
      </c>
      <c r="E62" s="50" t="s">
        <v>518</v>
      </c>
      <c r="F62" s="50" t="s">
        <v>528</v>
      </c>
      <c r="G62" s="50" t="s">
        <v>391</v>
      </c>
      <c r="H62" s="50" t="s">
        <v>544</v>
      </c>
      <c r="I62" s="50" t="s">
        <v>368</v>
      </c>
      <c r="J62" s="50" t="s">
        <v>518</v>
      </c>
      <c r="K62" s="50" t="s">
        <v>518</v>
      </c>
      <c r="L62" s="50" t="s">
        <v>529</v>
      </c>
      <c r="M62" s="50" t="s">
        <v>363</v>
      </c>
      <c r="N62" s="51">
        <v>95.12</v>
      </c>
    </row>
    <row r="63" spans="1:14" x14ac:dyDescent="0.3">
      <c r="A63" s="50" t="s">
        <v>575</v>
      </c>
      <c r="B63" s="50" t="s">
        <v>575</v>
      </c>
      <c r="C63" s="50" t="s">
        <v>587</v>
      </c>
      <c r="D63" s="50" t="s">
        <v>565</v>
      </c>
      <c r="E63" s="50" t="s">
        <v>518</v>
      </c>
      <c r="F63" s="50" t="s">
        <v>566</v>
      </c>
      <c r="G63" s="50" t="s">
        <v>391</v>
      </c>
      <c r="H63" s="50" t="s">
        <v>567</v>
      </c>
      <c r="I63" s="50" t="s">
        <v>395</v>
      </c>
      <c r="J63" s="50" t="s">
        <v>518</v>
      </c>
      <c r="K63" s="50" t="s">
        <v>518</v>
      </c>
      <c r="L63" s="50" t="s">
        <v>568</v>
      </c>
      <c r="M63" s="50" t="s">
        <v>401</v>
      </c>
      <c r="N63" s="51">
        <v>-10.16</v>
      </c>
    </row>
    <row r="64" spans="1:14" x14ac:dyDescent="0.3">
      <c r="A64" s="50" t="s">
        <v>575</v>
      </c>
      <c r="B64" s="50" t="s">
        <v>575</v>
      </c>
      <c r="C64" s="50" t="s">
        <v>587</v>
      </c>
      <c r="D64" s="50" t="s">
        <v>565</v>
      </c>
      <c r="E64" s="50" t="s">
        <v>518</v>
      </c>
      <c r="F64" s="50" t="s">
        <v>566</v>
      </c>
      <c r="G64" s="50" t="s">
        <v>391</v>
      </c>
      <c r="H64" s="50" t="s">
        <v>568</v>
      </c>
      <c r="I64" s="50" t="s">
        <v>401</v>
      </c>
      <c r="J64" s="50" t="s">
        <v>518</v>
      </c>
      <c r="K64" s="50" t="s">
        <v>518</v>
      </c>
      <c r="L64" s="50" t="s">
        <v>567</v>
      </c>
      <c r="M64" s="50" t="s">
        <v>395</v>
      </c>
      <c r="N64" s="51">
        <v>10.16</v>
      </c>
    </row>
    <row r="65" spans="1:14" x14ac:dyDescent="0.3">
      <c r="A65" s="50" t="s">
        <v>575</v>
      </c>
      <c r="B65" s="50" t="s">
        <v>575</v>
      </c>
      <c r="C65" s="50" t="s">
        <v>588</v>
      </c>
      <c r="D65" s="50" t="s">
        <v>565</v>
      </c>
      <c r="E65" s="50" t="s">
        <v>518</v>
      </c>
      <c r="F65" s="50" t="s">
        <v>566</v>
      </c>
      <c r="G65" s="50" t="s">
        <v>391</v>
      </c>
      <c r="H65" s="50" t="s">
        <v>567</v>
      </c>
      <c r="I65" s="50" t="s">
        <v>395</v>
      </c>
      <c r="J65" s="50" t="s">
        <v>518</v>
      </c>
      <c r="K65" s="50" t="s">
        <v>518</v>
      </c>
      <c r="L65" s="50" t="s">
        <v>568</v>
      </c>
      <c r="M65" s="50" t="s">
        <v>401</v>
      </c>
      <c r="N65" s="51">
        <v>5.08</v>
      </c>
    </row>
    <row r="66" spans="1:14" x14ac:dyDescent="0.3">
      <c r="A66" s="50" t="s">
        <v>575</v>
      </c>
      <c r="B66" s="50" t="s">
        <v>575</v>
      </c>
      <c r="C66" s="50" t="s">
        <v>588</v>
      </c>
      <c r="D66" s="50" t="s">
        <v>565</v>
      </c>
      <c r="E66" s="50" t="s">
        <v>518</v>
      </c>
      <c r="F66" s="50" t="s">
        <v>566</v>
      </c>
      <c r="G66" s="50" t="s">
        <v>391</v>
      </c>
      <c r="H66" s="50" t="s">
        <v>568</v>
      </c>
      <c r="I66" s="50" t="s">
        <v>401</v>
      </c>
      <c r="J66" s="50" t="s">
        <v>518</v>
      </c>
      <c r="K66" s="50" t="s">
        <v>518</v>
      </c>
      <c r="L66" s="50" t="s">
        <v>567</v>
      </c>
      <c r="M66" s="50" t="s">
        <v>395</v>
      </c>
      <c r="N66" s="51">
        <v>-5.08</v>
      </c>
    </row>
    <row r="67" spans="1:14" x14ac:dyDescent="0.3">
      <c r="A67" s="50" t="s">
        <v>575</v>
      </c>
      <c r="B67" s="50" t="s">
        <v>575</v>
      </c>
      <c r="C67" s="50" t="s">
        <v>589</v>
      </c>
      <c r="D67" s="50" t="s">
        <v>565</v>
      </c>
      <c r="E67" s="50" t="s">
        <v>518</v>
      </c>
      <c r="F67" s="50" t="s">
        <v>566</v>
      </c>
      <c r="G67" s="50" t="s">
        <v>391</v>
      </c>
      <c r="H67" s="50" t="s">
        <v>574</v>
      </c>
      <c r="I67" s="50" t="s">
        <v>392</v>
      </c>
      <c r="J67" s="50" t="s">
        <v>518</v>
      </c>
      <c r="K67" s="50" t="s">
        <v>518</v>
      </c>
      <c r="L67" s="50" t="s">
        <v>568</v>
      </c>
      <c r="M67" s="50" t="s">
        <v>401</v>
      </c>
      <c r="N67" s="51">
        <v>5.08</v>
      </c>
    </row>
    <row r="68" spans="1:14" x14ac:dyDescent="0.3">
      <c r="A68" s="50" t="s">
        <v>575</v>
      </c>
      <c r="B68" s="50" t="s">
        <v>575</v>
      </c>
      <c r="C68" s="50" t="s">
        <v>589</v>
      </c>
      <c r="D68" s="50" t="s">
        <v>565</v>
      </c>
      <c r="E68" s="50" t="s">
        <v>518</v>
      </c>
      <c r="F68" s="50" t="s">
        <v>566</v>
      </c>
      <c r="G68" s="50" t="s">
        <v>391</v>
      </c>
      <c r="H68" s="50" t="s">
        <v>568</v>
      </c>
      <c r="I68" s="50" t="s">
        <v>401</v>
      </c>
      <c r="J68" s="50" t="s">
        <v>518</v>
      </c>
      <c r="K68" s="50" t="s">
        <v>518</v>
      </c>
      <c r="L68" s="50" t="s">
        <v>574</v>
      </c>
      <c r="M68" s="50" t="s">
        <v>392</v>
      </c>
      <c r="N68" s="51">
        <v>-5.08</v>
      </c>
    </row>
    <row r="69" spans="1:14" x14ac:dyDescent="0.3">
      <c r="A69" s="50" t="s">
        <v>575</v>
      </c>
      <c r="B69" s="50" t="s">
        <v>575</v>
      </c>
      <c r="C69" s="50" t="s">
        <v>590</v>
      </c>
      <c r="D69" s="50" t="s">
        <v>565</v>
      </c>
      <c r="E69" s="50" t="s">
        <v>518</v>
      </c>
      <c r="F69" s="50" t="s">
        <v>566</v>
      </c>
      <c r="G69" s="50" t="s">
        <v>391</v>
      </c>
      <c r="H69" s="50" t="s">
        <v>574</v>
      </c>
      <c r="I69" s="50" t="s">
        <v>392</v>
      </c>
      <c r="J69" s="50" t="s">
        <v>518</v>
      </c>
      <c r="K69" s="50" t="s">
        <v>518</v>
      </c>
      <c r="L69" s="50" t="s">
        <v>568</v>
      </c>
      <c r="M69" s="50" t="s">
        <v>401</v>
      </c>
      <c r="N69" s="51">
        <v>5.08</v>
      </c>
    </row>
    <row r="70" spans="1:14" x14ac:dyDescent="0.3">
      <c r="A70" s="50" t="s">
        <v>575</v>
      </c>
      <c r="B70" s="50" t="s">
        <v>575</v>
      </c>
      <c r="C70" s="50" t="s">
        <v>590</v>
      </c>
      <c r="D70" s="50" t="s">
        <v>565</v>
      </c>
      <c r="E70" s="50" t="s">
        <v>518</v>
      </c>
      <c r="F70" s="50" t="s">
        <v>566</v>
      </c>
      <c r="G70" s="50" t="s">
        <v>391</v>
      </c>
      <c r="H70" s="50" t="s">
        <v>568</v>
      </c>
      <c r="I70" s="50" t="s">
        <v>401</v>
      </c>
      <c r="J70" s="50" t="s">
        <v>518</v>
      </c>
      <c r="K70" s="50" t="s">
        <v>518</v>
      </c>
      <c r="L70" s="50" t="s">
        <v>574</v>
      </c>
      <c r="M70" s="50" t="s">
        <v>392</v>
      </c>
      <c r="N70" s="51">
        <v>-5.08</v>
      </c>
    </row>
    <row r="71" spans="1:14" x14ac:dyDescent="0.3">
      <c r="A71" s="50" t="s">
        <v>575</v>
      </c>
      <c r="B71" s="50" t="s">
        <v>575</v>
      </c>
      <c r="C71" s="50" t="s">
        <v>591</v>
      </c>
      <c r="D71" s="50" t="s">
        <v>565</v>
      </c>
      <c r="E71" s="50" t="s">
        <v>518</v>
      </c>
      <c r="F71" s="50" t="s">
        <v>566</v>
      </c>
      <c r="G71" s="50" t="s">
        <v>391</v>
      </c>
      <c r="H71" s="50" t="s">
        <v>574</v>
      </c>
      <c r="I71" s="50" t="s">
        <v>392</v>
      </c>
      <c r="J71" s="50" t="s">
        <v>518</v>
      </c>
      <c r="K71" s="50" t="s">
        <v>518</v>
      </c>
      <c r="L71" s="50" t="s">
        <v>568</v>
      </c>
      <c r="M71" s="50" t="s">
        <v>401</v>
      </c>
      <c r="N71" s="51">
        <v>5.08</v>
      </c>
    </row>
    <row r="72" spans="1:14" x14ac:dyDescent="0.3">
      <c r="A72" s="50" t="s">
        <v>575</v>
      </c>
      <c r="B72" s="50" t="s">
        <v>575</v>
      </c>
      <c r="C72" s="50" t="s">
        <v>591</v>
      </c>
      <c r="D72" s="50" t="s">
        <v>565</v>
      </c>
      <c r="E72" s="50" t="s">
        <v>518</v>
      </c>
      <c r="F72" s="50" t="s">
        <v>566</v>
      </c>
      <c r="G72" s="50" t="s">
        <v>391</v>
      </c>
      <c r="H72" s="50" t="s">
        <v>568</v>
      </c>
      <c r="I72" s="50" t="s">
        <v>401</v>
      </c>
      <c r="J72" s="50" t="s">
        <v>518</v>
      </c>
      <c r="K72" s="50" t="s">
        <v>518</v>
      </c>
      <c r="L72" s="50" t="s">
        <v>574</v>
      </c>
      <c r="M72" s="50" t="s">
        <v>392</v>
      </c>
      <c r="N72" s="51">
        <v>-5.08</v>
      </c>
    </row>
    <row r="73" spans="1:14" x14ac:dyDescent="0.3">
      <c r="A73" s="50" t="s">
        <v>575</v>
      </c>
      <c r="B73" s="50" t="s">
        <v>575</v>
      </c>
      <c r="C73" s="50" t="s">
        <v>592</v>
      </c>
      <c r="D73" s="50" t="s">
        <v>565</v>
      </c>
      <c r="E73" s="50" t="s">
        <v>518</v>
      </c>
      <c r="F73" s="50" t="s">
        <v>566</v>
      </c>
      <c r="G73" s="50" t="s">
        <v>391</v>
      </c>
      <c r="H73" s="50" t="s">
        <v>574</v>
      </c>
      <c r="I73" s="50" t="s">
        <v>392</v>
      </c>
      <c r="J73" s="50" t="s">
        <v>518</v>
      </c>
      <c r="K73" s="50" t="s">
        <v>518</v>
      </c>
      <c r="L73" s="50" t="s">
        <v>568</v>
      </c>
      <c r="M73" s="50" t="s">
        <v>401</v>
      </c>
      <c r="N73" s="51">
        <v>5.08</v>
      </c>
    </row>
    <row r="74" spans="1:14" x14ac:dyDescent="0.3">
      <c r="A74" s="50" t="s">
        <v>575</v>
      </c>
      <c r="B74" s="50" t="s">
        <v>575</v>
      </c>
      <c r="C74" s="50" t="s">
        <v>592</v>
      </c>
      <c r="D74" s="50" t="s">
        <v>565</v>
      </c>
      <c r="E74" s="50" t="s">
        <v>518</v>
      </c>
      <c r="F74" s="50" t="s">
        <v>566</v>
      </c>
      <c r="G74" s="50" t="s">
        <v>391</v>
      </c>
      <c r="H74" s="50" t="s">
        <v>568</v>
      </c>
      <c r="I74" s="50" t="s">
        <v>401</v>
      </c>
      <c r="J74" s="50" t="s">
        <v>518</v>
      </c>
      <c r="K74" s="50" t="s">
        <v>518</v>
      </c>
      <c r="L74" s="50" t="s">
        <v>574</v>
      </c>
      <c r="M74" s="50" t="s">
        <v>392</v>
      </c>
      <c r="N74" s="51">
        <v>-5.08</v>
      </c>
    </row>
    <row r="75" spans="1:14" x14ac:dyDescent="0.3">
      <c r="A75" s="50" t="s">
        <v>575</v>
      </c>
      <c r="B75" s="50" t="s">
        <v>575</v>
      </c>
      <c r="C75" s="50" t="s">
        <v>593</v>
      </c>
      <c r="D75" s="50" t="s">
        <v>565</v>
      </c>
      <c r="E75" s="50" t="s">
        <v>518</v>
      </c>
      <c r="F75" s="50" t="s">
        <v>566</v>
      </c>
      <c r="G75" s="50" t="s">
        <v>391</v>
      </c>
      <c r="H75" s="50" t="s">
        <v>574</v>
      </c>
      <c r="I75" s="50" t="s">
        <v>392</v>
      </c>
      <c r="J75" s="50" t="s">
        <v>518</v>
      </c>
      <c r="K75" s="50" t="s">
        <v>518</v>
      </c>
      <c r="L75" s="50" t="s">
        <v>568</v>
      </c>
      <c r="M75" s="50" t="s">
        <v>401</v>
      </c>
      <c r="N75" s="51">
        <v>5.08</v>
      </c>
    </row>
    <row r="76" spans="1:14" x14ac:dyDescent="0.3">
      <c r="A76" s="50" t="s">
        <v>575</v>
      </c>
      <c r="B76" s="50" t="s">
        <v>575</v>
      </c>
      <c r="C76" s="50" t="s">
        <v>593</v>
      </c>
      <c r="D76" s="50" t="s">
        <v>565</v>
      </c>
      <c r="E76" s="50" t="s">
        <v>518</v>
      </c>
      <c r="F76" s="50" t="s">
        <v>566</v>
      </c>
      <c r="G76" s="50" t="s">
        <v>391</v>
      </c>
      <c r="H76" s="50" t="s">
        <v>568</v>
      </c>
      <c r="I76" s="50" t="s">
        <v>401</v>
      </c>
      <c r="J76" s="50" t="s">
        <v>518</v>
      </c>
      <c r="K76" s="50" t="s">
        <v>518</v>
      </c>
      <c r="L76" s="50" t="s">
        <v>574</v>
      </c>
      <c r="M76" s="50" t="s">
        <v>392</v>
      </c>
      <c r="N76" s="51">
        <v>-5.08</v>
      </c>
    </row>
    <row r="77" spans="1:14" x14ac:dyDescent="0.3">
      <c r="A77" s="50" t="s">
        <v>594</v>
      </c>
      <c r="B77" s="50" t="s">
        <v>594</v>
      </c>
      <c r="C77" s="50" t="s">
        <v>595</v>
      </c>
      <c r="D77" s="50" t="s">
        <v>526</v>
      </c>
      <c r="E77" s="50" t="s">
        <v>557</v>
      </c>
      <c r="F77" s="50" t="s">
        <v>528</v>
      </c>
      <c r="G77" s="50" t="s">
        <v>516</v>
      </c>
      <c r="H77" s="50" t="s">
        <v>558</v>
      </c>
      <c r="I77" s="50" t="s">
        <v>386</v>
      </c>
      <c r="J77" s="50" t="s">
        <v>518</v>
      </c>
      <c r="K77" s="50" t="s">
        <v>518</v>
      </c>
      <c r="L77" s="50" t="s">
        <v>530</v>
      </c>
      <c r="M77" s="50" t="s">
        <v>382</v>
      </c>
      <c r="N77" s="51">
        <v>-29</v>
      </c>
    </row>
    <row r="78" spans="1:14" x14ac:dyDescent="0.3">
      <c r="A78" s="50" t="s">
        <v>594</v>
      </c>
      <c r="B78" s="50" t="s">
        <v>594</v>
      </c>
      <c r="C78" s="50" t="s">
        <v>595</v>
      </c>
      <c r="D78" s="50" t="s">
        <v>526</v>
      </c>
      <c r="E78" s="50" t="s">
        <v>534</v>
      </c>
      <c r="F78" s="50" t="s">
        <v>528</v>
      </c>
      <c r="G78" s="50" t="s">
        <v>516</v>
      </c>
      <c r="H78" s="50" t="s">
        <v>535</v>
      </c>
      <c r="I78" s="50" t="s">
        <v>371</v>
      </c>
      <c r="J78" s="50" t="s">
        <v>518</v>
      </c>
      <c r="K78" s="50" t="s">
        <v>518</v>
      </c>
      <c r="L78" s="50" t="s">
        <v>530</v>
      </c>
      <c r="M78" s="50" t="s">
        <v>382</v>
      </c>
      <c r="N78" s="51">
        <v>-552.32000000000005</v>
      </c>
    </row>
    <row r="79" spans="1:14" x14ac:dyDescent="0.3">
      <c r="A79" s="50" t="s">
        <v>594</v>
      </c>
      <c r="B79" s="50" t="s">
        <v>594</v>
      </c>
      <c r="C79" s="50" t="s">
        <v>595</v>
      </c>
      <c r="D79" s="50" t="s">
        <v>526</v>
      </c>
      <c r="E79" s="50" t="s">
        <v>559</v>
      </c>
      <c r="F79" s="50" t="s">
        <v>528</v>
      </c>
      <c r="G79" s="50" t="s">
        <v>516</v>
      </c>
      <c r="H79" s="50" t="s">
        <v>529</v>
      </c>
      <c r="I79" s="50" t="s">
        <v>363</v>
      </c>
      <c r="J79" s="50" t="s">
        <v>518</v>
      </c>
      <c r="K79" s="50" t="s">
        <v>518</v>
      </c>
      <c r="L79" s="50" t="s">
        <v>533</v>
      </c>
      <c r="M79" s="50" t="s">
        <v>364</v>
      </c>
      <c r="N79" s="51">
        <v>431</v>
      </c>
    </row>
    <row r="80" spans="1:14" x14ac:dyDescent="0.3">
      <c r="A80" s="50" t="s">
        <v>594</v>
      </c>
      <c r="B80" s="50" t="s">
        <v>594</v>
      </c>
      <c r="C80" s="50" t="s">
        <v>595</v>
      </c>
      <c r="D80" s="50" t="s">
        <v>526</v>
      </c>
      <c r="E80" s="50" t="s">
        <v>420</v>
      </c>
      <c r="F80" s="50" t="s">
        <v>528</v>
      </c>
      <c r="G80" s="50" t="s">
        <v>391</v>
      </c>
      <c r="H80" s="50" t="s">
        <v>561</v>
      </c>
      <c r="I80" s="50" t="s">
        <v>269</v>
      </c>
      <c r="J80" s="50" t="s">
        <v>518</v>
      </c>
      <c r="K80" s="50" t="s">
        <v>518</v>
      </c>
      <c r="L80" s="50" t="s">
        <v>530</v>
      </c>
      <c r="M80" s="50" t="s">
        <v>382</v>
      </c>
      <c r="N80" s="51">
        <v>-21.99</v>
      </c>
    </row>
    <row r="81" spans="1:14" x14ac:dyDescent="0.3">
      <c r="A81" s="50" t="s">
        <v>594</v>
      </c>
      <c r="B81" s="50" t="s">
        <v>594</v>
      </c>
      <c r="C81" s="50" t="s">
        <v>595</v>
      </c>
      <c r="D81" s="50" t="s">
        <v>526</v>
      </c>
      <c r="E81" s="50" t="s">
        <v>540</v>
      </c>
      <c r="F81" s="50" t="s">
        <v>528</v>
      </c>
      <c r="G81" s="50" t="s">
        <v>516</v>
      </c>
      <c r="H81" s="50" t="s">
        <v>533</v>
      </c>
      <c r="I81" s="50" t="s">
        <v>364</v>
      </c>
      <c r="J81" s="50" t="s">
        <v>518</v>
      </c>
      <c r="K81" s="50" t="s">
        <v>518</v>
      </c>
      <c r="L81" s="50" t="s">
        <v>530</v>
      </c>
      <c r="M81" s="50" t="s">
        <v>382</v>
      </c>
      <c r="N81" s="51">
        <v>-727.32</v>
      </c>
    </row>
    <row r="82" spans="1:14" x14ac:dyDescent="0.3">
      <c r="A82" s="50" t="s">
        <v>594</v>
      </c>
      <c r="B82" s="50" t="s">
        <v>594</v>
      </c>
      <c r="C82" s="50" t="s">
        <v>595</v>
      </c>
      <c r="D82" s="50" t="s">
        <v>526</v>
      </c>
      <c r="E82" s="50" t="s">
        <v>540</v>
      </c>
      <c r="F82" s="50" t="s">
        <v>528</v>
      </c>
      <c r="G82" s="50" t="s">
        <v>516</v>
      </c>
      <c r="H82" s="50" t="s">
        <v>530</v>
      </c>
      <c r="I82" s="50" t="s">
        <v>382</v>
      </c>
      <c r="J82" s="50" t="s">
        <v>518</v>
      </c>
      <c r="K82" s="50" t="s">
        <v>518</v>
      </c>
      <c r="L82" s="50" t="s">
        <v>533</v>
      </c>
      <c r="M82" s="50" t="s">
        <v>364</v>
      </c>
      <c r="N82" s="51">
        <v>727.32</v>
      </c>
    </row>
    <row r="83" spans="1:14" x14ac:dyDescent="0.3">
      <c r="A83" s="50" t="s">
        <v>594</v>
      </c>
      <c r="B83" s="50" t="s">
        <v>594</v>
      </c>
      <c r="C83" s="50" t="s">
        <v>595</v>
      </c>
      <c r="D83" s="50" t="s">
        <v>526</v>
      </c>
      <c r="E83" s="50" t="s">
        <v>541</v>
      </c>
      <c r="F83" s="50" t="s">
        <v>528</v>
      </c>
      <c r="G83" s="50" t="s">
        <v>516</v>
      </c>
      <c r="H83" s="50" t="s">
        <v>542</v>
      </c>
      <c r="I83" s="50" t="s">
        <v>369</v>
      </c>
      <c r="J83" s="50" t="s">
        <v>518</v>
      </c>
      <c r="K83" s="50" t="s">
        <v>518</v>
      </c>
      <c r="L83" s="50" t="s">
        <v>530</v>
      </c>
      <c r="M83" s="50" t="s">
        <v>382</v>
      </c>
      <c r="N83" s="51">
        <v>-1</v>
      </c>
    </row>
    <row r="84" spans="1:14" x14ac:dyDescent="0.3">
      <c r="A84" s="50" t="s">
        <v>594</v>
      </c>
      <c r="B84" s="50" t="s">
        <v>594</v>
      </c>
      <c r="C84" s="50" t="s">
        <v>595</v>
      </c>
      <c r="D84" s="50" t="s">
        <v>526</v>
      </c>
      <c r="E84" s="50" t="s">
        <v>541</v>
      </c>
      <c r="F84" s="50" t="s">
        <v>528</v>
      </c>
      <c r="G84" s="50" t="s">
        <v>516</v>
      </c>
      <c r="H84" s="50" t="s">
        <v>530</v>
      </c>
      <c r="I84" s="50" t="s">
        <v>382</v>
      </c>
      <c r="J84" s="50" t="s">
        <v>518</v>
      </c>
      <c r="K84" s="50" t="s">
        <v>518</v>
      </c>
      <c r="L84" s="50" t="s">
        <v>533</v>
      </c>
      <c r="M84" s="50" t="s">
        <v>364</v>
      </c>
      <c r="N84" s="51">
        <v>1</v>
      </c>
    </row>
    <row r="85" spans="1:14" x14ac:dyDescent="0.3">
      <c r="A85" s="50" t="s">
        <v>594</v>
      </c>
      <c r="B85" s="50" t="s">
        <v>594</v>
      </c>
      <c r="C85" s="50" t="s">
        <v>595</v>
      </c>
      <c r="D85" s="50" t="s">
        <v>526</v>
      </c>
      <c r="E85" s="50" t="s">
        <v>562</v>
      </c>
      <c r="F85" s="50" t="s">
        <v>528</v>
      </c>
      <c r="G85" s="50" t="s">
        <v>391</v>
      </c>
      <c r="H85" s="50" t="s">
        <v>563</v>
      </c>
      <c r="I85" s="50" t="s">
        <v>264</v>
      </c>
      <c r="J85" s="50" t="s">
        <v>518</v>
      </c>
      <c r="K85" s="50" t="s">
        <v>518</v>
      </c>
      <c r="L85" s="50" t="s">
        <v>530</v>
      </c>
      <c r="M85" s="50" t="s">
        <v>382</v>
      </c>
      <c r="N85" s="51">
        <v>-1.79</v>
      </c>
    </row>
    <row r="86" spans="1:14" x14ac:dyDescent="0.3">
      <c r="A86" s="50" t="s">
        <v>594</v>
      </c>
      <c r="B86" s="50" t="s">
        <v>594</v>
      </c>
      <c r="C86" s="50" t="s">
        <v>595</v>
      </c>
      <c r="D86" s="50" t="s">
        <v>526</v>
      </c>
      <c r="E86" s="50" t="s">
        <v>543</v>
      </c>
      <c r="F86" s="50" t="s">
        <v>528</v>
      </c>
      <c r="G86" s="50" t="s">
        <v>516</v>
      </c>
      <c r="H86" s="50" t="s">
        <v>529</v>
      </c>
      <c r="I86" s="50" t="s">
        <v>363</v>
      </c>
      <c r="J86" s="50" t="s">
        <v>518</v>
      </c>
      <c r="K86" s="50" t="s">
        <v>518</v>
      </c>
      <c r="L86" s="50" t="s">
        <v>533</v>
      </c>
      <c r="M86" s="50" t="s">
        <v>364</v>
      </c>
      <c r="N86" s="51">
        <v>204.1</v>
      </c>
    </row>
    <row r="87" spans="1:14" x14ac:dyDescent="0.3">
      <c r="A87" s="50" t="s">
        <v>594</v>
      </c>
      <c r="B87" s="50" t="s">
        <v>594</v>
      </c>
      <c r="C87" s="50" t="s">
        <v>595</v>
      </c>
      <c r="D87" s="50" t="s">
        <v>526</v>
      </c>
      <c r="E87" s="50" t="s">
        <v>518</v>
      </c>
      <c r="F87" s="50" t="s">
        <v>528</v>
      </c>
      <c r="G87" s="50" t="s">
        <v>516</v>
      </c>
      <c r="H87" s="50" t="s">
        <v>544</v>
      </c>
      <c r="I87" s="50" t="s">
        <v>368</v>
      </c>
      <c r="J87" s="50" t="s">
        <v>518</v>
      </c>
      <c r="K87" s="50" t="s">
        <v>518</v>
      </c>
      <c r="L87" s="50" t="s">
        <v>530</v>
      </c>
      <c r="M87" s="50" t="s">
        <v>382</v>
      </c>
      <c r="N87" s="51">
        <v>-53.78</v>
      </c>
    </row>
    <row r="88" spans="1:14" x14ac:dyDescent="0.3">
      <c r="A88" s="50" t="s">
        <v>594</v>
      </c>
      <c r="B88" s="50" t="s">
        <v>594</v>
      </c>
      <c r="C88" s="50" t="s">
        <v>595</v>
      </c>
      <c r="D88" s="50" t="s">
        <v>526</v>
      </c>
      <c r="E88" s="50" t="s">
        <v>518</v>
      </c>
      <c r="F88" s="50" t="s">
        <v>528</v>
      </c>
      <c r="G88" s="50" t="s">
        <v>391</v>
      </c>
      <c r="H88" s="50" t="s">
        <v>544</v>
      </c>
      <c r="I88" s="50" t="s">
        <v>368</v>
      </c>
      <c r="J88" s="50" t="s">
        <v>518</v>
      </c>
      <c r="K88" s="50" t="s">
        <v>518</v>
      </c>
      <c r="L88" s="50" t="s">
        <v>530</v>
      </c>
      <c r="M88" s="50" t="s">
        <v>382</v>
      </c>
      <c r="N88" s="51">
        <v>23.78</v>
      </c>
    </row>
    <row r="89" spans="1:14" x14ac:dyDescent="0.3">
      <c r="A89" s="50" t="s">
        <v>594</v>
      </c>
      <c r="B89" s="50" t="s">
        <v>594</v>
      </c>
      <c r="C89" s="50" t="s">
        <v>596</v>
      </c>
      <c r="D89" s="50" t="s">
        <v>565</v>
      </c>
      <c r="E89" s="50" t="s">
        <v>518</v>
      </c>
      <c r="F89" s="50" t="s">
        <v>566</v>
      </c>
      <c r="G89" s="50" t="s">
        <v>391</v>
      </c>
      <c r="H89" s="50" t="s">
        <v>574</v>
      </c>
      <c r="I89" s="50" t="s">
        <v>392</v>
      </c>
      <c r="J89" s="50" t="s">
        <v>518</v>
      </c>
      <c r="K89" s="50" t="s">
        <v>518</v>
      </c>
      <c r="L89" s="50" t="s">
        <v>568</v>
      </c>
      <c r="M89" s="50" t="s">
        <v>401</v>
      </c>
      <c r="N89" s="51">
        <v>5.08</v>
      </c>
    </row>
    <row r="90" spans="1:14" x14ac:dyDescent="0.3">
      <c r="A90" s="50" t="s">
        <v>594</v>
      </c>
      <c r="B90" s="50" t="s">
        <v>594</v>
      </c>
      <c r="C90" s="50" t="s">
        <v>596</v>
      </c>
      <c r="D90" s="50" t="s">
        <v>565</v>
      </c>
      <c r="E90" s="50" t="s">
        <v>518</v>
      </c>
      <c r="F90" s="50" t="s">
        <v>566</v>
      </c>
      <c r="G90" s="50" t="s">
        <v>391</v>
      </c>
      <c r="H90" s="50" t="s">
        <v>568</v>
      </c>
      <c r="I90" s="50" t="s">
        <v>401</v>
      </c>
      <c r="J90" s="50" t="s">
        <v>518</v>
      </c>
      <c r="K90" s="50" t="s">
        <v>518</v>
      </c>
      <c r="L90" s="50" t="s">
        <v>574</v>
      </c>
      <c r="M90" s="50" t="s">
        <v>392</v>
      </c>
      <c r="N90" s="51">
        <v>-5.08</v>
      </c>
    </row>
    <row r="91" spans="1:14" x14ac:dyDescent="0.3">
      <c r="A91" s="50" t="s">
        <v>597</v>
      </c>
      <c r="B91" s="50" t="s">
        <v>597</v>
      </c>
      <c r="C91" s="50" t="s">
        <v>598</v>
      </c>
      <c r="D91" s="50" t="s">
        <v>548</v>
      </c>
      <c r="E91" s="50" t="s">
        <v>599</v>
      </c>
      <c r="F91" s="50" t="s">
        <v>550</v>
      </c>
      <c r="G91" s="50" t="s">
        <v>516</v>
      </c>
      <c r="H91" s="50" t="s">
        <v>600</v>
      </c>
      <c r="I91" s="50" t="s">
        <v>296</v>
      </c>
      <c r="J91" s="50" t="s">
        <v>518</v>
      </c>
      <c r="K91" s="50" t="s">
        <v>518</v>
      </c>
      <c r="L91" s="50" t="s">
        <v>601</v>
      </c>
      <c r="M91" s="50" t="s">
        <v>602</v>
      </c>
      <c r="N91" s="51">
        <v>450</v>
      </c>
    </row>
    <row r="92" spans="1:14" x14ac:dyDescent="0.3">
      <c r="A92" s="50" t="s">
        <v>597</v>
      </c>
      <c r="B92" s="50" t="s">
        <v>597</v>
      </c>
      <c r="C92" s="50" t="s">
        <v>598</v>
      </c>
      <c r="D92" s="50" t="s">
        <v>548</v>
      </c>
      <c r="E92" s="50" t="s">
        <v>599</v>
      </c>
      <c r="F92" s="50" t="s">
        <v>550</v>
      </c>
      <c r="G92" s="50" t="s">
        <v>516</v>
      </c>
      <c r="H92" s="50" t="s">
        <v>521</v>
      </c>
      <c r="I92" s="50" t="s">
        <v>367</v>
      </c>
      <c r="J92" s="50" t="s">
        <v>601</v>
      </c>
      <c r="K92" s="50" t="s">
        <v>603</v>
      </c>
      <c r="L92" s="50" t="s">
        <v>600</v>
      </c>
      <c r="M92" s="50" t="s">
        <v>296</v>
      </c>
      <c r="N92" s="51">
        <v>-450</v>
      </c>
    </row>
    <row r="93" spans="1:14" x14ac:dyDescent="0.3">
      <c r="A93" s="50" t="s">
        <v>597</v>
      </c>
      <c r="B93" s="50" t="s">
        <v>597</v>
      </c>
      <c r="C93" s="50" t="s">
        <v>604</v>
      </c>
      <c r="D93" s="50" t="s">
        <v>526</v>
      </c>
      <c r="E93" s="50" t="s">
        <v>527</v>
      </c>
      <c r="F93" s="50" t="s">
        <v>528</v>
      </c>
      <c r="G93" s="50" t="s">
        <v>516</v>
      </c>
      <c r="H93" s="50" t="s">
        <v>529</v>
      </c>
      <c r="I93" s="50" t="s">
        <v>363</v>
      </c>
      <c r="J93" s="50" t="s">
        <v>518</v>
      </c>
      <c r="K93" s="50" t="s">
        <v>518</v>
      </c>
      <c r="L93" s="50" t="s">
        <v>533</v>
      </c>
      <c r="M93" s="50" t="s">
        <v>364</v>
      </c>
      <c r="N93" s="51">
        <v>142</v>
      </c>
    </row>
    <row r="94" spans="1:14" x14ac:dyDescent="0.3">
      <c r="A94" s="50" t="s">
        <v>597</v>
      </c>
      <c r="B94" s="50" t="s">
        <v>597</v>
      </c>
      <c r="C94" s="50" t="s">
        <v>604</v>
      </c>
      <c r="D94" s="50" t="s">
        <v>526</v>
      </c>
      <c r="E94" s="50" t="s">
        <v>556</v>
      </c>
      <c r="F94" s="50" t="s">
        <v>528</v>
      </c>
      <c r="G94" s="50" t="s">
        <v>516</v>
      </c>
      <c r="H94" s="50" t="s">
        <v>529</v>
      </c>
      <c r="I94" s="50" t="s">
        <v>363</v>
      </c>
      <c r="J94" s="50" t="s">
        <v>518</v>
      </c>
      <c r="K94" s="50" t="s">
        <v>518</v>
      </c>
      <c r="L94" s="50" t="s">
        <v>533</v>
      </c>
      <c r="M94" s="50" t="s">
        <v>364</v>
      </c>
      <c r="N94" s="51">
        <v>53.78</v>
      </c>
    </row>
    <row r="95" spans="1:14" x14ac:dyDescent="0.3">
      <c r="A95" s="50" t="s">
        <v>597</v>
      </c>
      <c r="B95" s="50" t="s">
        <v>597</v>
      </c>
      <c r="C95" s="50" t="s">
        <v>604</v>
      </c>
      <c r="D95" s="50" t="s">
        <v>526</v>
      </c>
      <c r="E95" s="50" t="s">
        <v>557</v>
      </c>
      <c r="F95" s="50" t="s">
        <v>528</v>
      </c>
      <c r="G95" s="50" t="s">
        <v>516</v>
      </c>
      <c r="H95" s="50" t="s">
        <v>558</v>
      </c>
      <c r="I95" s="50" t="s">
        <v>386</v>
      </c>
      <c r="J95" s="50" t="s">
        <v>518</v>
      </c>
      <c r="K95" s="50" t="s">
        <v>518</v>
      </c>
      <c r="L95" s="50" t="s">
        <v>530</v>
      </c>
      <c r="M95" s="50" t="s">
        <v>382</v>
      </c>
      <c r="N95" s="51">
        <v>-87</v>
      </c>
    </row>
    <row r="96" spans="1:14" x14ac:dyDescent="0.3">
      <c r="A96" s="50" t="s">
        <v>597</v>
      </c>
      <c r="B96" s="50" t="s">
        <v>597</v>
      </c>
      <c r="C96" s="50" t="s">
        <v>604</v>
      </c>
      <c r="D96" s="50" t="s">
        <v>526</v>
      </c>
      <c r="E96" s="50" t="s">
        <v>534</v>
      </c>
      <c r="F96" s="50" t="s">
        <v>528</v>
      </c>
      <c r="G96" s="50" t="s">
        <v>516</v>
      </c>
      <c r="H96" s="50" t="s">
        <v>535</v>
      </c>
      <c r="I96" s="50" t="s">
        <v>371</v>
      </c>
      <c r="J96" s="50" t="s">
        <v>518</v>
      </c>
      <c r="K96" s="50" t="s">
        <v>518</v>
      </c>
      <c r="L96" s="50" t="s">
        <v>530</v>
      </c>
      <c r="M96" s="50" t="s">
        <v>382</v>
      </c>
      <c r="N96" s="51">
        <v>-1178.9100000000001</v>
      </c>
    </row>
    <row r="97" spans="1:14" x14ac:dyDescent="0.3">
      <c r="A97" s="50" t="s">
        <v>597</v>
      </c>
      <c r="B97" s="50" t="s">
        <v>597</v>
      </c>
      <c r="C97" s="50" t="s">
        <v>604</v>
      </c>
      <c r="D97" s="50" t="s">
        <v>526</v>
      </c>
      <c r="E97" s="50" t="s">
        <v>559</v>
      </c>
      <c r="F97" s="50" t="s">
        <v>528</v>
      </c>
      <c r="G97" s="50" t="s">
        <v>516</v>
      </c>
      <c r="H97" s="50" t="s">
        <v>529</v>
      </c>
      <c r="I97" s="50" t="s">
        <v>363</v>
      </c>
      <c r="J97" s="50" t="s">
        <v>518</v>
      </c>
      <c r="K97" s="50" t="s">
        <v>518</v>
      </c>
      <c r="L97" s="50" t="s">
        <v>533</v>
      </c>
      <c r="M97" s="50" t="s">
        <v>364</v>
      </c>
      <c r="N97" s="51">
        <v>117</v>
      </c>
    </row>
    <row r="98" spans="1:14" x14ac:dyDescent="0.3">
      <c r="A98" s="50" t="s">
        <v>597</v>
      </c>
      <c r="B98" s="50" t="s">
        <v>597</v>
      </c>
      <c r="C98" s="50" t="s">
        <v>604</v>
      </c>
      <c r="D98" s="50" t="s">
        <v>526</v>
      </c>
      <c r="E98" s="50" t="s">
        <v>539</v>
      </c>
      <c r="F98" s="50" t="s">
        <v>528</v>
      </c>
      <c r="G98" s="50" t="s">
        <v>516</v>
      </c>
      <c r="H98" s="50" t="s">
        <v>529</v>
      </c>
      <c r="I98" s="50" t="s">
        <v>363</v>
      </c>
      <c r="J98" s="50" t="s">
        <v>518</v>
      </c>
      <c r="K98" s="50" t="s">
        <v>518</v>
      </c>
      <c r="L98" s="50" t="s">
        <v>533</v>
      </c>
      <c r="M98" s="50" t="s">
        <v>364</v>
      </c>
      <c r="N98" s="51">
        <v>132</v>
      </c>
    </row>
    <row r="99" spans="1:14" x14ac:dyDescent="0.3">
      <c r="A99" s="50" t="s">
        <v>597</v>
      </c>
      <c r="B99" s="50" t="s">
        <v>597</v>
      </c>
      <c r="C99" s="50" t="s">
        <v>604</v>
      </c>
      <c r="D99" s="50" t="s">
        <v>526</v>
      </c>
      <c r="E99" s="50" t="s">
        <v>420</v>
      </c>
      <c r="F99" s="50" t="s">
        <v>528</v>
      </c>
      <c r="G99" s="50" t="s">
        <v>391</v>
      </c>
      <c r="H99" s="50" t="s">
        <v>561</v>
      </c>
      <c r="I99" s="50" t="s">
        <v>269</v>
      </c>
      <c r="J99" s="50" t="s">
        <v>518</v>
      </c>
      <c r="K99" s="50" t="s">
        <v>518</v>
      </c>
      <c r="L99" s="50" t="s">
        <v>530</v>
      </c>
      <c r="M99" s="50" t="s">
        <v>382</v>
      </c>
      <c r="N99" s="51">
        <v>-65.97</v>
      </c>
    </row>
    <row r="100" spans="1:14" x14ac:dyDescent="0.3">
      <c r="A100" s="50" t="s">
        <v>597</v>
      </c>
      <c r="B100" s="50" t="s">
        <v>597</v>
      </c>
      <c r="C100" s="50" t="s">
        <v>604</v>
      </c>
      <c r="D100" s="50" t="s">
        <v>526</v>
      </c>
      <c r="E100" s="50" t="s">
        <v>540</v>
      </c>
      <c r="F100" s="50" t="s">
        <v>528</v>
      </c>
      <c r="G100" s="50" t="s">
        <v>516</v>
      </c>
      <c r="H100" s="50" t="s">
        <v>533</v>
      </c>
      <c r="I100" s="50" t="s">
        <v>364</v>
      </c>
      <c r="J100" s="50" t="s">
        <v>518</v>
      </c>
      <c r="K100" s="50" t="s">
        <v>518</v>
      </c>
      <c r="L100" s="50" t="s">
        <v>530</v>
      </c>
      <c r="M100" s="50" t="s">
        <v>382</v>
      </c>
      <c r="N100" s="51">
        <v>-1662</v>
      </c>
    </row>
    <row r="101" spans="1:14" x14ac:dyDescent="0.3">
      <c r="A101" s="50" t="s">
        <v>597</v>
      </c>
      <c r="B101" s="50" t="s">
        <v>597</v>
      </c>
      <c r="C101" s="50" t="s">
        <v>604</v>
      </c>
      <c r="D101" s="50" t="s">
        <v>526</v>
      </c>
      <c r="E101" s="50" t="s">
        <v>540</v>
      </c>
      <c r="F101" s="50" t="s">
        <v>528</v>
      </c>
      <c r="G101" s="50" t="s">
        <v>516</v>
      </c>
      <c r="H101" s="50" t="s">
        <v>530</v>
      </c>
      <c r="I101" s="50" t="s">
        <v>382</v>
      </c>
      <c r="J101" s="50" t="s">
        <v>518</v>
      </c>
      <c r="K101" s="50" t="s">
        <v>518</v>
      </c>
      <c r="L101" s="50" t="s">
        <v>533</v>
      </c>
      <c r="M101" s="50" t="s">
        <v>364</v>
      </c>
      <c r="N101" s="51">
        <v>1662</v>
      </c>
    </row>
    <row r="102" spans="1:14" x14ac:dyDescent="0.3">
      <c r="A102" s="50" t="s">
        <v>597</v>
      </c>
      <c r="B102" s="50" t="s">
        <v>597</v>
      </c>
      <c r="C102" s="50" t="s">
        <v>604</v>
      </c>
      <c r="D102" s="50" t="s">
        <v>526</v>
      </c>
      <c r="E102" s="50" t="s">
        <v>541</v>
      </c>
      <c r="F102" s="50" t="s">
        <v>528</v>
      </c>
      <c r="G102" s="50" t="s">
        <v>516</v>
      </c>
      <c r="H102" s="50" t="s">
        <v>542</v>
      </c>
      <c r="I102" s="50" t="s">
        <v>369</v>
      </c>
      <c r="J102" s="50" t="s">
        <v>518</v>
      </c>
      <c r="K102" s="50" t="s">
        <v>518</v>
      </c>
      <c r="L102" s="50" t="s">
        <v>530</v>
      </c>
      <c r="M102" s="50" t="s">
        <v>382</v>
      </c>
      <c r="N102" s="51">
        <v>-80</v>
      </c>
    </row>
    <row r="103" spans="1:14" x14ac:dyDescent="0.3">
      <c r="A103" s="50" t="s">
        <v>597</v>
      </c>
      <c r="B103" s="50" t="s">
        <v>597</v>
      </c>
      <c r="C103" s="50" t="s">
        <v>604</v>
      </c>
      <c r="D103" s="50" t="s">
        <v>526</v>
      </c>
      <c r="E103" s="50" t="s">
        <v>541</v>
      </c>
      <c r="F103" s="50" t="s">
        <v>528</v>
      </c>
      <c r="G103" s="50" t="s">
        <v>516</v>
      </c>
      <c r="H103" s="50" t="s">
        <v>530</v>
      </c>
      <c r="I103" s="50" t="s">
        <v>382</v>
      </c>
      <c r="J103" s="50" t="s">
        <v>518</v>
      </c>
      <c r="K103" s="50" t="s">
        <v>518</v>
      </c>
      <c r="L103" s="50" t="s">
        <v>533</v>
      </c>
      <c r="M103" s="50" t="s">
        <v>364</v>
      </c>
      <c r="N103" s="51">
        <v>80</v>
      </c>
    </row>
    <row r="104" spans="1:14" x14ac:dyDescent="0.3">
      <c r="A104" s="50" t="s">
        <v>597</v>
      </c>
      <c r="B104" s="50" t="s">
        <v>597</v>
      </c>
      <c r="C104" s="50" t="s">
        <v>604</v>
      </c>
      <c r="D104" s="50" t="s">
        <v>526</v>
      </c>
      <c r="E104" s="50" t="s">
        <v>605</v>
      </c>
      <c r="F104" s="50" t="s">
        <v>528</v>
      </c>
      <c r="G104" s="50" t="s">
        <v>516</v>
      </c>
      <c r="H104" s="50" t="s">
        <v>606</v>
      </c>
      <c r="I104" s="50" t="s">
        <v>377</v>
      </c>
      <c r="J104" s="50" t="s">
        <v>518</v>
      </c>
      <c r="K104" s="50" t="s">
        <v>518</v>
      </c>
      <c r="L104" s="50" t="s">
        <v>530</v>
      </c>
      <c r="M104" s="50" t="s">
        <v>382</v>
      </c>
      <c r="N104" s="51">
        <v>-310</v>
      </c>
    </row>
    <row r="105" spans="1:14" x14ac:dyDescent="0.3">
      <c r="A105" s="50" t="s">
        <v>597</v>
      </c>
      <c r="B105" s="50" t="s">
        <v>597</v>
      </c>
      <c r="C105" s="50" t="s">
        <v>604</v>
      </c>
      <c r="D105" s="50" t="s">
        <v>526</v>
      </c>
      <c r="E105" s="50" t="s">
        <v>562</v>
      </c>
      <c r="F105" s="50" t="s">
        <v>528</v>
      </c>
      <c r="G105" s="50" t="s">
        <v>391</v>
      </c>
      <c r="H105" s="50" t="s">
        <v>563</v>
      </c>
      <c r="I105" s="50" t="s">
        <v>264</v>
      </c>
      <c r="J105" s="50" t="s">
        <v>518</v>
      </c>
      <c r="K105" s="50" t="s">
        <v>518</v>
      </c>
      <c r="L105" s="50" t="s">
        <v>530</v>
      </c>
      <c r="M105" s="50" t="s">
        <v>382</v>
      </c>
      <c r="N105" s="51">
        <v>-5.37</v>
      </c>
    </row>
    <row r="106" spans="1:14" x14ac:dyDescent="0.3">
      <c r="A106" s="50" t="s">
        <v>597</v>
      </c>
      <c r="B106" s="50" t="s">
        <v>597</v>
      </c>
      <c r="C106" s="50" t="s">
        <v>604</v>
      </c>
      <c r="D106" s="50" t="s">
        <v>526</v>
      </c>
      <c r="E106" s="50" t="s">
        <v>543</v>
      </c>
      <c r="F106" s="50" t="s">
        <v>528</v>
      </c>
      <c r="G106" s="50" t="s">
        <v>516</v>
      </c>
      <c r="H106" s="50" t="s">
        <v>529</v>
      </c>
      <c r="I106" s="50" t="s">
        <v>363</v>
      </c>
      <c r="J106" s="50" t="s">
        <v>518</v>
      </c>
      <c r="K106" s="50" t="s">
        <v>518</v>
      </c>
      <c r="L106" s="50" t="s">
        <v>533</v>
      </c>
      <c r="M106" s="50" t="s">
        <v>364</v>
      </c>
      <c r="N106" s="51">
        <v>1292.47</v>
      </c>
    </row>
    <row r="107" spans="1:14" x14ac:dyDescent="0.3">
      <c r="A107" s="50" t="s">
        <v>597</v>
      </c>
      <c r="B107" s="50" t="s">
        <v>597</v>
      </c>
      <c r="C107" s="50" t="s">
        <v>604</v>
      </c>
      <c r="D107" s="50" t="s">
        <v>526</v>
      </c>
      <c r="E107" s="50" t="s">
        <v>518</v>
      </c>
      <c r="F107" s="50" t="s">
        <v>528</v>
      </c>
      <c r="G107" s="50" t="s">
        <v>516</v>
      </c>
      <c r="H107" s="50" t="s">
        <v>544</v>
      </c>
      <c r="I107" s="50" t="s">
        <v>368</v>
      </c>
      <c r="J107" s="50" t="s">
        <v>518</v>
      </c>
      <c r="K107" s="50" t="s">
        <v>518</v>
      </c>
      <c r="L107" s="50" t="s">
        <v>530</v>
      </c>
      <c r="M107" s="50" t="s">
        <v>382</v>
      </c>
      <c r="N107" s="51">
        <v>-161.34</v>
      </c>
    </row>
    <row r="108" spans="1:14" x14ac:dyDescent="0.3">
      <c r="A108" s="50" t="s">
        <v>597</v>
      </c>
      <c r="B108" s="50" t="s">
        <v>597</v>
      </c>
      <c r="C108" s="50" t="s">
        <v>604</v>
      </c>
      <c r="D108" s="50" t="s">
        <v>526</v>
      </c>
      <c r="E108" s="50" t="s">
        <v>518</v>
      </c>
      <c r="F108" s="50" t="s">
        <v>528</v>
      </c>
      <c r="G108" s="50" t="s">
        <v>391</v>
      </c>
      <c r="H108" s="50" t="s">
        <v>544</v>
      </c>
      <c r="I108" s="50" t="s">
        <v>368</v>
      </c>
      <c r="J108" s="50" t="s">
        <v>518</v>
      </c>
      <c r="K108" s="50" t="s">
        <v>518</v>
      </c>
      <c r="L108" s="50" t="s">
        <v>530</v>
      </c>
      <c r="M108" s="50" t="s">
        <v>382</v>
      </c>
      <c r="N108" s="51">
        <v>71.34</v>
      </c>
    </row>
    <row r="109" spans="1:14" x14ac:dyDescent="0.3">
      <c r="A109" s="50" t="s">
        <v>597</v>
      </c>
      <c r="B109" s="50" t="s">
        <v>597</v>
      </c>
      <c r="C109" s="50" t="s">
        <v>607</v>
      </c>
      <c r="D109" s="50" t="s">
        <v>565</v>
      </c>
      <c r="E109" s="50" t="s">
        <v>518</v>
      </c>
      <c r="F109" s="50" t="s">
        <v>566</v>
      </c>
      <c r="G109" s="50" t="s">
        <v>391</v>
      </c>
      <c r="H109" s="50" t="s">
        <v>567</v>
      </c>
      <c r="I109" s="50" t="s">
        <v>395</v>
      </c>
      <c r="J109" s="50" t="s">
        <v>518</v>
      </c>
      <c r="K109" s="50" t="s">
        <v>518</v>
      </c>
      <c r="L109" s="50" t="s">
        <v>568</v>
      </c>
      <c r="M109" s="50" t="s">
        <v>401</v>
      </c>
      <c r="N109" s="51">
        <v>5.08</v>
      </c>
    </row>
    <row r="110" spans="1:14" x14ac:dyDescent="0.3">
      <c r="A110" s="50" t="s">
        <v>597</v>
      </c>
      <c r="B110" s="50" t="s">
        <v>597</v>
      </c>
      <c r="C110" s="50" t="s">
        <v>607</v>
      </c>
      <c r="D110" s="50" t="s">
        <v>565</v>
      </c>
      <c r="E110" s="50" t="s">
        <v>518</v>
      </c>
      <c r="F110" s="50" t="s">
        <v>566</v>
      </c>
      <c r="G110" s="50" t="s">
        <v>391</v>
      </c>
      <c r="H110" s="50" t="s">
        <v>568</v>
      </c>
      <c r="I110" s="50" t="s">
        <v>401</v>
      </c>
      <c r="J110" s="50" t="s">
        <v>518</v>
      </c>
      <c r="K110" s="50" t="s">
        <v>518</v>
      </c>
      <c r="L110" s="50" t="s">
        <v>567</v>
      </c>
      <c r="M110" s="50" t="s">
        <v>395</v>
      </c>
      <c r="N110" s="51">
        <v>-5.08</v>
      </c>
    </row>
    <row r="111" spans="1:14" x14ac:dyDescent="0.3">
      <c r="A111" s="50" t="s">
        <v>597</v>
      </c>
      <c r="B111" s="50" t="s">
        <v>597</v>
      </c>
      <c r="C111" s="50" t="s">
        <v>608</v>
      </c>
      <c r="D111" s="50" t="s">
        <v>565</v>
      </c>
      <c r="E111" s="50" t="s">
        <v>518</v>
      </c>
      <c r="F111" s="50" t="s">
        <v>566</v>
      </c>
      <c r="G111" s="50" t="s">
        <v>391</v>
      </c>
      <c r="H111" s="50" t="s">
        <v>574</v>
      </c>
      <c r="I111" s="50" t="s">
        <v>392</v>
      </c>
      <c r="J111" s="50" t="s">
        <v>518</v>
      </c>
      <c r="K111" s="50" t="s">
        <v>518</v>
      </c>
      <c r="L111" s="50" t="s">
        <v>568</v>
      </c>
      <c r="M111" s="50" t="s">
        <v>401</v>
      </c>
      <c r="N111" s="51">
        <v>5.08</v>
      </c>
    </row>
    <row r="112" spans="1:14" x14ac:dyDescent="0.3">
      <c r="A112" s="50" t="s">
        <v>597</v>
      </c>
      <c r="B112" s="50" t="s">
        <v>597</v>
      </c>
      <c r="C112" s="50" t="s">
        <v>608</v>
      </c>
      <c r="D112" s="50" t="s">
        <v>565</v>
      </c>
      <c r="E112" s="50" t="s">
        <v>518</v>
      </c>
      <c r="F112" s="50" t="s">
        <v>566</v>
      </c>
      <c r="G112" s="50" t="s">
        <v>391</v>
      </c>
      <c r="H112" s="50" t="s">
        <v>568</v>
      </c>
      <c r="I112" s="50" t="s">
        <v>401</v>
      </c>
      <c r="J112" s="50" t="s">
        <v>518</v>
      </c>
      <c r="K112" s="50" t="s">
        <v>518</v>
      </c>
      <c r="L112" s="50" t="s">
        <v>574</v>
      </c>
      <c r="M112" s="50" t="s">
        <v>392</v>
      </c>
      <c r="N112" s="51">
        <v>-5.08</v>
      </c>
    </row>
    <row r="113" spans="1:14" x14ac:dyDescent="0.3">
      <c r="A113" s="50" t="s">
        <v>597</v>
      </c>
      <c r="B113" s="50" t="s">
        <v>597</v>
      </c>
      <c r="C113" s="50" t="s">
        <v>609</v>
      </c>
      <c r="D113" s="50" t="s">
        <v>565</v>
      </c>
      <c r="E113" s="50" t="s">
        <v>518</v>
      </c>
      <c r="F113" s="50" t="s">
        <v>566</v>
      </c>
      <c r="G113" s="50" t="s">
        <v>391</v>
      </c>
      <c r="H113" s="50" t="s">
        <v>567</v>
      </c>
      <c r="I113" s="50" t="s">
        <v>395</v>
      </c>
      <c r="J113" s="50" t="s">
        <v>518</v>
      </c>
      <c r="K113" s="50" t="s">
        <v>518</v>
      </c>
      <c r="L113" s="50" t="s">
        <v>568</v>
      </c>
      <c r="M113" s="50" t="s">
        <v>401</v>
      </c>
      <c r="N113" s="51">
        <v>-10.16</v>
      </c>
    </row>
    <row r="114" spans="1:14" x14ac:dyDescent="0.3">
      <c r="A114" s="50" t="s">
        <v>597</v>
      </c>
      <c r="B114" s="50" t="s">
        <v>597</v>
      </c>
      <c r="C114" s="50" t="s">
        <v>609</v>
      </c>
      <c r="D114" s="50" t="s">
        <v>565</v>
      </c>
      <c r="E114" s="50" t="s">
        <v>518</v>
      </c>
      <c r="F114" s="50" t="s">
        <v>566</v>
      </c>
      <c r="G114" s="50" t="s">
        <v>391</v>
      </c>
      <c r="H114" s="50" t="s">
        <v>568</v>
      </c>
      <c r="I114" s="50" t="s">
        <v>401</v>
      </c>
      <c r="J114" s="50" t="s">
        <v>518</v>
      </c>
      <c r="K114" s="50" t="s">
        <v>518</v>
      </c>
      <c r="L114" s="50" t="s">
        <v>567</v>
      </c>
      <c r="M114" s="50" t="s">
        <v>395</v>
      </c>
      <c r="N114" s="51">
        <v>10.16</v>
      </c>
    </row>
    <row r="115" spans="1:14" x14ac:dyDescent="0.3">
      <c r="A115" s="50" t="s">
        <v>597</v>
      </c>
      <c r="B115" s="50" t="s">
        <v>597</v>
      </c>
      <c r="C115" s="50" t="s">
        <v>610</v>
      </c>
      <c r="D115" s="50" t="s">
        <v>565</v>
      </c>
      <c r="E115" s="50" t="s">
        <v>518</v>
      </c>
      <c r="F115" s="50" t="s">
        <v>566</v>
      </c>
      <c r="G115" s="50" t="s">
        <v>391</v>
      </c>
      <c r="H115" s="50" t="s">
        <v>574</v>
      </c>
      <c r="I115" s="50" t="s">
        <v>392</v>
      </c>
      <c r="J115" s="50" t="s">
        <v>518</v>
      </c>
      <c r="K115" s="50" t="s">
        <v>518</v>
      </c>
      <c r="L115" s="50" t="s">
        <v>568</v>
      </c>
      <c r="M115" s="50" t="s">
        <v>401</v>
      </c>
      <c r="N115" s="51">
        <v>5.08</v>
      </c>
    </row>
    <row r="116" spans="1:14" x14ac:dyDescent="0.3">
      <c r="A116" s="50" t="s">
        <v>597</v>
      </c>
      <c r="B116" s="50" t="s">
        <v>597</v>
      </c>
      <c r="C116" s="50" t="s">
        <v>610</v>
      </c>
      <c r="D116" s="50" t="s">
        <v>565</v>
      </c>
      <c r="E116" s="50" t="s">
        <v>518</v>
      </c>
      <c r="F116" s="50" t="s">
        <v>566</v>
      </c>
      <c r="G116" s="50" t="s">
        <v>391</v>
      </c>
      <c r="H116" s="50" t="s">
        <v>568</v>
      </c>
      <c r="I116" s="50" t="s">
        <v>401</v>
      </c>
      <c r="J116" s="50" t="s">
        <v>518</v>
      </c>
      <c r="K116" s="50" t="s">
        <v>518</v>
      </c>
      <c r="L116" s="50" t="s">
        <v>574</v>
      </c>
      <c r="M116" s="50" t="s">
        <v>392</v>
      </c>
      <c r="N116" s="51">
        <v>-5.08</v>
      </c>
    </row>
    <row r="117" spans="1:14" x14ac:dyDescent="0.3">
      <c r="A117" s="50" t="s">
        <v>597</v>
      </c>
      <c r="B117" s="50" t="s">
        <v>597</v>
      </c>
      <c r="C117" s="50" t="s">
        <v>611</v>
      </c>
      <c r="D117" s="50" t="s">
        <v>565</v>
      </c>
      <c r="E117" s="50" t="s">
        <v>518</v>
      </c>
      <c r="F117" s="50" t="s">
        <v>566</v>
      </c>
      <c r="G117" s="50" t="s">
        <v>391</v>
      </c>
      <c r="H117" s="50" t="s">
        <v>574</v>
      </c>
      <c r="I117" s="50" t="s">
        <v>392</v>
      </c>
      <c r="J117" s="50" t="s">
        <v>518</v>
      </c>
      <c r="K117" s="50" t="s">
        <v>518</v>
      </c>
      <c r="L117" s="50" t="s">
        <v>568</v>
      </c>
      <c r="M117" s="50" t="s">
        <v>401</v>
      </c>
      <c r="N117" s="51">
        <v>5.08</v>
      </c>
    </row>
    <row r="118" spans="1:14" x14ac:dyDescent="0.3">
      <c r="A118" s="50" t="s">
        <v>597</v>
      </c>
      <c r="B118" s="50" t="s">
        <v>597</v>
      </c>
      <c r="C118" s="50" t="s">
        <v>611</v>
      </c>
      <c r="D118" s="50" t="s">
        <v>565</v>
      </c>
      <c r="E118" s="50" t="s">
        <v>518</v>
      </c>
      <c r="F118" s="50" t="s">
        <v>566</v>
      </c>
      <c r="G118" s="50" t="s">
        <v>391</v>
      </c>
      <c r="H118" s="50" t="s">
        <v>568</v>
      </c>
      <c r="I118" s="50" t="s">
        <v>401</v>
      </c>
      <c r="J118" s="50" t="s">
        <v>518</v>
      </c>
      <c r="K118" s="50" t="s">
        <v>518</v>
      </c>
      <c r="L118" s="50" t="s">
        <v>574</v>
      </c>
      <c r="M118" s="50" t="s">
        <v>392</v>
      </c>
      <c r="N118" s="51">
        <v>-5.08</v>
      </c>
    </row>
    <row r="119" spans="1:14" x14ac:dyDescent="0.3">
      <c r="A119" s="50" t="s">
        <v>612</v>
      </c>
      <c r="B119" s="50" t="s">
        <v>612</v>
      </c>
      <c r="C119" s="50" t="s">
        <v>613</v>
      </c>
      <c r="D119" s="50" t="s">
        <v>614</v>
      </c>
      <c r="E119" s="50" t="s">
        <v>518</v>
      </c>
      <c r="F119" s="50" t="s">
        <v>615</v>
      </c>
      <c r="G119" s="50" t="s">
        <v>516</v>
      </c>
      <c r="H119" s="50" t="s">
        <v>521</v>
      </c>
      <c r="I119" s="50" t="s">
        <v>367</v>
      </c>
      <c r="J119" s="50" t="s">
        <v>552</v>
      </c>
      <c r="K119" s="50" t="s">
        <v>554</v>
      </c>
      <c r="L119" s="50" t="s">
        <v>544</v>
      </c>
      <c r="M119" s="50" t="s">
        <v>368</v>
      </c>
      <c r="N119" s="51">
        <v>162.38</v>
      </c>
    </row>
    <row r="120" spans="1:14" x14ac:dyDescent="0.3">
      <c r="A120" s="50" t="s">
        <v>612</v>
      </c>
      <c r="B120" s="50" t="s">
        <v>612</v>
      </c>
      <c r="C120" s="50" t="s">
        <v>613</v>
      </c>
      <c r="D120" s="50" t="s">
        <v>614</v>
      </c>
      <c r="E120" s="50" t="s">
        <v>518</v>
      </c>
      <c r="F120" s="50" t="s">
        <v>615</v>
      </c>
      <c r="G120" s="50" t="s">
        <v>516</v>
      </c>
      <c r="H120" s="50" t="s">
        <v>544</v>
      </c>
      <c r="I120" s="50" t="s">
        <v>368</v>
      </c>
      <c r="J120" s="50" t="s">
        <v>518</v>
      </c>
      <c r="K120" s="50" t="s">
        <v>518</v>
      </c>
      <c r="L120" s="50" t="s">
        <v>552</v>
      </c>
      <c r="M120" s="50" t="s">
        <v>553</v>
      </c>
      <c r="N120" s="51">
        <v>-162.38</v>
      </c>
    </row>
    <row r="121" spans="1:14" x14ac:dyDescent="0.3">
      <c r="A121" s="50" t="s">
        <v>612</v>
      </c>
      <c r="B121" s="50" t="s">
        <v>612</v>
      </c>
      <c r="C121" s="50" t="s">
        <v>616</v>
      </c>
      <c r="D121" s="50" t="s">
        <v>614</v>
      </c>
      <c r="E121" s="50" t="s">
        <v>518</v>
      </c>
      <c r="F121" s="50" t="s">
        <v>615</v>
      </c>
      <c r="G121" s="50" t="s">
        <v>516</v>
      </c>
      <c r="H121" s="50" t="s">
        <v>521</v>
      </c>
      <c r="I121" s="50" t="s">
        <v>367</v>
      </c>
      <c r="J121" s="50" t="s">
        <v>601</v>
      </c>
      <c r="K121" s="50" t="s">
        <v>603</v>
      </c>
      <c r="L121" s="50" t="s">
        <v>544</v>
      </c>
      <c r="M121" s="50" t="s">
        <v>368</v>
      </c>
      <c r="N121" s="51">
        <v>450</v>
      </c>
    </row>
    <row r="122" spans="1:14" x14ac:dyDescent="0.3">
      <c r="A122" s="50" t="s">
        <v>612</v>
      </c>
      <c r="B122" s="50" t="s">
        <v>612</v>
      </c>
      <c r="C122" s="50" t="s">
        <v>616</v>
      </c>
      <c r="D122" s="50" t="s">
        <v>614</v>
      </c>
      <c r="E122" s="50" t="s">
        <v>518</v>
      </c>
      <c r="F122" s="50" t="s">
        <v>615</v>
      </c>
      <c r="G122" s="50" t="s">
        <v>516</v>
      </c>
      <c r="H122" s="50" t="s">
        <v>544</v>
      </c>
      <c r="I122" s="50" t="s">
        <v>368</v>
      </c>
      <c r="J122" s="50" t="s">
        <v>518</v>
      </c>
      <c r="K122" s="50" t="s">
        <v>518</v>
      </c>
      <c r="L122" s="50" t="s">
        <v>601</v>
      </c>
      <c r="M122" s="50" t="s">
        <v>602</v>
      </c>
      <c r="N122" s="51">
        <v>-450</v>
      </c>
    </row>
    <row r="123" spans="1:14" x14ac:dyDescent="0.3">
      <c r="A123" s="50" t="s">
        <v>612</v>
      </c>
      <c r="B123" s="50" t="s">
        <v>612</v>
      </c>
      <c r="C123" s="50" t="s">
        <v>617</v>
      </c>
      <c r="D123" s="50" t="s">
        <v>526</v>
      </c>
      <c r="E123" s="50" t="s">
        <v>557</v>
      </c>
      <c r="F123" s="50" t="s">
        <v>528</v>
      </c>
      <c r="G123" s="50" t="s">
        <v>516</v>
      </c>
      <c r="H123" s="50" t="s">
        <v>558</v>
      </c>
      <c r="I123" s="50" t="s">
        <v>386</v>
      </c>
      <c r="J123" s="50" t="s">
        <v>518</v>
      </c>
      <c r="K123" s="50" t="s">
        <v>518</v>
      </c>
      <c r="L123" s="50" t="s">
        <v>530</v>
      </c>
      <c r="M123" s="50" t="s">
        <v>382</v>
      </c>
      <c r="N123" s="51">
        <v>-58</v>
      </c>
    </row>
    <row r="124" spans="1:14" x14ac:dyDescent="0.3">
      <c r="A124" s="50" t="s">
        <v>612</v>
      </c>
      <c r="B124" s="50" t="s">
        <v>612</v>
      </c>
      <c r="C124" s="50" t="s">
        <v>617</v>
      </c>
      <c r="D124" s="50" t="s">
        <v>526</v>
      </c>
      <c r="E124" s="50" t="s">
        <v>531</v>
      </c>
      <c r="F124" s="50" t="s">
        <v>528</v>
      </c>
      <c r="G124" s="50" t="s">
        <v>516</v>
      </c>
      <c r="H124" s="50" t="s">
        <v>532</v>
      </c>
      <c r="I124" s="50" t="s">
        <v>381</v>
      </c>
      <c r="J124" s="50" t="s">
        <v>518</v>
      </c>
      <c r="K124" s="50" t="s">
        <v>518</v>
      </c>
      <c r="L124" s="50" t="s">
        <v>530</v>
      </c>
      <c r="M124" s="50" t="s">
        <v>382</v>
      </c>
      <c r="N124" s="51">
        <v>-10</v>
      </c>
    </row>
    <row r="125" spans="1:14" x14ac:dyDescent="0.3">
      <c r="A125" s="50" t="s">
        <v>612</v>
      </c>
      <c r="B125" s="50" t="s">
        <v>612</v>
      </c>
      <c r="C125" s="50" t="s">
        <v>617</v>
      </c>
      <c r="D125" s="50" t="s">
        <v>526</v>
      </c>
      <c r="E125" s="50" t="s">
        <v>534</v>
      </c>
      <c r="F125" s="50" t="s">
        <v>528</v>
      </c>
      <c r="G125" s="50" t="s">
        <v>516</v>
      </c>
      <c r="H125" s="50" t="s">
        <v>535</v>
      </c>
      <c r="I125" s="50" t="s">
        <v>371</v>
      </c>
      <c r="J125" s="50" t="s">
        <v>518</v>
      </c>
      <c r="K125" s="50" t="s">
        <v>518</v>
      </c>
      <c r="L125" s="50" t="s">
        <v>530</v>
      </c>
      <c r="M125" s="50" t="s">
        <v>382</v>
      </c>
      <c r="N125" s="51">
        <v>-1372.8</v>
      </c>
    </row>
    <row r="126" spans="1:14" x14ac:dyDescent="0.3">
      <c r="A126" s="50" t="s">
        <v>612</v>
      </c>
      <c r="B126" s="50" t="s">
        <v>612</v>
      </c>
      <c r="C126" s="50" t="s">
        <v>617</v>
      </c>
      <c r="D126" s="50" t="s">
        <v>526</v>
      </c>
      <c r="E126" s="50" t="s">
        <v>559</v>
      </c>
      <c r="F126" s="50" t="s">
        <v>528</v>
      </c>
      <c r="G126" s="50" t="s">
        <v>516</v>
      </c>
      <c r="H126" s="50" t="s">
        <v>529</v>
      </c>
      <c r="I126" s="50" t="s">
        <v>363</v>
      </c>
      <c r="J126" s="50" t="s">
        <v>518</v>
      </c>
      <c r="K126" s="50" t="s">
        <v>518</v>
      </c>
      <c r="L126" s="50" t="s">
        <v>535</v>
      </c>
      <c r="M126" s="50" t="s">
        <v>371</v>
      </c>
      <c r="N126" s="51">
        <v>53.78</v>
      </c>
    </row>
    <row r="127" spans="1:14" x14ac:dyDescent="0.3">
      <c r="A127" s="50" t="s">
        <v>612</v>
      </c>
      <c r="B127" s="50" t="s">
        <v>612</v>
      </c>
      <c r="C127" s="50" t="s">
        <v>617</v>
      </c>
      <c r="D127" s="50" t="s">
        <v>526</v>
      </c>
      <c r="E127" s="50" t="s">
        <v>539</v>
      </c>
      <c r="F127" s="50" t="s">
        <v>528</v>
      </c>
      <c r="G127" s="50" t="s">
        <v>516</v>
      </c>
      <c r="H127" s="50" t="s">
        <v>529</v>
      </c>
      <c r="I127" s="50" t="s">
        <v>363</v>
      </c>
      <c r="J127" s="50" t="s">
        <v>518</v>
      </c>
      <c r="K127" s="50" t="s">
        <v>518</v>
      </c>
      <c r="L127" s="50" t="s">
        <v>535</v>
      </c>
      <c r="M127" s="50" t="s">
        <v>371</v>
      </c>
      <c r="N127" s="51">
        <v>283</v>
      </c>
    </row>
    <row r="128" spans="1:14" x14ac:dyDescent="0.3">
      <c r="A128" s="50" t="s">
        <v>612</v>
      </c>
      <c r="B128" s="50" t="s">
        <v>612</v>
      </c>
      <c r="C128" s="50" t="s">
        <v>617</v>
      </c>
      <c r="D128" s="50" t="s">
        <v>526</v>
      </c>
      <c r="E128" s="50" t="s">
        <v>420</v>
      </c>
      <c r="F128" s="50" t="s">
        <v>528</v>
      </c>
      <c r="G128" s="50" t="s">
        <v>391</v>
      </c>
      <c r="H128" s="50" t="s">
        <v>561</v>
      </c>
      <c r="I128" s="50" t="s">
        <v>269</v>
      </c>
      <c r="J128" s="50" t="s">
        <v>518</v>
      </c>
      <c r="K128" s="50" t="s">
        <v>518</v>
      </c>
      <c r="L128" s="50" t="s">
        <v>530</v>
      </c>
      <c r="M128" s="50" t="s">
        <v>382</v>
      </c>
      <c r="N128" s="51">
        <v>-43.98</v>
      </c>
    </row>
    <row r="129" spans="1:14" x14ac:dyDescent="0.3">
      <c r="A129" s="50" t="s">
        <v>612</v>
      </c>
      <c r="B129" s="50" t="s">
        <v>612</v>
      </c>
      <c r="C129" s="50" t="s">
        <v>617</v>
      </c>
      <c r="D129" s="50" t="s">
        <v>526</v>
      </c>
      <c r="E129" s="50" t="s">
        <v>540</v>
      </c>
      <c r="F129" s="50" t="s">
        <v>528</v>
      </c>
      <c r="G129" s="50" t="s">
        <v>516</v>
      </c>
      <c r="H129" s="50" t="s">
        <v>533</v>
      </c>
      <c r="I129" s="50" t="s">
        <v>364</v>
      </c>
      <c r="J129" s="50" t="s">
        <v>518</v>
      </c>
      <c r="K129" s="50" t="s">
        <v>518</v>
      </c>
      <c r="L129" s="50" t="s">
        <v>530</v>
      </c>
      <c r="M129" s="50" t="s">
        <v>382</v>
      </c>
      <c r="N129" s="51">
        <v>-1370.8</v>
      </c>
    </row>
    <row r="130" spans="1:14" x14ac:dyDescent="0.3">
      <c r="A130" s="50" t="s">
        <v>612</v>
      </c>
      <c r="B130" s="50" t="s">
        <v>612</v>
      </c>
      <c r="C130" s="50" t="s">
        <v>617</v>
      </c>
      <c r="D130" s="50" t="s">
        <v>526</v>
      </c>
      <c r="E130" s="50" t="s">
        <v>540</v>
      </c>
      <c r="F130" s="50" t="s">
        <v>528</v>
      </c>
      <c r="G130" s="50" t="s">
        <v>516</v>
      </c>
      <c r="H130" s="50" t="s">
        <v>530</v>
      </c>
      <c r="I130" s="50" t="s">
        <v>382</v>
      </c>
      <c r="J130" s="50" t="s">
        <v>518</v>
      </c>
      <c r="K130" s="50" t="s">
        <v>518</v>
      </c>
      <c r="L130" s="50" t="s">
        <v>535</v>
      </c>
      <c r="M130" s="50" t="s">
        <v>371</v>
      </c>
      <c r="N130" s="51">
        <v>1370.8</v>
      </c>
    </row>
    <row r="131" spans="1:14" x14ac:dyDescent="0.3">
      <c r="A131" s="50" t="s">
        <v>612</v>
      </c>
      <c r="B131" s="50" t="s">
        <v>612</v>
      </c>
      <c r="C131" s="50" t="s">
        <v>617</v>
      </c>
      <c r="D131" s="50" t="s">
        <v>526</v>
      </c>
      <c r="E131" s="50" t="s">
        <v>541</v>
      </c>
      <c r="F131" s="50" t="s">
        <v>528</v>
      </c>
      <c r="G131" s="50" t="s">
        <v>516</v>
      </c>
      <c r="H131" s="50" t="s">
        <v>542</v>
      </c>
      <c r="I131" s="50" t="s">
        <v>369</v>
      </c>
      <c r="J131" s="50" t="s">
        <v>518</v>
      </c>
      <c r="K131" s="50" t="s">
        <v>518</v>
      </c>
      <c r="L131" s="50" t="s">
        <v>530</v>
      </c>
      <c r="M131" s="50" t="s">
        <v>382</v>
      </c>
      <c r="N131" s="51">
        <v>-1</v>
      </c>
    </row>
    <row r="132" spans="1:14" x14ac:dyDescent="0.3">
      <c r="A132" s="50" t="s">
        <v>612</v>
      </c>
      <c r="B132" s="50" t="s">
        <v>612</v>
      </c>
      <c r="C132" s="50" t="s">
        <v>617</v>
      </c>
      <c r="D132" s="50" t="s">
        <v>526</v>
      </c>
      <c r="E132" s="50" t="s">
        <v>541</v>
      </c>
      <c r="F132" s="50" t="s">
        <v>528</v>
      </c>
      <c r="G132" s="50" t="s">
        <v>516</v>
      </c>
      <c r="H132" s="50" t="s">
        <v>530</v>
      </c>
      <c r="I132" s="50" t="s">
        <v>382</v>
      </c>
      <c r="J132" s="50" t="s">
        <v>518</v>
      </c>
      <c r="K132" s="50" t="s">
        <v>518</v>
      </c>
      <c r="L132" s="50" t="s">
        <v>535</v>
      </c>
      <c r="M132" s="50" t="s">
        <v>371</v>
      </c>
      <c r="N132" s="51">
        <v>1</v>
      </c>
    </row>
    <row r="133" spans="1:14" x14ac:dyDescent="0.3">
      <c r="A133" s="50" t="s">
        <v>612</v>
      </c>
      <c r="B133" s="50" t="s">
        <v>612</v>
      </c>
      <c r="C133" s="50" t="s">
        <v>617</v>
      </c>
      <c r="D133" s="50" t="s">
        <v>526</v>
      </c>
      <c r="E133" s="50" t="s">
        <v>562</v>
      </c>
      <c r="F133" s="50" t="s">
        <v>528</v>
      </c>
      <c r="G133" s="50" t="s">
        <v>391</v>
      </c>
      <c r="H133" s="50" t="s">
        <v>563</v>
      </c>
      <c r="I133" s="50" t="s">
        <v>264</v>
      </c>
      <c r="J133" s="50" t="s">
        <v>518</v>
      </c>
      <c r="K133" s="50" t="s">
        <v>518</v>
      </c>
      <c r="L133" s="50" t="s">
        <v>530</v>
      </c>
      <c r="M133" s="50" t="s">
        <v>382</v>
      </c>
      <c r="N133" s="51">
        <v>-3.58</v>
      </c>
    </row>
    <row r="134" spans="1:14" x14ac:dyDescent="0.3">
      <c r="A134" s="50" t="s">
        <v>612</v>
      </c>
      <c r="B134" s="50" t="s">
        <v>612</v>
      </c>
      <c r="C134" s="50" t="s">
        <v>617</v>
      </c>
      <c r="D134" s="50" t="s">
        <v>526</v>
      </c>
      <c r="E134" s="50" t="s">
        <v>543</v>
      </c>
      <c r="F134" s="50" t="s">
        <v>528</v>
      </c>
      <c r="G134" s="50" t="s">
        <v>516</v>
      </c>
      <c r="H134" s="50" t="s">
        <v>529</v>
      </c>
      <c r="I134" s="50" t="s">
        <v>363</v>
      </c>
      <c r="J134" s="50" t="s">
        <v>518</v>
      </c>
      <c r="K134" s="50" t="s">
        <v>518</v>
      </c>
      <c r="L134" s="50" t="s">
        <v>535</v>
      </c>
      <c r="M134" s="50" t="s">
        <v>371</v>
      </c>
      <c r="N134" s="51">
        <v>1181.58</v>
      </c>
    </row>
    <row r="135" spans="1:14" x14ac:dyDescent="0.3">
      <c r="A135" s="50" t="s">
        <v>612</v>
      </c>
      <c r="B135" s="50" t="s">
        <v>612</v>
      </c>
      <c r="C135" s="50" t="s">
        <v>617</v>
      </c>
      <c r="D135" s="50" t="s">
        <v>526</v>
      </c>
      <c r="E135" s="50" t="s">
        <v>518</v>
      </c>
      <c r="F135" s="50" t="s">
        <v>528</v>
      </c>
      <c r="G135" s="50" t="s">
        <v>516</v>
      </c>
      <c r="H135" s="50" t="s">
        <v>544</v>
      </c>
      <c r="I135" s="50" t="s">
        <v>368</v>
      </c>
      <c r="J135" s="50" t="s">
        <v>518</v>
      </c>
      <c r="K135" s="50" t="s">
        <v>518</v>
      </c>
      <c r="L135" s="50" t="s">
        <v>530</v>
      </c>
      <c r="M135" s="50" t="s">
        <v>382</v>
      </c>
      <c r="N135" s="51">
        <v>-77.56</v>
      </c>
    </row>
    <row r="136" spans="1:14" x14ac:dyDescent="0.3">
      <c r="A136" s="50" t="s">
        <v>612</v>
      </c>
      <c r="B136" s="50" t="s">
        <v>612</v>
      </c>
      <c r="C136" s="50" t="s">
        <v>617</v>
      </c>
      <c r="D136" s="50" t="s">
        <v>526</v>
      </c>
      <c r="E136" s="50" t="s">
        <v>518</v>
      </c>
      <c r="F136" s="50" t="s">
        <v>528</v>
      </c>
      <c r="G136" s="50" t="s">
        <v>391</v>
      </c>
      <c r="H136" s="50" t="s">
        <v>544</v>
      </c>
      <c r="I136" s="50" t="s">
        <v>368</v>
      </c>
      <c r="J136" s="50" t="s">
        <v>518</v>
      </c>
      <c r="K136" s="50" t="s">
        <v>518</v>
      </c>
      <c r="L136" s="50" t="s">
        <v>530</v>
      </c>
      <c r="M136" s="50" t="s">
        <v>382</v>
      </c>
      <c r="N136" s="51">
        <v>47.56</v>
      </c>
    </row>
    <row r="137" spans="1:14" x14ac:dyDescent="0.3">
      <c r="A137" s="50" t="s">
        <v>612</v>
      </c>
      <c r="B137" s="50" t="s">
        <v>612</v>
      </c>
      <c r="C137" s="50" t="s">
        <v>618</v>
      </c>
      <c r="D137" s="50" t="s">
        <v>565</v>
      </c>
      <c r="E137" s="50" t="s">
        <v>518</v>
      </c>
      <c r="F137" s="50" t="s">
        <v>566</v>
      </c>
      <c r="G137" s="50" t="s">
        <v>391</v>
      </c>
      <c r="H137" s="50" t="s">
        <v>574</v>
      </c>
      <c r="I137" s="50" t="s">
        <v>392</v>
      </c>
      <c r="J137" s="50" t="s">
        <v>518</v>
      </c>
      <c r="K137" s="50" t="s">
        <v>518</v>
      </c>
      <c r="L137" s="50" t="s">
        <v>568</v>
      </c>
      <c r="M137" s="50" t="s">
        <v>401</v>
      </c>
      <c r="N137" s="51">
        <v>5.08</v>
      </c>
    </row>
    <row r="138" spans="1:14" x14ac:dyDescent="0.3">
      <c r="A138" s="50" t="s">
        <v>612</v>
      </c>
      <c r="B138" s="50" t="s">
        <v>612</v>
      </c>
      <c r="C138" s="50" t="s">
        <v>618</v>
      </c>
      <c r="D138" s="50" t="s">
        <v>565</v>
      </c>
      <c r="E138" s="50" t="s">
        <v>518</v>
      </c>
      <c r="F138" s="50" t="s">
        <v>566</v>
      </c>
      <c r="G138" s="50" t="s">
        <v>391</v>
      </c>
      <c r="H138" s="50" t="s">
        <v>568</v>
      </c>
      <c r="I138" s="50" t="s">
        <v>401</v>
      </c>
      <c r="J138" s="50" t="s">
        <v>518</v>
      </c>
      <c r="K138" s="50" t="s">
        <v>518</v>
      </c>
      <c r="L138" s="50" t="s">
        <v>574</v>
      </c>
      <c r="M138" s="50" t="s">
        <v>392</v>
      </c>
      <c r="N138" s="51">
        <v>-5.08</v>
      </c>
    </row>
    <row r="139" spans="1:14" x14ac:dyDescent="0.3">
      <c r="A139" s="50" t="s">
        <v>612</v>
      </c>
      <c r="B139" s="50" t="s">
        <v>612</v>
      </c>
      <c r="C139" s="50" t="s">
        <v>619</v>
      </c>
      <c r="D139" s="50" t="s">
        <v>565</v>
      </c>
      <c r="E139" s="50" t="s">
        <v>518</v>
      </c>
      <c r="F139" s="50" t="s">
        <v>566</v>
      </c>
      <c r="G139" s="50" t="s">
        <v>391</v>
      </c>
      <c r="H139" s="50" t="s">
        <v>574</v>
      </c>
      <c r="I139" s="50" t="s">
        <v>392</v>
      </c>
      <c r="J139" s="50" t="s">
        <v>518</v>
      </c>
      <c r="K139" s="50" t="s">
        <v>518</v>
      </c>
      <c r="L139" s="50" t="s">
        <v>568</v>
      </c>
      <c r="M139" s="50" t="s">
        <v>401</v>
      </c>
      <c r="N139" s="51">
        <v>5.08</v>
      </c>
    </row>
    <row r="140" spans="1:14" x14ac:dyDescent="0.3">
      <c r="A140" s="50" t="s">
        <v>612</v>
      </c>
      <c r="B140" s="50" t="s">
        <v>612</v>
      </c>
      <c r="C140" s="50" t="s">
        <v>619</v>
      </c>
      <c r="D140" s="50" t="s">
        <v>565</v>
      </c>
      <c r="E140" s="50" t="s">
        <v>518</v>
      </c>
      <c r="F140" s="50" t="s">
        <v>566</v>
      </c>
      <c r="G140" s="50" t="s">
        <v>391</v>
      </c>
      <c r="H140" s="50" t="s">
        <v>568</v>
      </c>
      <c r="I140" s="50" t="s">
        <v>401</v>
      </c>
      <c r="J140" s="50" t="s">
        <v>518</v>
      </c>
      <c r="K140" s="50" t="s">
        <v>518</v>
      </c>
      <c r="L140" s="50" t="s">
        <v>574</v>
      </c>
      <c r="M140" s="50" t="s">
        <v>392</v>
      </c>
      <c r="N140" s="51">
        <v>-5.08</v>
      </c>
    </row>
    <row r="141" spans="1:14" x14ac:dyDescent="0.3">
      <c r="A141" s="50" t="s">
        <v>620</v>
      </c>
      <c r="B141" s="50" t="s">
        <v>621</v>
      </c>
      <c r="C141" s="50" t="s">
        <v>622</v>
      </c>
      <c r="D141" s="50" t="s">
        <v>513</v>
      </c>
      <c r="E141" s="50" t="s">
        <v>514</v>
      </c>
      <c r="F141" s="50" t="s">
        <v>515</v>
      </c>
      <c r="G141" s="50" t="s">
        <v>516</v>
      </c>
      <c r="H141" s="50" t="s">
        <v>517</v>
      </c>
      <c r="I141" s="50" t="s">
        <v>27</v>
      </c>
      <c r="J141" s="50" t="s">
        <v>518</v>
      </c>
      <c r="K141" s="50" t="s">
        <v>518</v>
      </c>
      <c r="L141" s="50" t="s">
        <v>519</v>
      </c>
      <c r="M141" s="50" t="s">
        <v>520</v>
      </c>
      <c r="N141" s="51">
        <v>821.08</v>
      </c>
    </row>
    <row r="142" spans="1:14" x14ac:dyDescent="0.3">
      <c r="A142" s="50" t="s">
        <v>620</v>
      </c>
      <c r="B142" s="50" t="s">
        <v>621</v>
      </c>
      <c r="C142" s="50" t="s">
        <v>622</v>
      </c>
      <c r="D142" s="50" t="s">
        <v>513</v>
      </c>
      <c r="E142" s="50" t="s">
        <v>514</v>
      </c>
      <c r="F142" s="50" t="s">
        <v>515</v>
      </c>
      <c r="G142" s="50" t="s">
        <v>516</v>
      </c>
      <c r="H142" s="50" t="s">
        <v>521</v>
      </c>
      <c r="I142" s="50" t="s">
        <v>367</v>
      </c>
      <c r="J142" s="50" t="s">
        <v>519</v>
      </c>
      <c r="K142" s="50" t="s">
        <v>522</v>
      </c>
      <c r="L142" s="50" t="s">
        <v>517</v>
      </c>
      <c r="M142" s="50" t="s">
        <v>27</v>
      </c>
      <c r="N142" s="51">
        <v>-821.08</v>
      </c>
    </row>
    <row r="143" spans="1:14" x14ac:dyDescent="0.3">
      <c r="A143" s="50" t="s">
        <v>620</v>
      </c>
      <c r="B143" s="50" t="s">
        <v>621</v>
      </c>
      <c r="C143" s="50" t="s">
        <v>622</v>
      </c>
      <c r="D143" s="50" t="s">
        <v>513</v>
      </c>
      <c r="E143" s="50" t="s">
        <v>514</v>
      </c>
      <c r="F143" s="50" t="s">
        <v>515</v>
      </c>
      <c r="G143" s="50" t="s">
        <v>516</v>
      </c>
      <c r="H143" s="50" t="s">
        <v>521</v>
      </c>
      <c r="I143" s="50" t="s">
        <v>367</v>
      </c>
      <c r="J143" s="50" t="s">
        <v>519</v>
      </c>
      <c r="K143" s="50" t="s">
        <v>522</v>
      </c>
      <c r="L143" s="50" t="s">
        <v>519</v>
      </c>
      <c r="M143" s="50" t="s">
        <v>520</v>
      </c>
      <c r="N143" s="51">
        <v>821.08</v>
      </c>
    </row>
    <row r="144" spans="1:14" x14ac:dyDescent="0.3">
      <c r="A144" s="50" t="s">
        <v>620</v>
      </c>
      <c r="B144" s="50" t="s">
        <v>621</v>
      </c>
      <c r="C144" s="50" t="s">
        <v>622</v>
      </c>
      <c r="D144" s="50" t="s">
        <v>513</v>
      </c>
      <c r="E144" s="50" t="s">
        <v>514</v>
      </c>
      <c r="F144" s="50" t="s">
        <v>515</v>
      </c>
      <c r="G144" s="50" t="s">
        <v>516</v>
      </c>
      <c r="H144" s="50" t="s">
        <v>521</v>
      </c>
      <c r="I144" s="50" t="s">
        <v>367</v>
      </c>
      <c r="J144" s="50" t="s">
        <v>523</v>
      </c>
      <c r="K144" s="50" t="s">
        <v>524</v>
      </c>
      <c r="L144" s="50" t="s">
        <v>517</v>
      </c>
      <c r="M144" s="50" t="s">
        <v>27</v>
      </c>
      <c r="N144" s="51">
        <v>-821.08</v>
      </c>
    </row>
    <row r="145" spans="1:14" x14ac:dyDescent="0.3">
      <c r="A145" s="50" t="s">
        <v>620</v>
      </c>
      <c r="B145" s="50" t="s">
        <v>597</v>
      </c>
      <c r="C145" s="50" t="s">
        <v>623</v>
      </c>
      <c r="D145" s="50" t="s">
        <v>624</v>
      </c>
      <c r="E145" s="50" t="s">
        <v>625</v>
      </c>
      <c r="F145" s="50" t="s">
        <v>626</v>
      </c>
      <c r="G145" s="50" t="s">
        <v>516</v>
      </c>
      <c r="H145" s="50" t="s">
        <v>627</v>
      </c>
      <c r="I145" s="50" t="s">
        <v>292</v>
      </c>
      <c r="J145" s="50" t="s">
        <v>518</v>
      </c>
      <c r="K145" s="50" t="s">
        <v>518</v>
      </c>
      <c r="L145" s="50" t="s">
        <v>544</v>
      </c>
      <c r="M145" s="50" t="s">
        <v>368</v>
      </c>
      <c r="N145" s="51">
        <v>47.48</v>
      </c>
    </row>
    <row r="146" spans="1:14" x14ac:dyDescent="0.3">
      <c r="A146" s="50" t="s">
        <v>620</v>
      </c>
      <c r="B146" s="50" t="s">
        <v>597</v>
      </c>
      <c r="C146" s="50" t="s">
        <v>623</v>
      </c>
      <c r="D146" s="50" t="s">
        <v>624</v>
      </c>
      <c r="E146" s="50" t="s">
        <v>628</v>
      </c>
      <c r="F146" s="50" t="s">
        <v>626</v>
      </c>
      <c r="G146" s="50" t="s">
        <v>516</v>
      </c>
      <c r="H146" s="50" t="s">
        <v>629</v>
      </c>
      <c r="I146" s="50" t="s">
        <v>293</v>
      </c>
      <c r="J146" s="50" t="s">
        <v>518</v>
      </c>
      <c r="K146" s="50" t="s">
        <v>518</v>
      </c>
      <c r="L146" s="50" t="s">
        <v>544</v>
      </c>
      <c r="M146" s="50" t="s">
        <v>368</v>
      </c>
      <c r="N146" s="51">
        <v>0.16</v>
      </c>
    </row>
    <row r="147" spans="1:14" x14ac:dyDescent="0.3">
      <c r="A147" s="50" t="s">
        <v>620</v>
      </c>
      <c r="B147" s="50" t="s">
        <v>597</v>
      </c>
      <c r="C147" s="50" t="s">
        <v>623</v>
      </c>
      <c r="D147" s="50" t="s">
        <v>624</v>
      </c>
      <c r="E147" s="50" t="s">
        <v>630</v>
      </c>
      <c r="F147" s="50" t="s">
        <v>626</v>
      </c>
      <c r="G147" s="50" t="s">
        <v>516</v>
      </c>
      <c r="H147" s="50" t="s">
        <v>631</v>
      </c>
      <c r="I147" s="50" t="s">
        <v>291</v>
      </c>
      <c r="J147" s="50" t="s">
        <v>518</v>
      </c>
      <c r="K147" s="50" t="s">
        <v>518</v>
      </c>
      <c r="L147" s="50" t="s">
        <v>544</v>
      </c>
      <c r="M147" s="50" t="s">
        <v>368</v>
      </c>
      <c r="N147" s="51">
        <v>1.1200000000000001</v>
      </c>
    </row>
    <row r="148" spans="1:14" x14ac:dyDescent="0.3">
      <c r="A148" s="50" t="s">
        <v>620</v>
      </c>
      <c r="B148" s="50" t="s">
        <v>597</v>
      </c>
      <c r="C148" s="50" t="s">
        <v>623</v>
      </c>
      <c r="D148" s="50" t="s">
        <v>624</v>
      </c>
      <c r="E148" s="50" t="s">
        <v>632</v>
      </c>
      <c r="F148" s="50" t="s">
        <v>626</v>
      </c>
      <c r="G148" s="50" t="s">
        <v>516</v>
      </c>
      <c r="H148" s="50" t="s">
        <v>633</v>
      </c>
      <c r="I148" s="50" t="s">
        <v>289</v>
      </c>
      <c r="J148" s="50" t="s">
        <v>518</v>
      </c>
      <c r="K148" s="50" t="s">
        <v>518</v>
      </c>
      <c r="L148" s="50" t="s">
        <v>544</v>
      </c>
      <c r="M148" s="50" t="s">
        <v>368</v>
      </c>
      <c r="N148" s="51">
        <v>433.34</v>
      </c>
    </row>
    <row r="149" spans="1:14" x14ac:dyDescent="0.3">
      <c r="A149" s="50" t="s">
        <v>620</v>
      </c>
      <c r="B149" s="50" t="s">
        <v>597</v>
      </c>
      <c r="C149" s="50" t="s">
        <v>623</v>
      </c>
      <c r="D149" s="50" t="s">
        <v>624</v>
      </c>
      <c r="E149" s="50" t="s">
        <v>634</v>
      </c>
      <c r="F149" s="50" t="s">
        <v>626</v>
      </c>
      <c r="G149" s="50" t="s">
        <v>516</v>
      </c>
      <c r="H149" s="50" t="s">
        <v>635</v>
      </c>
      <c r="I149" s="50" t="s">
        <v>274</v>
      </c>
      <c r="J149" s="50" t="s">
        <v>518</v>
      </c>
      <c r="K149" s="50" t="s">
        <v>518</v>
      </c>
      <c r="L149" s="50" t="s">
        <v>544</v>
      </c>
      <c r="M149" s="50" t="s">
        <v>368</v>
      </c>
      <c r="N149" s="51">
        <v>6.08</v>
      </c>
    </row>
    <row r="150" spans="1:14" x14ac:dyDescent="0.3">
      <c r="A150" s="50" t="s">
        <v>620</v>
      </c>
      <c r="B150" s="50" t="s">
        <v>597</v>
      </c>
      <c r="C150" s="50" t="s">
        <v>623</v>
      </c>
      <c r="D150" s="50" t="s">
        <v>624</v>
      </c>
      <c r="E150" s="50" t="s">
        <v>636</v>
      </c>
      <c r="F150" s="50" t="s">
        <v>626</v>
      </c>
      <c r="G150" s="50" t="s">
        <v>516</v>
      </c>
      <c r="H150" s="50" t="s">
        <v>637</v>
      </c>
      <c r="I150" s="50" t="s">
        <v>271</v>
      </c>
      <c r="J150" s="50" t="s">
        <v>518</v>
      </c>
      <c r="K150" s="50" t="s">
        <v>518</v>
      </c>
      <c r="L150" s="50" t="s">
        <v>544</v>
      </c>
      <c r="M150" s="50" t="s">
        <v>368</v>
      </c>
      <c r="N150" s="51">
        <v>1214.57</v>
      </c>
    </row>
    <row r="151" spans="1:14" x14ac:dyDescent="0.3">
      <c r="A151" s="50" t="s">
        <v>620</v>
      </c>
      <c r="B151" s="50" t="s">
        <v>597</v>
      </c>
      <c r="C151" s="50" t="s">
        <v>623</v>
      </c>
      <c r="D151" s="50" t="s">
        <v>624</v>
      </c>
      <c r="E151" s="50" t="s">
        <v>636</v>
      </c>
      <c r="F151" s="50" t="s">
        <v>626</v>
      </c>
      <c r="G151" s="50" t="s">
        <v>516</v>
      </c>
      <c r="H151" s="50" t="s">
        <v>638</v>
      </c>
      <c r="I151" s="50" t="s">
        <v>272</v>
      </c>
      <c r="J151" s="50" t="s">
        <v>518</v>
      </c>
      <c r="K151" s="50" t="s">
        <v>518</v>
      </c>
      <c r="L151" s="50" t="s">
        <v>544</v>
      </c>
      <c r="M151" s="50" t="s">
        <v>368</v>
      </c>
      <c r="N151" s="51">
        <v>616.29999999999995</v>
      </c>
    </row>
    <row r="152" spans="1:14" x14ac:dyDescent="0.3">
      <c r="A152" s="50" t="s">
        <v>620</v>
      </c>
      <c r="B152" s="50" t="s">
        <v>597</v>
      </c>
      <c r="C152" s="50" t="s">
        <v>623</v>
      </c>
      <c r="D152" s="50" t="s">
        <v>624</v>
      </c>
      <c r="E152" s="50" t="s">
        <v>639</v>
      </c>
      <c r="F152" s="50" t="s">
        <v>626</v>
      </c>
      <c r="G152" s="50" t="s">
        <v>516</v>
      </c>
      <c r="H152" s="50" t="s">
        <v>640</v>
      </c>
      <c r="I152" s="50" t="s">
        <v>287</v>
      </c>
      <c r="J152" s="50" t="s">
        <v>518</v>
      </c>
      <c r="K152" s="50" t="s">
        <v>518</v>
      </c>
      <c r="L152" s="50" t="s">
        <v>544</v>
      </c>
      <c r="M152" s="50" t="s">
        <v>368</v>
      </c>
      <c r="N152" s="51">
        <v>213.46</v>
      </c>
    </row>
    <row r="153" spans="1:14" x14ac:dyDescent="0.3">
      <c r="A153" s="50" t="s">
        <v>620</v>
      </c>
      <c r="B153" s="50" t="s">
        <v>597</v>
      </c>
      <c r="C153" s="50" t="s">
        <v>623</v>
      </c>
      <c r="D153" s="50" t="s">
        <v>624</v>
      </c>
      <c r="E153" s="50" t="s">
        <v>641</v>
      </c>
      <c r="F153" s="50" t="s">
        <v>626</v>
      </c>
      <c r="G153" s="50" t="s">
        <v>516</v>
      </c>
      <c r="H153" s="50" t="s">
        <v>642</v>
      </c>
      <c r="I153" s="50" t="s">
        <v>286</v>
      </c>
      <c r="J153" s="50" t="s">
        <v>518</v>
      </c>
      <c r="K153" s="50" t="s">
        <v>518</v>
      </c>
      <c r="L153" s="50" t="s">
        <v>544</v>
      </c>
      <c r="M153" s="50" t="s">
        <v>368</v>
      </c>
      <c r="N153" s="51">
        <v>1.64</v>
      </c>
    </row>
    <row r="154" spans="1:14" x14ac:dyDescent="0.3">
      <c r="A154" s="50" t="s">
        <v>620</v>
      </c>
      <c r="B154" s="50" t="s">
        <v>597</v>
      </c>
      <c r="C154" s="50" t="s">
        <v>623</v>
      </c>
      <c r="D154" s="50" t="s">
        <v>624</v>
      </c>
      <c r="E154" s="50" t="s">
        <v>643</v>
      </c>
      <c r="F154" s="50" t="s">
        <v>626</v>
      </c>
      <c r="G154" s="50" t="s">
        <v>516</v>
      </c>
      <c r="H154" s="50" t="s">
        <v>644</v>
      </c>
      <c r="I154" s="50" t="s">
        <v>288</v>
      </c>
      <c r="J154" s="50" t="s">
        <v>518</v>
      </c>
      <c r="K154" s="50" t="s">
        <v>518</v>
      </c>
      <c r="L154" s="50" t="s">
        <v>544</v>
      </c>
      <c r="M154" s="50" t="s">
        <v>368</v>
      </c>
      <c r="N154" s="51">
        <v>9.75</v>
      </c>
    </row>
    <row r="155" spans="1:14" x14ac:dyDescent="0.3">
      <c r="A155" s="50" t="s">
        <v>620</v>
      </c>
      <c r="B155" s="50" t="s">
        <v>597</v>
      </c>
      <c r="C155" s="50" t="s">
        <v>623</v>
      </c>
      <c r="D155" s="50" t="s">
        <v>624</v>
      </c>
      <c r="E155" s="50" t="s">
        <v>645</v>
      </c>
      <c r="F155" s="50" t="s">
        <v>626</v>
      </c>
      <c r="G155" s="50" t="s">
        <v>516</v>
      </c>
      <c r="H155" s="50" t="s">
        <v>646</v>
      </c>
      <c r="I155" s="50" t="s">
        <v>284</v>
      </c>
      <c r="J155" s="50" t="s">
        <v>518</v>
      </c>
      <c r="K155" s="50" t="s">
        <v>518</v>
      </c>
      <c r="L155" s="50" t="s">
        <v>544</v>
      </c>
      <c r="M155" s="50" t="s">
        <v>368</v>
      </c>
      <c r="N155" s="51">
        <v>23.59</v>
      </c>
    </row>
    <row r="156" spans="1:14" x14ac:dyDescent="0.3">
      <c r="A156" s="50" t="s">
        <v>620</v>
      </c>
      <c r="B156" s="50" t="s">
        <v>597</v>
      </c>
      <c r="C156" s="50" t="s">
        <v>623</v>
      </c>
      <c r="D156" s="50" t="s">
        <v>624</v>
      </c>
      <c r="E156" s="50" t="s">
        <v>647</v>
      </c>
      <c r="F156" s="50" t="s">
        <v>626</v>
      </c>
      <c r="G156" s="50" t="s">
        <v>516</v>
      </c>
      <c r="H156" s="50" t="s">
        <v>648</v>
      </c>
      <c r="I156" s="50" t="s">
        <v>283</v>
      </c>
      <c r="J156" s="50" t="s">
        <v>518</v>
      </c>
      <c r="K156" s="50" t="s">
        <v>518</v>
      </c>
      <c r="L156" s="50" t="s">
        <v>544</v>
      </c>
      <c r="M156" s="50" t="s">
        <v>368</v>
      </c>
      <c r="N156" s="51">
        <v>100.87</v>
      </c>
    </row>
    <row r="157" spans="1:14" x14ac:dyDescent="0.3">
      <c r="A157" s="50" t="s">
        <v>620</v>
      </c>
      <c r="B157" s="50" t="s">
        <v>597</v>
      </c>
      <c r="C157" s="50" t="s">
        <v>623</v>
      </c>
      <c r="D157" s="50" t="s">
        <v>624</v>
      </c>
      <c r="E157" s="50" t="s">
        <v>649</v>
      </c>
      <c r="F157" s="50" t="s">
        <v>626</v>
      </c>
      <c r="G157" s="50" t="s">
        <v>516</v>
      </c>
      <c r="H157" s="50" t="s">
        <v>650</v>
      </c>
      <c r="I157" s="50" t="s">
        <v>285</v>
      </c>
      <c r="J157" s="50" t="s">
        <v>518</v>
      </c>
      <c r="K157" s="50" t="s">
        <v>518</v>
      </c>
      <c r="L157" s="50" t="s">
        <v>544</v>
      </c>
      <c r="M157" s="50" t="s">
        <v>368</v>
      </c>
      <c r="N157" s="51">
        <v>50.42</v>
      </c>
    </row>
    <row r="158" spans="1:14" x14ac:dyDescent="0.3">
      <c r="A158" s="50" t="s">
        <v>620</v>
      </c>
      <c r="B158" s="50" t="s">
        <v>597</v>
      </c>
      <c r="C158" s="50" t="s">
        <v>623</v>
      </c>
      <c r="D158" s="50" t="s">
        <v>624</v>
      </c>
      <c r="E158" s="50" t="s">
        <v>518</v>
      </c>
      <c r="F158" s="50" t="s">
        <v>626</v>
      </c>
      <c r="G158" s="50" t="s">
        <v>516</v>
      </c>
      <c r="H158" s="50" t="s">
        <v>544</v>
      </c>
      <c r="I158" s="50" t="s">
        <v>368</v>
      </c>
      <c r="J158" s="50" t="s">
        <v>518</v>
      </c>
      <c r="K158" s="50" t="s">
        <v>518</v>
      </c>
      <c r="L158" s="50" t="s">
        <v>638</v>
      </c>
      <c r="M158" s="50" t="s">
        <v>272</v>
      </c>
      <c r="N158" s="51">
        <v>-2718.78</v>
      </c>
    </row>
    <row r="159" spans="1:14" x14ac:dyDescent="0.3">
      <c r="A159" s="50" t="s">
        <v>620</v>
      </c>
      <c r="B159" s="50" t="s">
        <v>620</v>
      </c>
      <c r="C159" s="50" t="s">
        <v>651</v>
      </c>
      <c r="D159" s="50" t="s">
        <v>614</v>
      </c>
      <c r="E159" s="50" t="s">
        <v>518</v>
      </c>
      <c r="F159" s="50" t="s">
        <v>615</v>
      </c>
      <c r="G159" s="50" t="s">
        <v>516</v>
      </c>
      <c r="H159" s="50" t="s">
        <v>521</v>
      </c>
      <c r="I159" s="50" t="s">
        <v>367</v>
      </c>
      <c r="J159" s="50" t="s">
        <v>523</v>
      </c>
      <c r="K159" s="50" t="s">
        <v>524</v>
      </c>
      <c r="L159" s="50" t="s">
        <v>544</v>
      </c>
      <c r="M159" s="50" t="s">
        <v>368</v>
      </c>
      <c r="N159" s="51">
        <v>821.08</v>
      </c>
    </row>
    <row r="160" spans="1:14" x14ac:dyDescent="0.3">
      <c r="A160" s="50" t="s">
        <v>620</v>
      </c>
      <c r="B160" s="50" t="s">
        <v>620</v>
      </c>
      <c r="C160" s="50" t="s">
        <v>651</v>
      </c>
      <c r="D160" s="50" t="s">
        <v>614</v>
      </c>
      <c r="E160" s="50" t="s">
        <v>518</v>
      </c>
      <c r="F160" s="50" t="s">
        <v>615</v>
      </c>
      <c r="G160" s="50" t="s">
        <v>516</v>
      </c>
      <c r="H160" s="50" t="s">
        <v>544</v>
      </c>
      <c r="I160" s="50" t="s">
        <v>368</v>
      </c>
      <c r="J160" s="50" t="s">
        <v>518</v>
      </c>
      <c r="K160" s="50" t="s">
        <v>518</v>
      </c>
      <c r="L160" s="50" t="s">
        <v>523</v>
      </c>
      <c r="M160" s="50" t="s">
        <v>652</v>
      </c>
      <c r="N160" s="51">
        <v>-821.08</v>
      </c>
    </row>
    <row r="161" spans="1:14" x14ac:dyDescent="0.3">
      <c r="A161" s="50" t="s">
        <v>620</v>
      </c>
      <c r="B161" s="50" t="s">
        <v>620</v>
      </c>
      <c r="C161" s="50" t="s">
        <v>653</v>
      </c>
      <c r="D161" s="50" t="s">
        <v>614</v>
      </c>
      <c r="E161" s="50" t="s">
        <v>518</v>
      </c>
      <c r="F161" s="50" t="s">
        <v>615</v>
      </c>
      <c r="G161" s="50" t="s">
        <v>516</v>
      </c>
      <c r="H161" s="50" t="s">
        <v>521</v>
      </c>
      <c r="I161" s="50" t="s">
        <v>367</v>
      </c>
      <c r="J161" s="50" t="s">
        <v>523</v>
      </c>
      <c r="K161" s="50" t="s">
        <v>524</v>
      </c>
      <c r="L161" s="50" t="s">
        <v>544</v>
      </c>
      <c r="M161" s="50" t="s">
        <v>368</v>
      </c>
      <c r="N161" s="51">
        <v>817.82</v>
      </c>
    </row>
    <row r="162" spans="1:14" x14ac:dyDescent="0.3">
      <c r="A162" s="50" t="s">
        <v>620</v>
      </c>
      <c r="B162" s="50" t="s">
        <v>620</v>
      </c>
      <c r="C162" s="50" t="s">
        <v>653</v>
      </c>
      <c r="D162" s="50" t="s">
        <v>614</v>
      </c>
      <c r="E162" s="50" t="s">
        <v>518</v>
      </c>
      <c r="F162" s="50" t="s">
        <v>615</v>
      </c>
      <c r="G162" s="50" t="s">
        <v>516</v>
      </c>
      <c r="H162" s="50" t="s">
        <v>544</v>
      </c>
      <c r="I162" s="50" t="s">
        <v>368</v>
      </c>
      <c r="J162" s="50" t="s">
        <v>518</v>
      </c>
      <c r="K162" s="50" t="s">
        <v>518</v>
      </c>
      <c r="L162" s="50" t="s">
        <v>523</v>
      </c>
      <c r="M162" s="50" t="s">
        <v>652</v>
      </c>
      <c r="N162" s="51">
        <v>-817.82</v>
      </c>
    </row>
    <row r="163" spans="1:14" x14ac:dyDescent="0.3">
      <c r="A163" s="50" t="s">
        <v>620</v>
      </c>
      <c r="B163" s="50" t="s">
        <v>620</v>
      </c>
      <c r="C163" s="50" t="s">
        <v>654</v>
      </c>
      <c r="D163" s="50" t="s">
        <v>526</v>
      </c>
      <c r="E163" s="50" t="s">
        <v>534</v>
      </c>
      <c r="F163" s="50" t="s">
        <v>528</v>
      </c>
      <c r="G163" s="50" t="s">
        <v>516</v>
      </c>
      <c r="H163" s="50" t="s">
        <v>535</v>
      </c>
      <c r="I163" s="50" t="s">
        <v>371</v>
      </c>
      <c r="J163" s="50" t="s">
        <v>518</v>
      </c>
      <c r="K163" s="50" t="s">
        <v>518</v>
      </c>
      <c r="L163" s="50" t="s">
        <v>530</v>
      </c>
      <c r="M163" s="50" t="s">
        <v>382</v>
      </c>
      <c r="N163" s="51">
        <v>-1075</v>
      </c>
    </row>
    <row r="164" spans="1:14" x14ac:dyDescent="0.3">
      <c r="A164" s="50" t="s">
        <v>620</v>
      </c>
      <c r="B164" s="50" t="s">
        <v>620</v>
      </c>
      <c r="C164" s="50" t="s">
        <v>654</v>
      </c>
      <c r="D164" s="50" t="s">
        <v>526</v>
      </c>
      <c r="E164" s="50" t="s">
        <v>536</v>
      </c>
      <c r="F164" s="50" t="s">
        <v>528</v>
      </c>
      <c r="G164" s="50" t="s">
        <v>516</v>
      </c>
      <c r="H164" s="50" t="s">
        <v>537</v>
      </c>
      <c r="I164" s="50" t="s">
        <v>385</v>
      </c>
      <c r="J164" s="50" t="s">
        <v>518</v>
      </c>
      <c r="K164" s="50" t="s">
        <v>518</v>
      </c>
      <c r="L164" s="50" t="s">
        <v>530</v>
      </c>
      <c r="M164" s="50" t="s">
        <v>382</v>
      </c>
      <c r="N164" s="51">
        <v>-25.95</v>
      </c>
    </row>
    <row r="165" spans="1:14" x14ac:dyDescent="0.3">
      <c r="A165" s="50" t="s">
        <v>620</v>
      </c>
      <c r="B165" s="50" t="s">
        <v>620</v>
      </c>
      <c r="C165" s="50" t="s">
        <v>654</v>
      </c>
      <c r="D165" s="50" t="s">
        <v>526</v>
      </c>
      <c r="E165" s="50" t="s">
        <v>383</v>
      </c>
      <c r="F165" s="50" t="s">
        <v>528</v>
      </c>
      <c r="G165" s="50" t="s">
        <v>516</v>
      </c>
      <c r="H165" s="50" t="s">
        <v>538</v>
      </c>
      <c r="I165" s="50" t="s">
        <v>383</v>
      </c>
      <c r="J165" s="50" t="s">
        <v>518</v>
      </c>
      <c r="K165" s="50" t="s">
        <v>518</v>
      </c>
      <c r="L165" s="50" t="s">
        <v>530</v>
      </c>
      <c r="M165" s="50" t="s">
        <v>382</v>
      </c>
      <c r="N165" s="51">
        <v>-55.5</v>
      </c>
    </row>
    <row r="166" spans="1:14" x14ac:dyDescent="0.3">
      <c r="A166" s="50" t="s">
        <v>620</v>
      </c>
      <c r="B166" s="50" t="s">
        <v>620</v>
      </c>
      <c r="C166" s="50" t="s">
        <v>654</v>
      </c>
      <c r="D166" s="50" t="s">
        <v>526</v>
      </c>
      <c r="E166" s="50" t="s">
        <v>539</v>
      </c>
      <c r="F166" s="50" t="s">
        <v>528</v>
      </c>
      <c r="G166" s="50" t="s">
        <v>516</v>
      </c>
      <c r="H166" s="50" t="s">
        <v>529</v>
      </c>
      <c r="I166" s="50" t="s">
        <v>363</v>
      </c>
      <c r="J166" s="50" t="s">
        <v>518</v>
      </c>
      <c r="K166" s="50" t="s">
        <v>518</v>
      </c>
      <c r="L166" s="50" t="s">
        <v>533</v>
      </c>
      <c r="M166" s="50" t="s">
        <v>364</v>
      </c>
      <c r="N166" s="51">
        <v>149</v>
      </c>
    </row>
    <row r="167" spans="1:14" x14ac:dyDescent="0.3">
      <c r="A167" s="50" t="s">
        <v>620</v>
      </c>
      <c r="B167" s="50" t="s">
        <v>620</v>
      </c>
      <c r="C167" s="50" t="s">
        <v>654</v>
      </c>
      <c r="D167" s="50" t="s">
        <v>526</v>
      </c>
      <c r="E167" s="50" t="s">
        <v>540</v>
      </c>
      <c r="F167" s="50" t="s">
        <v>528</v>
      </c>
      <c r="G167" s="50" t="s">
        <v>516</v>
      </c>
      <c r="H167" s="50" t="s">
        <v>533</v>
      </c>
      <c r="I167" s="50" t="s">
        <v>364</v>
      </c>
      <c r="J167" s="50" t="s">
        <v>518</v>
      </c>
      <c r="K167" s="50" t="s">
        <v>518</v>
      </c>
      <c r="L167" s="50" t="s">
        <v>530</v>
      </c>
      <c r="M167" s="50" t="s">
        <v>382</v>
      </c>
      <c r="N167" s="51">
        <v>-1075</v>
      </c>
    </row>
    <row r="168" spans="1:14" x14ac:dyDescent="0.3">
      <c r="A168" s="50" t="s">
        <v>620</v>
      </c>
      <c r="B168" s="50" t="s">
        <v>620</v>
      </c>
      <c r="C168" s="50" t="s">
        <v>654</v>
      </c>
      <c r="D168" s="50" t="s">
        <v>526</v>
      </c>
      <c r="E168" s="50" t="s">
        <v>540</v>
      </c>
      <c r="F168" s="50" t="s">
        <v>528</v>
      </c>
      <c r="G168" s="50" t="s">
        <v>516</v>
      </c>
      <c r="H168" s="50" t="s">
        <v>530</v>
      </c>
      <c r="I168" s="50" t="s">
        <v>382</v>
      </c>
      <c r="J168" s="50" t="s">
        <v>518</v>
      </c>
      <c r="K168" s="50" t="s">
        <v>518</v>
      </c>
      <c r="L168" s="50" t="s">
        <v>533</v>
      </c>
      <c r="M168" s="50" t="s">
        <v>364</v>
      </c>
      <c r="N168" s="51">
        <v>1075</v>
      </c>
    </row>
    <row r="169" spans="1:14" x14ac:dyDescent="0.3">
      <c r="A169" s="50" t="s">
        <v>620</v>
      </c>
      <c r="B169" s="50" t="s">
        <v>620</v>
      </c>
      <c r="C169" s="50" t="s">
        <v>654</v>
      </c>
      <c r="D169" s="50" t="s">
        <v>526</v>
      </c>
      <c r="E169" s="50" t="s">
        <v>541</v>
      </c>
      <c r="F169" s="50" t="s">
        <v>528</v>
      </c>
      <c r="G169" s="50" t="s">
        <v>516</v>
      </c>
      <c r="H169" s="50" t="s">
        <v>542</v>
      </c>
      <c r="I169" s="50" t="s">
        <v>369</v>
      </c>
      <c r="J169" s="50" t="s">
        <v>518</v>
      </c>
      <c r="K169" s="50" t="s">
        <v>518</v>
      </c>
      <c r="L169" s="50" t="s">
        <v>533</v>
      </c>
      <c r="M169" s="50" t="s">
        <v>364</v>
      </c>
      <c r="N169" s="51">
        <v>1</v>
      </c>
    </row>
    <row r="170" spans="1:14" x14ac:dyDescent="0.3">
      <c r="A170" s="50" t="s">
        <v>620</v>
      </c>
      <c r="B170" s="50" t="s">
        <v>620</v>
      </c>
      <c r="C170" s="50" t="s">
        <v>654</v>
      </c>
      <c r="D170" s="50" t="s">
        <v>526</v>
      </c>
      <c r="E170" s="50" t="s">
        <v>541</v>
      </c>
      <c r="F170" s="50" t="s">
        <v>528</v>
      </c>
      <c r="G170" s="50" t="s">
        <v>516</v>
      </c>
      <c r="H170" s="50" t="s">
        <v>530</v>
      </c>
      <c r="I170" s="50" t="s">
        <v>382</v>
      </c>
      <c r="J170" s="50" t="s">
        <v>518</v>
      </c>
      <c r="K170" s="50" t="s">
        <v>518</v>
      </c>
      <c r="L170" s="50" t="s">
        <v>530</v>
      </c>
      <c r="M170" s="50" t="s">
        <v>382</v>
      </c>
      <c r="N170" s="51">
        <v>-1</v>
      </c>
    </row>
    <row r="171" spans="1:14" x14ac:dyDescent="0.3">
      <c r="A171" s="50" t="s">
        <v>620</v>
      </c>
      <c r="B171" s="50" t="s">
        <v>620</v>
      </c>
      <c r="C171" s="50" t="s">
        <v>654</v>
      </c>
      <c r="D171" s="50" t="s">
        <v>526</v>
      </c>
      <c r="E171" s="50" t="s">
        <v>543</v>
      </c>
      <c r="F171" s="50" t="s">
        <v>528</v>
      </c>
      <c r="G171" s="50" t="s">
        <v>516</v>
      </c>
      <c r="H171" s="50" t="s">
        <v>529</v>
      </c>
      <c r="I171" s="50" t="s">
        <v>363</v>
      </c>
      <c r="J171" s="50" t="s">
        <v>518</v>
      </c>
      <c r="K171" s="50" t="s">
        <v>518</v>
      </c>
      <c r="L171" s="50" t="s">
        <v>533</v>
      </c>
      <c r="M171" s="50" t="s">
        <v>364</v>
      </c>
      <c r="N171" s="51">
        <v>1037.45</v>
      </c>
    </row>
    <row r="172" spans="1:14" x14ac:dyDescent="0.3">
      <c r="A172" s="50" t="s">
        <v>620</v>
      </c>
      <c r="B172" s="50" t="s">
        <v>620</v>
      </c>
      <c r="C172" s="50" t="s">
        <v>654</v>
      </c>
      <c r="D172" s="50" t="s">
        <v>526</v>
      </c>
      <c r="E172" s="50" t="s">
        <v>518</v>
      </c>
      <c r="F172" s="50" t="s">
        <v>528</v>
      </c>
      <c r="G172" s="50" t="s">
        <v>516</v>
      </c>
      <c r="H172" s="50" t="s">
        <v>544</v>
      </c>
      <c r="I172" s="50" t="s">
        <v>368</v>
      </c>
      <c r="J172" s="50" t="s">
        <v>518</v>
      </c>
      <c r="K172" s="50" t="s">
        <v>518</v>
      </c>
      <c r="L172" s="50" t="s">
        <v>530</v>
      </c>
      <c r="M172" s="50" t="s">
        <v>382</v>
      </c>
      <c r="N172" s="51">
        <v>-30</v>
      </c>
    </row>
    <row r="173" spans="1:14" x14ac:dyDescent="0.3">
      <c r="A173" s="50" t="s">
        <v>655</v>
      </c>
      <c r="B173" s="50" t="s">
        <v>656</v>
      </c>
      <c r="C173" s="50" t="s">
        <v>657</v>
      </c>
      <c r="D173" s="50" t="s">
        <v>658</v>
      </c>
      <c r="E173" s="50" t="s">
        <v>659</v>
      </c>
      <c r="F173" s="50" t="s">
        <v>660</v>
      </c>
      <c r="G173" s="50" t="s">
        <v>516</v>
      </c>
      <c r="H173" s="50" t="s">
        <v>661</v>
      </c>
      <c r="I173" s="50" t="s">
        <v>343</v>
      </c>
      <c r="J173" s="50" t="s">
        <v>518</v>
      </c>
      <c r="K173" s="50" t="s">
        <v>518</v>
      </c>
      <c r="L173" s="50" t="s">
        <v>544</v>
      </c>
      <c r="M173" s="50" t="s">
        <v>368</v>
      </c>
      <c r="N173" s="51">
        <v>42.5</v>
      </c>
    </row>
    <row r="174" spans="1:14" x14ac:dyDescent="0.3">
      <c r="A174" s="50" t="s">
        <v>655</v>
      </c>
      <c r="B174" s="50" t="s">
        <v>656</v>
      </c>
      <c r="C174" s="50" t="s">
        <v>657</v>
      </c>
      <c r="D174" s="50" t="s">
        <v>658</v>
      </c>
      <c r="E174" s="50" t="s">
        <v>518</v>
      </c>
      <c r="F174" s="50" t="s">
        <v>660</v>
      </c>
      <c r="G174" s="50" t="s">
        <v>516</v>
      </c>
      <c r="H174" s="50" t="s">
        <v>544</v>
      </c>
      <c r="I174" s="50" t="s">
        <v>368</v>
      </c>
      <c r="J174" s="50" t="s">
        <v>518</v>
      </c>
      <c r="K174" s="50" t="s">
        <v>518</v>
      </c>
      <c r="L174" s="50" t="s">
        <v>661</v>
      </c>
      <c r="M174" s="50" t="s">
        <v>343</v>
      </c>
      <c r="N174" s="51">
        <v>-42.5</v>
      </c>
    </row>
    <row r="175" spans="1:14" x14ac:dyDescent="0.3">
      <c r="A175" s="50" t="s">
        <v>655</v>
      </c>
      <c r="B175" s="50" t="s">
        <v>655</v>
      </c>
      <c r="C175" s="50" t="s">
        <v>662</v>
      </c>
      <c r="D175" s="50" t="s">
        <v>526</v>
      </c>
      <c r="E175" s="50" t="s">
        <v>527</v>
      </c>
      <c r="F175" s="50" t="s">
        <v>528</v>
      </c>
      <c r="G175" s="50" t="s">
        <v>516</v>
      </c>
      <c r="H175" s="50" t="s">
        <v>529</v>
      </c>
      <c r="I175" s="50" t="s">
        <v>363</v>
      </c>
      <c r="J175" s="50" t="s">
        <v>518</v>
      </c>
      <c r="K175" s="50" t="s">
        <v>518</v>
      </c>
      <c r="L175" s="50" t="s">
        <v>529</v>
      </c>
      <c r="M175" s="50" t="s">
        <v>363</v>
      </c>
      <c r="N175" s="51">
        <v>-128</v>
      </c>
    </row>
    <row r="176" spans="1:14" x14ac:dyDescent="0.3">
      <c r="A176" s="50" t="s">
        <v>655</v>
      </c>
      <c r="B176" s="50" t="s">
        <v>655</v>
      </c>
      <c r="C176" s="50" t="s">
        <v>662</v>
      </c>
      <c r="D176" s="50" t="s">
        <v>526</v>
      </c>
      <c r="E176" s="50" t="s">
        <v>577</v>
      </c>
      <c r="F176" s="50" t="s">
        <v>528</v>
      </c>
      <c r="G176" s="50" t="s">
        <v>516</v>
      </c>
      <c r="H176" s="50" t="s">
        <v>529</v>
      </c>
      <c r="I176" s="50" t="s">
        <v>363</v>
      </c>
      <c r="J176" s="50" t="s">
        <v>518</v>
      </c>
      <c r="K176" s="50" t="s">
        <v>518</v>
      </c>
      <c r="L176" s="50" t="s">
        <v>586</v>
      </c>
      <c r="M176" s="50" t="s">
        <v>365</v>
      </c>
      <c r="N176" s="51">
        <v>275</v>
      </c>
    </row>
    <row r="177" spans="1:14" x14ac:dyDescent="0.3">
      <c r="A177" s="50" t="s">
        <v>655</v>
      </c>
      <c r="B177" s="50" t="s">
        <v>655</v>
      </c>
      <c r="C177" s="50" t="s">
        <v>662</v>
      </c>
      <c r="D177" s="50" t="s">
        <v>526</v>
      </c>
      <c r="E177" s="50" t="s">
        <v>531</v>
      </c>
      <c r="F177" s="50" t="s">
        <v>528</v>
      </c>
      <c r="G177" s="50" t="s">
        <v>516</v>
      </c>
      <c r="H177" s="50" t="s">
        <v>532</v>
      </c>
      <c r="I177" s="50" t="s">
        <v>381</v>
      </c>
      <c r="J177" s="50" t="s">
        <v>518</v>
      </c>
      <c r="K177" s="50" t="s">
        <v>518</v>
      </c>
      <c r="L177" s="50" t="s">
        <v>529</v>
      </c>
      <c r="M177" s="50" t="s">
        <v>363</v>
      </c>
      <c r="N177" s="51">
        <v>-10</v>
      </c>
    </row>
    <row r="178" spans="1:14" x14ac:dyDescent="0.3">
      <c r="A178" s="50" t="s">
        <v>655</v>
      </c>
      <c r="B178" s="50" t="s">
        <v>655</v>
      </c>
      <c r="C178" s="50" t="s">
        <v>662</v>
      </c>
      <c r="D178" s="50" t="s">
        <v>526</v>
      </c>
      <c r="E178" s="50" t="s">
        <v>534</v>
      </c>
      <c r="F178" s="50" t="s">
        <v>528</v>
      </c>
      <c r="G178" s="50" t="s">
        <v>516</v>
      </c>
      <c r="H178" s="50" t="s">
        <v>535</v>
      </c>
      <c r="I178" s="50" t="s">
        <v>371</v>
      </c>
      <c r="J178" s="50" t="s">
        <v>518</v>
      </c>
      <c r="K178" s="50" t="s">
        <v>518</v>
      </c>
      <c r="L178" s="50" t="s">
        <v>529</v>
      </c>
      <c r="M178" s="50" t="s">
        <v>363</v>
      </c>
      <c r="N178" s="51">
        <v>-213</v>
      </c>
    </row>
    <row r="179" spans="1:14" x14ac:dyDescent="0.3">
      <c r="A179" s="50" t="s">
        <v>655</v>
      </c>
      <c r="B179" s="50" t="s">
        <v>655</v>
      </c>
      <c r="C179" s="50" t="s">
        <v>662</v>
      </c>
      <c r="D179" s="50" t="s">
        <v>526</v>
      </c>
      <c r="E179" s="50" t="s">
        <v>585</v>
      </c>
      <c r="F179" s="50" t="s">
        <v>528</v>
      </c>
      <c r="G179" s="50" t="s">
        <v>516</v>
      </c>
      <c r="H179" s="50" t="s">
        <v>586</v>
      </c>
      <c r="I179" s="50" t="s">
        <v>365</v>
      </c>
      <c r="J179" s="50" t="s">
        <v>518</v>
      </c>
      <c r="K179" s="50" t="s">
        <v>518</v>
      </c>
      <c r="L179" s="50" t="s">
        <v>529</v>
      </c>
      <c r="M179" s="50" t="s">
        <v>363</v>
      </c>
      <c r="N179" s="51">
        <v>-275</v>
      </c>
    </row>
    <row r="180" spans="1:14" x14ac:dyDescent="0.3">
      <c r="A180" s="50" t="s">
        <v>655</v>
      </c>
      <c r="B180" s="50" t="s">
        <v>655</v>
      </c>
      <c r="C180" s="50" t="s">
        <v>662</v>
      </c>
      <c r="D180" s="50" t="s">
        <v>526</v>
      </c>
      <c r="E180" s="50" t="s">
        <v>536</v>
      </c>
      <c r="F180" s="50" t="s">
        <v>528</v>
      </c>
      <c r="G180" s="50" t="s">
        <v>516</v>
      </c>
      <c r="H180" s="50" t="s">
        <v>537</v>
      </c>
      <c r="I180" s="50" t="s">
        <v>385</v>
      </c>
      <c r="J180" s="50" t="s">
        <v>518</v>
      </c>
      <c r="K180" s="50" t="s">
        <v>518</v>
      </c>
      <c r="L180" s="50" t="s">
        <v>529</v>
      </c>
      <c r="M180" s="50" t="s">
        <v>363</v>
      </c>
      <c r="N180" s="51">
        <v>-37.5</v>
      </c>
    </row>
    <row r="181" spans="1:14" x14ac:dyDescent="0.3">
      <c r="A181" s="50" t="s">
        <v>655</v>
      </c>
      <c r="B181" s="50" t="s">
        <v>655</v>
      </c>
      <c r="C181" s="50" t="s">
        <v>662</v>
      </c>
      <c r="D181" s="50" t="s">
        <v>526</v>
      </c>
      <c r="E181" s="50" t="s">
        <v>383</v>
      </c>
      <c r="F181" s="50" t="s">
        <v>528</v>
      </c>
      <c r="G181" s="50" t="s">
        <v>516</v>
      </c>
      <c r="H181" s="50" t="s">
        <v>538</v>
      </c>
      <c r="I181" s="50" t="s">
        <v>383</v>
      </c>
      <c r="J181" s="50" t="s">
        <v>518</v>
      </c>
      <c r="K181" s="50" t="s">
        <v>518</v>
      </c>
      <c r="L181" s="50" t="s">
        <v>529</v>
      </c>
      <c r="M181" s="50" t="s">
        <v>363</v>
      </c>
      <c r="N181" s="51">
        <v>-55.5</v>
      </c>
    </row>
    <row r="182" spans="1:14" x14ac:dyDescent="0.3">
      <c r="A182" s="50" t="s">
        <v>655</v>
      </c>
      <c r="B182" s="50" t="s">
        <v>655</v>
      </c>
      <c r="C182" s="50" t="s">
        <v>662</v>
      </c>
      <c r="D182" s="50" t="s">
        <v>526</v>
      </c>
      <c r="E182" s="50" t="s">
        <v>539</v>
      </c>
      <c r="F182" s="50" t="s">
        <v>528</v>
      </c>
      <c r="G182" s="50" t="s">
        <v>516</v>
      </c>
      <c r="H182" s="50" t="s">
        <v>529</v>
      </c>
      <c r="I182" s="50" t="s">
        <v>363</v>
      </c>
      <c r="J182" s="50" t="s">
        <v>518</v>
      </c>
      <c r="K182" s="50" t="s">
        <v>518</v>
      </c>
      <c r="L182" s="50" t="s">
        <v>586</v>
      </c>
      <c r="M182" s="50" t="s">
        <v>365</v>
      </c>
      <c r="N182" s="51">
        <v>172</v>
      </c>
    </row>
    <row r="183" spans="1:14" x14ac:dyDescent="0.3">
      <c r="A183" s="50" t="s">
        <v>655</v>
      </c>
      <c r="B183" s="50" t="s">
        <v>655</v>
      </c>
      <c r="C183" s="50" t="s">
        <v>662</v>
      </c>
      <c r="D183" s="50" t="s">
        <v>526</v>
      </c>
      <c r="E183" s="50" t="s">
        <v>540</v>
      </c>
      <c r="F183" s="50" t="s">
        <v>528</v>
      </c>
      <c r="G183" s="50" t="s">
        <v>516</v>
      </c>
      <c r="H183" s="50" t="s">
        <v>533</v>
      </c>
      <c r="I183" s="50" t="s">
        <v>364</v>
      </c>
      <c r="J183" s="50" t="s">
        <v>518</v>
      </c>
      <c r="K183" s="50" t="s">
        <v>518</v>
      </c>
      <c r="L183" s="50" t="s">
        <v>529</v>
      </c>
      <c r="M183" s="50" t="s">
        <v>363</v>
      </c>
      <c r="N183" s="51">
        <v>-213</v>
      </c>
    </row>
    <row r="184" spans="1:14" x14ac:dyDescent="0.3">
      <c r="A184" s="50" t="s">
        <v>655</v>
      </c>
      <c r="B184" s="50" t="s">
        <v>655</v>
      </c>
      <c r="C184" s="50" t="s">
        <v>662</v>
      </c>
      <c r="D184" s="50" t="s">
        <v>526</v>
      </c>
      <c r="E184" s="50" t="s">
        <v>540</v>
      </c>
      <c r="F184" s="50" t="s">
        <v>528</v>
      </c>
      <c r="G184" s="50" t="s">
        <v>516</v>
      </c>
      <c r="H184" s="50" t="s">
        <v>530</v>
      </c>
      <c r="I184" s="50" t="s">
        <v>382</v>
      </c>
      <c r="J184" s="50" t="s">
        <v>518</v>
      </c>
      <c r="K184" s="50" t="s">
        <v>518</v>
      </c>
      <c r="L184" s="50" t="s">
        <v>586</v>
      </c>
      <c r="M184" s="50" t="s">
        <v>365</v>
      </c>
      <c r="N184" s="51">
        <v>213</v>
      </c>
    </row>
    <row r="185" spans="1:14" x14ac:dyDescent="0.3">
      <c r="A185" s="50" t="s">
        <v>655</v>
      </c>
      <c r="B185" s="50" t="s">
        <v>655</v>
      </c>
      <c r="C185" s="50" t="s">
        <v>662</v>
      </c>
      <c r="D185" s="50" t="s">
        <v>526</v>
      </c>
      <c r="E185" s="50" t="s">
        <v>543</v>
      </c>
      <c r="F185" s="50" t="s">
        <v>528</v>
      </c>
      <c r="G185" s="50" t="s">
        <v>516</v>
      </c>
      <c r="H185" s="50" t="s">
        <v>529</v>
      </c>
      <c r="I185" s="50" t="s">
        <v>363</v>
      </c>
      <c r="J185" s="50" t="s">
        <v>518</v>
      </c>
      <c r="K185" s="50" t="s">
        <v>518</v>
      </c>
      <c r="L185" s="50" t="s">
        <v>586</v>
      </c>
      <c r="M185" s="50" t="s">
        <v>365</v>
      </c>
      <c r="N185" s="51">
        <v>272</v>
      </c>
    </row>
    <row r="186" spans="1:14" x14ac:dyDescent="0.3">
      <c r="A186" s="50" t="s">
        <v>663</v>
      </c>
      <c r="B186" s="50" t="s">
        <v>664</v>
      </c>
      <c r="C186" s="50" t="s">
        <v>665</v>
      </c>
      <c r="D186" s="50" t="s">
        <v>658</v>
      </c>
      <c r="E186" s="50" t="s">
        <v>666</v>
      </c>
      <c r="F186" s="50" t="s">
        <v>660</v>
      </c>
      <c r="G186" s="50" t="s">
        <v>516</v>
      </c>
      <c r="H186" s="50" t="s">
        <v>667</v>
      </c>
      <c r="I186" s="50" t="s">
        <v>341</v>
      </c>
      <c r="J186" s="50" t="s">
        <v>518</v>
      </c>
      <c r="K186" s="50" t="s">
        <v>518</v>
      </c>
      <c r="L186" s="50" t="s">
        <v>544</v>
      </c>
      <c r="M186" s="50" t="s">
        <v>368</v>
      </c>
      <c r="N186" s="51">
        <v>86.37</v>
      </c>
    </row>
    <row r="187" spans="1:14" x14ac:dyDescent="0.3">
      <c r="A187" s="50" t="s">
        <v>663</v>
      </c>
      <c r="B187" s="50" t="s">
        <v>664</v>
      </c>
      <c r="C187" s="50" t="s">
        <v>665</v>
      </c>
      <c r="D187" s="50" t="s">
        <v>658</v>
      </c>
      <c r="E187" s="50" t="s">
        <v>518</v>
      </c>
      <c r="F187" s="50" t="s">
        <v>660</v>
      </c>
      <c r="G187" s="50" t="s">
        <v>516</v>
      </c>
      <c r="H187" s="50" t="s">
        <v>544</v>
      </c>
      <c r="I187" s="50" t="s">
        <v>368</v>
      </c>
      <c r="J187" s="50" t="s">
        <v>518</v>
      </c>
      <c r="K187" s="50" t="s">
        <v>518</v>
      </c>
      <c r="L187" s="50" t="s">
        <v>667</v>
      </c>
      <c r="M187" s="50" t="s">
        <v>341</v>
      </c>
      <c r="N187" s="51">
        <v>-86.37</v>
      </c>
    </row>
    <row r="188" spans="1:14" x14ac:dyDescent="0.3">
      <c r="A188" s="50" t="s">
        <v>663</v>
      </c>
      <c r="B188" s="50" t="s">
        <v>663</v>
      </c>
      <c r="C188" s="50" t="s">
        <v>668</v>
      </c>
      <c r="D188" s="50" t="s">
        <v>526</v>
      </c>
      <c r="E188" s="50" t="s">
        <v>556</v>
      </c>
      <c r="F188" s="50" t="s">
        <v>528</v>
      </c>
      <c r="G188" s="50" t="s">
        <v>516</v>
      </c>
      <c r="H188" s="50" t="s">
        <v>529</v>
      </c>
      <c r="I188" s="50" t="s">
        <v>363</v>
      </c>
      <c r="J188" s="50" t="s">
        <v>518</v>
      </c>
      <c r="K188" s="50" t="s">
        <v>518</v>
      </c>
      <c r="L188" s="50" t="s">
        <v>535</v>
      </c>
      <c r="M188" s="50" t="s">
        <v>371</v>
      </c>
      <c r="N188" s="51">
        <v>30</v>
      </c>
    </row>
    <row r="189" spans="1:14" x14ac:dyDescent="0.3">
      <c r="A189" s="50" t="s">
        <v>663</v>
      </c>
      <c r="B189" s="50" t="s">
        <v>663</v>
      </c>
      <c r="C189" s="50" t="s">
        <v>668</v>
      </c>
      <c r="D189" s="50" t="s">
        <v>526</v>
      </c>
      <c r="E189" s="50" t="s">
        <v>557</v>
      </c>
      <c r="F189" s="50" t="s">
        <v>528</v>
      </c>
      <c r="G189" s="50" t="s">
        <v>516</v>
      </c>
      <c r="H189" s="50" t="s">
        <v>558</v>
      </c>
      <c r="I189" s="50" t="s">
        <v>386</v>
      </c>
      <c r="J189" s="50" t="s">
        <v>518</v>
      </c>
      <c r="K189" s="50" t="s">
        <v>518</v>
      </c>
      <c r="L189" s="50" t="s">
        <v>530</v>
      </c>
      <c r="M189" s="50" t="s">
        <v>382</v>
      </c>
      <c r="N189" s="51">
        <v>-58</v>
      </c>
    </row>
    <row r="190" spans="1:14" x14ac:dyDescent="0.3">
      <c r="A190" s="50" t="s">
        <v>663</v>
      </c>
      <c r="B190" s="50" t="s">
        <v>663</v>
      </c>
      <c r="C190" s="50" t="s">
        <v>668</v>
      </c>
      <c r="D190" s="50" t="s">
        <v>526</v>
      </c>
      <c r="E190" s="50" t="s">
        <v>531</v>
      </c>
      <c r="F190" s="50" t="s">
        <v>528</v>
      </c>
      <c r="G190" s="50" t="s">
        <v>516</v>
      </c>
      <c r="H190" s="50" t="s">
        <v>532</v>
      </c>
      <c r="I190" s="50" t="s">
        <v>381</v>
      </c>
      <c r="J190" s="50" t="s">
        <v>518</v>
      </c>
      <c r="K190" s="50" t="s">
        <v>518</v>
      </c>
      <c r="L190" s="50" t="s">
        <v>530</v>
      </c>
      <c r="M190" s="50" t="s">
        <v>382</v>
      </c>
      <c r="N190" s="51">
        <v>-10</v>
      </c>
    </row>
    <row r="191" spans="1:14" x14ac:dyDescent="0.3">
      <c r="A191" s="50" t="s">
        <v>663</v>
      </c>
      <c r="B191" s="50" t="s">
        <v>663</v>
      </c>
      <c r="C191" s="50" t="s">
        <v>668</v>
      </c>
      <c r="D191" s="50" t="s">
        <v>526</v>
      </c>
      <c r="E191" s="50" t="s">
        <v>534</v>
      </c>
      <c r="F191" s="50" t="s">
        <v>528</v>
      </c>
      <c r="G191" s="50" t="s">
        <v>516</v>
      </c>
      <c r="H191" s="50" t="s">
        <v>535</v>
      </c>
      <c r="I191" s="50" t="s">
        <v>371</v>
      </c>
      <c r="J191" s="50" t="s">
        <v>518</v>
      </c>
      <c r="K191" s="50" t="s">
        <v>518</v>
      </c>
      <c r="L191" s="50" t="s">
        <v>530</v>
      </c>
      <c r="M191" s="50" t="s">
        <v>382</v>
      </c>
      <c r="N191" s="51">
        <v>-1481</v>
      </c>
    </row>
    <row r="192" spans="1:14" x14ac:dyDescent="0.3">
      <c r="A192" s="50" t="s">
        <v>663</v>
      </c>
      <c r="B192" s="50" t="s">
        <v>663</v>
      </c>
      <c r="C192" s="50" t="s">
        <v>668</v>
      </c>
      <c r="D192" s="50" t="s">
        <v>526</v>
      </c>
      <c r="E192" s="50" t="s">
        <v>559</v>
      </c>
      <c r="F192" s="50" t="s">
        <v>528</v>
      </c>
      <c r="G192" s="50" t="s">
        <v>516</v>
      </c>
      <c r="H192" s="50" t="s">
        <v>529</v>
      </c>
      <c r="I192" s="50" t="s">
        <v>363</v>
      </c>
      <c r="J192" s="50" t="s">
        <v>518</v>
      </c>
      <c r="K192" s="50" t="s">
        <v>518</v>
      </c>
      <c r="L192" s="50" t="s">
        <v>535</v>
      </c>
      <c r="M192" s="50" t="s">
        <v>371</v>
      </c>
      <c r="N192" s="51">
        <v>146</v>
      </c>
    </row>
    <row r="193" spans="1:14" x14ac:dyDescent="0.3">
      <c r="A193" s="50" t="s">
        <v>663</v>
      </c>
      <c r="B193" s="50" t="s">
        <v>663</v>
      </c>
      <c r="C193" s="50" t="s">
        <v>668</v>
      </c>
      <c r="D193" s="50" t="s">
        <v>526</v>
      </c>
      <c r="E193" s="50" t="s">
        <v>539</v>
      </c>
      <c r="F193" s="50" t="s">
        <v>528</v>
      </c>
      <c r="G193" s="50" t="s">
        <v>516</v>
      </c>
      <c r="H193" s="50" t="s">
        <v>529</v>
      </c>
      <c r="I193" s="50" t="s">
        <v>363</v>
      </c>
      <c r="J193" s="50" t="s">
        <v>518</v>
      </c>
      <c r="K193" s="50" t="s">
        <v>518</v>
      </c>
      <c r="L193" s="50" t="s">
        <v>535</v>
      </c>
      <c r="M193" s="50" t="s">
        <v>371</v>
      </c>
      <c r="N193" s="51">
        <v>598</v>
      </c>
    </row>
    <row r="194" spans="1:14" x14ac:dyDescent="0.3">
      <c r="A194" s="50" t="s">
        <v>663</v>
      </c>
      <c r="B194" s="50" t="s">
        <v>663</v>
      </c>
      <c r="C194" s="50" t="s">
        <v>668</v>
      </c>
      <c r="D194" s="50" t="s">
        <v>526</v>
      </c>
      <c r="E194" s="50" t="s">
        <v>420</v>
      </c>
      <c r="F194" s="50" t="s">
        <v>528</v>
      </c>
      <c r="G194" s="50" t="s">
        <v>391</v>
      </c>
      <c r="H194" s="50" t="s">
        <v>561</v>
      </c>
      <c r="I194" s="50" t="s">
        <v>269</v>
      </c>
      <c r="J194" s="50" t="s">
        <v>518</v>
      </c>
      <c r="K194" s="50" t="s">
        <v>518</v>
      </c>
      <c r="L194" s="50" t="s">
        <v>530</v>
      </c>
      <c r="M194" s="50" t="s">
        <v>382</v>
      </c>
      <c r="N194" s="51">
        <v>-21.99</v>
      </c>
    </row>
    <row r="195" spans="1:14" x14ac:dyDescent="0.3">
      <c r="A195" s="50" t="s">
        <v>663</v>
      </c>
      <c r="B195" s="50" t="s">
        <v>663</v>
      </c>
      <c r="C195" s="50" t="s">
        <v>668</v>
      </c>
      <c r="D195" s="50" t="s">
        <v>526</v>
      </c>
      <c r="E195" s="50" t="s">
        <v>540</v>
      </c>
      <c r="F195" s="50" t="s">
        <v>528</v>
      </c>
      <c r="G195" s="50" t="s">
        <v>516</v>
      </c>
      <c r="H195" s="50" t="s">
        <v>533</v>
      </c>
      <c r="I195" s="50" t="s">
        <v>364</v>
      </c>
      <c r="J195" s="50" t="s">
        <v>518</v>
      </c>
      <c r="K195" s="50" t="s">
        <v>518</v>
      </c>
      <c r="L195" s="50" t="s">
        <v>530</v>
      </c>
      <c r="M195" s="50" t="s">
        <v>382</v>
      </c>
      <c r="N195" s="51">
        <v>-1363.32</v>
      </c>
    </row>
    <row r="196" spans="1:14" x14ac:dyDescent="0.3">
      <c r="A196" s="50" t="s">
        <v>663</v>
      </c>
      <c r="B196" s="50" t="s">
        <v>663</v>
      </c>
      <c r="C196" s="50" t="s">
        <v>668</v>
      </c>
      <c r="D196" s="50" t="s">
        <v>526</v>
      </c>
      <c r="E196" s="50" t="s">
        <v>540</v>
      </c>
      <c r="F196" s="50" t="s">
        <v>528</v>
      </c>
      <c r="G196" s="50" t="s">
        <v>516</v>
      </c>
      <c r="H196" s="50" t="s">
        <v>530</v>
      </c>
      <c r="I196" s="50" t="s">
        <v>382</v>
      </c>
      <c r="J196" s="50" t="s">
        <v>518</v>
      </c>
      <c r="K196" s="50" t="s">
        <v>518</v>
      </c>
      <c r="L196" s="50" t="s">
        <v>535</v>
      </c>
      <c r="M196" s="50" t="s">
        <v>371</v>
      </c>
      <c r="N196" s="51">
        <v>1363.32</v>
      </c>
    </row>
    <row r="197" spans="1:14" x14ac:dyDescent="0.3">
      <c r="A197" s="50" t="s">
        <v>663</v>
      </c>
      <c r="B197" s="50" t="s">
        <v>663</v>
      </c>
      <c r="C197" s="50" t="s">
        <v>668</v>
      </c>
      <c r="D197" s="50" t="s">
        <v>526</v>
      </c>
      <c r="E197" s="50" t="s">
        <v>541</v>
      </c>
      <c r="F197" s="50" t="s">
        <v>528</v>
      </c>
      <c r="G197" s="50" t="s">
        <v>516</v>
      </c>
      <c r="H197" s="50" t="s">
        <v>542</v>
      </c>
      <c r="I197" s="50" t="s">
        <v>369</v>
      </c>
      <c r="J197" s="50" t="s">
        <v>518</v>
      </c>
      <c r="K197" s="50" t="s">
        <v>518</v>
      </c>
      <c r="L197" s="50" t="s">
        <v>530</v>
      </c>
      <c r="M197" s="50" t="s">
        <v>382</v>
      </c>
      <c r="N197" s="51">
        <v>-262.39999999999998</v>
      </c>
    </row>
    <row r="198" spans="1:14" x14ac:dyDescent="0.3">
      <c r="A198" s="50" t="s">
        <v>663</v>
      </c>
      <c r="B198" s="50" t="s">
        <v>663</v>
      </c>
      <c r="C198" s="50" t="s">
        <v>668</v>
      </c>
      <c r="D198" s="50" t="s">
        <v>526</v>
      </c>
      <c r="E198" s="50" t="s">
        <v>541</v>
      </c>
      <c r="F198" s="50" t="s">
        <v>528</v>
      </c>
      <c r="G198" s="50" t="s">
        <v>516</v>
      </c>
      <c r="H198" s="50" t="s">
        <v>530</v>
      </c>
      <c r="I198" s="50" t="s">
        <v>382</v>
      </c>
      <c r="J198" s="50" t="s">
        <v>518</v>
      </c>
      <c r="K198" s="50" t="s">
        <v>518</v>
      </c>
      <c r="L198" s="50" t="s">
        <v>535</v>
      </c>
      <c r="M198" s="50" t="s">
        <v>371</v>
      </c>
      <c r="N198" s="51">
        <v>262.39999999999998</v>
      </c>
    </row>
    <row r="199" spans="1:14" x14ac:dyDescent="0.3">
      <c r="A199" s="50" t="s">
        <v>663</v>
      </c>
      <c r="B199" s="50" t="s">
        <v>663</v>
      </c>
      <c r="C199" s="50" t="s">
        <v>668</v>
      </c>
      <c r="D199" s="50" t="s">
        <v>526</v>
      </c>
      <c r="E199" s="50" t="s">
        <v>669</v>
      </c>
      <c r="F199" s="50" t="s">
        <v>528</v>
      </c>
      <c r="G199" s="50" t="s">
        <v>516</v>
      </c>
      <c r="H199" s="50" t="s">
        <v>670</v>
      </c>
      <c r="I199" s="50" t="s">
        <v>375</v>
      </c>
      <c r="J199" s="50" t="s">
        <v>518</v>
      </c>
      <c r="K199" s="50" t="s">
        <v>518</v>
      </c>
      <c r="L199" s="50" t="s">
        <v>530</v>
      </c>
      <c r="M199" s="50" t="s">
        <v>382</v>
      </c>
      <c r="N199" s="51">
        <v>-21.61</v>
      </c>
    </row>
    <row r="200" spans="1:14" x14ac:dyDescent="0.3">
      <c r="A200" s="50" t="s">
        <v>663</v>
      </c>
      <c r="B200" s="50" t="s">
        <v>663</v>
      </c>
      <c r="C200" s="50" t="s">
        <v>668</v>
      </c>
      <c r="D200" s="50" t="s">
        <v>526</v>
      </c>
      <c r="E200" s="50" t="s">
        <v>671</v>
      </c>
      <c r="F200" s="50" t="s">
        <v>528</v>
      </c>
      <c r="G200" s="50" t="s">
        <v>516</v>
      </c>
      <c r="H200" s="50" t="s">
        <v>586</v>
      </c>
      <c r="I200" s="50" t="s">
        <v>365</v>
      </c>
      <c r="J200" s="50" t="s">
        <v>518</v>
      </c>
      <c r="K200" s="50" t="s">
        <v>518</v>
      </c>
      <c r="L200" s="50" t="s">
        <v>535</v>
      </c>
      <c r="M200" s="50" t="s">
        <v>371</v>
      </c>
      <c r="N200" s="51">
        <v>5.94</v>
      </c>
    </row>
    <row r="201" spans="1:14" x14ac:dyDescent="0.3">
      <c r="A201" s="50" t="s">
        <v>663</v>
      </c>
      <c r="B201" s="50" t="s">
        <v>663</v>
      </c>
      <c r="C201" s="50" t="s">
        <v>668</v>
      </c>
      <c r="D201" s="50" t="s">
        <v>526</v>
      </c>
      <c r="E201" s="50" t="s">
        <v>562</v>
      </c>
      <c r="F201" s="50" t="s">
        <v>528</v>
      </c>
      <c r="G201" s="50" t="s">
        <v>391</v>
      </c>
      <c r="H201" s="50" t="s">
        <v>563</v>
      </c>
      <c r="I201" s="50" t="s">
        <v>264</v>
      </c>
      <c r="J201" s="50" t="s">
        <v>518</v>
      </c>
      <c r="K201" s="50" t="s">
        <v>518</v>
      </c>
      <c r="L201" s="50" t="s">
        <v>530</v>
      </c>
      <c r="M201" s="50" t="s">
        <v>382</v>
      </c>
      <c r="N201" s="51">
        <v>-1.79</v>
      </c>
    </row>
    <row r="202" spans="1:14" x14ac:dyDescent="0.3">
      <c r="A202" s="50" t="s">
        <v>663</v>
      </c>
      <c r="B202" s="50" t="s">
        <v>663</v>
      </c>
      <c r="C202" s="50" t="s">
        <v>668</v>
      </c>
      <c r="D202" s="50" t="s">
        <v>526</v>
      </c>
      <c r="E202" s="50" t="s">
        <v>543</v>
      </c>
      <c r="F202" s="50" t="s">
        <v>528</v>
      </c>
      <c r="G202" s="50" t="s">
        <v>516</v>
      </c>
      <c r="H202" s="50" t="s">
        <v>529</v>
      </c>
      <c r="I202" s="50" t="s">
        <v>363</v>
      </c>
      <c r="J202" s="50" t="s">
        <v>518</v>
      </c>
      <c r="K202" s="50" t="s">
        <v>518</v>
      </c>
      <c r="L202" s="50" t="s">
        <v>535</v>
      </c>
      <c r="M202" s="50" t="s">
        <v>371</v>
      </c>
      <c r="N202" s="51">
        <v>925.39</v>
      </c>
    </row>
    <row r="203" spans="1:14" x14ac:dyDescent="0.3">
      <c r="A203" s="50" t="s">
        <v>663</v>
      </c>
      <c r="B203" s="50" t="s">
        <v>663</v>
      </c>
      <c r="C203" s="50" t="s">
        <v>668</v>
      </c>
      <c r="D203" s="50" t="s">
        <v>526</v>
      </c>
      <c r="E203" s="50" t="s">
        <v>518</v>
      </c>
      <c r="F203" s="50" t="s">
        <v>528</v>
      </c>
      <c r="G203" s="50" t="s">
        <v>516</v>
      </c>
      <c r="H203" s="50" t="s">
        <v>544</v>
      </c>
      <c r="I203" s="50" t="s">
        <v>368</v>
      </c>
      <c r="J203" s="50" t="s">
        <v>518</v>
      </c>
      <c r="K203" s="50" t="s">
        <v>518</v>
      </c>
      <c r="L203" s="50" t="s">
        <v>530</v>
      </c>
      <c r="M203" s="50" t="s">
        <v>382</v>
      </c>
      <c r="N203" s="51">
        <v>-134.72</v>
      </c>
    </row>
    <row r="204" spans="1:14" x14ac:dyDescent="0.3">
      <c r="A204" s="50" t="s">
        <v>663</v>
      </c>
      <c r="B204" s="50" t="s">
        <v>663</v>
      </c>
      <c r="C204" s="50" t="s">
        <v>668</v>
      </c>
      <c r="D204" s="50" t="s">
        <v>526</v>
      </c>
      <c r="E204" s="50" t="s">
        <v>518</v>
      </c>
      <c r="F204" s="50" t="s">
        <v>528</v>
      </c>
      <c r="G204" s="50" t="s">
        <v>391</v>
      </c>
      <c r="H204" s="50" t="s">
        <v>544</v>
      </c>
      <c r="I204" s="50" t="s">
        <v>368</v>
      </c>
      <c r="J204" s="50" t="s">
        <v>518</v>
      </c>
      <c r="K204" s="50" t="s">
        <v>518</v>
      </c>
      <c r="L204" s="50" t="s">
        <v>530</v>
      </c>
      <c r="M204" s="50" t="s">
        <v>382</v>
      </c>
      <c r="N204" s="51">
        <v>23.78</v>
      </c>
    </row>
    <row r="205" spans="1:14" x14ac:dyDescent="0.3">
      <c r="A205" s="50" t="s">
        <v>663</v>
      </c>
      <c r="B205" s="50" t="s">
        <v>663</v>
      </c>
      <c r="C205" s="50" t="s">
        <v>672</v>
      </c>
      <c r="D205" s="50" t="s">
        <v>565</v>
      </c>
      <c r="E205" s="50" t="s">
        <v>518</v>
      </c>
      <c r="F205" s="50" t="s">
        <v>566</v>
      </c>
      <c r="G205" s="50" t="s">
        <v>391</v>
      </c>
      <c r="H205" s="50" t="s">
        <v>567</v>
      </c>
      <c r="I205" s="50" t="s">
        <v>395</v>
      </c>
      <c r="J205" s="50" t="s">
        <v>518</v>
      </c>
      <c r="K205" s="50" t="s">
        <v>518</v>
      </c>
      <c r="L205" s="50" t="s">
        <v>568</v>
      </c>
      <c r="M205" s="50" t="s">
        <v>401</v>
      </c>
      <c r="N205" s="51">
        <v>5.08</v>
      </c>
    </row>
    <row r="206" spans="1:14" x14ac:dyDescent="0.3">
      <c r="A206" s="50" t="s">
        <v>663</v>
      </c>
      <c r="B206" s="50" t="s">
        <v>663</v>
      </c>
      <c r="C206" s="50" t="s">
        <v>672</v>
      </c>
      <c r="D206" s="50" t="s">
        <v>565</v>
      </c>
      <c r="E206" s="50" t="s">
        <v>518</v>
      </c>
      <c r="F206" s="50" t="s">
        <v>566</v>
      </c>
      <c r="G206" s="50" t="s">
        <v>391</v>
      </c>
      <c r="H206" s="50" t="s">
        <v>568</v>
      </c>
      <c r="I206" s="50" t="s">
        <v>401</v>
      </c>
      <c r="J206" s="50" t="s">
        <v>518</v>
      </c>
      <c r="K206" s="50" t="s">
        <v>518</v>
      </c>
      <c r="L206" s="50" t="s">
        <v>567</v>
      </c>
      <c r="M206" s="50" t="s">
        <v>395</v>
      </c>
      <c r="N206" s="51">
        <v>-5.08</v>
      </c>
    </row>
    <row r="207" spans="1:14" x14ac:dyDescent="0.3">
      <c r="A207" s="50" t="s">
        <v>663</v>
      </c>
      <c r="B207" s="50" t="s">
        <v>663</v>
      </c>
      <c r="C207" s="50" t="s">
        <v>673</v>
      </c>
      <c r="D207" s="50" t="s">
        <v>565</v>
      </c>
      <c r="E207" s="50" t="s">
        <v>518</v>
      </c>
      <c r="F207" s="50" t="s">
        <v>566</v>
      </c>
      <c r="G207" s="50" t="s">
        <v>391</v>
      </c>
      <c r="H207" s="50" t="s">
        <v>574</v>
      </c>
      <c r="I207" s="50" t="s">
        <v>392</v>
      </c>
      <c r="J207" s="50" t="s">
        <v>518</v>
      </c>
      <c r="K207" s="50" t="s">
        <v>518</v>
      </c>
      <c r="L207" s="50" t="s">
        <v>568</v>
      </c>
      <c r="M207" s="50" t="s">
        <v>401</v>
      </c>
      <c r="N207" s="51">
        <v>-5.08</v>
      </c>
    </row>
    <row r="208" spans="1:14" x14ac:dyDescent="0.3">
      <c r="A208" s="50" t="s">
        <v>663</v>
      </c>
      <c r="B208" s="50" t="s">
        <v>663</v>
      </c>
      <c r="C208" s="50" t="s">
        <v>673</v>
      </c>
      <c r="D208" s="50" t="s">
        <v>565</v>
      </c>
      <c r="E208" s="50" t="s">
        <v>518</v>
      </c>
      <c r="F208" s="50" t="s">
        <v>566</v>
      </c>
      <c r="G208" s="50" t="s">
        <v>391</v>
      </c>
      <c r="H208" s="50" t="s">
        <v>568</v>
      </c>
      <c r="I208" s="50" t="s">
        <v>401</v>
      </c>
      <c r="J208" s="50" t="s">
        <v>518</v>
      </c>
      <c r="K208" s="50" t="s">
        <v>518</v>
      </c>
      <c r="L208" s="50" t="s">
        <v>574</v>
      </c>
      <c r="M208" s="50" t="s">
        <v>392</v>
      </c>
      <c r="N208" s="51">
        <v>5.08</v>
      </c>
    </row>
    <row r="209" spans="1:14" x14ac:dyDescent="0.3">
      <c r="A209" s="50" t="s">
        <v>663</v>
      </c>
      <c r="B209" s="50" t="s">
        <v>663</v>
      </c>
      <c r="C209" s="50" t="s">
        <v>674</v>
      </c>
      <c r="D209" s="50" t="s">
        <v>565</v>
      </c>
      <c r="E209" s="50" t="s">
        <v>518</v>
      </c>
      <c r="F209" s="50" t="s">
        <v>566</v>
      </c>
      <c r="G209" s="50" t="s">
        <v>391</v>
      </c>
      <c r="H209" s="50" t="s">
        <v>574</v>
      </c>
      <c r="I209" s="50" t="s">
        <v>392</v>
      </c>
      <c r="J209" s="50" t="s">
        <v>518</v>
      </c>
      <c r="K209" s="50" t="s">
        <v>518</v>
      </c>
      <c r="L209" s="50" t="s">
        <v>568</v>
      </c>
      <c r="M209" s="50" t="s">
        <v>401</v>
      </c>
      <c r="N209" s="51">
        <v>5.08</v>
      </c>
    </row>
    <row r="210" spans="1:14" x14ac:dyDescent="0.3">
      <c r="A210" s="50" t="s">
        <v>663</v>
      </c>
      <c r="B210" s="50" t="s">
        <v>663</v>
      </c>
      <c r="C210" s="50" t="s">
        <v>674</v>
      </c>
      <c r="D210" s="50" t="s">
        <v>565</v>
      </c>
      <c r="E210" s="50" t="s">
        <v>518</v>
      </c>
      <c r="F210" s="50" t="s">
        <v>566</v>
      </c>
      <c r="G210" s="50" t="s">
        <v>391</v>
      </c>
      <c r="H210" s="50" t="s">
        <v>568</v>
      </c>
      <c r="I210" s="50" t="s">
        <v>401</v>
      </c>
      <c r="J210" s="50" t="s">
        <v>518</v>
      </c>
      <c r="K210" s="50" t="s">
        <v>518</v>
      </c>
      <c r="L210" s="50" t="s">
        <v>574</v>
      </c>
      <c r="M210" s="50" t="s">
        <v>392</v>
      </c>
      <c r="N210" s="51">
        <v>-5.08</v>
      </c>
    </row>
    <row r="211" spans="1:14" x14ac:dyDescent="0.3">
      <c r="A211" s="50" t="s">
        <v>663</v>
      </c>
      <c r="B211" s="50" t="s">
        <v>663</v>
      </c>
      <c r="C211" s="50" t="s">
        <v>675</v>
      </c>
      <c r="D211" s="50" t="s">
        <v>565</v>
      </c>
      <c r="E211" s="50" t="s">
        <v>518</v>
      </c>
      <c r="F211" s="50" t="s">
        <v>566</v>
      </c>
      <c r="G211" s="50" t="s">
        <v>391</v>
      </c>
      <c r="H211" s="50" t="s">
        <v>567</v>
      </c>
      <c r="I211" s="50" t="s">
        <v>395</v>
      </c>
      <c r="J211" s="50" t="s">
        <v>518</v>
      </c>
      <c r="K211" s="50" t="s">
        <v>518</v>
      </c>
      <c r="L211" s="50" t="s">
        <v>568</v>
      </c>
      <c r="M211" s="50" t="s">
        <v>401</v>
      </c>
      <c r="N211" s="51">
        <v>5.08</v>
      </c>
    </row>
    <row r="212" spans="1:14" x14ac:dyDescent="0.3">
      <c r="A212" s="50" t="s">
        <v>663</v>
      </c>
      <c r="B212" s="50" t="s">
        <v>663</v>
      </c>
      <c r="C212" s="50" t="s">
        <v>675</v>
      </c>
      <c r="D212" s="50" t="s">
        <v>565</v>
      </c>
      <c r="E212" s="50" t="s">
        <v>518</v>
      </c>
      <c r="F212" s="50" t="s">
        <v>566</v>
      </c>
      <c r="G212" s="50" t="s">
        <v>391</v>
      </c>
      <c r="H212" s="50" t="s">
        <v>568</v>
      </c>
      <c r="I212" s="50" t="s">
        <v>401</v>
      </c>
      <c r="J212" s="50" t="s">
        <v>518</v>
      </c>
      <c r="K212" s="50" t="s">
        <v>518</v>
      </c>
      <c r="L212" s="50" t="s">
        <v>567</v>
      </c>
      <c r="M212" s="50" t="s">
        <v>395</v>
      </c>
      <c r="N212" s="51">
        <v>-5.08</v>
      </c>
    </row>
    <row r="213" spans="1:14" x14ac:dyDescent="0.3">
      <c r="A213" s="50" t="s">
        <v>663</v>
      </c>
      <c r="B213" s="50" t="s">
        <v>663</v>
      </c>
      <c r="C213" s="50" t="s">
        <v>676</v>
      </c>
      <c r="D213" s="50" t="s">
        <v>565</v>
      </c>
      <c r="E213" s="50" t="s">
        <v>518</v>
      </c>
      <c r="F213" s="50" t="s">
        <v>566</v>
      </c>
      <c r="G213" s="50" t="s">
        <v>391</v>
      </c>
      <c r="H213" s="50" t="s">
        <v>567</v>
      </c>
      <c r="I213" s="50" t="s">
        <v>395</v>
      </c>
      <c r="J213" s="50" t="s">
        <v>518</v>
      </c>
      <c r="K213" s="50" t="s">
        <v>518</v>
      </c>
      <c r="L213" s="50" t="s">
        <v>568</v>
      </c>
      <c r="M213" s="50" t="s">
        <v>401</v>
      </c>
      <c r="N213" s="51">
        <v>5.08</v>
      </c>
    </row>
    <row r="214" spans="1:14" x14ac:dyDescent="0.3">
      <c r="A214" s="50" t="s">
        <v>663</v>
      </c>
      <c r="B214" s="50" t="s">
        <v>663</v>
      </c>
      <c r="C214" s="50" t="s">
        <v>676</v>
      </c>
      <c r="D214" s="50" t="s">
        <v>565</v>
      </c>
      <c r="E214" s="50" t="s">
        <v>518</v>
      </c>
      <c r="F214" s="50" t="s">
        <v>566</v>
      </c>
      <c r="G214" s="50" t="s">
        <v>391</v>
      </c>
      <c r="H214" s="50" t="s">
        <v>568</v>
      </c>
      <c r="I214" s="50" t="s">
        <v>401</v>
      </c>
      <c r="J214" s="50" t="s">
        <v>518</v>
      </c>
      <c r="K214" s="50" t="s">
        <v>518</v>
      </c>
      <c r="L214" s="50" t="s">
        <v>567</v>
      </c>
      <c r="M214" s="50" t="s">
        <v>395</v>
      </c>
      <c r="N214" s="51">
        <v>-5.08</v>
      </c>
    </row>
    <row r="215" spans="1:14" x14ac:dyDescent="0.3">
      <c r="A215" s="50" t="s">
        <v>663</v>
      </c>
      <c r="B215" s="50" t="s">
        <v>663</v>
      </c>
      <c r="C215" s="50" t="s">
        <v>677</v>
      </c>
      <c r="D215" s="50" t="s">
        <v>565</v>
      </c>
      <c r="E215" s="50" t="s">
        <v>518</v>
      </c>
      <c r="F215" s="50" t="s">
        <v>566</v>
      </c>
      <c r="G215" s="50" t="s">
        <v>391</v>
      </c>
      <c r="H215" s="50" t="s">
        <v>574</v>
      </c>
      <c r="I215" s="50" t="s">
        <v>392</v>
      </c>
      <c r="J215" s="50" t="s">
        <v>518</v>
      </c>
      <c r="K215" s="50" t="s">
        <v>518</v>
      </c>
      <c r="L215" s="50" t="s">
        <v>568</v>
      </c>
      <c r="M215" s="50" t="s">
        <v>401</v>
      </c>
      <c r="N215" s="51">
        <v>5.08</v>
      </c>
    </row>
    <row r="216" spans="1:14" x14ac:dyDescent="0.3">
      <c r="A216" s="50" t="s">
        <v>663</v>
      </c>
      <c r="B216" s="50" t="s">
        <v>663</v>
      </c>
      <c r="C216" s="50" t="s">
        <v>677</v>
      </c>
      <c r="D216" s="50" t="s">
        <v>565</v>
      </c>
      <c r="E216" s="50" t="s">
        <v>518</v>
      </c>
      <c r="F216" s="50" t="s">
        <v>566</v>
      </c>
      <c r="G216" s="50" t="s">
        <v>391</v>
      </c>
      <c r="H216" s="50" t="s">
        <v>568</v>
      </c>
      <c r="I216" s="50" t="s">
        <v>401</v>
      </c>
      <c r="J216" s="50" t="s">
        <v>518</v>
      </c>
      <c r="K216" s="50" t="s">
        <v>518</v>
      </c>
      <c r="L216" s="50" t="s">
        <v>574</v>
      </c>
      <c r="M216" s="50" t="s">
        <v>392</v>
      </c>
      <c r="N216" s="51">
        <v>-5.08</v>
      </c>
    </row>
    <row r="217" spans="1:14" x14ac:dyDescent="0.3">
      <c r="A217" s="50" t="s">
        <v>678</v>
      </c>
      <c r="B217" s="50" t="s">
        <v>678</v>
      </c>
      <c r="C217" s="50" t="s">
        <v>679</v>
      </c>
      <c r="D217" s="50" t="s">
        <v>526</v>
      </c>
      <c r="E217" s="50" t="s">
        <v>557</v>
      </c>
      <c r="F217" s="50" t="s">
        <v>528</v>
      </c>
      <c r="G217" s="50" t="s">
        <v>516</v>
      </c>
      <c r="H217" s="50" t="s">
        <v>558</v>
      </c>
      <c r="I217" s="50" t="s">
        <v>386</v>
      </c>
      <c r="J217" s="50" t="s">
        <v>518</v>
      </c>
      <c r="K217" s="50" t="s">
        <v>518</v>
      </c>
      <c r="L217" s="50" t="s">
        <v>529</v>
      </c>
      <c r="M217" s="50" t="s">
        <v>363</v>
      </c>
      <c r="N217" s="51">
        <v>-29</v>
      </c>
    </row>
    <row r="218" spans="1:14" x14ac:dyDescent="0.3">
      <c r="A218" s="50" t="s">
        <v>678</v>
      </c>
      <c r="B218" s="50" t="s">
        <v>678</v>
      </c>
      <c r="C218" s="50" t="s">
        <v>679</v>
      </c>
      <c r="D218" s="50" t="s">
        <v>526</v>
      </c>
      <c r="E218" s="50" t="s">
        <v>534</v>
      </c>
      <c r="F218" s="50" t="s">
        <v>528</v>
      </c>
      <c r="G218" s="50" t="s">
        <v>516</v>
      </c>
      <c r="H218" s="50" t="s">
        <v>535</v>
      </c>
      <c r="I218" s="50" t="s">
        <v>371</v>
      </c>
      <c r="J218" s="50" t="s">
        <v>518</v>
      </c>
      <c r="K218" s="50" t="s">
        <v>518</v>
      </c>
      <c r="L218" s="50" t="s">
        <v>529</v>
      </c>
      <c r="M218" s="50" t="s">
        <v>363</v>
      </c>
      <c r="N218" s="51">
        <v>-840</v>
      </c>
    </row>
    <row r="219" spans="1:14" x14ac:dyDescent="0.3">
      <c r="A219" s="50" t="s">
        <v>678</v>
      </c>
      <c r="B219" s="50" t="s">
        <v>678</v>
      </c>
      <c r="C219" s="50" t="s">
        <v>679</v>
      </c>
      <c r="D219" s="50" t="s">
        <v>526</v>
      </c>
      <c r="E219" s="50" t="s">
        <v>536</v>
      </c>
      <c r="F219" s="50" t="s">
        <v>528</v>
      </c>
      <c r="G219" s="50" t="s">
        <v>516</v>
      </c>
      <c r="H219" s="50" t="s">
        <v>537</v>
      </c>
      <c r="I219" s="50" t="s">
        <v>385</v>
      </c>
      <c r="J219" s="50" t="s">
        <v>518</v>
      </c>
      <c r="K219" s="50" t="s">
        <v>518</v>
      </c>
      <c r="L219" s="50" t="s">
        <v>529</v>
      </c>
      <c r="M219" s="50" t="s">
        <v>363</v>
      </c>
      <c r="N219" s="51">
        <v>-15</v>
      </c>
    </row>
    <row r="220" spans="1:14" x14ac:dyDescent="0.3">
      <c r="A220" s="50" t="s">
        <v>678</v>
      </c>
      <c r="B220" s="50" t="s">
        <v>678</v>
      </c>
      <c r="C220" s="50" t="s">
        <v>679</v>
      </c>
      <c r="D220" s="50" t="s">
        <v>526</v>
      </c>
      <c r="E220" s="50" t="s">
        <v>383</v>
      </c>
      <c r="F220" s="50" t="s">
        <v>528</v>
      </c>
      <c r="G220" s="50" t="s">
        <v>516</v>
      </c>
      <c r="H220" s="50" t="s">
        <v>538</v>
      </c>
      <c r="I220" s="50" t="s">
        <v>383</v>
      </c>
      <c r="J220" s="50" t="s">
        <v>518</v>
      </c>
      <c r="K220" s="50" t="s">
        <v>518</v>
      </c>
      <c r="L220" s="50" t="s">
        <v>529</v>
      </c>
      <c r="M220" s="50" t="s">
        <v>363</v>
      </c>
      <c r="N220" s="51">
        <v>-3</v>
      </c>
    </row>
    <row r="221" spans="1:14" x14ac:dyDescent="0.3">
      <c r="A221" s="50" t="s">
        <v>678</v>
      </c>
      <c r="B221" s="50" t="s">
        <v>678</v>
      </c>
      <c r="C221" s="50" t="s">
        <v>679</v>
      </c>
      <c r="D221" s="50" t="s">
        <v>526</v>
      </c>
      <c r="E221" s="50" t="s">
        <v>539</v>
      </c>
      <c r="F221" s="50" t="s">
        <v>528</v>
      </c>
      <c r="G221" s="50" t="s">
        <v>516</v>
      </c>
      <c r="H221" s="50" t="s">
        <v>529</v>
      </c>
      <c r="I221" s="50" t="s">
        <v>363</v>
      </c>
      <c r="J221" s="50" t="s">
        <v>518</v>
      </c>
      <c r="K221" s="50" t="s">
        <v>518</v>
      </c>
      <c r="L221" s="50" t="s">
        <v>535</v>
      </c>
      <c r="M221" s="50" t="s">
        <v>371</v>
      </c>
      <c r="N221" s="51">
        <v>227</v>
      </c>
    </row>
    <row r="222" spans="1:14" x14ac:dyDescent="0.3">
      <c r="A222" s="50" t="s">
        <v>678</v>
      </c>
      <c r="B222" s="50" t="s">
        <v>678</v>
      </c>
      <c r="C222" s="50" t="s">
        <v>679</v>
      </c>
      <c r="D222" s="50" t="s">
        <v>526</v>
      </c>
      <c r="E222" s="50" t="s">
        <v>420</v>
      </c>
      <c r="F222" s="50" t="s">
        <v>528</v>
      </c>
      <c r="G222" s="50" t="s">
        <v>391</v>
      </c>
      <c r="H222" s="50" t="s">
        <v>561</v>
      </c>
      <c r="I222" s="50" t="s">
        <v>269</v>
      </c>
      <c r="J222" s="50" t="s">
        <v>518</v>
      </c>
      <c r="K222" s="50" t="s">
        <v>518</v>
      </c>
      <c r="L222" s="50" t="s">
        <v>529</v>
      </c>
      <c r="M222" s="50" t="s">
        <v>363</v>
      </c>
      <c r="N222" s="51">
        <v>-21.99</v>
      </c>
    </row>
    <row r="223" spans="1:14" x14ac:dyDescent="0.3">
      <c r="A223" s="50" t="s">
        <v>678</v>
      </c>
      <c r="B223" s="50" t="s">
        <v>678</v>
      </c>
      <c r="C223" s="50" t="s">
        <v>679</v>
      </c>
      <c r="D223" s="50" t="s">
        <v>526</v>
      </c>
      <c r="E223" s="50" t="s">
        <v>496</v>
      </c>
      <c r="F223" s="50" t="s">
        <v>528</v>
      </c>
      <c r="G223" s="50" t="s">
        <v>391</v>
      </c>
      <c r="H223" s="50" t="s">
        <v>680</v>
      </c>
      <c r="I223" s="50" t="s">
        <v>409</v>
      </c>
      <c r="J223" s="50" t="s">
        <v>518</v>
      </c>
      <c r="K223" s="50" t="s">
        <v>518</v>
      </c>
      <c r="L223" s="50" t="s">
        <v>529</v>
      </c>
      <c r="M223" s="50" t="s">
        <v>363</v>
      </c>
      <c r="N223" s="51">
        <v>-7.99</v>
      </c>
    </row>
    <row r="224" spans="1:14" x14ac:dyDescent="0.3">
      <c r="A224" s="50" t="s">
        <v>678</v>
      </c>
      <c r="B224" s="50" t="s">
        <v>678</v>
      </c>
      <c r="C224" s="50" t="s">
        <v>679</v>
      </c>
      <c r="D224" s="50" t="s">
        <v>526</v>
      </c>
      <c r="E224" s="50" t="s">
        <v>540</v>
      </c>
      <c r="F224" s="50" t="s">
        <v>528</v>
      </c>
      <c r="G224" s="50" t="s">
        <v>516</v>
      </c>
      <c r="H224" s="50" t="s">
        <v>533</v>
      </c>
      <c r="I224" s="50" t="s">
        <v>364</v>
      </c>
      <c r="J224" s="50" t="s">
        <v>518</v>
      </c>
      <c r="K224" s="50" t="s">
        <v>518</v>
      </c>
      <c r="L224" s="50" t="s">
        <v>529</v>
      </c>
      <c r="M224" s="50" t="s">
        <v>363</v>
      </c>
      <c r="N224" s="51">
        <v>-687.26</v>
      </c>
    </row>
    <row r="225" spans="1:14" x14ac:dyDescent="0.3">
      <c r="A225" s="50" t="s">
        <v>678</v>
      </c>
      <c r="B225" s="50" t="s">
        <v>678</v>
      </c>
      <c r="C225" s="50" t="s">
        <v>679</v>
      </c>
      <c r="D225" s="50" t="s">
        <v>526</v>
      </c>
      <c r="E225" s="50" t="s">
        <v>540</v>
      </c>
      <c r="F225" s="50" t="s">
        <v>528</v>
      </c>
      <c r="G225" s="50" t="s">
        <v>516</v>
      </c>
      <c r="H225" s="50" t="s">
        <v>530</v>
      </c>
      <c r="I225" s="50" t="s">
        <v>382</v>
      </c>
      <c r="J225" s="50" t="s">
        <v>518</v>
      </c>
      <c r="K225" s="50" t="s">
        <v>518</v>
      </c>
      <c r="L225" s="50" t="s">
        <v>535</v>
      </c>
      <c r="M225" s="50" t="s">
        <v>371</v>
      </c>
      <c r="N225" s="51">
        <v>687.26</v>
      </c>
    </row>
    <row r="226" spans="1:14" x14ac:dyDescent="0.3">
      <c r="A226" s="50" t="s">
        <v>678</v>
      </c>
      <c r="B226" s="50" t="s">
        <v>678</v>
      </c>
      <c r="C226" s="50" t="s">
        <v>679</v>
      </c>
      <c r="D226" s="50" t="s">
        <v>526</v>
      </c>
      <c r="E226" s="50" t="s">
        <v>541</v>
      </c>
      <c r="F226" s="50" t="s">
        <v>528</v>
      </c>
      <c r="G226" s="50" t="s">
        <v>516</v>
      </c>
      <c r="H226" s="50" t="s">
        <v>542</v>
      </c>
      <c r="I226" s="50" t="s">
        <v>369</v>
      </c>
      <c r="J226" s="50" t="s">
        <v>518</v>
      </c>
      <c r="K226" s="50" t="s">
        <v>518</v>
      </c>
      <c r="L226" s="50" t="s">
        <v>529</v>
      </c>
      <c r="M226" s="50" t="s">
        <v>363</v>
      </c>
      <c r="N226" s="51">
        <v>-59.51</v>
      </c>
    </row>
    <row r="227" spans="1:14" x14ac:dyDescent="0.3">
      <c r="A227" s="50" t="s">
        <v>678</v>
      </c>
      <c r="B227" s="50" t="s">
        <v>678</v>
      </c>
      <c r="C227" s="50" t="s">
        <v>679</v>
      </c>
      <c r="D227" s="50" t="s">
        <v>526</v>
      </c>
      <c r="E227" s="50" t="s">
        <v>541</v>
      </c>
      <c r="F227" s="50" t="s">
        <v>528</v>
      </c>
      <c r="G227" s="50" t="s">
        <v>516</v>
      </c>
      <c r="H227" s="50" t="s">
        <v>530</v>
      </c>
      <c r="I227" s="50" t="s">
        <v>382</v>
      </c>
      <c r="J227" s="50" t="s">
        <v>518</v>
      </c>
      <c r="K227" s="50" t="s">
        <v>518</v>
      </c>
      <c r="L227" s="50" t="s">
        <v>535</v>
      </c>
      <c r="M227" s="50" t="s">
        <v>371</v>
      </c>
      <c r="N227" s="51">
        <v>59.51</v>
      </c>
    </row>
    <row r="228" spans="1:14" x14ac:dyDescent="0.3">
      <c r="A228" s="50" t="s">
        <v>678</v>
      </c>
      <c r="B228" s="50" t="s">
        <v>678</v>
      </c>
      <c r="C228" s="50" t="s">
        <v>679</v>
      </c>
      <c r="D228" s="50" t="s">
        <v>526</v>
      </c>
      <c r="E228" s="50" t="s">
        <v>562</v>
      </c>
      <c r="F228" s="50" t="s">
        <v>528</v>
      </c>
      <c r="G228" s="50" t="s">
        <v>391</v>
      </c>
      <c r="H228" s="50" t="s">
        <v>563</v>
      </c>
      <c r="I228" s="50" t="s">
        <v>264</v>
      </c>
      <c r="J228" s="50" t="s">
        <v>518</v>
      </c>
      <c r="K228" s="50" t="s">
        <v>518</v>
      </c>
      <c r="L228" s="50" t="s">
        <v>529</v>
      </c>
      <c r="M228" s="50" t="s">
        <v>363</v>
      </c>
      <c r="N228" s="51">
        <v>-2.44</v>
      </c>
    </row>
    <row r="229" spans="1:14" x14ac:dyDescent="0.3">
      <c r="A229" s="50" t="s">
        <v>678</v>
      </c>
      <c r="B229" s="50" t="s">
        <v>678</v>
      </c>
      <c r="C229" s="50" t="s">
        <v>679</v>
      </c>
      <c r="D229" s="50" t="s">
        <v>526</v>
      </c>
      <c r="E229" s="50" t="s">
        <v>543</v>
      </c>
      <c r="F229" s="50" t="s">
        <v>528</v>
      </c>
      <c r="G229" s="50" t="s">
        <v>516</v>
      </c>
      <c r="H229" s="50" t="s">
        <v>529</v>
      </c>
      <c r="I229" s="50" t="s">
        <v>363</v>
      </c>
      <c r="J229" s="50" t="s">
        <v>518</v>
      </c>
      <c r="K229" s="50" t="s">
        <v>518</v>
      </c>
      <c r="L229" s="50" t="s">
        <v>535</v>
      </c>
      <c r="M229" s="50" t="s">
        <v>371</v>
      </c>
      <c r="N229" s="51">
        <v>752.42</v>
      </c>
    </row>
    <row r="230" spans="1:14" x14ac:dyDescent="0.3">
      <c r="A230" s="50" t="s">
        <v>678</v>
      </c>
      <c r="B230" s="50" t="s">
        <v>678</v>
      </c>
      <c r="C230" s="50" t="s">
        <v>679</v>
      </c>
      <c r="D230" s="50" t="s">
        <v>526</v>
      </c>
      <c r="E230" s="50" t="s">
        <v>518</v>
      </c>
      <c r="F230" s="50" t="s">
        <v>528</v>
      </c>
      <c r="G230" s="50" t="s">
        <v>516</v>
      </c>
      <c r="H230" s="50" t="s">
        <v>544</v>
      </c>
      <c r="I230" s="50" t="s">
        <v>368</v>
      </c>
      <c r="J230" s="50" t="s">
        <v>518</v>
      </c>
      <c r="K230" s="50" t="s">
        <v>518</v>
      </c>
      <c r="L230" s="50" t="s">
        <v>529</v>
      </c>
      <c r="M230" s="50" t="s">
        <v>363</v>
      </c>
      <c r="N230" s="51">
        <v>-92.42</v>
      </c>
    </row>
    <row r="231" spans="1:14" x14ac:dyDescent="0.3">
      <c r="A231" s="50" t="s">
        <v>678</v>
      </c>
      <c r="B231" s="50" t="s">
        <v>678</v>
      </c>
      <c r="C231" s="50" t="s">
        <v>679</v>
      </c>
      <c r="D231" s="50" t="s">
        <v>526</v>
      </c>
      <c r="E231" s="50" t="s">
        <v>518</v>
      </c>
      <c r="F231" s="50" t="s">
        <v>528</v>
      </c>
      <c r="G231" s="50" t="s">
        <v>391</v>
      </c>
      <c r="H231" s="50" t="s">
        <v>544</v>
      </c>
      <c r="I231" s="50" t="s">
        <v>368</v>
      </c>
      <c r="J231" s="50" t="s">
        <v>518</v>
      </c>
      <c r="K231" s="50" t="s">
        <v>518</v>
      </c>
      <c r="L231" s="50" t="s">
        <v>529</v>
      </c>
      <c r="M231" s="50" t="s">
        <v>363</v>
      </c>
      <c r="N231" s="51">
        <v>32.42</v>
      </c>
    </row>
    <row r="232" spans="1:14" x14ac:dyDescent="0.3">
      <c r="A232" s="50" t="s">
        <v>678</v>
      </c>
      <c r="B232" s="50" t="s">
        <v>678</v>
      </c>
      <c r="C232" s="50" t="s">
        <v>681</v>
      </c>
      <c r="D232" s="50" t="s">
        <v>565</v>
      </c>
      <c r="E232" s="50" t="s">
        <v>518</v>
      </c>
      <c r="F232" s="50" t="s">
        <v>566</v>
      </c>
      <c r="G232" s="50" t="s">
        <v>391</v>
      </c>
      <c r="H232" s="50" t="s">
        <v>567</v>
      </c>
      <c r="I232" s="50" t="s">
        <v>395</v>
      </c>
      <c r="J232" s="50" t="s">
        <v>518</v>
      </c>
      <c r="K232" s="50" t="s">
        <v>518</v>
      </c>
      <c r="L232" s="50" t="s">
        <v>568</v>
      </c>
      <c r="M232" s="50" t="s">
        <v>401</v>
      </c>
      <c r="N232" s="51">
        <v>5.08</v>
      </c>
    </row>
    <row r="233" spans="1:14" x14ac:dyDescent="0.3">
      <c r="A233" s="50" t="s">
        <v>678</v>
      </c>
      <c r="B233" s="50" t="s">
        <v>678</v>
      </c>
      <c r="C233" s="50" t="s">
        <v>681</v>
      </c>
      <c r="D233" s="50" t="s">
        <v>565</v>
      </c>
      <c r="E233" s="50" t="s">
        <v>518</v>
      </c>
      <c r="F233" s="50" t="s">
        <v>566</v>
      </c>
      <c r="G233" s="50" t="s">
        <v>391</v>
      </c>
      <c r="H233" s="50" t="s">
        <v>568</v>
      </c>
      <c r="I233" s="50" t="s">
        <v>401</v>
      </c>
      <c r="J233" s="50" t="s">
        <v>518</v>
      </c>
      <c r="K233" s="50" t="s">
        <v>518</v>
      </c>
      <c r="L233" s="50" t="s">
        <v>567</v>
      </c>
      <c r="M233" s="50" t="s">
        <v>395</v>
      </c>
      <c r="N233" s="51">
        <v>-5.08</v>
      </c>
    </row>
    <row r="234" spans="1:14" x14ac:dyDescent="0.3">
      <c r="A234" s="50" t="s">
        <v>678</v>
      </c>
      <c r="B234" s="50" t="s">
        <v>678</v>
      </c>
      <c r="C234" s="50" t="s">
        <v>682</v>
      </c>
      <c r="D234" s="50" t="s">
        <v>565</v>
      </c>
      <c r="E234" s="50" t="s">
        <v>518</v>
      </c>
      <c r="F234" s="50" t="s">
        <v>566</v>
      </c>
      <c r="G234" s="50" t="s">
        <v>391</v>
      </c>
      <c r="H234" s="50" t="s">
        <v>683</v>
      </c>
      <c r="I234" s="50" t="s">
        <v>394</v>
      </c>
      <c r="J234" s="50" t="s">
        <v>518</v>
      </c>
      <c r="K234" s="50" t="s">
        <v>518</v>
      </c>
      <c r="L234" s="50" t="s">
        <v>684</v>
      </c>
      <c r="M234" s="50" t="s">
        <v>403</v>
      </c>
      <c r="N234" s="51">
        <v>6.17</v>
      </c>
    </row>
    <row r="235" spans="1:14" x14ac:dyDescent="0.3">
      <c r="A235" s="50" t="s">
        <v>678</v>
      </c>
      <c r="B235" s="50" t="s">
        <v>678</v>
      </c>
      <c r="C235" s="50" t="s">
        <v>682</v>
      </c>
      <c r="D235" s="50" t="s">
        <v>565</v>
      </c>
      <c r="E235" s="50" t="s">
        <v>518</v>
      </c>
      <c r="F235" s="50" t="s">
        <v>566</v>
      </c>
      <c r="G235" s="50" t="s">
        <v>391</v>
      </c>
      <c r="H235" s="50" t="s">
        <v>684</v>
      </c>
      <c r="I235" s="50" t="s">
        <v>403</v>
      </c>
      <c r="J235" s="50" t="s">
        <v>518</v>
      </c>
      <c r="K235" s="50" t="s">
        <v>518</v>
      </c>
      <c r="L235" s="50" t="s">
        <v>683</v>
      </c>
      <c r="M235" s="50" t="s">
        <v>394</v>
      </c>
      <c r="N235" s="51">
        <v>-6.17</v>
      </c>
    </row>
    <row r="236" spans="1:14" x14ac:dyDescent="0.3">
      <c r="A236" s="50" t="s">
        <v>678</v>
      </c>
      <c r="B236" s="50" t="s">
        <v>678</v>
      </c>
      <c r="C236" s="50" t="s">
        <v>685</v>
      </c>
      <c r="D236" s="50" t="s">
        <v>565</v>
      </c>
      <c r="E236" s="50" t="s">
        <v>518</v>
      </c>
      <c r="F236" s="50" t="s">
        <v>566</v>
      </c>
      <c r="G236" s="50" t="s">
        <v>391</v>
      </c>
      <c r="H236" s="50" t="s">
        <v>574</v>
      </c>
      <c r="I236" s="50" t="s">
        <v>392</v>
      </c>
      <c r="J236" s="50" t="s">
        <v>518</v>
      </c>
      <c r="K236" s="50" t="s">
        <v>518</v>
      </c>
      <c r="L236" s="50" t="s">
        <v>568</v>
      </c>
      <c r="M236" s="50" t="s">
        <v>401</v>
      </c>
      <c r="N236" s="51">
        <v>5.08</v>
      </c>
    </row>
    <row r="237" spans="1:14" x14ac:dyDescent="0.3">
      <c r="A237" s="50" t="s">
        <v>678</v>
      </c>
      <c r="B237" s="50" t="s">
        <v>678</v>
      </c>
      <c r="C237" s="50" t="s">
        <v>685</v>
      </c>
      <c r="D237" s="50" t="s">
        <v>565</v>
      </c>
      <c r="E237" s="50" t="s">
        <v>518</v>
      </c>
      <c r="F237" s="50" t="s">
        <v>566</v>
      </c>
      <c r="G237" s="50" t="s">
        <v>391</v>
      </c>
      <c r="H237" s="50" t="s">
        <v>568</v>
      </c>
      <c r="I237" s="50" t="s">
        <v>401</v>
      </c>
      <c r="J237" s="50" t="s">
        <v>518</v>
      </c>
      <c r="K237" s="50" t="s">
        <v>518</v>
      </c>
      <c r="L237" s="50" t="s">
        <v>574</v>
      </c>
      <c r="M237" s="50" t="s">
        <v>392</v>
      </c>
      <c r="N237" s="51">
        <v>-5.08</v>
      </c>
    </row>
    <row r="238" spans="1:14" x14ac:dyDescent="0.3">
      <c r="A238" s="50" t="s">
        <v>686</v>
      </c>
      <c r="B238" s="50" t="s">
        <v>686</v>
      </c>
      <c r="C238" s="50" t="s">
        <v>687</v>
      </c>
      <c r="D238" s="50" t="s">
        <v>526</v>
      </c>
      <c r="E238" s="50" t="s">
        <v>557</v>
      </c>
      <c r="F238" s="50" t="s">
        <v>528</v>
      </c>
      <c r="G238" s="50" t="s">
        <v>516</v>
      </c>
      <c r="H238" s="50" t="s">
        <v>558</v>
      </c>
      <c r="I238" s="50" t="s">
        <v>386</v>
      </c>
      <c r="J238" s="50" t="s">
        <v>518</v>
      </c>
      <c r="K238" s="50" t="s">
        <v>518</v>
      </c>
      <c r="L238" s="50" t="s">
        <v>529</v>
      </c>
      <c r="M238" s="50" t="s">
        <v>363</v>
      </c>
      <c r="N238" s="51">
        <v>-29</v>
      </c>
    </row>
    <row r="239" spans="1:14" x14ac:dyDescent="0.3">
      <c r="A239" s="50" t="s">
        <v>686</v>
      </c>
      <c r="B239" s="50" t="s">
        <v>686</v>
      </c>
      <c r="C239" s="50" t="s">
        <v>687</v>
      </c>
      <c r="D239" s="50" t="s">
        <v>526</v>
      </c>
      <c r="E239" s="50" t="s">
        <v>534</v>
      </c>
      <c r="F239" s="50" t="s">
        <v>528</v>
      </c>
      <c r="G239" s="50" t="s">
        <v>516</v>
      </c>
      <c r="H239" s="50" t="s">
        <v>535</v>
      </c>
      <c r="I239" s="50" t="s">
        <v>371</v>
      </c>
      <c r="J239" s="50" t="s">
        <v>518</v>
      </c>
      <c r="K239" s="50" t="s">
        <v>518</v>
      </c>
      <c r="L239" s="50" t="s">
        <v>529</v>
      </c>
      <c r="M239" s="50" t="s">
        <v>363</v>
      </c>
      <c r="N239" s="51">
        <v>-146</v>
      </c>
    </row>
    <row r="240" spans="1:14" x14ac:dyDescent="0.3">
      <c r="A240" s="50" t="s">
        <v>686</v>
      </c>
      <c r="B240" s="50" t="s">
        <v>686</v>
      </c>
      <c r="C240" s="50" t="s">
        <v>687</v>
      </c>
      <c r="D240" s="50" t="s">
        <v>526</v>
      </c>
      <c r="E240" s="50" t="s">
        <v>559</v>
      </c>
      <c r="F240" s="50" t="s">
        <v>528</v>
      </c>
      <c r="G240" s="50" t="s">
        <v>516</v>
      </c>
      <c r="H240" s="50" t="s">
        <v>529</v>
      </c>
      <c r="I240" s="50" t="s">
        <v>363</v>
      </c>
      <c r="J240" s="50" t="s">
        <v>518</v>
      </c>
      <c r="K240" s="50" t="s">
        <v>518</v>
      </c>
      <c r="L240" s="50" t="s">
        <v>535</v>
      </c>
      <c r="M240" s="50" t="s">
        <v>371</v>
      </c>
      <c r="N240" s="51">
        <v>30</v>
      </c>
    </row>
    <row r="241" spans="1:14" x14ac:dyDescent="0.3">
      <c r="A241" s="50" t="s">
        <v>686</v>
      </c>
      <c r="B241" s="50" t="s">
        <v>686</v>
      </c>
      <c r="C241" s="50" t="s">
        <v>687</v>
      </c>
      <c r="D241" s="50" t="s">
        <v>526</v>
      </c>
      <c r="E241" s="50" t="s">
        <v>540</v>
      </c>
      <c r="F241" s="50" t="s">
        <v>528</v>
      </c>
      <c r="G241" s="50" t="s">
        <v>516</v>
      </c>
      <c r="H241" s="50" t="s">
        <v>533</v>
      </c>
      <c r="I241" s="50" t="s">
        <v>364</v>
      </c>
      <c r="J241" s="50" t="s">
        <v>518</v>
      </c>
      <c r="K241" s="50" t="s">
        <v>518</v>
      </c>
      <c r="L241" s="50" t="s">
        <v>529</v>
      </c>
      <c r="M241" s="50" t="s">
        <v>363</v>
      </c>
      <c r="N241" s="51">
        <v>-145</v>
      </c>
    </row>
    <row r="242" spans="1:14" x14ac:dyDescent="0.3">
      <c r="A242" s="50" t="s">
        <v>686</v>
      </c>
      <c r="B242" s="50" t="s">
        <v>686</v>
      </c>
      <c r="C242" s="50" t="s">
        <v>687</v>
      </c>
      <c r="D242" s="50" t="s">
        <v>526</v>
      </c>
      <c r="E242" s="50" t="s">
        <v>540</v>
      </c>
      <c r="F242" s="50" t="s">
        <v>528</v>
      </c>
      <c r="G242" s="50" t="s">
        <v>516</v>
      </c>
      <c r="H242" s="50" t="s">
        <v>530</v>
      </c>
      <c r="I242" s="50" t="s">
        <v>382</v>
      </c>
      <c r="J242" s="50" t="s">
        <v>518</v>
      </c>
      <c r="K242" s="50" t="s">
        <v>518</v>
      </c>
      <c r="L242" s="50" t="s">
        <v>535</v>
      </c>
      <c r="M242" s="50" t="s">
        <v>371</v>
      </c>
      <c r="N242" s="51">
        <v>145</v>
      </c>
    </row>
    <row r="243" spans="1:14" x14ac:dyDescent="0.3">
      <c r="A243" s="50" t="s">
        <v>686</v>
      </c>
      <c r="B243" s="50" t="s">
        <v>686</v>
      </c>
      <c r="C243" s="50" t="s">
        <v>687</v>
      </c>
      <c r="D243" s="50" t="s">
        <v>526</v>
      </c>
      <c r="E243" s="50" t="s">
        <v>541</v>
      </c>
      <c r="F243" s="50" t="s">
        <v>528</v>
      </c>
      <c r="G243" s="50" t="s">
        <v>516</v>
      </c>
      <c r="H243" s="50" t="s">
        <v>542</v>
      </c>
      <c r="I243" s="50" t="s">
        <v>369</v>
      </c>
      <c r="J243" s="50" t="s">
        <v>518</v>
      </c>
      <c r="K243" s="50" t="s">
        <v>518</v>
      </c>
      <c r="L243" s="50" t="s">
        <v>535</v>
      </c>
      <c r="M243" s="50" t="s">
        <v>371</v>
      </c>
      <c r="N243" s="51">
        <v>1</v>
      </c>
    </row>
    <row r="244" spans="1:14" x14ac:dyDescent="0.3">
      <c r="A244" s="50" t="s">
        <v>686</v>
      </c>
      <c r="B244" s="50" t="s">
        <v>686</v>
      </c>
      <c r="C244" s="50" t="s">
        <v>687</v>
      </c>
      <c r="D244" s="50" t="s">
        <v>526</v>
      </c>
      <c r="E244" s="50" t="s">
        <v>541</v>
      </c>
      <c r="F244" s="50" t="s">
        <v>528</v>
      </c>
      <c r="G244" s="50" t="s">
        <v>516</v>
      </c>
      <c r="H244" s="50" t="s">
        <v>530</v>
      </c>
      <c r="I244" s="50" t="s">
        <v>382</v>
      </c>
      <c r="J244" s="50" t="s">
        <v>518</v>
      </c>
      <c r="K244" s="50" t="s">
        <v>518</v>
      </c>
      <c r="L244" s="50" t="s">
        <v>529</v>
      </c>
      <c r="M244" s="50" t="s">
        <v>363</v>
      </c>
      <c r="N244" s="51">
        <v>-1</v>
      </c>
    </row>
    <row r="245" spans="1:14" x14ac:dyDescent="0.3">
      <c r="A245" s="50" t="s">
        <v>686</v>
      </c>
      <c r="B245" s="50" t="s">
        <v>686</v>
      </c>
      <c r="C245" s="50" t="s">
        <v>687</v>
      </c>
      <c r="D245" s="50" t="s">
        <v>526</v>
      </c>
      <c r="E245" s="50" t="s">
        <v>543</v>
      </c>
      <c r="F245" s="50" t="s">
        <v>528</v>
      </c>
      <c r="G245" s="50" t="s">
        <v>516</v>
      </c>
      <c r="H245" s="50" t="s">
        <v>529</v>
      </c>
      <c r="I245" s="50" t="s">
        <v>363</v>
      </c>
      <c r="J245" s="50" t="s">
        <v>518</v>
      </c>
      <c r="K245" s="50" t="s">
        <v>518</v>
      </c>
      <c r="L245" s="50" t="s">
        <v>535</v>
      </c>
      <c r="M245" s="50" t="s">
        <v>371</v>
      </c>
      <c r="N245" s="51">
        <v>160</v>
      </c>
    </row>
    <row r="246" spans="1:14" x14ac:dyDescent="0.3">
      <c r="A246" s="50" t="s">
        <v>686</v>
      </c>
      <c r="B246" s="50" t="s">
        <v>686</v>
      </c>
      <c r="C246" s="50" t="s">
        <v>687</v>
      </c>
      <c r="D246" s="50" t="s">
        <v>526</v>
      </c>
      <c r="E246" s="50" t="s">
        <v>518</v>
      </c>
      <c r="F246" s="50" t="s">
        <v>528</v>
      </c>
      <c r="G246" s="50" t="s">
        <v>516</v>
      </c>
      <c r="H246" s="50" t="s">
        <v>544</v>
      </c>
      <c r="I246" s="50" t="s">
        <v>368</v>
      </c>
      <c r="J246" s="50" t="s">
        <v>518</v>
      </c>
      <c r="K246" s="50" t="s">
        <v>518</v>
      </c>
      <c r="L246" s="50" t="s">
        <v>529</v>
      </c>
      <c r="M246" s="50" t="s">
        <v>363</v>
      </c>
      <c r="N246" s="51">
        <v>-15</v>
      </c>
    </row>
    <row r="247" spans="1:14" x14ac:dyDescent="0.3">
      <c r="A247" s="50" t="s">
        <v>688</v>
      </c>
      <c r="B247" s="50" t="s">
        <v>688</v>
      </c>
      <c r="C247" s="50" t="s">
        <v>689</v>
      </c>
      <c r="D247" s="50" t="s">
        <v>526</v>
      </c>
      <c r="E247" s="50" t="s">
        <v>557</v>
      </c>
      <c r="F247" s="50" t="s">
        <v>528</v>
      </c>
      <c r="G247" s="50" t="s">
        <v>516</v>
      </c>
      <c r="H247" s="50" t="s">
        <v>558</v>
      </c>
      <c r="I247" s="50" t="s">
        <v>386</v>
      </c>
      <c r="J247" s="50" t="s">
        <v>518</v>
      </c>
      <c r="K247" s="50" t="s">
        <v>518</v>
      </c>
      <c r="L247" s="50" t="s">
        <v>529</v>
      </c>
      <c r="M247" s="50" t="s">
        <v>363</v>
      </c>
      <c r="N247" s="51">
        <v>-116</v>
      </c>
    </row>
    <row r="248" spans="1:14" x14ac:dyDescent="0.3">
      <c r="A248" s="50" t="s">
        <v>688</v>
      </c>
      <c r="B248" s="50" t="s">
        <v>688</v>
      </c>
      <c r="C248" s="50" t="s">
        <v>689</v>
      </c>
      <c r="D248" s="50" t="s">
        <v>526</v>
      </c>
      <c r="E248" s="50" t="s">
        <v>534</v>
      </c>
      <c r="F248" s="50" t="s">
        <v>528</v>
      </c>
      <c r="G248" s="50" t="s">
        <v>516</v>
      </c>
      <c r="H248" s="50" t="s">
        <v>535</v>
      </c>
      <c r="I248" s="50" t="s">
        <v>371</v>
      </c>
      <c r="J248" s="50" t="s">
        <v>518</v>
      </c>
      <c r="K248" s="50" t="s">
        <v>518</v>
      </c>
      <c r="L248" s="50" t="s">
        <v>529</v>
      </c>
      <c r="M248" s="50" t="s">
        <v>363</v>
      </c>
      <c r="N248" s="51">
        <v>-1508</v>
      </c>
    </row>
    <row r="249" spans="1:14" x14ac:dyDescent="0.3">
      <c r="A249" s="50" t="s">
        <v>688</v>
      </c>
      <c r="B249" s="50" t="s">
        <v>688</v>
      </c>
      <c r="C249" s="50" t="s">
        <v>689</v>
      </c>
      <c r="D249" s="50" t="s">
        <v>526</v>
      </c>
      <c r="E249" s="50" t="s">
        <v>559</v>
      </c>
      <c r="F249" s="50" t="s">
        <v>528</v>
      </c>
      <c r="G249" s="50" t="s">
        <v>516</v>
      </c>
      <c r="H249" s="50" t="s">
        <v>529</v>
      </c>
      <c r="I249" s="50" t="s">
        <v>363</v>
      </c>
      <c r="J249" s="50" t="s">
        <v>518</v>
      </c>
      <c r="K249" s="50" t="s">
        <v>518</v>
      </c>
      <c r="L249" s="50" t="s">
        <v>535</v>
      </c>
      <c r="M249" s="50" t="s">
        <v>371</v>
      </c>
      <c r="N249" s="51">
        <v>127.78</v>
      </c>
    </row>
    <row r="250" spans="1:14" x14ac:dyDescent="0.3">
      <c r="A250" s="50" t="s">
        <v>688</v>
      </c>
      <c r="B250" s="50" t="s">
        <v>688</v>
      </c>
      <c r="C250" s="50" t="s">
        <v>689</v>
      </c>
      <c r="D250" s="50" t="s">
        <v>526</v>
      </c>
      <c r="E250" s="50" t="s">
        <v>536</v>
      </c>
      <c r="F250" s="50" t="s">
        <v>528</v>
      </c>
      <c r="G250" s="50" t="s">
        <v>516</v>
      </c>
      <c r="H250" s="50" t="s">
        <v>537</v>
      </c>
      <c r="I250" s="50" t="s">
        <v>385</v>
      </c>
      <c r="J250" s="50" t="s">
        <v>518</v>
      </c>
      <c r="K250" s="50" t="s">
        <v>518</v>
      </c>
      <c r="L250" s="50" t="s">
        <v>529</v>
      </c>
      <c r="M250" s="50" t="s">
        <v>363</v>
      </c>
      <c r="N250" s="51">
        <v>-88.4</v>
      </c>
    </row>
    <row r="251" spans="1:14" x14ac:dyDescent="0.3">
      <c r="A251" s="50" t="s">
        <v>688</v>
      </c>
      <c r="B251" s="50" t="s">
        <v>688</v>
      </c>
      <c r="C251" s="50" t="s">
        <v>689</v>
      </c>
      <c r="D251" s="50" t="s">
        <v>526</v>
      </c>
      <c r="E251" s="50" t="s">
        <v>539</v>
      </c>
      <c r="F251" s="50" t="s">
        <v>528</v>
      </c>
      <c r="G251" s="50" t="s">
        <v>516</v>
      </c>
      <c r="H251" s="50" t="s">
        <v>529</v>
      </c>
      <c r="I251" s="50" t="s">
        <v>363</v>
      </c>
      <c r="J251" s="50" t="s">
        <v>518</v>
      </c>
      <c r="K251" s="50" t="s">
        <v>518</v>
      </c>
      <c r="L251" s="50" t="s">
        <v>535</v>
      </c>
      <c r="M251" s="50" t="s">
        <v>371</v>
      </c>
      <c r="N251" s="51">
        <v>30</v>
      </c>
    </row>
    <row r="252" spans="1:14" x14ac:dyDescent="0.3">
      <c r="A252" s="50" t="s">
        <v>688</v>
      </c>
      <c r="B252" s="50" t="s">
        <v>688</v>
      </c>
      <c r="C252" s="50" t="s">
        <v>689</v>
      </c>
      <c r="D252" s="50" t="s">
        <v>526</v>
      </c>
      <c r="E252" s="50" t="s">
        <v>420</v>
      </c>
      <c r="F252" s="50" t="s">
        <v>528</v>
      </c>
      <c r="G252" s="50" t="s">
        <v>391</v>
      </c>
      <c r="H252" s="50" t="s">
        <v>561</v>
      </c>
      <c r="I252" s="50" t="s">
        <v>269</v>
      </c>
      <c r="J252" s="50" t="s">
        <v>518</v>
      </c>
      <c r="K252" s="50" t="s">
        <v>518</v>
      </c>
      <c r="L252" s="50" t="s">
        <v>529</v>
      </c>
      <c r="M252" s="50" t="s">
        <v>363</v>
      </c>
      <c r="N252" s="51">
        <v>-65.97</v>
      </c>
    </row>
    <row r="253" spans="1:14" x14ac:dyDescent="0.3">
      <c r="A253" s="50" t="s">
        <v>688</v>
      </c>
      <c r="B253" s="50" t="s">
        <v>688</v>
      </c>
      <c r="C253" s="50" t="s">
        <v>689</v>
      </c>
      <c r="D253" s="50" t="s">
        <v>526</v>
      </c>
      <c r="E253" s="50" t="s">
        <v>540</v>
      </c>
      <c r="F253" s="50" t="s">
        <v>528</v>
      </c>
      <c r="G253" s="50" t="s">
        <v>516</v>
      </c>
      <c r="H253" s="50" t="s">
        <v>533</v>
      </c>
      <c r="I253" s="50" t="s">
        <v>364</v>
      </c>
      <c r="J253" s="50" t="s">
        <v>518</v>
      </c>
      <c r="K253" s="50" t="s">
        <v>518</v>
      </c>
      <c r="L253" s="50" t="s">
        <v>529</v>
      </c>
      <c r="M253" s="50" t="s">
        <v>363</v>
      </c>
      <c r="N253" s="51">
        <v>-802</v>
      </c>
    </row>
    <row r="254" spans="1:14" x14ac:dyDescent="0.3">
      <c r="A254" s="50" t="s">
        <v>688</v>
      </c>
      <c r="B254" s="50" t="s">
        <v>688</v>
      </c>
      <c r="C254" s="50" t="s">
        <v>689</v>
      </c>
      <c r="D254" s="50" t="s">
        <v>526</v>
      </c>
      <c r="E254" s="50" t="s">
        <v>540</v>
      </c>
      <c r="F254" s="50" t="s">
        <v>528</v>
      </c>
      <c r="G254" s="50" t="s">
        <v>516</v>
      </c>
      <c r="H254" s="50" t="s">
        <v>530</v>
      </c>
      <c r="I254" s="50" t="s">
        <v>382</v>
      </c>
      <c r="J254" s="50" t="s">
        <v>518</v>
      </c>
      <c r="K254" s="50" t="s">
        <v>518</v>
      </c>
      <c r="L254" s="50" t="s">
        <v>535</v>
      </c>
      <c r="M254" s="50" t="s">
        <v>371</v>
      </c>
      <c r="N254" s="51">
        <v>802</v>
      </c>
    </row>
    <row r="255" spans="1:14" x14ac:dyDescent="0.3">
      <c r="A255" s="50" t="s">
        <v>688</v>
      </c>
      <c r="B255" s="50" t="s">
        <v>688</v>
      </c>
      <c r="C255" s="50" t="s">
        <v>689</v>
      </c>
      <c r="D255" s="50" t="s">
        <v>526</v>
      </c>
      <c r="E255" s="50" t="s">
        <v>541</v>
      </c>
      <c r="F255" s="50" t="s">
        <v>528</v>
      </c>
      <c r="G255" s="50" t="s">
        <v>516</v>
      </c>
      <c r="H255" s="50" t="s">
        <v>542</v>
      </c>
      <c r="I255" s="50" t="s">
        <v>369</v>
      </c>
      <c r="J255" s="50" t="s">
        <v>518</v>
      </c>
      <c r="K255" s="50" t="s">
        <v>518</v>
      </c>
      <c r="L255" s="50" t="s">
        <v>529</v>
      </c>
      <c r="M255" s="50" t="s">
        <v>363</v>
      </c>
      <c r="N255" s="51">
        <v>-624.79999999999995</v>
      </c>
    </row>
    <row r="256" spans="1:14" x14ac:dyDescent="0.3">
      <c r="A256" s="50" t="s">
        <v>688</v>
      </c>
      <c r="B256" s="50" t="s">
        <v>688</v>
      </c>
      <c r="C256" s="50" t="s">
        <v>689</v>
      </c>
      <c r="D256" s="50" t="s">
        <v>526</v>
      </c>
      <c r="E256" s="50" t="s">
        <v>541</v>
      </c>
      <c r="F256" s="50" t="s">
        <v>528</v>
      </c>
      <c r="G256" s="50" t="s">
        <v>516</v>
      </c>
      <c r="H256" s="50" t="s">
        <v>530</v>
      </c>
      <c r="I256" s="50" t="s">
        <v>382</v>
      </c>
      <c r="J256" s="50" t="s">
        <v>518</v>
      </c>
      <c r="K256" s="50" t="s">
        <v>518</v>
      </c>
      <c r="L256" s="50" t="s">
        <v>535</v>
      </c>
      <c r="M256" s="50" t="s">
        <v>371</v>
      </c>
      <c r="N256" s="51">
        <v>624.79999999999995</v>
      </c>
    </row>
    <row r="257" spans="1:14" x14ac:dyDescent="0.3">
      <c r="A257" s="50" t="s">
        <v>688</v>
      </c>
      <c r="B257" s="50" t="s">
        <v>688</v>
      </c>
      <c r="C257" s="50" t="s">
        <v>689</v>
      </c>
      <c r="D257" s="50" t="s">
        <v>526</v>
      </c>
      <c r="E257" s="50" t="s">
        <v>671</v>
      </c>
      <c r="F257" s="50" t="s">
        <v>528</v>
      </c>
      <c r="G257" s="50" t="s">
        <v>516</v>
      </c>
      <c r="H257" s="50" t="s">
        <v>586</v>
      </c>
      <c r="I257" s="50" t="s">
        <v>365</v>
      </c>
      <c r="J257" s="50" t="s">
        <v>518</v>
      </c>
      <c r="K257" s="50" t="s">
        <v>518</v>
      </c>
      <c r="L257" s="50" t="s">
        <v>535</v>
      </c>
      <c r="M257" s="50" t="s">
        <v>371</v>
      </c>
      <c r="N257" s="51">
        <v>311.35000000000002</v>
      </c>
    </row>
    <row r="258" spans="1:14" x14ac:dyDescent="0.3">
      <c r="A258" s="50" t="s">
        <v>688</v>
      </c>
      <c r="B258" s="50" t="s">
        <v>688</v>
      </c>
      <c r="C258" s="50" t="s">
        <v>689</v>
      </c>
      <c r="D258" s="50" t="s">
        <v>526</v>
      </c>
      <c r="E258" s="50" t="s">
        <v>562</v>
      </c>
      <c r="F258" s="50" t="s">
        <v>528</v>
      </c>
      <c r="G258" s="50" t="s">
        <v>391</v>
      </c>
      <c r="H258" s="50" t="s">
        <v>563</v>
      </c>
      <c r="I258" s="50" t="s">
        <v>264</v>
      </c>
      <c r="J258" s="50" t="s">
        <v>518</v>
      </c>
      <c r="K258" s="50" t="s">
        <v>518</v>
      </c>
      <c r="L258" s="50" t="s">
        <v>529</v>
      </c>
      <c r="M258" s="50" t="s">
        <v>363</v>
      </c>
      <c r="N258" s="51">
        <v>-5.37</v>
      </c>
    </row>
    <row r="259" spans="1:14" x14ac:dyDescent="0.3">
      <c r="A259" s="50" t="s">
        <v>688</v>
      </c>
      <c r="B259" s="50" t="s">
        <v>688</v>
      </c>
      <c r="C259" s="50" t="s">
        <v>689</v>
      </c>
      <c r="D259" s="50" t="s">
        <v>526</v>
      </c>
      <c r="E259" s="50" t="s">
        <v>543</v>
      </c>
      <c r="F259" s="50" t="s">
        <v>528</v>
      </c>
      <c r="G259" s="50" t="s">
        <v>516</v>
      </c>
      <c r="H259" s="50" t="s">
        <v>529</v>
      </c>
      <c r="I259" s="50" t="s">
        <v>363</v>
      </c>
      <c r="J259" s="50" t="s">
        <v>518</v>
      </c>
      <c r="K259" s="50" t="s">
        <v>518</v>
      </c>
      <c r="L259" s="50" t="s">
        <v>535</v>
      </c>
      <c r="M259" s="50" t="s">
        <v>371</v>
      </c>
      <c r="N259" s="51">
        <v>1389.61</v>
      </c>
    </row>
    <row r="260" spans="1:14" x14ac:dyDescent="0.3">
      <c r="A260" s="50" t="s">
        <v>688</v>
      </c>
      <c r="B260" s="50" t="s">
        <v>688</v>
      </c>
      <c r="C260" s="50" t="s">
        <v>689</v>
      </c>
      <c r="D260" s="50" t="s">
        <v>526</v>
      </c>
      <c r="E260" s="50" t="s">
        <v>518</v>
      </c>
      <c r="F260" s="50" t="s">
        <v>528</v>
      </c>
      <c r="G260" s="50" t="s">
        <v>516</v>
      </c>
      <c r="H260" s="50" t="s">
        <v>544</v>
      </c>
      <c r="I260" s="50" t="s">
        <v>368</v>
      </c>
      <c r="J260" s="50" t="s">
        <v>518</v>
      </c>
      <c r="K260" s="50" t="s">
        <v>518</v>
      </c>
      <c r="L260" s="50" t="s">
        <v>529</v>
      </c>
      <c r="M260" s="50" t="s">
        <v>363</v>
      </c>
      <c r="N260" s="51">
        <v>-146.34</v>
      </c>
    </row>
    <row r="261" spans="1:14" x14ac:dyDescent="0.3">
      <c r="A261" s="50" t="s">
        <v>688</v>
      </c>
      <c r="B261" s="50" t="s">
        <v>688</v>
      </c>
      <c r="C261" s="50" t="s">
        <v>689</v>
      </c>
      <c r="D261" s="50" t="s">
        <v>526</v>
      </c>
      <c r="E261" s="50" t="s">
        <v>518</v>
      </c>
      <c r="F261" s="50" t="s">
        <v>528</v>
      </c>
      <c r="G261" s="50" t="s">
        <v>391</v>
      </c>
      <c r="H261" s="50" t="s">
        <v>544</v>
      </c>
      <c r="I261" s="50" t="s">
        <v>368</v>
      </c>
      <c r="J261" s="50" t="s">
        <v>518</v>
      </c>
      <c r="K261" s="50" t="s">
        <v>518</v>
      </c>
      <c r="L261" s="50" t="s">
        <v>529</v>
      </c>
      <c r="M261" s="50" t="s">
        <v>363</v>
      </c>
      <c r="N261" s="51">
        <v>71.34</v>
      </c>
    </row>
    <row r="262" spans="1:14" x14ac:dyDescent="0.3">
      <c r="A262" s="50" t="s">
        <v>688</v>
      </c>
      <c r="B262" s="50" t="s">
        <v>688</v>
      </c>
      <c r="C262" s="50" t="s">
        <v>690</v>
      </c>
      <c r="D262" s="50" t="s">
        <v>565</v>
      </c>
      <c r="E262" s="50" t="s">
        <v>518</v>
      </c>
      <c r="F262" s="50" t="s">
        <v>566</v>
      </c>
      <c r="G262" s="50" t="s">
        <v>391</v>
      </c>
      <c r="H262" s="50" t="s">
        <v>574</v>
      </c>
      <c r="I262" s="50" t="s">
        <v>392</v>
      </c>
      <c r="J262" s="50" t="s">
        <v>518</v>
      </c>
      <c r="K262" s="50" t="s">
        <v>518</v>
      </c>
      <c r="L262" s="50" t="s">
        <v>568</v>
      </c>
      <c r="M262" s="50" t="s">
        <v>401</v>
      </c>
      <c r="N262" s="51">
        <v>5.08</v>
      </c>
    </row>
    <row r="263" spans="1:14" x14ac:dyDescent="0.3">
      <c r="A263" s="50" t="s">
        <v>688</v>
      </c>
      <c r="B263" s="50" t="s">
        <v>688</v>
      </c>
      <c r="C263" s="50" t="s">
        <v>690</v>
      </c>
      <c r="D263" s="50" t="s">
        <v>565</v>
      </c>
      <c r="E263" s="50" t="s">
        <v>518</v>
      </c>
      <c r="F263" s="50" t="s">
        <v>566</v>
      </c>
      <c r="G263" s="50" t="s">
        <v>391</v>
      </c>
      <c r="H263" s="50" t="s">
        <v>568</v>
      </c>
      <c r="I263" s="50" t="s">
        <v>401</v>
      </c>
      <c r="J263" s="50" t="s">
        <v>518</v>
      </c>
      <c r="K263" s="50" t="s">
        <v>518</v>
      </c>
      <c r="L263" s="50" t="s">
        <v>574</v>
      </c>
      <c r="M263" s="50" t="s">
        <v>392</v>
      </c>
      <c r="N263" s="51">
        <v>-5.08</v>
      </c>
    </row>
    <row r="264" spans="1:14" x14ac:dyDescent="0.3">
      <c r="A264" s="50" t="s">
        <v>688</v>
      </c>
      <c r="B264" s="50" t="s">
        <v>688</v>
      </c>
      <c r="C264" s="50" t="s">
        <v>691</v>
      </c>
      <c r="D264" s="50" t="s">
        <v>565</v>
      </c>
      <c r="E264" s="50" t="s">
        <v>518</v>
      </c>
      <c r="F264" s="50" t="s">
        <v>566</v>
      </c>
      <c r="G264" s="50" t="s">
        <v>391</v>
      </c>
      <c r="H264" s="50" t="s">
        <v>574</v>
      </c>
      <c r="I264" s="50" t="s">
        <v>392</v>
      </c>
      <c r="J264" s="50" t="s">
        <v>518</v>
      </c>
      <c r="K264" s="50" t="s">
        <v>518</v>
      </c>
      <c r="L264" s="50" t="s">
        <v>568</v>
      </c>
      <c r="M264" s="50" t="s">
        <v>401</v>
      </c>
      <c r="N264" s="51">
        <v>5.08</v>
      </c>
    </row>
    <row r="265" spans="1:14" x14ac:dyDescent="0.3">
      <c r="A265" s="50" t="s">
        <v>688</v>
      </c>
      <c r="B265" s="50" t="s">
        <v>688</v>
      </c>
      <c r="C265" s="50" t="s">
        <v>691</v>
      </c>
      <c r="D265" s="50" t="s">
        <v>565</v>
      </c>
      <c r="E265" s="50" t="s">
        <v>518</v>
      </c>
      <c r="F265" s="50" t="s">
        <v>566</v>
      </c>
      <c r="G265" s="50" t="s">
        <v>391</v>
      </c>
      <c r="H265" s="50" t="s">
        <v>568</v>
      </c>
      <c r="I265" s="50" t="s">
        <v>401</v>
      </c>
      <c r="J265" s="50" t="s">
        <v>518</v>
      </c>
      <c r="K265" s="50" t="s">
        <v>518</v>
      </c>
      <c r="L265" s="50" t="s">
        <v>574</v>
      </c>
      <c r="M265" s="50" t="s">
        <v>392</v>
      </c>
      <c r="N265" s="51">
        <v>-5.08</v>
      </c>
    </row>
    <row r="266" spans="1:14" x14ac:dyDescent="0.3">
      <c r="A266" s="50" t="s">
        <v>688</v>
      </c>
      <c r="B266" s="50" t="s">
        <v>688</v>
      </c>
      <c r="C266" s="50" t="s">
        <v>692</v>
      </c>
      <c r="D266" s="50" t="s">
        <v>565</v>
      </c>
      <c r="E266" s="50" t="s">
        <v>518</v>
      </c>
      <c r="F266" s="50" t="s">
        <v>566</v>
      </c>
      <c r="G266" s="50" t="s">
        <v>391</v>
      </c>
      <c r="H266" s="50" t="s">
        <v>574</v>
      </c>
      <c r="I266" s="50" t="s">
        <v>392</v>
      </c>
      <c r="J266" s="50" t="s">
        <v>518</v>
      </c>
      <c r="K266" s="50" t="s">
        <v>518</v>
      </c>
      <c r="L266" s="50" t="s">
        <v>568</v>
      </c>
      <c r="M266" s="50" t="s">
        <v>401</v>
      </c>
      <c r="N266" s="51">
        <v>5.08</v>
      </c>
    </row>
    <row r="267" spans="1:14" x14ac:dyDescent="0.3">
      <c r="A267" s="50" t="s">
        <v>688</v>
      </c>
      <c r="B267" s="50" t="s">
        <v>688</v>
      </c>
      <c r="C267" s="50" t="s">
        <v>692</v>
      </c>
      <c r="D267" s="50" t="s">
        <v>565</v>
      </c>
      <c r="E267" s="50" t="s">
        <v>518</v>
      </c>
      <c r="F267" s="50" t="s">
        <v>566</v>
      </c>
      <c r="G267" s="50" t="s">
        <v>391</v>
      </c>
      <c r="H267" s="50" t="s">
        <v>568</v>
      </c>
      <c r="I267" s="50" t="s">
        <v>401</v>
      </c>
      <c r="J267" s="50" t="s">
        <v>518</v>
      </c>
      <c r="K267" s="50" t="s">
        <v>518</v>
      </c>
      <c r="L267" s="50" t="s">
        <v>574</v>
      </c>
      <c r="M267" s="50" t="s">
        <v>392</v>
      </c>
      <c r="N267" s="51">
        <v>-5.08</v>
      </c>
    </row>
    <row r="268" spans="1:14" x14ac:dyDescent="0.3">
      <c r="A268" s="50" t="s">
        <v>688</v>
      </c>
      <c r="B268" s="50" t="s">
        <v>693</v>
      </c>
      <c r="C268" s="50" t="s">
        <v>694</v>
      </c>
      <c r="D268" s="50" t="s">
        <v>695</v>
      </c>
      <c r="E268" s="50" t="s">
        <v>696</v>
      </c>
      <c r="F268" s="50" t="s">
        <v>697</v>
      </c>
      <c r="G268" s="50" t="s">
        <v>391</v>
      </c>
      <c r="H268" s="50" t="s">
        <v>563</v>
      </c>
      <c r="I268" s="50" t="s">
        <v>264</v>
      </c>
      <c r="J268" s="50" t="s">
        <v>518</v>
      </c>
      <c r="K268" s="50" t="s">
        <v>518</v>
      </c>
      <c r="L268" s="50" t="s">
        <v>698</v>
      </c>
      <c r="M268" s="50" t="s">
        <v>699</v>
      </c>
      <c r="N268" s="51">
        <v>317</v>
      </c>
    </row>
    <row r="269" spans="1:14" x14ac:dyDescent="0.3">
      <c r="A269" s="50" t="s">
        <v>688</v>
      </c>
      <c r="B269" s="50" t="s">
        <v>693</v>
      </c>
      <c r="C269" s="50" t="s">
        <v>694</v>
      </c>
      <c r="D269" s="50" t="s">
        <v>695</v>
      </c>
      <c r="E269" s="50" t="s">
        <v>696</v>
      </c>
      <c r="F269" s="50" t="s">
        <v>697</v>
      </c>
      <c r="G269" s="50" t="s">
        <v>391</v>
      </c>
      <c r="H269" s="50" t="s">
        <v>521</v>
      </c>
      <c r="I269" s="50" t="s">
        <v>367</v>
      </c>
      <c r="J269" s="50" t="s">
        <v>698</v>
      </c>
      <c r="K269" s="50" t="s">
        <v>700</v>
      </c>
      <c r="L269" s="50" t="s">
        <v>563</v>
      </c>
      <c r="M269" s="50" t="s">
        <v>264</v>
      </c>
      <c r="N269" s="51">
        <v>-317</v>
      </c>
    </row>
    <row r="270" spans="1:14" x14ac:dyDescent="0.3">
      <c r="A270" s="50" t="s">
        <v>701</v>
      </c>
      <c r="B270" s="50" t="s">
        <v>545</v>
      </c>
      <c r="C270" s="50" t="s">
        <v>702</v>
      </c>
      <c r="D270" s="50" t="s">
        <v>548</v>
      </c>
      <c r="E270" s="50" t="s">
        <v>703</v>
      </c>
      <c r="F270" s="50" t="s">
        <v>550</v>
      </c>
      <c r="G270" s="50" t="s">
        <v>516</v>
      </c>
      <c r="H270" s="50" t="s">
        <v>704</v>
      </c>
      <c r="I270" s="50" t="s">
        <v>298</v>
      </c>
      <c r="J270" s="50" t="s">
        <v>518</v>
      </c>
      <c r="K270" s="50" t="s">
        <v>518</v>
      </c>
      <c r="L270" s="50" t="s">
        <v>705</v>
      </c>
      <c r="M270" s="50" t="s">
        <v>706</v>
      </c>
      <c r="N270" s="51">
        <v>71.88</v>
      </c>
    </row>
    <row r="271" spans="1:14" x14ac:dyDescent="0.3">
      <c r="A271" s="50" t="s">
        <v>701</v>
      </c>
      <c r="B271" s="50" t="s">
        <v>545</v>
      </c>
      <c r="C271" s="50" t="s">
        <v>702</v>
      </c>
      <c r="D271" s="50" t="s">
        <v>548</v>
      </c>
      <c r="E271" s="50" t="s">
        <v>703</v>
      </c>
      <c r="F271" s="50" t="s">
        <v>550</v>
      </c>
      <c r="G271" s="50" t="s">
        <v>516</v>
      </c>
      <c r="H271" s="50" t="s">
        <v>521</v>
      </c>
      <c r="I271" s="50" t="s">
        <v>367</v>
      </c>
      <c r="J271" s="50" t="s">
        <v>705</v>
      </c>
      <c r="K271" s="50" t="s">
        <v>707</v>
      </c>
      <c r="L271" s="50" t="s">
        <v>704</v>
      </c>
      <c r="M271" s="50" t="s">
        <v>298</v>
      </c>
      <c r="N271" s="51">
        <v>-71.88</v>
      </c>
    </row>
    <row r="272" spans="1:14" x14ac:dyDescent="0.3">
      <c r="A272" s="50" t="s">
        <v>701</v>
      </c>
      <c r="B272" s="50" t="s">
        <v>701</v>
      </c>
      <c r="C272" s="50" t="s">
        <v>708</v>
      </c>
      <c r="D272" s="50" t="s">
        <v>526</v>
      </c>
      <c r="E272" s="50" t="s">
        <v>527</v>
      </c>
      <c r="F272" s="50" t="s">
        <v>528</v>
      </c>
      <c r="G272" s="50" t="s">
        <v>516</v>
      </c>
      <c r="H272" s="50" t="s">
        <v>529</v>
      </c>
      <c r="I272" s="50" t="s">
        <v>363</v>
      </c>
      <c r="J272" s="50" t="s">
        <v>518</v>
      </c>
      <c r="K272" s="50" t="s">
        <v>518</v>
      </c>
      <c r="L272" s="50" t="s">
        <v>535</v>
      </c>
      <c r="M272" s="50" t="s">
        <v>371</v>
      </c>
      <c r="N272" s="51">
        <v>173</v>
      </c>
    </row>
    <row r="273" spans="1:14" x14ac:dyDescent="0.3">
      <c r="A273" s="50" t="s">
        <v>701</v>
      </c>
      <c r="B273" s="50" t="s">
        <v>701</v>
      </c>
      <c r="C273" s="50" t="s">
        <v>708</v>
      </c>
      <c r="D273" s="50" t="s">
        <v>526</v>
      </c>
      <c r="E273" s="50" t="s">
        <v>557</v>
      </c>
      <c r="F273" s="50" t="s">
        <v>528</v>
      </c>
      <c r="G273" s="50" t="s">
        <v>516</v>
      </c>
      <c r="H273" s="50" t="s">
        <v>558</v>
      </c>
      <c r="I273" s="50" t="s">
        <v>386</v>
      </c>
      <c r="J273" s="50" t="s">
        <v>518</v>
      </c>
      <c r="K273" s="50" t="s">
        <v>518</v>
      </c>
      <c r="L273" s="50" t="s">
        <v>529</v>
      </c>
      <c r="M273" s="50" t="s">
        <v>363</v>
      </c>
      <c r="N273" s="51">
        <v>-29</v>
      </c>
    </row>
    <row r="274" spans="1:14" x14ac:dyDescent="0.3">
      <c r="A274" s="50" t="s">
        <v>701</v>
      </c>
      <c r="B274" s="50" t="s">
        <v>701</v>
      </c>
      <c r="C274" s="50" t="s">
        <v>708</v>
      </c>
      <c r="D274" s="50" t="s">
        <v>526</v>
      </c>
      <c r="E274" s="50" t="s">
        <v>534</v>
      </c>
      <c r="F274" s="50" t="s">
        <v>528</v>
      </c>
      <c r="G274" s="50" t="s">
        <v>516</v>
      </c>
      <c r="H274" s="50" t="s">
        <v>535</v>
      </c>
      <c r="I274" s="50" t="s">
        <v>371</v>
      </c>
      <c r="J274" s="50" t="s">
        <v>518</v>
      </c>
      <c r="K274" s="50" t="s">
        <v>518</v>
      </c>
      <c r="L274" s="50" t="s">
        <v>529</v>
      </c>
      <c r="M274" s="50" t="s">
        <v>363</v>
      </c>
      <c r="N274" s="51">
        <v>-1224</v>
      </c>
    </row>
    <row r="275" spans="1:14" x14ac:dyDescent="0.3">
      <c r="A275" s="50" t="s">
        <v>701</v>
      </c>
      <c r="B275" s="50" t="s">
        <v>701</v>
      </c>
      <c r="C275" s="50" t="s">
        <v>708</v>
      </c>
      <c r="D275" s="50" t="s">
        <v>526</v>
      </c>
      <c r="E275" s="50" t="s">
        <v>559</v>
      </c>
      <c r="F275" s="50" t="s">
        <v>528</v>
      </c>
      <c r="G275" s="50" t="s">
        <v>516</v>
      </c>
      <c r="H275" s="50" t="s">
        <v>529</v>
      </c>
      <c r="I275" s="50" t="s">
        <v>363</v>
      </c>
      <c r="J275" s="50" t="s">
        <v>518</v>
      </c>
      <c r="K275" s="50" t="s">
        <v>518</v>
      </c>
      <c r="L275" s="50" t="s">
        <v>529</v>
      </c>
      <c r="M275" s="50" t="s">
        <v>363</v>
      </c>
      <c r="N275" s="51">
        <v>-23.78</v>
      </c>
    </row>
    <row r="276" spans="1:14" x14ac:dyDescent="0.3">
      <c r="A276" s="50" t="s">
        <v>701</v>
      </c>
      <c r="B276" s="50" t="s">
        <v>701</v>
      </c>
      <c r="C276" s="50" t="s">
        <v>708</v>
      </c>
      <c r="D276" s="50" t="s">
        <v>526</v>
      </c>
      <c r="E276" s="50" t="s">
        <v>536</v>
      </c>
      <c r="F276" s="50" t="s">
        <v>528</v>
      </c>
      <c r="G276" s="50" t="s">
        <v>516</v>
      </c>
      <c r="H276" s="50" t="s">
        <v>537</v>
      </c>
      <c r="I276" s="50" t="s">
        <v>385</v>
      </c>
      <c r="J276" s="50" t="s">
        <v>518</v>
      </c>
      <c r="K276" s="50" t="s">
        <v>518</v>
      </c>
      <c r="L276" s="50" t="s">
        <v>529</v>
      </c>
      <c r="M276" s="50" t="s">
        <v>363</v>
      </c>
      <c r="N276" s="51">
        <v>-136.80000000000001</v>
      </c>
    </row>
    <row r="277" spans="1:14" x14ac:dyDescent="0.3">
      <c r="A277" s="50" t="s">
        <v>701</v>
      </c>
      <c r="B277" s="50" t="s">
        <v>701</v>
      </c>
      <c r="C277" s="50" t="s">
        <v>708</v>
      </c>
      <c r="D277" s="50" t="s">
        <v>526</v>
      </c>
      <c r="E277" s="50" t="s">
        <v>539</v>
      </c>
      <c r="F277" s="50" t="s">
        <v>528</v>
      </c>
      <c r="G277" s="50" t="s">
        <v>516</v>
      </c>
      <c r="H277" s="50" t="s">
        <v>529</v>
      </c>
      <c r="I277" s="50" t="s">
        <v>363</v>
      </c>
      <c r="J277" s="50" t="s">
        <v>518</v>
      </c>
      <c r="K277" s="50" t="s">
        <v>518</v>
      </c>
      <c r="L277" s="50" t="s">
        <v>535</v>
      </c>
      <c r="M277" s="50" t="s">
        <v>371</v>
      </c>
      <c r="N277" s="51">
        <v>388.48</v>
      </c>
    </row>
    <row r="278" spans="1:14" x14ac:dyDescent="0.3">
      <c r="A278" s="50" t="s">
        <v>701</v>
      </c>
      <c r="B278" s="50" t="s">
        <v>701</v>
      </c>
      <c r="C278" s="50" t="s">
        <v>708</v>
      </c>
      <c r="D278" s="50" t="s">
        <v>526</v>
      </c>
      <c r="E278" s="50" t="s">
        <v>709</v>
      </c>
      <c r="F278" s="50" t="s">
        <v>528</v>
      </c>
      <c r="G278" s="50" t="s">
        <v>516</v>
      </c>
      <c r="H278" s="50" t="s">
        <v>710</v>
      </c>
      <c r="I278" s="50" t="s">
        <v>373</v>
      </c>
      <c r="J278" s="50" t="s">
        <v>518</v>
      </c>
      <c r="K278" s="50" t="s">
        <v>518</v>
      </c>
      <c r="L278" s="50" t="s">
        <v>529</v>
      </c>
      <c r="M278" s="50" t="s">
        <v>363</v>
      </c>
      <c r="N278" s="51">
        <v>-25</v>
      </c>
    </row>
    <row r="279" spans="1:14" x14ac:dyDescent="0.3">
      <c r="A279" s="50" t="s">
        <v>701</v>
      </c>
      <c r="B279" s="50" t="s">
        <v>701</v>
      </c>
      <c r="C279" s="50" t="s">
        <v>708</v>
      </c>
      <c r="D279" s="50" t="s">
        <v>526</v>
      </c>
      <c r="E279" s="50" t="s">
        <v>540</v>
      </c>
      <c r="F279" s="50" t="s">
        <v>528</v>
      </c>
      <c r="G279" s="50" t="s">
        <v>516</v>
      </c>
      <c r="H279" s="50" t="s">
        <v>533</v>
      </c>
      <c r="I279" s="50" t="s">
        <v>364</v>
      </c>
      <c r="J279" s="50" t="s">
        <v>518</v>
      </c>
      <c r="K279" s="50" t="s">
        <v>518</v>
      </c>
      <c r="L279" s="50" t="s">
        <v>529</v>
      </c>
      <c r="M279" s="50" t="s">
        <v>363</v>
      </c>
      <c r="N279" s="51">
        <v>-867</v>
      </c>
    </row>
    <row r="280" spans="1:14" x14ac:dyDescent="0.3">
      <c r="A280" s="50" t="s">
        <v>701</v>
      </c>
      <c r="B280" s="50" t="s">
        <v>701</v>
      </c>
      <c r="C280" s="50" t="s">
        <v>708</v>
      </c>
      <c r="D280" s="50" t="s">
        <v>526</v>
      </c>
      <c r="E280" s="50" t="s">
        <v>540</v>
      </c>
      <c r="F280" s="50" t="s">
        <v>528</v>
      </c>
      <c r="G280" s="50" t="s">
        <v>516</v>
      </c>
      <c r="H280" s="50" t="s">
        <v>530</v>
      </c>
      <c r="I280" s="50" t="s">
        <v>382</v>
      </c>
      <c r="J280" s="50" t="s">
        <v>518</v>
      </c>
      <c r="K280" s="50" t="s">
        <v>518</v>
      </c>
      <c r="L280" s="50" t="s">
        <v>535</v>
      </c>
      <c r="M280" s="50" t="s">
        <v>371</v>
      </c>
      <c r="N280" s="51">
        <v>867</v>
      </c>
    </row>
    <row r="281" spans="1:14" x14ac:dyDescent="0.3">
      <c r="A281" s="50" t="s">
        <v>701</v>
      </c>
      <c r="B281" s="50" t="s">
        <v>701</v>
      </c>
      <c r="C281" s="50" t="s">
        <v>708</v>
      </c>
      <c r="D281" s="50" t="s">
        <v>526</v>
      </c>
      <c r="E281" s="50" t="s">
        <v>541</v>
      </c>
      <c r="F281" s="50" t="s">
        <v>528</v>
      </c>
      <c r="G281" s="50" t="s">
        <v>516</v>
      </c>
      <c r="H281" s="50" t="s">
        <v>542</v>
      </c>
      <c r="I281" s="50" t="s">
        <v>369</v>
      </c>
      <c r="J281" s="50" t="s">
        <v>518</v>
      </c>
      <c r="K281" s="50" t="s">
        <v>518</v>
      </c>
      <c r="L281" s="50" t="s">
        <v>529</v>
      </c>
      <c r="M281" s="50" t="s">
        <v>363</v>
      </c>
      <c r="N281" s="51">
        <v>-127</v>
      </c>
    </row>
    <row r="282" spans="1:14" x14ac:dyDescent="0.3">
      <c r="A282" s="50" t="s">
        <v>701</v>
      </c>
      <c r="B282" s="50" t="s">
        <v>701</v>
      </c>
      <c r="C282" s="50" t="s">
        <v>708</v>
      </c>
      <c r="D282" s="50" t="s">
        <v>526</v>
      </c>
      <c r="E282" s="50" t="s">
        <v>541</v>
      </c>
      <c r="F282" s="50" t="s">
        <v>528</v>
      </c>
      <c r="G282" s="50" t="s">
        <v>516</v>
      </c>
      <c r="H282" s="50" t="s">
        <v>530</v>
      </c>
      <c r="I282" s="50" t="s">
        <v>382</v>
      </c>
      <c r="J282" s="50" t="s">
        <v>518</v>
      </c>
      <c r="K282" s="50" t="s">
        <v>518</v>
      </c>
      <c r="L282" s="50" t="s">
        <v>535</v>
      </c>
      <c r="M282" s="50" t="s">
        <v>371</v>
      </c>
      <c r="N282" s="51">
        <v>127</v>
      </c>
    </row>
    <row r="283" spans="1:14" x14ac:dyDescent="0.3">
      <c r="A283" s="50" t="s">
        <v>701</v>
      </c>
      <c r="B283" s="50" t="s">
        <v>701</v>
      </c>
      <c r="C283" s="50" t="s">
        <v>708</v>
      </c>
      <c r="D283" s="50" t="s">
        <v>526</v>
      </c>
      <c r="E283" s="50" t="s">
        <v>543</v>
      </c>
      <c r="F283" s="50" t="s">
        <v>528</v>
      </c>
      <c r="G283" s="50" t="s">
        <v>516</v>
      </c>
      <c r="H283" s="50" t="s">
        <v>529</v>
      </c>
      <c r="I283" s="50" t="s">
        <v>363</v>
      </c>
      <c r="J283" s="50" t="s">
        <v>518</v>
      </c>
      <c r="K283" s="50" t="s">
        <v>518</v>
      </c>
      <c r="L283" s="50" t="s">
        <v>535</v>
      </c>
      <c r="M283" s="50" t="s">
        <v>371</v>
      </c>
      <c r="N283" s="51">
        <v>979.1</v>
      </c>
    </row>
    <row r="284" spans="1:14" x14ac:dyDescent="0.3">
      <c r="A284" s="50" t="s">
        <v>701</v>
      </c>
      <c r="B284" s="50" t="s">
        <v>701</v>
      </c>
      <c r="C284" s="50" t="s">
        <v>708</v>
      </c>
      <c r="D284" s="50" t="s">
        <v>526</v>
      </c>
      <c r="E284" s="50" t="s">
        <v>518</v>
      </c>
      <c r="F284" s="50" t="s">
        <v>528</v>
      </c>
      <c r="G284" s="50" t="s">
        <v>516</v>
      </c>
      <c r="H284" s="50" t="s">
        <v>544</v>
      </c>
      <c r="I284" s="50" t="s">
        <v>368</v>
      </c>
      <c r="J284" s="50" t="s">
        <v>518</v>
      </c>
      <c r="K284" s="50" t="s">
        <v>518</v>
      </c>
      <c r="L284" s="50" t="s">
        <v>529</v>
      </c>
      <c r="M284" s="50" t="s">
        <v>363</v>
      </c>
      <c r="N284" s="51">
        <v>-102</v>
      </c>
    </row>
    <row r="285" spans="1:14" x14ac:dyDescent="0.3">
      <c r="A285" s="50" t="s">
        <v>701</v>
      </c>
      <c r="B285" s="50" t="s">
        <v>701</v>
      </c>
      <c r="C285" s="50" t="s">
        <v>711</v>
      </c>
      <c r="D285" s="50" t="s">
        <v>565</v>
      </c>
      <c r="E285" s="50" t="s">
        <v>518</v>
      </c>
      <c r="F285" s="50" t="s">
        <v>566</v>
      </c>
      <c r="G285" s="50" t="s">
        <v>391</v>
      </c>
      <c r="H285" s="50" t="s">
        <v>574</v>
      </c>
      <c r="I285" s="50" t="s">
        <v>392</v>
      </c>
      <c r="J285" s="50" t="s">
        <v>518</v>
      </c>
      <c r="K285" s="50" t="s">
        <v>518</v>
      </c>
      <c r="L285" s="50" t="s">
        <v>568</v>
      </c>
      <c r="M285" s="50" t="s">
        <v>401</v>
      </c>
      <c r="N285" s="51">
        <v>-5.08</v>
      </c>
    </row>
    <row r="286" spans="1:14" x14ac:dyDescent="0.3">
      <c r="A286" s="50" t="s">
        <v>701</v>
      </c>
      <c r="B286" s="50" t="s">
        <v>701</v>
      </c>
      <c r="C286" s="50" t="s">
        <v>711</v>
      </c>
      <c r="D286" s="50" t="s">
        <v>565</v>
      </c>
      <c r="E286" s="50" t="s">
        <v>518</v>
      </c>
      <c r="F286" s="50" t="s">
        <v>566</v>
      </c>
      <c r="G286" s="50" t="s">
        <v>391</v>
      </c>
      <c r="H286" s="50" t="s">
        <v>568</v>
      </c>
      <c r="I286" s="50" t="s">
        <v>401</v>
      </c>
      <c r="J286" s="50" t="s">
        <v>518</v>
      </c>
      <c r="K286" s="50" t="s">
        <v>518</v>
      </c>
      <c r="L286" s="50" t="s">
        <v>574</v>
      </c>
      <c r="M286" s="50" t="s">
        <v>392</v>
      </c>
      <c r="N286" s="51">
        <v>5.08</v>
      </c>
    </row>
    <row r="287" spans="1:14" x14ac:dyDescent="0.3">
      <c r="A287" s="50" t="s">
        <v>701</v>
      </c>
      <c r="B287" s="50" t="s">
        <v>701</v>
      </c>
      <c r="C287" s="50" t="s">
        <v>712</v>
      </c>
      <c r="D287" s="50" t="s">
        <v>565</v>
      </c>
      <c r="E287" s="50" t="s">
        <v>518</v>
      </c>
      <c r="F287" s="50" t="s">
        <v>566</v>
      </c>
      <c r="G287" s="50" t="s">
        <v>391</v>
      </c>
      <c r="H287" s="50" t="s">
        <v>567</v>
      </c>
      <c r="I287" s="50" t="s">
        <v>395</v>
      </c>
      <c r="J287" s="50" t="s">
        <v>518</v>
      </c>
      <c r="K287" s="50" t="s">
        <v>518</v>
      </c>
      <c r="L287" s="50" t="s">
        <v>568</v>
      </c>
      <c r="M287" s="50" t="s">
        <v>401</v>
      </c>
      <c r="N287" s="51">
        <v>10.16</v>
      </c>
    </row>
    <row r="288" spans="1:14" x14ac:dyDescent="0.3">
      <c r="A288" s="50" t="s">
        <v>701</v>
      </c>
      <c r="B288" s="50" t="s">
        <v>701</v>
      </c>
      <c r="C288" s="50" t="s">
        <v>712</v>
      </c>
      <c r="D288" s="50" t="s">
        <v>565</v>
      </c>
      <c r="E288" s="50" t="s">
        <v>518</v>
      </c>
      <c r="F288" s="50" t="s">
        <v>566</v>
      </c>
      <c r="G288" s="50" t="s">
        <v>391</v>
      </c>
      <c r="H288" s="50" t="s">
        <v>568</v>
      </c>
      <c r="I288" s="50" t="s">
        <v>401</v>
      </c>
      <c r="J288" s="50" t="s">
        <v>518</v>
      </c>
      <c r="K288" s="50" t="s">
        <v>518</v>
      </c>
      <c r="L288" s="50" t="s">
        <v>567</v>
      </c>
      <c r="M288" s="50" t="s">
        <v>395</v>
      </c>
      <c r="N288" s="51">
        <v>-10.16</v>
      </c>
    </row>
    <row r="289" spans="1:14" x14ac:dyDescent="0.3">
      <c r="A289" s="50" t="s">
        <v>701</v>
      </c>
      <c r="B289" s="50" t="s">
        <v>701</v>
      </c>
      <c r="C289" s="50" t="s">
        <v>713</v>
      </c>
      <c r="D289" s="50" t="s">
        <v>565</v>
      </c>
      <c r="E289" s="50" t="s">
        <v>518</v>
      </c>
      <c r="F289" s="50" t="s">
        <v>566</v>
      </c>
      <c r="G289" s="50" t="s">
        <v>391</v>
      </c>
      <c r="H289" s="50" t="s">
        <v>714</v>
      </c>
      <c r="I289" s="50" t="s">
        <v>397</v>
      </c>
      <c r="J289" s="50" t="s">
        <v>518</v>
      </c>
      <c r="K289" s="50" t="s">
        <v>518</v>
      </c>
      <c r="L289" s="50" t="s">
        <v>684</v>
      </c>
      <c r="M289" s="50" t="s">
        <v>403</v>
      </c>
      <c r="N289" s="51">
        <v>17.13</v>
      </c>
    </row>
    <row r="290" spans="1:14" x14ac:dyDescent="0.3">
      <c r="A290" s="50" t="s">
        <v>701</v>
      </c>
      <c r="B290" s="50" t="s">
        <v>701</v>
      </c>
      <c r="C290" s="50" t="s">
        <v>713</v>
      </c>
      <c r="D290" s="50" t="s">
        <v>565</v>
      </c>
      <c r="E290" s="50" t="s">
        <v>518</v>
      </c>
      <c r="F290" s="50" t="s">
        <v>566</v>
      </c>
      <c r="G290" s="50" t="s">
        <v>391</v>
      </c>
      <c r="H290" s="50" t="s">
        <v>684</v>
      </c>
      <c r="I290" s="50" t="s">
        <v>403</v>
      </c>
      <c r="J290" s="50" t="s">
        <v>518</v>
      </c>
      <c r="K290" s="50" t="s">
        <v>518</v>
      </c>
      <c r="L290" s="50" t="s">
        <v>714</v>
      </c>
      <c r="M290" s="50" t="s">
        <v>397</v>
      </c>
      <c r="N290" s="51">
        <v>-17.13</v>
      </c>
    </row>
    <row r="291" spans="1:14" x14ac:dyDescent="0.3">
      <c r="A291" s="50" t="s">
        <v>701</v>
      </c>
      <c r="B291" s="50" t="s">
        <v>701</v>
      </c>
      <c r="C291" s="50" t="s">
        <v>715</v>
      </c>
      <c r="D291" s="50" t="s">
        <v>565</v>
      </c>
      <c r="E291" s="50" t="s">
        <v>518</v>
      </c>
      <c r="F291" s="50" t="s">
        <v>566</v>
      </c>
      <c r="G291" s="50" t="s">
        <v>391</v>
      </c>
      <c r="H291" s="50" t="s">
        <v>574</v>
      </c>
      <c r="I291" s="50" t="s">
        <v>392</v>
      </c>
      <c r="J291" s="50" t="s">
        <v>518</v>
      </c>
      <c r="K291" s="50" t="s">
        <v>518</v>
      </c>
      <c r="L291" s="50" t="s">
        <v>568</v>
      </c>
      <c r="M291" s="50" t="s">
        <v>401</v>
      </c>
      <c r="N291" s="51">
        <v>5.08</v>
      </c>
    </row>
    <row r="292" spans="1:14" x14ac:dyDescent="0.3">
      <c r="A292" s="50" t="s">
        <v>701</v>
      </c>
      <c r="B292" s="50" t="s">
        <v>701</v>
      </c>
      <c r="C292" s="50" t="s">
        <v>715</v>
      </c>
      <c r="D292" s="50" t="s">
        <v>565</v>
      </c>
      <c r="E292" s="50" t="s">
        <v>518</v>
      </c>
      <c r="F292" s="50" t="s">
        <v>566</v>
      </c>
      <c r="G292" s="50" t="s">
        <v>391</v>
      </c>
      <c r="H292" s="50" t="s">
        <v>568</v>
      </c>
      <c r="I292" s="50" t="s">
        <v>401</v>
      </c>
      <c r="J292" s="50" t="s">
        <v>518</v>
      </c>
      <c r="K292" s="50" t="s">
        <v>518</v>
      </c>
      <c r="L292" s="50" t="s">
        <v>574</v>
      </c>
      <c r="M292" s="50" t="s">
        <v>392</v>
      </c>
      <c r="N292" s="51">
        <v>-5.08</v>
      </c>
    </row>
    <row r="293" spans="1:14" x14ac:dyDescent="0.3">
      <c r="A293" s="50" t="s">
        <v>716</v>
      </c>
      <c r="B293" s="50" t="s">
        <v>716</v>
      </c>
      <c r="C293" s="50" t="s">
        <v>717</v>
      </c>
      <c r="D293" s="50" t="s">
        <v>718</v>
      </c>
      <c r="E293" s="50" t="s">
        <v>719</v>
      </c>
      <c r="F293" s="50" t="s">
        <v>720</v>
      </c>
      <c r="G293" s="50" t="s">
        <v>516</v>
      </c>
      <c r="H293" s="50" t="s">
        <v>721</v>
      </c>
      <c r="I293" s="50" t="s">
        <v>26</v>
      </c>
      <c r="J293" s="50" t="s">
        <v>518</v>
      </c>
      <c r="K293" s="50" t="s">
        <v>518</v>
      </c>
      <c r="L293" s="50" t="s">
        <v>544</v>
      </c>
      <c r="M293" s="50" t="s">
        <v>368</v>
      </c>
      <c r="N293" s="51">
        <v>256.38</v>
      </c>
    </row>
    <row r="294" spans="1:14" x14ac:dyDescent="0.3">
      <c r="A294" s="50" t="s">
        <v>716</v>
      </c>
      <c r="B294" s="50" t="s">
        <v>716</v>
      </c>
      <c r="C294" s="50" t="s">
        <v>717</v>
      </c>
      <c r="D294" s="50" t="s">
        <v>718</v>
      </c>
      <c r="E294" s="50" t="s">
        <v>518</v>
      </c>
      <c r="F294" s="50" t="s">
        <v>720</v>
      </c>
      <c r="G294" s="50" t="s">
        <v>516</v>
      </c>
      <c r="H294" s="50" t="s">
        <v>544</v>
      </c>
      <c r="I294" s="50" t="s">
        <v>368</v>
      </c>
      <c r="J294" s="50" t="s">
        <v>518</v>
      </c>
      <c r="K294" s="50" t="s">
        <v>518</v>
      </c>
      <c r="L294" s="50" t="s">
        <v>721</v>
      </c>
      <c r="M294" s="50" t="s">
        <v>26</v>
      </c>
      <c r="N294" s="51">
        <v>-256.38</v>
      </c>
    </row>
    <row r="295" spans="1:14" x14ac:dyDescent="0.3">
      <c r="A295" s="50" t="s">
        <v>716</v>
      </c>
      <c r="B295" s="50" t="s">
        <v>716</v>
      </c>
      <c r="C295" s="50" t="s">
        <v>722</v>
      </c>
      <c r="D295" s="50" t="s">
        <v>526</v>
      </c>
      <c r="E295" s="50" t="s">
        <v>557</v>
      </c>
      <c r="F295" s="50" t="s">
        <v>528</v>
      </c>
      <c r="G295" s="50" t="s">
        <v>516</v>
      </c>
      <c r="H295" s="50" t="s">
        <v>558</v>
      </c>
      <c r="I295" s="50" t="s">
        <v>386</v>
      </c>
      <c r="J295" s="50" t="s">
        <v>518</v>
      </c>
      <c r="K295" s="50" t="s">
        <v>518</v>
      </c>
      <c r="L295" s="50" t="s">
        <v>529</v>
      </c>
      <c r="M295" s="50" t="s">
        <v>363</v>
      </c>
      <c r="N295" s="51">
        <v>-116</v>
      </c>
    </row>
    <row r="296" spans="1:14" x14ac:dyDescent="0.3">
      <c r="A296" s="50" t="s">
        <v>716</v>
      </c>
      <c r="B296" s="50" t="s">
        <v>716</v>
      </c>
      <c r="C296" s="50" t="s">
        <v>722</v>
      </c>
      <c r="D296" s="50" t="s">
        <v>526</v>
      </c>
      <c r="E296" s="50" t="s">
        <v>534</v>
      </c>
      <c r="F296" s="50" t="s">
        <v>528</v>
      </c>
      <c r="G296" s="50" t="s">
        <v>516</v>
      </c>
      <c r="H296" s="50" t="s">
        <v>535</v>
      </c>
      <c r="I296" s="50" t="s">
        <v>371</v>
      </c>
      <c r="J296" s="50" t="s">
        <v>518</v>
      </c>
      <c r="K296" s="50" t="s">
        <v>518</v>
      </c>
      <c r="L296" s="50" t="s">
        <v>529</v>
      </c>
      <c r="M296" s="50" t="s">
        <v>363</v>
      </c>
      <c r="N296" s="51">
        <v>-1138</v>
      </c>
    </row>
    <row r="297" spans="1:14" x14ac:dyDescent="0.3">
      <c r="A297" s="50" t="s">
        <v>716</v>
      </c>
      <c r="B297" s="50" t="s">
        <v>716</v>
      </c>
      <c r="C297" s="50" t="s">
        <v>722</v>
      </c>
      <c r="D297" s="50" t="s">
        <v>526</v>
      </c>
      <c r="E297" s="50" t="s">
        <v>559</v>
      </c>
      <c r="F297" s="50" t="s">
        <v>528</v>
      </c>
      <c r="G297" s="50" t="s">
        <v>516</v>
      </c>
      <c r="H297" s="50" t="s">
        <v>529</v>
      </c>
      <c r="I297" s="50" t="s">
        <v>363</v>
      </c>
      <c r="J297" s="50" t="s">
        <v>518</v>
      </c>
      <c r="K297" s="50" t="s">
        <v>518</v>
      </c>
      <c r="L297" s="50" t="s">
        <v>529</v>
      </c>
      <c r="M297" s="50" t="s">
        <v>363</v>
      </c>
      <c r="N297" s="51">
        <v>-30</v>
      </c>
    </row>
    <row r="298" spans="1:14" x14ac:dyDescent="0.3">
      <c r="A298" s="50" t="s">
        <v>716</v>
      </c>
      <c r="B298" s="50" t="s">
        <v>716</v>
      </c>
      <c r="C298" s="50" t="s">
        <v>722</v>
      </c>
      <c r="D298" s="50" t="s">
        <v>526</v>
      </c>
      <c r="E298" s="50" t="s">
        <v>536</v>
      </c>
      <c r="F298" s="50" t="s">
        <v>528</v>
      </c>
      <c r="G298" s="50" t="s">
        <v>516</v>
      </c>
      <c r="H298" s="50" t="s">
        <v>537</v>
      </c>
      <c r="I298" s="50" t="s">
        <v>385</v>
      </c>
      <c r="J298" s="50" t="s">
        <v>518</v>
      </c>
      <c r="K298" s="50" t="s">
        <v>518</v>
      </c>
      <c r="L298" s="50" t="s">
        <v>529</v>
      </c>
      <c r="M298" s="50" t="s">
        <v>363</v>
      </c>
      <c r="N298" s="51">
        <v>-53.85</v>
      </c>
    </row>
    <row r="299" spans="1:14" x14ac:dyDescent="0.3">
      <c r="A299" s="50" t="s">
        <v>716</v>
      </c>
      <c r="B299" s="50" t="s">
        <v>716</v>
      </c>
      <c r="C299" s="50" t="s">
        <v>722</v>
      </c>
      <c r="D299" s="50" t="s">
        <v>526</v>
      </c>
      <c r="E299" s="50" t="s">
        <v>420</v>
      </c>
      <c r="F299" s="50" t="s">
        <v>528</v>
      </c>
      <c r="G299" s="50" t="s">
        <v>391</v>
      </c>
      <c r="H299" s="50" t="s">
        <v>561</v>
      </c>
      <c r="I299" s="50" t="s">
        <v>269</v>
      </c>
      <c r="J299" s="50" t="s">
        <v>518</v>
      </c>
      <c r="K299" s="50" t="s">
        <v>518</v>
      </c>
      <c r="L299" s="50" t="s">
        <v>529</v>
      </c>
      <c r="M299" s="50" t="s">
        <v>363</v>
      </c>
      <c r="N299" s="51">
        <v>-43.98</v>
      </c>
    </row>
    <row r="300" spans="1:14" x14ac:dyDescent="0.3">
      <c r="A300" s="50" t="s">
        <v>716</v>
      </c>
      <c r="B300" s="50" t="s">
        <v>716</v>
      </c>
      <c r="C300" s="50" t="s">
        <v>722</v>
      </c>
      <c r="D300" s="50" t="s">
        <v>526</v>
      </c>
      <c r="E300" s="50" t="s">
        <v>540</v>
      </c>
      <c r="F300" s="50" t="s">
        <v>528</v>
      </c>
      <c r="G300" s="50" t="s">
        <v>516</v>
      </c>
      <c r="H300" s="50" t="s">
        <v>533</v>
      </c>
      <c r="I300" s="50" t="s">
        <v>364</v>
      </c>
      <c r="J300" s="50" t="s">
        <v>518</v>
      </c>
      <c r="K300" s="50" t="s">
        <v>518</v>
      </c>
      <c r="L300" s="50" t="s">
        <v>529</v>
      </c>
      <c r="M300" s="50" t="s">
        <v>363</v>
      </c>
      <c r="N300" s="51">
        <v>-359</v>
      </c>
    </row>
    <row r="301" spans="1:14" x14ac:dyDescent="0.3">
      <c r="A301" s="50" t="s">
        <v>716</v>
      </c>
      <c r="B301" s="50" t="s">
        <v>716</v>
      </c>
      <c r="C301" s="50" t="s">
        <v>722</v>
      </c>
      <c r="D301" s="50" t="s">
        <v>526</v>
      </c>
      <c r="E301" s="50" t="s">
        <v>540</v>
      </c>
      <c r="F301" s="50" t="s">
        <v>528</v>
      </c>
      <c r="G301" s="50" t="s">
        <v>516</v>
      </c>
      <c r="H301" s="50" t="s">
        <v>530</v>
      </c>
      <c r="I301" s="50" t="s">
        <v>382</v>
      </c>
      <c r="J301" s="50" t="s">
        <v>518</v>
      </c>
      <c r="K301" s="50" t="s">
        <v>518</v>
      </c>
      <c r="L301" s="50" t="s">
        <v>535</v>
      </c>
      <c r="M301" s="50" t="s">
        <v>371</v>
      </c>
      <c r="N301" s="51">
        <v>359</v>
      </c>
    </row>
    <row r="302" spans="1:14" x14ac:dyDescent="0.3">
      <c r="A302" s="50" t="s">
        <v>716</v>
      </c>
      <c r="B302" s="50" t="s">
        <v>716</v>
      </c>
      <c r="C302" s="50" t="s">
        <v>722</v>
      </c>
      <c r="D302" s="50" t="s">
        <v>526</v>
      </c>
      <c r="E302" s="50" t="s">
        <v>541</v>
      </c>
      <c r="F302" s="50" t="s">
        <v>528</v>
      </c>
      <c r="G302" s="50" t="s">
        <v>516</v>
      </c>
      <c r="H302" s="50" t="s">
        <v>542</v>
      </c>
      <c r="I302" s="50" t="s">
        <v>369</v>
      </c>
      <c r="J302" s="50" t="s">
        <v>518</v>
      </c>
      <c r="K302" s="50" t="s">
        <v>518</v>
      </c>
      <c r="L302" s="50" t="s">
        <v>529</v>
      </c>
      <c r="M302" s="50" t="s">
        <v>363</v>
      </c>
      <c r="N302" s="51">
        <v>-457.46</v>
      </c>
    </row>
    <row r="303" spans="1:14" x14ac:dyDescent="0.3">
      <c r="A303" s="50" t="s">
        <v>716</v>
      </c>
      <c r="B303" s="50" t="s">
        <v>716</v>
      </c>
      <c r="C303" s="50" t="s">
        <v>722</v>
      </c>
      <c r="D303" s="50" t="s">
        <v>526</v>
      </c>
      <c r="E303" s="50" t="s">
        <v>541</v>
      </c>
      <c r="F303" s="50" t="s">
        <v>528</v>
      </c>
      <c r="G303" s="50" t="s">
        <v>516</v>
      </c>
      <c r="H303" s="50" t="s">
        <v>530</v>
      </c>
      <c r="I303" s="50" t="s">
        <v>382</v>
      </c>
      <c r="J303" s="50" t="s">
        <v>518</v>
      </c>
      <c r="K303" s="50" t="s">
        <v>518</v>
      </c>
      <c r="L303" s="50" t="s">
        <v>535</v>
      </c>
      <c r="M303" s="50" t="s">
        <v>371</v>
      </c>
      <c r="N303" s="51">
        <v>457.46</v>
      </c>
    </row>
    <row r="304" spans="1:14" x14ac:dyDescent="0.3">
      <c r="A304" s="50" t="s">
        <v>716</v>
      </c>
      <c r="B304" s="50" t="s">
        <v>716</v>
      </c>
      <c r="C304" s="50" t="s">
        <v>722</v>
      </c>
      <c r="D304" s="50" t="s">
        <v>526</v>
      </c>
      <c r="E304" s="50" t="s">
        <v>562</v>
      </c>
      <c r="F304" s="50" t="s">
        <v>528</v>
      </c>
      <c r="G304" s="50" t="s">
        <v>391</v>
      </c>
      <c r="H304" s="50" t="s">
        <v>563</v>
      </c>
      <c r="I304" s="50" t="s">
        <v>264</v>
      </c>
      <c r="J304" s="50" t="s">
        <v>518</v>
      </c>
      <c r="K304" s="50" t="s">
        <v>518</v>
      </c>
      <c r="L304" s="50" t="s">
        <v>529</v>
      </c>
      <c r="M304" s="50" t="s">
        <v>363</v>
      </c>
      <c r="N304" s="51">
        <v>-3.58</v>
      </c>
    </row>
    <row r="305" spans="1:14" x14ac:dyDescent="0.3">
      <c r="A305" s="50" t="s">
        <v>716</v>
      </c>
      <c r="B305" s="50" t="s">
        <v>716</v>
      </c>
      <c r="C305" s="50" t="s">
        <v>722</v>
      </c>
      <c r="D305" s="50" t="s">
        <v>526</v>
      </c>
      <c r="E305" s="50" t="s">
        <v>543</v>
      </c>
      <c r="F305" s="50" t="s">
        <v>528</v>
      </c>
      <c r="G305" s="50" t="s">
        <v>516</v>
      </c>
      <c r="H305" s="50" t="s">
        <v>529</v>
      </c>
      <c r="I305" s="50" t="s">
        <v>363</v>
      </c>
      <c r="J305" s="50" t="s">
        <v>518</v>
      </c>
      <c r="K305" s="50" t="s">
        <v>518</v>
      </c>
      <c r="L305" s="50" t="s">
        <v>535</v>
      </c>
      <c r="M305" s="50" t="s">
        <v>371</v>
      </c>
      <c r="N305" s="51">
        <v>1445.41</v>
      </c>
    </row>
    <row r="306" spans="1:14" x14ac:dyDescent="0.3">
      <c r="A306" s="50" t="s">
        <v>716</v>
      </c>
      <c r="B306" s="50" t="s">
        <v>716</v>
      </c>
      <c r="C306" s="50" t="s">
        <v>722</v>
      </c>
      <c r="D306" s="50" t="s">
        <v>526</v>
      </c>
      <c r="E306" s="50" t="s">
        <v>518</v>
      </c>
      <c r="F306" s="50" t="s">
        <v>528</v>
      </c>
      <c r="G306" s="50" t="s">
        <v>516</v>
      </c>
      <c r="H306" s="50" t="s">
        <v>544</v>
      </c>
      <c r="I306" s="50" t="s">
        <v>368</v>
      </c>
      <c r="J306" s="50" t="s">
        <v>518</v>
      </c>
      <c r="K306" s="50" t="s">
        <v>518</v>
      </c>
      <c r="L306" s="50" t="s">
        <v>529</v>
      </c>
      <c r="M306" s="50" t="s">
        <v>363</v>
      </c>
      <c r="N306" s="51">
        <v>-107.56</v>
      </c>
    </row>
    <row r="307" spans="1:14" x14ac:dyDescent="0.3">
      <c r="A307" s="50" t="s">
        <v>716</v>
      </c>
      <c r="B307" s="50" t="s">
        <v>716</v>
      </c>
      <c r="C307" s="50" t="s">
        <v>722</v>
      </c>
      <c r="D307" s="50" t="s">
        <v>526</v>
      </c>
      <c r="E307" s="50" t="s">
        <v>518</v>
      </c>
      <c r="F307" s="50" t="s">
        <v>528</v>
      </c>
      <c r="G307" s="50" t="s">
        <v>391</v>
      </c>
      <c r="H307" s="50" t="s">
        <v>544</v>
      </c>
      <c r="I307" s="50" t="s">
        <v>368</v>
      </c>
      <c r="J307" s="50" t="s">
        <v>518</v>
      </c>
      <c r="K307" s="50" t="s">
        <v>518</v>
      </c>
      <c r="L307" s="50" t="s">
        <v>529</v>
      </c>
      <c r="M307" s="50" t="s">
        <v>363</v>
      </c>
      <c r="N307" s="51">
        <v>47.56</v>
      </c>
    </row>
    <row r="308" spans="1:14" x14ac:dyDescent="0.3">
      <c r="A308" s="50" t="s">
        <v>716</v>
      </c>
      <c r="B308" s="50" t="s">
        <v>716</v>
      </c>
      <c r="C308" s="50" t="s">
        <v>723</v>
      </c>
      <c r="D308" s="50" t="s">
        <v>565</v>
      </c>
      <c r="E308" s="50" t="s">
        <v>518</v>
      </c>
      <c r="F308" s="50" t="s">
        <v>566</v>
      </c>
      <c r="G308" s="50" t="s">
        <v>391</v>
      </c>
      <c r="H308" s="50" t="s">
        <v>574</v>
      </c>
      <c r="I308" s="50" t="s">
        <v>392</v>
      </c>
      <c r="J308" s="50" t="s">
        <v>518</v>
      </c>
      <c r="K308" s="50" t="s">
        <v>518</v>
      </c>
      <c r="L308" s="50" t="s">
        <v>568</v>
      </c>
      <c r="M308" s="50" t="s">
        <v>401</v>
      </c>
      <c r="N308" s="51">
        <v>-5.08</v>
      </c>
    </row>
    <row r="309" spans="1:14" x14ac:dyDescent="0.3">
      <c r="A309" s="50" t="s">
        <v>716</v>
      </c>
      <c r="B309" s="50" t="s">
        <v>716</v>
      </c>
      <c r="C309" s="50" t="s">
        <v>723</v>
      </c>
      <c r="D309" s="50" t="s">
        <v>565</v>
      </c>
      <c r="E309" s="50" t="s">
        <v>518</v>
      </c>
      <c r="F309" s="50" t="s">
        <v>566</v>
      </c>
      <c r="G309" s="50" t="s">
        <v>391</v>
      </c>
      <c r="H309" s="50" t="s">
        <v>568</v>
      </c>
      <c r="I309" s="50" t="s">
        <v>401</v>
      </c>
      <c r="J309" s="50" t="s">
        <v>518</v>
      </c>
      <c r="K309" s="50" t="s">
        <v>518</v>
      </c>
      <c r="L309" s="50" t="s">
        <v>574</v>
      </c>
      <c r="M309" s="50" t="s">
        <v>392</v>
      </c>
      <c r="N309" s="51">
        <v>5.08</v>
      </c>
    </row>
    <row r="310" spans="1:14" x14ac:dyDescent="0.3">
      <c r="A310" s="50" t="s">
        <v>716</v>
      </c>
      <c r="B310" s="50" t="s">
        <v>716</v>
      </c>
      <c r="C310" s="50" t="s">
        <v>724</v>
      </c>
      <c r="D310" s="50" t="s">
        <v>565</v>
      </c>
      <c r="E310" s="50" t="s">
        <v>518</v>
      </c>
      <c r="F310" s="50" t="s">
        <v>566</v>
      </c>
      <c r="G310" s="50" t="s">
        <v>391</v>
      </c>
      <c r="H310" s="50" t="s">
        <v>574</v>
      </c>
      <c r="I310" s="50" t="s">
        <v>392</v>
      </c>
      <c r="J310" s="50" t="s">
        <v>518</v>
      </c>
      <c r="K310" s="50" t="s">
        <v>518</v>
      </c>
      <c r="L310" s="50" t="s">
        <v>568</v>
      </c>
      <c r="M310" s="50" t="s">
        <v>401</v>
      </c>
      <c r="N310" s="51">
        <v>-5.08</v>
      </c>
    </row>
    <row r="311" spans="1:14" x14ac:dyDescent="0.3">
      <c r="A311" s="50" t="s">
        <v>716</v>
      </c>
      <c r="B311" s="50" t="s">
        <v>716</v>
      </c>
      <c r="C311" s="50" t="s">
        <v>724</v>
      </c>
      <c r="D311" s="50" t="s">
        <v>565</v>
      </c>
      <c r="E311" s="50" t="s">
        <v>518</v>
      </c>
      <c r="F311" s="50" t="s">
        <v>566</v>
      </c>
      <c r="G311" s="50" t="s">
        <v>391</v>
      </c>
      <c r="H311" s="50" t="s">
        <v>568</v>
      </c>
      <c r="I311" s="50" t="s">
        <v>401</v>
      </c>
      <c r="J311" s="50" t="s">
        <v>518</v>
      </c>
      <c r="K311" s="50" t="s">
        <v>518</v>
      </c>
      <c r="L311" s="50" t="s">
        <v>574</v>
      </c>
      <c r="M311" s="50" t="s">
        <v>392</v>
      </c>
      <c r="N311" s="51">
        <v>5.08</v>
      </c>
    </row>
    <row r="312" spans="1:14" x14ac:dyDescent="0.3">
      <c r="A312" s="50" t="s">
        <v>716</v>
      </c>
      <c r="B312" s="50" t="s">
        <v>716</v>
      </c>
      <c r="C312" s="50" t="s">
        <v>725</v>
      </c>
      <c r="D312" s="50" t="s">
        <v>565</v>
      </c>
      <c r="E312" s="50" t="s">
        <v>518</v>
      </c>
      <c r="F312" s="50" t="s">
        <v>566</v>
      </c>
      <c r="G312" s="50" t="s">
        <v>391</v>
      </c>
      <c r="H312" s="50" t="s">
        <v>574</v>
      </c>
      <c r="I312" s="50" t="s">
        <v>392</v>
      </c>
      <c r="J312" s="50" t="s">
        <v>518</v>
      </c>
      <c r="K312" s="50" t="s">
        <v>518</v>
      </c>
      <c r="L312" s="50" t="s">
        <v>568</v>
      </c>
      <c r="M312" s="50" t="s">
        <v>401</v>
      </c>
      <c r="N312" s="51">
        <v>5.08</v>
      </c>
    </row>
    <row r="313" spans="1:14" x14ac:dyDescent="0.3">
      <c r="A313" s="50" t="s">
        <v>716</v>
      </c>
      <c r="B313" s="50" t="s">
        <v>716</v>
      </c>
      <c r="C313" s="50" t="s">
        <v>725</v>
      </c>
      <c r="D313" s="50" t="s">
        <v>565</v>
      </c>
      <c r="E313" s="50" t="s">
        <v>518</v>
      </c>
      <c r="F313" s="50" t="s">
        <v>566</v>
      </c>
      <c r="G313" s="50" t="s">
        <v>391</v>
      </c>
      <c r="H313" s="50" t="s">
        <v>568</v>
      </c>
      <c r="I313" s="50" t="s">
        <v>401</v>
      </c>
      <c r="J313" s="50" t="s">
        <v>518</v>
      </c>
      <c r="K313" s="50" t="s">
        <v>518</v>
      </c>
      <c r="L313" s="50" t="s">
        <v>574</v>
      </c>
      <c r="M313" s="50" t="s">
        <v>392</v>
      </c>
      <c r="N313" s="51">
        <v>-5.08</v>
      </c>
    </row>
    <row r="314" spans="1:14" x14ac:dyDescent="0.3">
      <c r="A314" s="50" t="s">
        <v>716</v>
      </c>
      <c r="B314" s="50" t="s">
        <v>716</v>
      </c>
      <c r="C314" s="50" t="s">
        <v>726</v>
      </c>
      <c r="D314" s="50" t="s">
        <v>565</v>
      </c>
      <c r="E314" s="50" t="s">
        <v>518</v>
      </c>
      <c r="F314" s="50" t="s">
        <v>566</v>
      </c>
      <c r="G314" s="50" t="s">
        <v>391</v>
      </c>
      <c r="H314" s="50" t="s">
        <v>574</v>
      </c>
      <c r="I314" s="50" t="s">
        <v>392</v>
      </c>
      <c r="J314" s="50" t="s">
        <v>518</v>
      </c>
      <c r="K314" s="50" t="s">
        <v>518</v>
      </c>
      <c r="L314" s="50" t="s">
        <v>568</v>
      </c>
      <c r="M314" s="50" t="s">
        <v>401</v>
      </c>
      <c r="N314" s="51">
        <v>5.08</v>
      </c>
    </row>
    <row r="315" spans="1:14" x14ac:dyDescent="0.3">
      <c r="A315" s="50" t="s">
        <v>716</v>
      </c>
      <c r="B315" s="50" t="s">
        <v>716</v>
      </c>
      <c r="C315" s="50" t="s">
        <v>726</v>
      </c>
      <c r="D315" s="50" t="s">
        <v>565</v>
      </c>
      <c r="E315" s="50" t="s">
        <v>518</v>
      </c>
      <c r="F315" s="50" t="s">
        <v>566</v>
      </c>
      <c r="G315" s="50" t="s">
        <v>391</v>
      </c>
      <c r="H315" s="50" t="s">
        <v>568</v>
      </c>
      <c r="I315" s="50" t="s">
        <v>401</v>
      </c>
      <c r="J315" s="50" t="s">
        <v>518</v>
      </c>
      <c r="K315" s="50" t="s">
        <v>518</v>
      </c>
      <c r="L315" s="50" t="s">
        <v>574</v>
      </c>
      <c r="M315" s="50" t="s">
        <v>392</v>
      </c>
      <c r="N315" s="51">
        <v>-5.08</v>
      </c>
    </row>
    <row r="316" spans="1:14" x14ac:dyDescent="0.3">
      <c r="A316" s="50" t="s">
        <v>716</v>
      </c>
      <c r="B316" s="50" t="s">
        <v>716</v>
      </c>
      <c r="C316" s="50" t="s">
        <v>727</v>
      </c>
      <c r="D316" s="50" t="s">
        <v>565</v>
      </c>
      <c r="E316" s="50" t="s">
        <v>518</v>
      </c>
      <c r="F316" s="50" t="s">
        <v>566</v>
      </c>
      <c r="G316" s="50" t="s">
        <v>391</v>
      </c>
      <c r="H316" s="50" t="s">
        <v>574</v>
      </c>
      <c r="I316" s="50" t="s">
        <v>392</v>
      </c>
      <c r="J316" s="50" t="s">
        <v>518</v>
      </c>
      <c r="K316" s="50" t="s">
        <v>518</v>
      </c>
      <c r="L316" s="50" t="s">
        <v>568</v>
      </c>
      <c r="M316" s="50" t="s">
        <v>401</v>
      </c>
      <c r="N316" s="51">
        <v>5.08</v>
      </c>
    </row>
    <row r="317" spans="1:14" x14ac:dyDescent="0.3">
      <c r="A317" s="50" t="s">
        <v>716</v>
      </c>
      <c r="B317" s="50" t="s">
        <v>716</v>
      </c>
      <c r="C317" s="50" t="s">
        <v>727</v>
      </c>
      <c r="D317" s="50" t="s">
        <v>565</v>
      </c>
      <c r="E317" s="50" t="s">
        <v>518</v>
      </c>
      <c r="F317" s="50" t="s">
        <v>566</v>
      </c>
      <c r="G317" s="50" t="s">
        <v>391</v>
      </c>
      <c r="H317" s="50" t="s">
        <v>568</v>
      </c>
      <c r="I317" s="50" t="s">
        <v>401</v>
      </c>
      <c r="J317" s="50" t="s">
        <v>518</v>
      </c>
      <c r="K317" s="50" t="s">
        <v>518</v>
      </c>
      <c r="L317" s="50" t="s">
        <v>574</v>
      </c>
      <c r="M317" s="50" t="s">
        <v>392</v>
      </c>
      <c r="N317" s="51">
        <v>-5.08</v>
      </c>
    </row>
    <row r="318" spans="1:14" x14ac:dyDescent="0.3">
      <c r="A318" s="50" t="s">
        <v>716</v>
      </c>
      <c r="B318" s="50" t="s">
        <v>716</v>
      </c>
      <c r="C318" s="50" t="s">
        <v>728</v>
      </c>
      <c r="D318" s="50" t="s">
        <v>565</v>
      </c>
      <c r="E318" s="50" t="s">
        <v>518</v>
      </c>
      <c r="F318" s="50" t="s">
        <v>566</v>
      </c>
      <c r="G318" s="50" t="s">
        <v>391</v>
      </c>
      <c r="H318" s="50" t="s">
        <v>574</v>
      </c>
      <c r="I318" s="50" t="s">
        <v>392</v>
      </c>
      <c r="J318" s="50" t="s">
        <v>518</v>
      </c>
      <c r="K318" s="50" t="s">
        <v>518</v>
      </c>
      <c r="L318" s="50" t="s">
        <v>568</v>
      </c>
      <c r="M318" s="50" t="s">
        <v>401</v>
      </c>
      <c r="N318" s="51">
        <v>5.08</v>
      </c>
    </row>
    <row r="319" spans="1:14" x14ac:dyDescent="0.3">
      <c r="A319" s="50" t="s">
        <v>716</v>
      </c>
      <c r="B319" s="50" t="s">
        <v>716</v>
      </c>
      <c r="C319" s="50" t="s">
        <v>728</v>
      </c>
      <c r="D319" s="50" t="s">
        <v>565</v>
      </c>
      <c r="E319" s="50" t="s">
        <v>518</v>
      </c>
      <c r="F319" s="50" t="s">
        <v>566</v>
      </c>
      <c r="G319" s="50" t="s">
        <v>391</v>
      </c>
      <c r="H319" s="50" t="s">
        <v>568</v>
      </c>
      <c r="I319" s="50" t="s">
        <v>401</v>
      </c>
      <c r="J319" s="50" t="s">
        <v>518</v>
      </c>
      <c r="K319" s="50" t="s">
        <v>518</v>
      </c>
      <c r="L319" s="50" t="s">
        <v>574</v>
      </c>
      <c r="M319" s="50" t="s">
        <v>392</v>
      </c>
      <c r="N319" s="51">
        <v>-5.08</v>
      </c>
    </row>
    <row r="320" spans="1:14" x14ac:dyDescent="0.3">
      <c r="A320" s="50" t="s">
        <v>729</v>
      </c>
      <c r="B320" s="50" t="s">
        <v>664</v>
      </c>
      <c r="C320" s="50" t="s">
        <v>730</v>
      </c>
      <c r="D320" s="50" t="s">
        <v>658</v>
      </c>
      <c r="E320" s="50" t="s">
        <v>731</v>
      </c>
      <c r="F320" s="50" t="s">
        <v>660</v>
      </c>
      <c r="G320" s="50" t="s">
        <v>516</v>
      </c>
      <c r="H320" s="50" t="s">
        <v>732</v>
      </c>
      <c r="I320" s="50" t="s">
        <v>348</v>
      </c>
      <c r="J320" s="50" t="s">
        <v>518</v>
      </c>
      <c r="K320" s="50" t="s">
        <v>518</v>
      </c>
      <c r="L320" s="50" t="s">
        <v>544</v>
      </c>
      <c r="M320" s="50" t="s">
        <v>368</v>
      </c>
      <c r="N320" s="51">
        <v>31.18</v>
      </c>
    </row>
    <row r="321" spans="1:14" x14ac:dyDescent="0.3">
      <c r="A321" s="50" t="s">
        <v>729</v>
      </c>
      <c r="B321" s="50" t="s">
        <v>664</v>
      </c>
      <c r="C321" s="50" t="s">
        <v>730</v>
      </c>
      <c r="D321" s="50" t="s">
        <v>658</v>
      </c>
      <c r="E321" s="50" t="s">
        <v>518</v>
      </c>
      <c r="F321" s="50" t="s">
        <v>660</v>
      </c>
      <c r="G321" s="50" t="s">
        <v>516</v>
      </c>
      <c r="H321" s="50" t="s">
        <v>544</v>
      </c>
      <c r="I321" s="50" t="s">
        <v>368</v>
      </c>
      <c r="J321" s="50" t="s">
        <v>518</v>
      </c>
      <c r="K321" s="50" t="s">
        <v>518</v>
      </c>
      <c r="L321" s="50" t="s">
        <v>732</v>
      </c>
      <c r="M321" s="50" t="s">
        <v>348</v>
      </c>
      <c r="N321" s="51">
        <v>-31.18</v>
      </c>
    </row>
    <row r="322" spans="1:14" x14ac:dyDescent="0.3">
      <c r="A322" s="50" t="s">
        <v>729</v>
      </c>
      <c r="B322" s="50" t="s">
        <v>716</v>
      </c>
      <c r="C322" s="50" t="s">
        <v>733</v>
      </c>
      <c r="D322" s="50" t="s">
        <v>513</v>
      </c>
      <c r="E322" s="50" t="s">
        <v>734</v>
      </c>
      <c r="F322" s="50" t="s">
        <v>515</v>
      </c>
      <c r="G322" s="50" t="s">
        <v>516</v>
      </c>
      <c r="H322" s="50" t="s">
        <v>735</v>
      </c>
      <c r="I322" s="50" t="s">
        <v>322</v>
      </c>
      <c r="J322" s="50" t="s">
        <v>518</v>
      </c>
      <c r="K322" s="50" t="s">
        <v>518</v>
      </c>
      <c r="L322" s="50" t="s">
        <v>736</v>
      </c>
      <c r="M322" s="50" t="s">
        <v>737</v>
      </c>
      <c r="N322" s="51">
        <v>2943.78</v>
      </c>
    </row>
    <row r="323" spans="1:14" x14ac:dyDescent="0.3">
      <c r="A323" s="50" t="s">
        <v>729</v>
      </c>
      <c r="B323" s="50" t="s">
        <v>716</v>
      </c>
      <c r="C323" s="50" t="s">
        <v>733</v>
      </c>
      <c r="D323" s="50" t="s">
        <v>513</v>
      </c>
      <c r="E323" s="50" t="s">
        <v>734</v>
      </c>
      <c r="F323" s="50" t="s">
        <v>515</v>
      </c>
      <c r="G323" s="50" t="s">
        <v>516</v>
      </c>
      <c r="H323" s="50" t="s">
        <v>521</v>
      </c>
      <c r="I323" s="50" t="s">
        <v>367</v>
      </c>
      <c r="J323" s="50" t="s">
        <v>738</v>
      </c>
      <c r="K323" s="50" t="s">
        <v>739</v>
      </c>
      <c r="L323" s="50" t="s">
        <v>736</v>
      </c>
      <c r="M323" s="50" t="s">
        <v>737</v>
      </c>
      <c r="N323" s="51">
        <v>-2943.78</v>
      </c>
    </row>
    <row r="324" spans="1:14" x14ac:dyDescent="0.3">
      <c r="A324" s="50" t="s">
        <v>729</v>
      </c>
      <c r="B324" s="50" t="s">
        <v>716</v>
      </c>
      <c r="C324" s="50" t="s">
        <v>733</v>
      </c>
      <c r="D324" s="50" t="s">
        <v>513</v>
      </c>
      <c r="E324" s="50" t="s">
        <v>734</v>
      </c>
      <c r="F324" s="50" t="s">
        <v>515</v>
      </c>
      <c r="G324" s="50" t="s">
        <v>516</v>
      </c>
      <c r="H324" s="50" t="s">
        <v>521</v>
      </c>
      <c r="I324" s="50" t="s">
        <v>367</v>
      </c>
      <c r="J324" s="50" t="s">
        <v>736</v>
      </c>
      <c r="K324" s="50" t="s">
        <v>740</v>
      </c>
      <c r="L324" s="50" t="s">
        <v>736</v>
      </c>
      <c r="M324" s="50" t="s">
        <v>737</v>
      </c>
      <c r="N324" s="51">
        <v>0</v>
      </c>
    </row>
    <row r="325" spans="1:14" x14ac:dyDescent="0.3">
      <c r="A325" s="50" t="s">
        <v>729</v>
      </c>
      <c r="B325" s="50" t="s">
        <v>729</v>
      </c>
      <c r="C325" s="50" t="s">
        <v>741</v>
      </c>
      <c r="D325" s="50" t="s">
        <v>718</v>
      </c>
      <c r="E325" s="50" t="s">
        <v>742</v>
      </c>
      <c r="F325" s="50" t="s">
        <v>720</v>
      </c>
      <c r="G325" s="50" t="s">
        <v>516</v>
      </c>
      <c r="H325" s="50" t="s">
        <v>743</v>
      </c>
      <c r="I325" s="50" t="s">
        <v>374</v>
      </c>
      <c r="J325" s="50" t="s">
        <v>518</v>
      </c>
      <c r="K325" s="50" t="s">
        <v>518</v>
      </c>
      <c r="L325" s="50" t="s">
        <v>544</v>
      </c>
      <c r="M325" s="50" t="s">
        <v>368</v>
      </c>
      <c r="N325" s="51">
        <v>-99</v>
      </c>
    </row>
    <row r="326" spans="1:14" x14ac:dyDescent="0.3">
      <c r="A326" s="50" t="s">
        <v>729</v>
      </c>
      <c r="B326" s="50" t="s">
        <v>729</v>
      </c>
      <c r="C326" s="50" t="s">
        <v>741</v>
      </c>
      <c r="D326" s="50" t="s">
        <v>718</v>
      </c>
      <c r="E326" s="50" t="s">
        <v>518</v>
      </c>
      <c r="F326" s="50" t="s">
        <v>720</v>
      </c>
      <c r="G326" s="50" t="s">
        <v>516</v>
      </c>
      <c r="H326" s="50" t="s">
        <v>544</v>
      </c>
      <c r="I326" s="50" t="s">
        <v>368</v>
      </c>
      <c r="J326" s="50" t="s">
        <v>518</v>
      </c>
      <c r="K326" s="50" t="s">
        <v>518</v>
      </c>
      <c r="L326" s="50" t="s">
        <v>743</v>
      </c>
      <c r="M326" s="50" t="s">
        <v>374</v>
      </c>
      <c r="N326" s="51">
        <v>99</v>
      </c>
    </row>
    <row r="327" spans="1:14" x14ac:dyDescent="0.3">
      <c r="A327" s="50" t="s">
        <v>729</v>
      </c>
      <c r="B327" s="50" t="s">
        <v>729</v>
      </c>
      <c r="C327" s="50" t="s">
        <v>744</v>
      </c>
      <c r="D327" s="50" t="s">
        <v>614</v>
      </c>
      <c r="E327" s="50" t="s">
        <v>518</v>
      </c>
      <c r="F327" s="50" t="s">
        <v>615</v>
      </c>
      <c r="G327" s="50" t="s">
        <v>516</v>
      </c>
      <c r="H327" s="50" t="s">
        <v>521</v>
      </c>
      <c r="I327" s="50" t="s">
        <v>367</v>
      </c>
      <c r="J327" s="50" t="s">
        <v>738</v>
      </c>
      <c r="K327" s="50" t="s">
        <v>739</v>
      </c>
      <c r="L327" s="50" t="s">
        <v>544</v>
      </c>
      <c r="M327" s="50" t="s">
        <v>368</v>
      </c>
      <c r="N327" s="51">
        <v>2943.78</v>
      </c>
    </row>
    <row r="328" spans="1:14" x14ac:dyDescent="0.3">
      <c r="A328" s="50" t="s">
        <v>729</v>
      </c>
      <c r="B328" s="50" t="s">
        <v>729</v>
      </c>
      <c r="C328" s="50" t="s">
        <v>744</v>
      </c>
      <c r="D328" s="50" t="s">
        <v>614</v>
      </c>
      <c r="E328" s="50" t="s">
        <v>518</v>
      </c>
      <c r="F328" s="50" t="s">
        <v>615</v>
      </c>
      <c r="G328" s="50" t="s">
        <v>516</v>
      </c>
      <c r="H328" s="50" t="s">
        <v>544</v>
      </c>
      <c r="I328" s="50" t="s">
        <v>368</v>
      </c>
      <c r="J328" s="50" t="s">
        <v>518</v>
      </c>
      <c r="K328" s="50" t="s">
        <v>518</v>
      </c>
      <c r="L328" s="50" t="s">
        <v>738</v>
      </c>
      <c r="M328" s="50" t="s">
        <v>745</v>
      </c>
      <c r="N328" s="51">
        <v>-2943.78</v>
      </c>
    </row>
    <row r="329" spans="1:14" x14ac:dyDescent="0.3">
      <c r="A329" s="50" t="s">
        <v>729</v>
      </c>
      <c r="B329" s="50" t="s">
        <v>729</v>
      </c>
      <c r="C329" s="50" t="s">
        <v>746</v>
      </c>
      <c r="D329" s="50" t="s">
        <v>526</v>
      </c>
      <c r="E329" s="50" t="s">
        <v>527</v>
      </c>
      <c r="F329" s="50" t="s">
        <v>528</v>
      </c>
      <c r="G329" s="50" t="s">
        <v>516</v>
      </c>
      <c r="H329" s="50" t="s">
        <v>529</v>
      </c>
      <c r="I329" s="50" t="s">
        <v>363</v>
      </c>
      <c r="J329" s="50" t="s">
        <v>518</v>
      </c>
      <c r="K329" s="50" t="s">
        <v>518</v>
      </c>
      <c r="L329" s="50" t="s">
        <v>535</v>
      </c>
      <c r="M329" s="50" t="s">
        <v>371</v>
      </c>
      <c r="N329" s="51">
        <v>181.75</v>
      </c>
    </row>
    <row r="330" spans="1:14" x14ac:dyDescent="0.3">
      <c r="A330" s="50" t="s">
        <v>729</v>
      </c>
      <c r="B330" s="50" t="s">
        <v>729</v>
      </c>
      <c r="C330" s="50" t="s">
        <v>746</v>
      </c>
      <c r="D330" s="50" t="s">
        <v>526</v>
      </c>
      <c r="E330" s="50" t="s">
        <v>557</v>
      </c>
      <c r="F330" s="50" t="s">
        <v>528</v>
      </c>
      <c r="G330" s="50" t="s">
        <v>516</v>
      </c>
      <c r="H330" s="50" t="s">
        <v>558</v>
      </c>
      <c r="I330" s="50" t="s">
        <v>386</v>
      </c>
      <c r="J330" s="50" t="s">
        <v>518</v>
      </c>
      <c r="K330" s="50" t="s">
        <v>518</v>
      </c>
      <c r="L330" s="50" t="s">
        <v>530</v>
      </c>
      <c r="M330" s="50" t="s">
        <v>382</v>
      </c>
      <c r="N330" s="51">
        <v>-29</v>
      </c>
    </row>
    <row r="331" spans="1:14" x14ac:dyDescent="0.3">
      <c r="A331" s="50" t="s">
        <v>729</v>
      </c>
      <c r="B331" s="50" t="s">
        <v>729</v>
      </c>
      <c r="C331" s="50" t="s">
        <v>746</v>
      </c>
      <c r="D331" s="50" t="s">
        <v>526</v>
      </c>
      <c r="E331" s="50" t="s">
        <v>531</v>
      </c>
      <c r="F331" s="50" t="s">
        <v>528</v>
      </c>
      <c r="G331" s="50" t="s">
        <v>516</v>
      </c>
      <c r="H331" s="50" t="s">
        <v>532</v>
      </c>
      <c r="I331" s="50" t="s">
        <v>381</v>
      </c>
      <c r="J331" s="50" t="s">
        <v>518</v>
      </c>
      <c r="K331" s="50" t="s">
        <v>518</v>
      </c>
      <c r="L331" s="50" t="s">
        <v>530</v>
      </c>
      <c r="M331" s="50" t="s">
        <v>382</v>
      </c>
      <c r="N331" s="51">
        <v>-10</v>
      </c>
    </row>
    <row r="332" spans="1:14" x14ac:dyDescent="0.3">
      <c r="A332" s="50" t="s">
        <v>729</v>
      </c>
      <c r="B332" s="50" t="s">
        <v>729</v>
      </c>
      <c r="C332" s="50" t="s">
        <v>746</v>
      </c>
      <c r="D332" s="50" t="s">
        <v>526</v>
      </c>
      <c r="E332" s="50" t="s">
        <v>534</v>
      </c>
      <c r="F332" s="50" t="s">
        <v>528</v>
      </c>
      <c r="G332" s="50" t="s">
        <v>516</v>
      </c>
      <c r="H332" s="50" t="s">
        <v>535</v>
      </c>
      <c r="I332" s="50" t="s">
        <v>371</v>
      </c>
      <c r="J332" s="50" t="s">
        <v>518</v>
      </c>
      <c r="K332" s="50" t="s">
        <v>518</v>
      </c>
      <c r="L332" s="50" t="s">
        <v>530</v>
      </c>
      <c r="M332" s="50" t="s">
        <v>382</v>
      </c>
      <c r="N332" s="51">
        <v>-1301</v>
      </c>
    </row>
    <row r="333" spans="1:14" x14ac:dyDescent="0.3">
      <c r="A333" s="50" t="s">
        <v>729</v>
      </c>
      <c r="B333" s="50" t="s">
        <v>729</v>
      </c>
      <c r="C333" s="50" t="s">
        <v>746</v>
      </c>
      <c r="D333" s="50" t="s">
        <v>526</v>
      </c>
      <c r="E333" s="50" t="s">
        <v>578</v>
      </c>
      <c r="F333" s="50" t="s">
        <v>528</v>
      </c>
      <c r="G333" s="50" t="s">
        <v>516</v>
      </c>
      <c r="H333" s="50" t="s">
        <v>579</v>
      </c>
      <c r="I333" s="50" t="s">
        <v>390</v>
      </c>
      <c r="J333" s="50" t="s">
        <v>518</v>
      </c>
      <c r="K333" s="50" t="s">
        <v>518</v>
      </c>
      <c r="L333" s="50" t="s">
        <v>535</v>
      </c>
      <c r="M333" s="50" t="s">
        <v>371</v>
      </c>
      <c r="N333" s="51">
        <v>21.99</v>
      </c>
    </row>
    <row r="334" spans="1:14" x14ac:dyDescent="0.3">
      <c r="A334" s="50" t="s">
        <v>729</v>
      </c>
      <c r="B334" s="50" t="s">
        <v>729</v>
      </c>
      <c r="C334" s="50" t="s">
        <v>746</v>
      </c>
      <c r="D334" s="50" t="s">
        <v>526</v>
      </c>
      <c r="E334" s="50" t="s">
        <v>580</v>
      </c>
      <c r="F334" s="50" t="s">
        <v>528</v>
      </c>
      <c r="G334" s="50" t="s">
        <v>391</v>
      </c>
      <c r="H334" s="50" t="s">
        <v>581</v>
      </c>
      <c r="I334" s="50" t="s">
        <v>410</v>
      </c>
      <c r="J334" s="50" t="s">
        <v>518</v>
      </c>
      <c r="K334" s="50" t="s">
        <v>518</v>
      </c>
      <c r="L334" s="50" t="s">
        <v>530</v>
      </c>
      <c r="M334" s="50" t="s">
        <v>382</v>
      </c>
      <c r="N334" s="51">
        <v>-21.99</v>
      </c>
    </row>
    <row r="335" spans="1:14" x14ac:dyDescent="0.3">
      <c r="A335" s="50" t="s">
        <v>729</v>
      </c>
      <c r="B335" s="50" t="s">
        <v>729</v>
      </c>
      <c r="C335" s="50" t="s">
        <v>746</v>
      </c>
      <c r="D335" s="50" t="s">
        <v>526</v>
      </c>
      <c r="E335" s="50" t="s">
        <v>582</v>
      </c>
      <c r="F335" s="50" t="s">
        <v>528</v>
      </c>
      <c r="G335" s="50" t="s">
        <v>516</v>
      </c>
      <c r="H335" s="50" t="s">
        <v>583</v>
      </c>
      <c r="I335" s="50" t="s">
        <v>388</v>
      </c>
      <c r="J335" s="50" t="s">
        <v>518</v>
      </c>
      <c r="K335" s="50" t="s">
        <v>518</v>
      </c>
      <c r="L335" s="50" t="s">
        <v>535</v>
      </c>
      <c r="M335" s="50" t="s">
        <v>371</v>
      </c>
      <c r="N335" s="51">
        <v>1.79</v>
      </c>
    </row>
    <row r="336" spans="1:14" x14ac:dyDescent="0.3">
      <c r="A336" s="50" t="s">
        <v>729</v>
      </c>
      <c r="B336" s="50" t="s">
        <v>729</v>
      </c>
      <c r="C336" s="50" t="s">
        <v>746</v>
      </c>
      <c r="D336" s="50" t="s">
        <v>526</v>
      </c>
      <c r="E336" s="50" t="s">
        <v>584</v>
      </c>
      <c r="F336" s="50" t="s">
        <v>528</v>
      </c>
      <c r="G336" s="50" t="s">
        <v>391</v>
      </c>
      <c r="H336" s="50" t="s">
        <v>563</v>
      </c>
      <c r="I336" s="50" t="s">
        <v>264</v>
      </c>
      <c r="J336" s="50" t="s">
        <v>518</v>
      </c>
      <c r="K336" s="50" t="s">
        <v>518</v>
      </c>
      <c r="L336" s="50" t="s">
        <v>530</v>
      </c>
      <c r="M336" s="50" t="s">
        <v>382</v>
      </c>
      <c r="N336" s="51">
        <v>-1.79</v>
      </c>
    </row>
    <row r="337" spans="1:14" x14ac:dyDescent="0.3">
      <c r="A337" s="50" t="s">
        <v>729</v>
      </c>
      <c r="B337" s="50" t="s">
        <v>729</v>
      </c>
      <c r="C337" s="50" t="s">
        <v>746</v>
      </c>
      <c r="D337" s="50" t="s">
        <v>526</v>
      </c>
      <c r="E337" s="50" t="s">
        <v>536</v>
      </c>
      <c r="F337" s="50" t="s">
        <v>528</v>
      </c>
      <c r="G337" s="50" t="s">
        <v>516</v>
      </c>
      <c r="H337" s="50" t="s">
        <v>537</v>
      </c>
      <c r="I337" s="50" t="s">
        <v>385</v>
      </c>
      <c r="J337" s="50" t="s">
        <v>518</v>
      </c>
      <c r="K337" s="50" t="s">
        <v>518</v>
      </c>
      <c r="L337" s="50" t="s">
        <v>530</v>
      </c>
      <c r="M337" s="50" t="s">
        <v>382</v>
      </c>
      <c r="N337" s="51">
        <v>-174.65</v>
      </c>
    </row>
    <row r="338" spans="1:14" x14ac:dyDescent="0.3">
      <c r="A338" s="50" t="s">
        <v>729</v>
      </c>
      <c r="B338" s="50" t="s">
        <v>729</v>
      </c>
      <c r="C338" s="50" t="s">
        <v>746</v>
      </c>
      <c r="D338" s="50" t="s">
        <v>526</v>
      </c>
      <c r="E338" s="50" t="s">
        <v>383</v>
      </c>
      <c r="F338" s="50" t="s">
        <v>528</v>
      </c>
      <c r="G338" s="50" t="s">
        <v>516</v>
      </c>
      <c r="H338" s="50" t="s">
        <v>538</v>
      </c>
      <c r="I338" s="50" t="s">
        <v>383</v>
      </c>
      <c r="J338" s="50" t="s">
        <v>518</v>
      </c>
      <c r="K338" s="50" t="s">
        <v>518</v>
      </c>
      <c r="L338" s="50" t="s">
        <v>530</v>
      </c>
      <c r="M338" s="50" t="s">
        <v>382</v>
      </c>
      <c r="N338" s="51">
        <v>-63</v>
      </c>
    </row>
    <row r="339" spans="1:14" x14ac:dyDescent="0.3">
      <c r="A339" s="50" t="s">
        <v>729</v>
      </c>
      <c r="B339" s="50" t="s">
        <v>729</v>
      </c>
      <c r="C339" s="50" t="s">
        <v>746</v>
      </c>
      <c r="D339" s="50" t="s">
        <v>526</v>
      </c>
      <c r="E339" s="50" t="s">
        <v>539</v>
      </c>
      <c r="F339" s="50" t="s">
        <v>528</v>
      </c>
      <c r="G339" s="50" t="s">
        <v>516</v>
      </c>
      <c r="H339" s="50" t="s">
        <v>529</v>
      </c>
      <c r="I339" s="50" t="s">
        <v>363</v>
      </c>
      <c r="J339" s="50" t="s">
        <v>518</v>
      </c>
      <c r="K339" s="50" t="s">
        <v>518</v>
      </c>
      <c r="L339" s="50" t="s">
        <v>535</v>
      </c>
      <c r="M339" s="50" t="s">
        <v>371</v>
      </c>
      <c r="N339" s="51">
        <v>293.3</v>
      </c>
    </row>
    <row r="340" spans="1:14" x14ac:dyDescent="0.3">
      <c r="A340" s="50" t="s">
        <v>729</v>
      </c>
      <c r="B340" s="50" t="s">
        <v>729</v>
      </c>
      <c r="C340" s="50" t="s">
        <v>746</v>
      </c>
      <c r="D340" s="50" t="s">
        <v>526</v>
      </c>
      <c r="E340" s="50" t="s">
        <v>540</v>
      </c>
      <c r="F340" s="50" t="s">
        <v>528</v>
      </c>
      <c r="G340" s="50" t="s">
        <v>516</v>
      </c>
      <c r="H340" s="50" t="s">
        <v>533</v>
      </c>
      <c r="I340" s="50" t="s">
        <v>364</v>
      </c>
      <c r="J340" s="50" t="s">
        <v>518</v>
      </c>
      <c r="K340" s="50" t="s">
        <v>518</v>
      </c>
      <c r="L340" s="50" t="s">
        <v>530</v>
      </c>
      <c r="M340" s="50" t="s">
        <v>382</v>
      </c>
      <c r="N340" s="51">
        <v>-1300</v>
      </c>
    </row>
    <row r="341" spans="1:14" x14ac:dyDescent="0.3">
      <c r="A341" s="50" t="s">
        <v>729</v>
      </c>
      <c r="B341" s="50" t="s">
        <v>729</v>
      </c>
      <c r="C341" s="50" t="s">
        <v>746</v>
      </c>
      <c r="D341" s="50" t="s">
        <v>526</v>
      </c>
      <c r="E341" s="50" t="s">
        <v>540</v>
      </c>
      <c r="F341" s="50" t="s">
        <v>528</v>
      </c>
      <c r="G341" s="50" t="s">
        <v>516</v>
      </c>
      <c r="H341" s="50" t="s">
        <v>530</v>
      </c>
      <c r="I341" s="50" t="s">
        <v>382</v>
      </c>
      <c r="J341" s="50" t="s">
        <v>518</v>
      </c>
      <c r="K341" s="50" t="s">
        <v>518</v>
      </c>
      <c r="L341" s="50" t="s">
        <v>535</v>
      </c>
      <c r="M341" s="50" t="s">
        <v>371</v>
      </c>
      <c r="N341" s="51">
        <v>1300</v>
      </c>
    </row>
    <row r="342" spans="1:14" x14ac:dyDescent="0.3">
      <c r="A342" s="50" t="s">
        <v>729</v>
      </c>
      <c r="B342" s="50" t="s">
        <v>729</v>
      </c>
      <c r="C342" s="50" t="s">
        <v>746</v>
      </c>
      <c r="D342" s="50" t="s">
        <v>526</v>
      </c>
      <c r="E342" s="50" t="s">
        <v>543</v>
      </c>
      <c r="F342" s="50" t="s">
        <v>528</v>
      </c>
      <c r="G342" s="50" t="s">
        <v>516</v>
      </c>
      <c r="H342" s="50" t="s">
        <v>529</v>
      </c>
      <c r="I342" s="50" t="s">
        <v>363</v>
      </c>
      <c r="J342" s="50" t="s">
        <v>518</v>
      </c>
      <c r="K342" s="50" t="s">
        <v>518</v>
      </c>
      <c r="L342" s="50" t="s">
        <v>535</v>
      </c>
      <c r="M342" s="50" t="s">
        <v>371</v>
      </c>
      <c r="N342" s="51">
        <v>1207.5999999999999</v>
      </c>
    </row>
    <row r="343" spans="1:14" x14ac:dyDescent="0.3">
      <c r="A343" s="50" t="s">
        <v>729</v>
      </c>
      <c r="B343" s="50" t="s">
        <v>729</v>
      </c>
      <c r="C343" s="50" t="s">
        <v>746</v>
      </c>
      <c r="D343" s="50" t="s">
        <v>526</v>
      </c>
      <c r="E343" s="50" t="s">
        <v>518</v>
      </c>
      <c r="F343" s="50" t="s">
        <v>528</v>
      </c>
      <c r="G343" s="50" t="s">
        <v>516</v>
      </c>
      <c r="H343" s="50" t="s">
        <v>544</v>
      </c>
      <c r="I343" s="50" t="s">
        <v>368</v>
      </c>
      <c r="J343" s="50" t="s">
        <v>518</v>
      </c>
      <c r="K343" s="50" t="s">
        <v>518</v>
      </c>
      <c r="L343" s="50" t="s">
        <v>530</v>
      </c>
      <c r="M343" s="50" t="s">
        <v>382</v>
      </c>
      <c r="N343" s="51">
        <v>-128.78</v>
      </c>
    </row>
    <row r="344" spans="1:14" x14ac:dyDescent="0.3">
      <c r="A344" s="50" t="s">
        <v>729</v>
      </c>
      <c r="B344" s="50" t="s">
        <v>729</v>
      </c>
      <c r="C344" s="50" t="s">
        <v>746</v>
      </c>
      <c r="D344" s="50" t="s">
        <v>526</v>
      </c>
      <c r="E344" s="50" t="s">
        <v>518</v>
      </c>
      <c r="F344" s="50" t="s">
        <v>528</v>
      </c>
      <c r="G344" s="50" t="s">
        <v>391</v>
      </c>
      <c r="H344" s="50" t="s">
        <v>544</v>
      </c>
      <c r="I344" s="50" t="s">
        <v>368</v>
      </c>
      <c r="J344" s="50" t="s">
        <v>518</v>
      </c>
      <c r="K344" s="50" t="s">
        <v>518</v>
      </c>
      <c r="L344" s="50" t="s">
        <v>530</v>
      </c>
      <c r="M344" s="50" t="s">
        <v>382</v>
      </c>
      <c r="N344" s="51">
        <v>23.78</v>
      </c>
    </row>
    <row r="345" spans="1:14" x14ac:dyDescent="0.3">
      <c r="A345" s="50" t="s">
        <v>729</v>
      </c>
      <c r="B345" s="50" t="s">
        <v>729</v>
      </c>
      <c r="C345" s="50" t="s">
        <v>747</v>
      </c>
      <c r="D345" s="50" t="s">
        <v>565</v>
      </c>
      <c r="E345" s="50" t="s">
        <v>518</v>
      </c>
      <c r="F345" s="50" t="s">
        <v>566</v>
      </c>
      <c r="G345" s="50" t="s">
        <v>391</v>
      </c>
      <c r="H345" s="50" t="s">
        <v>574</v>
      </c>
      <c r="I345" s="50" t="s">
        <v>392</v>
      </c>
      <c r="J345" s="50" t="s">
        <v>518</v>
      </c>
      <c r="K345" s="50" t="s">
        <v>518</v>
      </c>
      <c r="L345" s="50" t="s">
        <v>568</v>
      </c>
      <c r="M345" s="50" t="s">
        <v>401</v>
      </c>
      <c r="N345" s="51">
        <v>5.08</v>
      </c>
    </row>
    <row r="346" spans="1:14" x14ac:dyDescent="0.3">
      <c r="A346" s="50" t="s">
        <v>729</v>
      </c>
      <c r="B346" s="50" t="s">
        <v>729</v>
      </c>
      <c r="C346" s="50" t="s">
        <v>747</v>
      </c>
      <c r="D346" s="50" t="s">
        <v>565</v>
      </c>
      <c r="E346" s="50" t="s">
        <v>518</v>
      </c>
      <c r="F346" s="50" t="s">
        <v>566</v>
      </c>
      <c r="G346" s="50" t="s">
        <v>391</v>
      </c>
      <c r="H346" s="50" t="s">
        <v>568</v>
      </c>
      <c r="I346" s="50" t="s">
        <v>401</v>
      </c>
      <c r="J346" s="50" t="s">
        <v>518</v>
      </c>
      <c r="K346" s="50" t="s">
        <v>518</v>
      </c>
      <c r="L346" s="50" t="s">
        <v>574</v>
      </c>
      <c r="M346" s="50" t="s">
        <v>392</v>
      </c>
      <c r="N346" s="51">
        <v>-5.08</v>
      </c>
    </row>
    <row r="347" spans="1:14" x14ac:dyDescent="0.3">
      <c r="A347" s="50" t="s">
        <v>748</v>
      </c>
      <c r="B347" s="50" t="s">
        <v>748</v>
      </c>
      <c r="C347" s="50" t="s">
        <v>749</v>
      </c>
      <c r="D347" s="50" t="s">
        <v>526</v>
      </c>
      <c r="E347" s="50" t="s">
        <v>557</v>
      </c>
      <c r="F347" s="50" t="s">
        <v>528</v>
      </c>
      <c r="G347" s="50" t="s">
        <v>516</v>
      </c>
      <c r="H347" s="50" t="s">
        <v>558</v>
      </c>
      <c r="I347" s="50" t="s">
        <v>386</v>
      </c>
      <c r="J347" s="50" t="s">
        <v>518</v>
      </c>
      <c r="K347" s="50" t="s">
        <v>518</v>
      </c>
      <c r="L347" s="50" t="s">
        <v>529</v>
      </c>
      <c r="M347" s="50" t="s">
        <v>363</v>
      </c>
      <c r="N347" s="51">
        <v>-29</v>
      </c>
    </row>
    <row r="348" spans="1:14" x14ac:dyDescent="0.3">
      <c r="A348" s="50" t="s">
        <v>748</v>
      </c>
      <c r="B348" s="50" t="s">
        <v>748</v>
      </c>
      <c r="C348" s="50" t="s">
        <v>749</v>
      </c>
      <c r="D348" s="50" t="s">
        <v>526</v>
      </c>
      <c r="E348" s="50" t="s">
        <v>534</v>
      </c>
      <c r="F348" s="50" t="s">
        <v>528</v>
      </c>
      <c r="G348" s="50" t="s">
        <v>516</v>
      </c>
      <c r="H348" s="50" t="s">
        <v>535</v>
      </c>
      <c r="I348" s="50" t="s">
        <v>371</v>
      </c>
      <c r="J348" s="50" t="s">
        <v>518</v>
      </c>
      <c r="K348" s="50" t="s">
        <v>518</v>
      </c>
      <c r="L348" s="50" t="s">
        <v>529</v>
      </c>
      <c r="M348" s="50" t="s">
        <v>363</v>
      </c>
      <c r="N348" s="51">
        <v>-1026.7</v>
      </c>
    </row>
    <row r="349" spans="1:14" x14ac:dyDescent="0.3">
      <c r="A349" s="50" t="s">
        <v>748</v>
      </c>
      <c r="B349" s="50" t="s">
        <v>748</v>
      </c>
      <c r="C349" s="50" t="s">
        <v>749</v>
      </c>
      <c r="D349" s="50" t="s">
        <v>526</v>
      </c>
      <c r="E349" s="50" t="s">
        <v>536</v>
      </c>
      <c r="F349" s="50" t="s">
        <v>528</v>
      </c>
      <c r="G349" s="50" t="s">
        <v>516</v>
      </c>
      <c r="H349" s="50" t="s">
        <v>537</v>
      </c>
      <c r="I349" s="50" t="s">
        <v>385</v>
      </c>
      <c r="J349" s="50" t="s">
        <v>518</v>
      </c>
      <c r="K349" s="50" t="s">
        <v>518</v>
      </c>
      <c r="L349" s="50" t="s">
        <v>529</v>
      </c>
      <c r="M349" s="50" t="s">
        <v>363</v>
      </c>
      <c r="N349" s="51">
        <v>-139.94999999999999</v>
      </c>
    </row>
    <row r="350" spans="1:14" x14ac:dyDescent="0.3">
      <c r="A350" s="50" t="s">
        <v>748</v>
      </c>
      <c r="B350" s="50" t="s">
        <v>748</v>
      </c>
      <c r="C350" s="50" t="s">
        <v>749</v>
      </c>
      <c r="D350" s="50" t="s">
        <v>526</v>
      </c>
      <c r="E350" s="50" t="s">
        <v>420</v>
      </c>
      <c r="F350" s="50" t="s">
        <v>528</v>
      </c>
      <c r="G350" s="50" t="s">
        <v>391</v>
      </c>
      <c r="H350" s="50" t="s">
        <v>561</v>
      </c>
      <c r="I350" s="50" t="s">
        <v>269</v>
      </c>
      <c r="J350" s="50" t="s">
        <v>518</v>
      </c>
      <c r="K350" s="50" t="s">
        <v>518</v>
      </c>
      <c r="L350" s="50" t="s">
        <v>529</v>
      </c>
      <c r="M350" s="50" t="s">
        <v>363</v>
      </c>
      <c r="N350" s="51">
        <v>-21.99</v>
      </c>
    </row>
    <row r="351" spans="1:14" x14ac:dyDescent="0.3">
      <c r="A351" s="50" t="s">
        <v>748</v>
      </c>
      <c r="B351" s="50" t="s">
        <v>748</v>
      </c>
      <c r="C351" s="50" t="s">
        <v>749</v>
      </c>
      <c r="D351" s="50" t="s">
        <v>526</v>
      </c>
      <c r="E351" s="50" t="s">
        <v>540</v>
      </c>
      <c r="F351" s="50" t="s">
        <v>528</v>
      </c>
      <c r="G351" s="50" t="s">
        <v>516</v>
      </c>
      <c r="H351" s="50" t="s">
        <v>533</v>
      </c>
      <c r="I351" s="50" t="s">
        <v>364</v>
      </c>
      <c r="J351" s="50" t="s">
        <v>518</v>
      </c>
      <c r="K351" s="50" t="s">
        <v>518</v>
      </c>
      <c r="L351" s="50" t="s">
        <v>529</v>
      </c>
      <c r="M351" s="50" t="s">
        <v>363</v>
      </c>
      <c r="N351" s="51">
        <v>-1063.3800000000001</v>
      </c>
    </row>
    <row r="352" spans="1:14" x14ac:dyDescent="0.3">
      <c r="A352" s="50" t="s">
        <v>748</v>
      </c>
      <c r="B352" s="50" t="s">
        <v>748</v>
      </c>
      <c r="C352" s="50" t="s">
        <v>749</v>
      </c>
      <c r="D352" s="50" t="s">
        <v>526</v>
      </c>
      <c r="E352" s="50" t="s">
        <v>540</v>
      </c>
      <c r="F352" s="50" t="s">
        <v>528</v>
      </c>
      <c r="G352" s="50" t="s">
        <v>516</v>
      </c>
      <c r="H352" s="50" t="s">
        <v>530</v>
      </c>
      <c r="I352" s="50" t="s">
        <v>382</v>
      </c>
      <c r="J352" s="50" t="s">
        <v>518</v>
      </c>
      <c r="K352" s="50" t="s">
        <v>518</v>
      </c>
      <c r="L352" s="50" t="s">
        <v>533</v>
      </c>
      <c r="M352" s="50" t="s">
        <v>364</v>
      </c>
      <c r="N352" s="51">
        <v>1063.3800000000001</v>
      </c>
    </row>
    <row r="353" spans="1:14" x14ac:dyDescent="0.3">
      <c r="A353" s="50" t="s">
        <v>748</v>
      </c>
      <c r="B353" s="50" t="s">
        <v>748</v>
      </c>
      <c r="C353" s="50" t="s">
        <v>749</v>
      </c>
      <c r="D353" s="50" t="s">
        <v>526</v>
      </c>
      <c r="E353" s="50" t="s">
        <v>541</v>
      </c>
      <c r="F353" s="50" t="s">
        <v>528</v>
      </c>
      <c r="G353" s="50" t="s">
        <v>516</v>
      </c>
      <c r="H353" s="50" t="s">
        <v>542</v>
      </c>
      <c r="I353" s="50" t="s">
        <v>369</v>
      </c>
      <c r="J353" s="50" t="s">
        <v>518</v>
      </c>
      <c r="K353" s="50" t="s">
        <v>518</v>
      </c>
      <c r="L353" s="50" t="s">
        <v>529</v>
      </c>
      <c r="M353" s="50" t="s">
        <v>363</v>
      </c>
      <c r="N353" s="51">
        <v>-78</v>
      </c>
    </row>
    <row r="354" spans="1:14" x14ac:dyDescent="0.3">
      <c r="A354" s="50" t="s">
        <v>748</v>
      </c>
      <c r="B354" s="50" t="s">
        <v>748</v>
      </c>
      <c r="C354" s="50" t="s">
        <v>749</v>
      </c>
      <c r="D354" s="50" t="s">
        <v>526</v>
      </c>
      <c r="E354" s="50" t="s">
        <v>541</v>
      </c>
      <c r="F354" s="50" t="s">
        <v>528</v>
      </c>
      <c r="G354" s="50" t="s">
        <v>516</v>
      </c>
      <c r="H354" s="50" t="s">
        <v>530</v>
      </c>
      <c r="I354" s="50" t="s">
        <v>382</v>
      </c>
      <c r="J354" s="50" t="s">
        <v>518</v>
      </c>
      <c r="K354" s="50" t="s">
        <v>518</v>
      </c>
      <c r="L354" s="50" t="s">
        <v>533</v>
      </c>
      <c r="M354" s="50" t="s">
        <v>364</v>
      </c>
      <c r="N354" s="51">
        <v>78</v>
      </c>
    </row>
    <row r="355" spans="1:14" x14ac:dyDescent="0.3">
      <c r="A355" s="50" t="s">
        <v>748</v>
      </c>
      <c r="B355" s="50" t="s">
        <v>748</v>
      </c>
      <c r="C355" s="50" t="s">
        <v>749</v>
      </c>
      <c r="D355" s="50" t="s">
        <v>526</v>
      </c>
      <c r="E355" s="50" t="s">
        <v>562</v>
      </c>
      <c r="F355" s="50" t="s">
        <v>528</v>
      </c>
      <c r="G355" s="50" t="s">
        <v>391</v>
      </c>
      <c r="H355" s="50" t="s">
        <v>563</v>
      </c>
      <c r="I355" s="50" t="s">
        <v>264</v>
      </c>
      <c r="J355" s="50" t="s">
        <v>518</v>
      </c>
      <c r="K355" s="50" t="s">
        <v>518</v>
      </c>
      <c r="L355" s="50" t="s">
        <v>529</v>
      </c>
      <c r="M355" s="50" t="s">
        <v>363</v>
      </c>
      <c r="N355" s="51">
        <v>-1.79</v>
      </c>
    </row>
    <row r="356" spans="1:14" x14ac:dyDescent="0.3">
      <c r="A356" s="50" t="s">
        <v>748</v>
      </c>
      <c r="B356" s="50" t="s">
        <v>748</v>
      </c>
      <c r="C356" s="50" t="s">
        <v>749</v>
      </c>
      <c r="D356" s="50" t="s">
        <v>526</v>
      </c>
      <c r="E356" s="50" t="s">
        <v>543</v>
      </c>
      <c r="F356" s="50" t="s">
        <v>528</v>
      </c>
      <c r="G356" s="50" t="s">
        <v>516</v>
      </c>
      <c r="H356" s="50" t="s">
        <v>529</v>
      </c>
      <c r="I356" s="50" t="s">
        <v>363</v>
      </c>
      <c r="J356" s="50" t="s">
        <v>518</v>
      </c>
      <c r="K356" s="50" t="s">
        <v>518</v>
      </c>
      <c r="L356" s="50" t="s">
        <v>533</v>
      </c>
      <c r="M356" s="50" t="s">
        <v>364</v>
      </c>
      <c r="N356" s="51">
        <v>1307.6199999999999</v>
      </c>
    </row>
    <row r="357" spans="1:14" x14ac:dyDescent="0.3">
      <c r="A357" s="50" t="s">
        <v>748</v>
      </c>
      <c r="B357" s="50" t="s">
        <v>748</v>
      </c>
      <c r="C357" s="50" t="s">
        <v>749</v>
      </c>
      <c r="D357" s="50" t="s">
        <v>526</v>
      </c>
      <c r="E357" s="50" t="s">
        <v>518</v>
      </c>
      <c r="F357" s="50" t="s">
        <v>528</v>
      </c>
      <c r="G357" s="50" t="s">
        <v>516</v>
      </c>
      <c r="H357" s="50" t="s">
        <v>544</v>
      </c>
      <c r="I357" s="50" t="s">
        <v>368</v>
      </c>
      <c r="J357" s="50" t="s">
        <v>518</v>
      </c>
      <c r="K357" s="50" t="s">
        <v>518</v>
      </c>
      <c r="L357" s="50" t="s">
        <v>529</v>
      </c>
      <c r="M357" s="50" t="s">
        <v>363</v>
      </c>
      <c r="N357" s="51">
        <v>-111.97</v>
      </c>
    </row>
    <row r="358" spans="1:14" x14ac:dyDescent="0.3">
      <c r="A358" s="50" t="s">
        <v>748</v>
      </c>
      <c r="B358" s="50" t="s">
        <v>748</v>
      </c>
      <c r="C358" s="50" t="s">
        <v>749</v>
      </c>
      <c r="D358" s="50" t="s">
        <v>526</v>
      </c>
      <c r="E358" s="50" t="s">
        <v>518</v>
      </c>
      <c r="F358" s="50" t="s">
        <v>528</v>
      </c>
      <c r="G358" s="50" t="s">
        <v>391</v>
      </c>
      <c r="H358" s="50" t="s">
        <v>544</v>
      </c>
      <c r="I358" s="50" t="s">
        <v>368</v>
      </c>
      <c r="J358" s="50" t="s">
        <v>518</v>
      </c>
      <c r="K358" s="50" t="s">
        <v>518</v>
      </c>
      <c r="L358" s="50" t="s">
        <v>529</v>
      </c>
      <c r="M358" s="50" t="s">
        <v>363</v>
      </c>
      <c r="N358" s="51">
        <v>23.78</v>
      </c>
    </row>
    <row r="359" spans="1:14" x14ac:dyDescent="0.3">
      <c r="A359" s="50" t="s">
        <v>748</v>
      </c>
      <c r="B359" s="50" t="s">
        <v>748</v>
      </c>
      <c r="C359" s="50" t="s">
        <v>750</v>
      </c>
      <c r="D359" s="50" t="s">
        <v>565</v>
      </c>
      <c r="E359" s="50" t="s">
        <v>518</v>
      </c>
      <c r="F359" s="50" t="s">
        <v>566</v>
      </c>
      <c r="G359" s="50" t="s">
        <v>391</v>
      </c>
      <c r="H359" s="50" t="s">
        <v>574</v>
      </c>
      <c r="I359" s="50" t="s">
        <v>392</v>
      </c>
      <c r="J359" s="50" t="s">
        <v>518</v>
      </c>
      <c r="K359" s="50" t="s">
        <v>518</v>
      </c>
      <c r="L359" s="50" t="s">
        <v>568</v>
      </c>
      <c r="M359" s="50" t="s">
        <v>401</v>
      </c>
      <c r="N359" s="51">
        <v>5.08</v>
      </c>
    </row>
    <row r="360" spans="1:14" x14ac:dyDescent="0.3">
      <c r="A360" s="50" t="s">
        <v>748</v>
      </c>
      <c r="B360" s="50" t="s">
        <v>748</v>
      </c>
      <c r="C360" s="50" t="s">
        <v>750</v>
      </c>
      <c r="D360" s="50" t="s">
        <v>565</v>
      </c>
      <c r="E360" s="50" t="s">
        <v>518</v>
      </c>
      <c r="F360" s="50" t="s">
        <v>566</v>
      </c>
      <c r="G360" s="50" t="s">
        <v>391</v>
      </c>
      <c r="H360" s="50" t="s">
        <v>568</v>
      </c>
      <c r="I360" s="50" t="s">
        <v>401</v>
      </c>
      <c r="J360" s="50" t="s">
        <v>518</v>
      </c>
      <c r="K360" s="50" t="s">
        <v>518</v>
      </c>
      <c r="L360" s="50" t="s">
        <v>574</v>
      </c>
      <c r="M360" s="50" t="s">
        <v>392</v>
      </c>
      <c r="N360" s="51">
        <v>-5.08</v>
      </c>
    </row>
    <row r="361" spans="1:14" x14ac:dyDescent="0.3">
      <c r="A361" s="50" t="s">
        <v>751</v>
      </c>
      <c r="B361" s="50" t="s">
        <v>751</v>
      </c>
      <c r="C361" s="50" t="s">
        <v>752</v>
      </c>
      <c r="D361" s="50" t="s">
        <v>526</v>
      </c>
      <c r="E361" s="50" t="s">
        <v>557</v>
      </c>
      <c r="F361" s="50" t="s">
        <v>528</v>
      </c>
      <c r="G361" s="50" t="s">
        <v>516</v>
      </c>
      <c r="H361" s="50" t="s">
        <v>558</v>
      </c>
      <c r="I361" s="50" t="s">
        <v>386</v>
      </c>
      <c r="J361" s="50" t="s">
        <v>518</v>
      </c>
      <c r="K361" s="50" t="s">
        <v>518</v>
      </c>
      <c r="L361" s="50" t="s">
        <v>529</v>
      </c>
      <c r="M361" s="50" t="s">
        <v>363</v>
      </c>
      <c r="N361" s="51">
        <v>-29</v>
      </c>
    </row>
    <row r="362" spans="1:14" x14ac:dyDescent="0.3">
      <c r="A362" s="50" t="s">
        <v>751</v>
      </c>
      <c r="B362" s="50" t="s">
        <v>751</v>
      </c>
      <c r="C362" s="50" t="s">
        <v>752</v>
      </c>
      <c r="D362" s="50" t="s">
        <v>526</v>
      </c>
      <c r="E362" s="50" t="s">
        <v>531</v>
      </c>
      <c r="F362" s="50" t="s">
        <v>528</v>
      </c>
      <c r="G362" s="50" t="s">
        <v>516</v>
      </c>
      <c r="H362" s="50" t="s">
        <v>532</v>
      </c>
      <c r="I362" s="50" t="s">
        <v>381</v>
      </c>
      <c r="J362" s="50" t="s">
        <v>518</v>
      </c>
      <c r="K362" s="50" t="s">
        <v>518</v>
      </c>
      <c r="L362" s="50" t="s">
        <v>529</v>
      </c>
      <c r="M362" s="50" t="s">
        <v>363</v>
      </c>
      <c r="N362" s="51">
        <v>-10</v>
      </c>
    </row>
    <row r="363" spans="1:14" x14ac:dyDescent="0.3">
      <c r="A363" s="50" t="s">
        <v>751</v>
      </c>
      <c r="B363" s="50" t="s">
        <v>751</v>
      </c>
      <c r="C363" s="50" t="s">
        <v>752</v>
      </c>
      <c r="D363" s="50" t="s">
        <v>526</v>
      </c>
      <c r="E363" s="50" t="s">
        <v>534</v>
      </c>
      <c r="F363" s="50" t="s">
        <v>528</v>
      </c>
      <c r="G363" s="50" t="s">
        <v>516</v>
      </c>
      <c r="H363" s="50" t="s">
        <v>535</v>
      </c>
      <c r="I363" s="50" t="s">
        <v>371</v>
      </c>
      <c r="J363" s="50" t="s">
        <v>518</v>
      </c>
      <c r="K363" s="50" t="s">
        <v>518</v>
      </c>
      <c r="L363" s="50" t="s">
        <v>529</v>
      </c>
      <c r="M363" s="50" t="s">
        <v>363</v>
      </c>
      <c r="N363" s="51">
        <v>-800.51</v>
      </c>
    </row>
    <row r="364" spans="1:14" x14ac:dyDescent="0.3">
      <c r="A364" s="50" t="s">
        <v>751</v>
      </c>
      <c r="B364" s="50" t="s">
        <v>751</v>
      </c>
      <c r="C364" s="50" t="s">
        <v>752</v>
      </c>
      <c r="D364" s="50" t="s">
        <v>526</v>
      </c>
      <c r="E364" s="50" t="s">
        <v>585</v>
      </c>
      <c r="F364" s="50" t="s">
        <v>528</v>
      </c>
      <c r="G364" s="50" t="s">
        <v>516</v>
      </c>
      <c r="H364" s="50" t="s">
        <v>586</v>
      </c>
      <c r="I364" s="50" t="s">
        <v>365</v>
      </c>
      <c r="J364" s="50" t="s">
        <v>518</v>
      </c>
      <c r="K364" s="50" t="s">
        <v>518</v>
      </c>
      <c r="L364" s="50" t="s">
        <v>529</v>
      </c>
      <c r="M364" s="50" t="s">
        <v>363</v>
      </c>
      <c r="N364" s="51">
        <v>-245</v>
      </c>
    </row>
    <row r="365" spans="1:14" x14ac:dyDescent="0.3">
      <c r="A365" s="50" t="s">
        <v>751</v>
      </c>
      <c r="B365" s="50" t="s">
        <v>751</v>
      </c>
      <c r="C365" s="50" t="s">
        <v>752</v>
      </c>
      <c r="D365" s="50" t="s">
        <v>526</v>
      </c>
      <c r="E365" s="50" t="s">
        <v>536</v>
      </c>
      <c r="F365" s="50" t="s">
        <v>528</v>
      </c>
      <c r="G365" s="50" t="s">
        <v>516</v>
      </c>
      <c r="H365" s="50" t="s">
        <v>537</v>
      </c>
      <c r="I365" s="50" t="s">
        <v>385</v>
      </c>
      <c r="J365" s="50" t="s">
        <v>518</v>
      </c>
      <c r="K365" s="50" t="s">
        <v>518</v>
      </c>
      <c r="L365" s="50" t="s">
        <v>529</v>
      </c>
      <c r="M365" s="50" t="s">
        <v>363</v>
      </c>
      <c r="N365" s="51">
        <v>-100.05</v>
      </c>
    </row>
    <row r="366" spans="1:14" x14ac:dyDescent="0.3">
      <c r="A366" s="50" t="s">
        <v>751</v>
      </c>
      <c r="B366" s="50" t="s">
        <v>751</v>
      </c>
      <c r="C366" s="50" t="s">
        <v>752</v>
      </c>
      <c r="D366" s="50" t="s">
        <v>526</v>
      </c>
      <c r="E366" s="50" t="s">
        <v>539</v>
      </c>
      <c r="F366" s="50" t="s">
        <v>528</v>
      </c>
      <c r="G366" s="50" t="s">
        <v>516</v>
      </c>
      <c r="H366" s="50" t="s">
        <v>529</v>
      </c>
      <c r="I366" s="50" t="s">
        <v>363</v>
      </c>
      <c r="J366" s="50" t="s">
        <v>518</v>
      </c>
      <c r="K366" s="50" t="s">
        <v>518</v>
      </c>
      <c r="L366" s="50" t="s">
        <v>535</v>
      </c>
      <c r="M366" s="50" t="s">
        <v>371</v>
      </c>
      <c r="N366" s="51">
        <v>310.55</v>
      </c>
    </row>
    <row r="367" spans="1:14" x14ac:dyDescent="0.3">
      <c r="A367" s="50" t="s">
        <v>751</v>
      </c>
      <c r="B367" s="50" t="s">
        <v>751</v>
      </c>
      <c r="C367" s="50" t="s">
        <v>752</v>
      </c>
      <c r="D367" s="50" t="s">
        <v>526</v>
      </c>
      <c r="E367" s="50" t="s">
        <v>420</v>
      </c>
      <c r="F367" s="50" t="s">
        <v>528</v>
      </c>
      <c r="G367" s="50" t="s">
        <v>391</v>
      </c>
      <c r="H367" s="50" t="s">
        <v>561</v>
      </c>
      <c r="I367" s="50" t="s">
        <v>269</v>
      </c>
      <c r="J367" s="50" t="s">
        <v>518</v>
      </c>
      <c r="K367" s="50" t="s">
        <v>518</v>
      </c>
      <c r="L367" s="50" t="s">
        <v>529</v>
      </c>
      <c r="M367" s="50" t="s">
        <v>363</v>
      </c>
      <c r="N367" s="51">
        <v>-21.99</v>
      </c>
    </row>
    <row r="368" spans="1:14" x14ac:dyDescent="0.3">
      <c r="A368" s="50" t="s">
        <v>751</v>
      </c>
      <c r="B368" s="50" t="s">
        <v>751</v>
      </c>
      <c r="C368" s="50" t="s">
        <v>752</v>
      </c>
      <c r="D368" s="50" t="s">
        <v>526</v>
      </c>
      <c r="E368" s="50" t="s">
        <v>540</v>
      </c>
      <c r="F368" s="50" t="s">
        <v>528</v>
      </c>
      <c r="G368" s="50" t="s">
        <v>516</v>
      </c>
      <c r="H368" s="50" t="s">
        <v>533</v>
      </c>
      <c r="I368" s="50" t="s">
        <v>364</v>
      </c>
      <c r="J368" s="50" t="s">
        <v>518</v>
      </c>
      <c r="K368" s="50" t="s">
        <v>518</v>
      </c>
      <c r="L368" s="50" t="s">
        <v>529</v>
      </c>
      <c r="M368" s="50" t="s">
        <v>363</v>
      </c>
      <c r="N368" s="51">
        <v>-35.770000000000003</v>
      </c>
    </row>
    <row r="369" spans="1:14" x14ac:dyDescent="0.3">
      <c r="A369" s="50" t="s">
        <v>751</v>
      </c>
      <c r="B369" s="50" t="s">
        <v>751</v>
      </c>
      <c r="C369" s="50" t="s">
        <v>752</v>
      </c>
      <c r="D369" s="50" t="s">
        <v>526</v>
      </c>
      <c r="E369" s="50" t="s">
        <v>540</v>
      </c>
      <c r="F369" s="50" t="s">
        <v>528</v>
      </c>
      <c r="G369" s="50" t="s">
        <v>516</v>
      </c>
      <c r="H369" s="50" t="s">
        <v>530</v>
      </c>
      <c r="I369" s="50" t="s">
        <v>382</v>
      </c>
      <c r="J369" s="50" t="s">
        <v>518</v>
      </c>
      <c r="K369" s="50" t="s">
        <v>518</v>
      </c>
      <c r="L369" s="50" t="s">
        <v>535</v>
      </c>
      <c r="M369" s="50" t="s">
        <v>371</v>
      </c>
      <c r="N369" s="51">
        <v>35.770000000000003</v>
      </c>
    </row>
    <row r="370" spans="1:14" x14ac:dyDescent="0.3">
      <c r="A370" s="50" t="s">
        <v>751</v>
      </c>
      <c r="B370" s="50" t="s">
        <v>751</v>
      </c>
      <c r="C370" s="50" t="s">
        <v>752</v>
      </c>
      <c r="D370" s="50" t="s">
        <v>526</v>
      </c>
      <c r="E370" s="50" t="s">
        <v>541</v>
      </c>
      <c r="F370" s="50" t="s">
        <v>528</v>
      </c>
      <c r="G370" s="50" t="s">
        <v>516</v>
      </c>
      <c r="H370" s="50" t="s">
        <v>542</v>
      </c>
      <c r="I370" s="50" t="s">
        <v>369</v>
      </c>
      <c r="J370" s="50" t="s">
        <v>518</v>
      </c>
      <c r="K370" s="50" t="s">
        <v>518</v>
      </c>
      <c r="L370" s="50" t="s">
        <v>529</v>
      </c>
      <c r="M370" s="50" t="s">
        <v>363</v>
      </c>
      <c r="N370" s="51">
        <v>-129</v>
      </c>
    </row>
    <row r="371" spans="1:14" x14ac:dyDescent="0.3">
      <c r="A371" s="50" t="s">
        <v>751</v>
      </c>
      <c r="B371" s="50" t="s">
        <v>751</v>
      </c>
      <c r="C371" s="50" t="s">
        <v>752</v>
      </c>
      <c r="D371" s="50" t="s">
        <v>526</v>
      </c>
      <c r="E371" s="50" t="s">
        <v>541</v>
      </c>
      <c r="F371" s="50" t="s">
        <v>528</v>
      </c>
      <c r="G371" s="50" t="s">
        <v>516</v>
      </c>
      <c r="H371" s="50" t="s">
        <v>530</v>
      </c>
      <c r="I371" s="50" t="s">
        <v>382</v>
      </c>
      <c r="J371" s="50" t="s">
        <v>518</v>
      </c>
      <c r="K371" s="50" t="s">
        <v>518</v>
      </c>
      <c r="L371" s="50" t="s">
        <v>535</v>
      </c>
      <c r="M371" s="50" t="s">
        <v>371</v>
      </c>
      <c r="N371" s="51">
        <v>129</v>
      </c>
    </row>
    <row r="372" spans="1:14" x14ac:dyDescent="0.3">
      <c r="A372" s="50" t="s">
        <v>751</v>
      </c>
      <c r="B372" s="50" t="s">
        <v>751</v>
      </c>
      <c r="C372" s="50" t="s">
        <v>752</v>
      </c>
      <c r="D372" s="50" t="s">
        <v>526</v>
      </c>
      <c r="E372" s="50" t="s">
        <v>562</v>
      </c>
      <c r="F372" s="50" t="s">
        <v>528</v>
      </c>
      <c r="G372" s="50" t="s">
        <v>391</v>
      </c>
      <c r="H372" s="50" t="s">
        <v>563</v>
      </c>
      <c r="I372" s="50" t="s">
        <v>264</v>
      </c>
      <c r="J372" s="50" t="s">
        <v>518</v>
      </c>
      <c r="K372" s="50" t="s">
        <v>518</v>
      </c>
      <c r="L372" s="50" t="s">
        <v>529</v>
      </c>
      <c r="M372" s="50" t="s">
        <v>363</v>
      </c>
      <c r="N372" s="51">
        <v>-1.79</v>
      </c>
    </row>
    <row r="373" spans="1:14" x14ac:dyDescent="0.3">
      <c r="A373" s="50" t="s">
        <v>751</v>
      </c>
      <c r="B373" s="50" t="s">
        <v>751</v>
      </c>
      <c r="C373" s="50" t="s">
        <v>752</v>
      </c>
      <c r="D373" s="50" t="s">
        <v>526</v>
      </c>
      <c r="E373" s="50" t="s">
        <v>543</v>
      </c>
      <c r="F373" s="50" t="s">
        <v>528</v>
      </c>
      <c r="G373" s="50" t="s">
        <v>516</v>
      </c>
      <c r="H373" s="50" t="s">
        <v>529</v>
      </c>
      <c r="I373" s="50" t="s">
        <v>363</v>
      </c>
      <c r="J373" s="50" t="s">
        <v>518</v>
      </c>
      <c r="K373" s="50" t="s">
        <v>518</v>
      </c>
      <c r="L373" s="50" t="s">
        <v>535</v>
      </c>
      <c r="M373" s="50" t="s">
        <v>371</v>
      </c>
      <c r="N373" s="51">
        <v>957.79</v>
      </c>
    </row>
    <row r="374" spans="1:14" x14ac:dyDescent="0.3">
      <c r="A374" s="50" t="s">
        <v>751</v>
      </c>
      <c r="B374" s="50" t="s">
        <v>751</v>
      </c>
      <c r="C374" s="50" t="s">
        <v>752</v>
      </c>
      <c r="D374" s="50" t="s">
        <v>526</v>
      </c>
      <c r="E374" s="50" t="s">
        <v>518</v>
      </c>
      <c r="F374" s="50" t="s">
        <v>528</v>
      </c>
      <c r="G374" s="50" t="s">
        <v>516</v>
      </c>
      <c r="H374" s="50" t="s">
        <v>544</v>
      </c>
      <c r="I374" s="50" t="s">
        <v>368</v>
      </c>
      <c r="J374" s="50" t="s">
        <v>518</v>
      </c>
      <c r="K374" s="50" t="s">
        <v>518</v>
      </c>
      <c r="L374" s="50" t="s">
        <v>529</v>
      </c>
      <c r="M374" s="50" t="s">
        <v>363</v>
      </c>
      <c r="N374" s="51">
        <v>-83.78</v>
      </c>
    </row>
    <row r="375" spans="1:14" x14ac:dyDescent="0.3">
      <c r="A375" s="50" t="s">
        <v>751</v>
      </c>
      <c r="B375" s="50" t="s">
        <v>751</v>
      </c>
      <c r="C375" s="50" t="s">
        <v>752</v>
      </c>
      <c r="D375" s="50" t="s">
        <v>526</v>
      </c>
      <c r="E375" s="50" t="s">
        <v>518</v>
      </c>
      <c r="F375" s="50" t="s">
        <v>528</v>
      </c>
      <c r="G375" s="50" t="s">
        <v>391</v>
      </c>
      <c r="H375" s="50" t="s">
        <v>544</v>
      </c>
      <c r="I375" s="50" t="s">
        <v>368</v>
      </c>
      <c r="J375" s="50" t="s">
        <v>518</v>
      </c>
      <c r="K375" s="50" t="s">
        <v>518</v>
      </c>
      <c r="L375" s="50" t="s">
        <v>529</v>
      </c>
      <c r="M375" s="50" t="s">
        <v>363</v>
      </c>
      <c r="N375" s="51">
        <v>23.78</v>
      </c>
    </row>
    <row r="376" spans="1:14" x14ac:dyDescent="0.3">
      <c r="A376" s="50" t="s">
        <v>751</v>
      </c>
      <c r="B376" s="50" t="s">
        <v>751</v>
      </c>
      <c r="C376" s="50" t="s">
        <v>753</v>
      </c>
      <c r="D376" s="50" t="s">
        <v>565</v>
      </c>
      <c r="E376" s="50" t="s">
        <v>518</v>
      </c>
      <c r="F376" s="50" t="s">
        <v>566</v>
      </c>
      <c r="G376" s="50" t="s">
        <v>391</v>
      </c>
      <c r="H376" s="50" t="s">
        <v>567</v>
      </c>
      <c r="I376" s="50" t="s">
        <v>395</v>
      </c>
      <c r="J376" s="50" t="s">
        <v>518</v>
      </c>
      <c r="K376" s="50" t="s">
        <v>518</v>
      </c>
      <c r="L376" s="50" t="s">
        <v>568</v>
      </c>
      <c r="M376" s="50" t="s">
        <v>401</v>
      </c>
      <c r="N376" s="51">
        <v>5.08</v>
      </c>
    </row>
    <row r="377" spans="1:14" x14ac:dyDescent="0.3">
      <c r="A377" s="50" t="s">
        <v>751</v>
      </c>
      <c r="B377" s="50" t="s">
        <v>751</v>
      </c>
      <c r="C377" s="50" t="s">
        <v>753</v>
      </c>
      <c r="D377" s="50" t="s">
        <v>565</v>
      </c>
      <c r="E377" s="50" t="s">
        <v>518</v>
      </c>
      <c r="F377" s="50" t="s">
        <v>566</v>
      </c>
      <c r="G377" s="50" t="s">
        <v>391</v>
      </c>
      <c r="H377" s="50" t="s">
        <v>568</v>
      </c>
      <c r="I377" s="50" t="s">
        <v>401</v>
      </c>
      <c r="J377" s="50" t="s">
        <v>518</v>
      </c>
      <c r="K377" s="50" t="s">
        <v>518</v>
      </c>
      <c r="L377" s="50" t="s">
        <v>567</v>
      </c>
      <c r="M377" s="50" t="s">
        <v>395</v>
      </c>
      <c r="N377" s="51">
        <v>-5.08</v>
      </c>
    </row>
    <row r="378" spans="1:14" x14ac:dyDescent="0.3">
      <c r="A378" s="50" t="s">
        <v>751</v>
      </c>
      <c r="B378" s="50" t="s">
        <v>751</v>
      </c>
      <c r="C378" s="50" t="s">
        <v>754</v>
      </c>
      <c r="D378" s="50" t="s">
        <v>565</v>
      </c>
      <c r="E378" s="50" t="s">
        <v>518</v>
      </c>
      <c r="F378" s="50" t="s">
        <v>566</v>
      </c>
      <c r="G378" s="50" t="s">
        <v>391</v>
      </c>
      <c r="H378" s="50" t="s">
        <v>574</v>
      </c>
      <c r="I378" s="50" t="s">
        <v>392</v>
      </c>
      <c r="J378" s="50" t="s">
        <v>518</v>
      </c>
      <c r="K378" s="50" t="s">
        <v>518</v>
      </c>
      <c r="L378" s="50" t="s">
        <v>568</v>
      </c>
      <c r="M378" s="50" t="s">
        <v>401</v>
      </c>
      <c r="N378" s="51">
        <v>5.08</v>
      </c>
    </row>
    <row r="379" spans="1:14" x14ac:dyDescent="0.3">
      <c r="A379" s="50" t="s">
        <v>751</v>
      </c>
      <c r="B379" s="50" t="s">
        <v>751</v>
      </c>
      <c r="C379" s="50" t="s">
        <v>754</v>
      </c>
      <c r="D379" s="50" t="s">
        <v>565</v>
      </c>
      <c r="E379" s="50" t="s">
        <v>518</v>
      </c>
      <c r="F379" s="50" t="s">
        <v>566</v>
      </c>
      <c r="G379" s="50" t="s">
        <v>391</v>
      </c>
      <c r="H379" s="50" t="s">
        <v>568</v>
      </c>
      <c r="I379" s="50" t="s">
        <v>401</v>
      </c>
      <c r="J379" s="50" t="s">
        <v>518</v>
      </c>
      <c r="K379" s="50" t="s">
        <v>518</v>
      </c>
      <c r="L379" s="50" t="s">
        <v>574</v>
      </c>
      <c r="M379" s="50" t="s">
        <v>392</v>
      </c>
      <c r="N379" s="51">
        <v>-5.08</v>
      </c>
    </row>
    <row r="380" spans="1:14" x14ac:dyDescent="0.3">
      <c r="A380" s="50" t="s">
        <v>755</v>
      </c>
      <c r="B380" s="50" t="s">
        <v>755</v>
      </c>
      <c r="C380" s="50" t="s">
        <v>756</v>
      </c>
      <c r="D380" s="50" t="s">
        <v>526</v>
      </c>
      <c r="E380" s="50" t="s">
        <v>527</v>
      </c>
      <c r="F380" s="50" t="s">
        <v>528</v>
      </c>
      <c r="G380" s="50" t="s">
        <v>516</v>
      </c>
      <c r="H380" s="50" t="s">
        <v>529</v>
      </c>
      <c r="I380" s="50" t="s">
        <v>363</v>
      </c>
      <c r="J380" s="50" t="s">
        <v>518</v>
      </c>
      <c r="K380" s="50" t="s">
        <v>518</v>
      </c>
      <c r="L380" s="50" t="s">
        <v>535</v>
      </c>
      <c r="M380" s="50" t="s">
        <v>371</v>
      </c>
      <c r="N380" s="51">
        <v>1594.65</v>
      </c>
    </row>
    <row r="381" spans="1:14" x14ac:dyDescent="0.3">
      <c r="A381" s="50" t="s">
        <v>755</v>
      </c>
      <c r="B381" s="50" t="s">
        <v>755</v>
      </c>
      <c r="C381" s="50" t="s">
        <v>756</v>
      </c>
      <c r="D381" s="50" t="s">
        <v>526</v>
      </c>
      <c r="E381" s="50" t="s">
        <v>557</v>
      </c>
      <c r="F381" s="50" t="s">
        <v>528</v>
      </c>
      <c r="G381" s="50" t="s">
        <v>516</v>
      </c>
      <c r="H381" s="50" t="s">
        <v>558</v>
      </c>
      <c r="I381" s="50" t="s">
        <v>386</v>
      </c>
      <c r="J381" s="50" t="s">
        <v>518</v>
      </c>
      <c r="K381" s="50" t="s">
        <v>518</v>
      </c>
      <c r="L381" s="50" t="s">
        <v>529</v>
      </c>
      <c r="M381" s="50" t="s">
        <v>363</v>
      </c>
      <c r="N381" s="51">
        <v>-58</v>
      </c>
    </row>
    <row r="382" spans="1:14" x14ac:dyDescent="0.3">
      <c r="A382" s="50" t="s">
        <v>755</v>
      </c>
      <c r="B382" s="50" t="s">
        <v>755</v>
      </c>
      <c r="C382" s="50" t="s">
        <v>756</v>
      </c>
      <c r="D382" s="50" t="s">
        <v>526</v>
      </c>
      <c r="E382" s="50" t="s">
        <v>534</v>
      </c>
      <c r="F382" s="50" t="s">
        <v>528</v>
      </c>
      <c r="G382" s="50" t="s">
        <v>516</v>
      </c>
      <c r="H382" s="50" t="s">
        <v>535</v>
      </c>
      <c r="I382" s="50" t="s">
        <v>371</v>
      </c>
      <c r="J382" s="50" t="s">
        <v>518</v>
      </c>
      <c r="K382" s="50" t="s">
        <v>518</v>
      </c>
      <c r="L382" s="50" t="s">
        <v>529</v>
      </c>
      <c r="M382" s="50" t="s">
        <v>363</v>
      </c>
      <c r="N382" s="51">
        <v>-1266</v>
      </c>
    </row>
    <row r="383" spans="1:14" x14ac:dyDescent="0.3">
      <c r="A383" s="50" t="s">
        <v>755</v>
      </c>
      <c r="B383" s="50" t="s">
        <v>755</v>
      </c>
      <c r="C383" s="50" t="s">
        <v>756</v>
      </c>
      <c r="D383" s="50" t="s">
        <v>526</v>
      </c>
      <c r="E383" s="50" t="s">
        <v>536</v>
      </c>
      <c r="F383" s="50" t="s">
        <v>528</v>
      </c>
      <c r="G383" s="50" t="s">
        <v>516</v>
      </c>
      <c r="H383" s="50" t="s">
        <v>537</v>
      </c>
      <c r="I383" s="50" t="s">
        <v>385</v>
      </c>
      <c r="J383" s="50" t="s">
        <v>518</v>
      </c>
      <c r="K383" s="50" t="s">
        <v>518</v>
      </c>
      <c r="L383" s="50" t="s">
        <v>529</v>
      </c>
      <c r="M383" s="50" t="s">
        <v>363</v>
      </c>
      <c r="N383" s="51">
        <v>-225.6</v>
      </c>
    </row>
    <row r="384" spans="1:14" x14ac:dyDescent="0.3">
      <c r="A384" s="50" t="s">
        <v>755</v>
      </c>
      <c r="B384" s="50" t="s">
        <v>755</v>
      </c>
      <c r="C384" s="50" t="s">
        <v>756</v>
      </c>
      <c r="D384" s="50" t="s">
        <v>526</v>
      </c>
      <c r="E384" s="50" t="s">
        <v>383</v>
      </c>
      <c r="F384" s="50" t="s">
        <v>528</v>
      </c>
      <c r="G384" s="50" t="s">
        <v>516</v>
      </c>
      <c r="H384" s="50" t="s">
        <v>538</v>
      </c>
      <c r="I384" s="50" t="s">
        <v>383</v>
      </c>
      <c r="J384" s="50" t="s">
        <v>518</v>
      </c>
      <c r="K384" s="50" t="s">
        <v>518</v>
      </c>
      <c r="L384" s="50" t="s">
        <v>529</v>
      </c>
      <c r="M384" s="50" t="s">
        <v>363</v>
      </c>
      <c r="N384" s="51">
        <v>-126</v>
      </c>
    </row>
    <row r="385" spans="1:14" x14ac:dyDescent="0.3">
      <c r="A385" s="50" t="s">
        <v>755</v>
      </c>
      <c r="B385" s="50" t="s">
        <v>755</v>
      </c>
      <c r="C385" s="50" t="s">
        <v>756</v>
      </c>
      <c r="D385" s="50" t="s">
        <v>526</v>
      </c>
      <c r="E385" s="50" t="s">
        <v>420</v>
      </c>
      <c r="F385" s="50" t="s">
        <v>528</v>
      </c>
      <c r="G385" s="50" t="s">
        <v>391</v>
      </c>
      <c r="H385" s="50" t="s">
        <v>561</v>
      </c>
      <c r="I385" s="50" t="s">
        <v>269</v>
      </c>
      <c r="J385" s="50" t="s">
        <v>518</v>
      </c>
      <c r="K385" s="50" t="s">
        <v>518</v>
      </c>
      <c r="L385" s="50" t="s">
        <v>529</v>
      </c>
      <c r="M385" s="50" t="s">
        <v>363</v>
      </c>
      <c r="N385" s="51">
        <v>-63.97</v>
      </c>
    </row>
    <row r="386" spans="1:14" x14ac:dyDescent="0.3">
      <c r="A386" s="50" t="s">
        <v>755</v>
      </c>
      <c r="B386" s="50" t="s">
        <v>755</v>
      </c>
      <c r="C386" s="50" t="s">
        <v>756</v>
      </c>
      <c r="D386" s="50" t="s">
        <v>526</v>
      </c>
      <c r="E386" s="50" t="s">
        <v>709</v>
      </c>
      <c r="F386" s="50" t="s">
        <v>528</v>
      </c>
      <c r="G386" s="50" t="s">
        <v>516</v>
      </c>
      <c r="H386" s="50" t="s">
        <v>710</v>
      </c>
      <c r="I386" s="50" t="s">
        <v>373</v>
      </c>
      <c r="J386" s="50" t="s">
        <v>518</v>
      </c>
      <c r="K386" s="50" t="s">
        <v>518</v>
      </c>
      <c r="L386" s="50" t="s">
        <v>529</v>
      </c>
      <c r="M386" s="50" t="s">
        <v>363</v>
      </c>
      <c r="N386" s="51">
        <v>-25</v>
      </c>
    </row>
    <row r="387" spans="1:14" x14ac:dyDescent="0.3">
      <c r="A387" s="50" t="s">
        <v>755</v>
      </c>
      <c r="B387" s="50" t="s">
        <v>755</v>
      </c>
      <c r="C387" s="50" t="s">
        <v>756</v>
      </c>
      <c r="D387" s="50" t="s">
        <v>526</v>
      </c>
      <c r="E387" s="50" t="s">
        <v>540</v>
      </c>
      <c r="F387" s="50" t="s">
        <v>528</v>
      </c>
      <c r="G387" s="50" t="s">
        <v>516</v>
      </c>
      <c r="H387" s="50" t="s">
        <v>533</v>
      </c>
      <c r="I387" s="50" t="s">
        <v>364</v>
      </c>
      <c r="J387" s="50" t="s">
        <v>518</v>
      </c>
      <c r="K387" s="50" t="s">
        <v>518</v>
      </c>
      <c r="L387" s="50" t="s">
        <v>529</v>
      </c>
      <c r="M387" s="50" t="s">
        <v>363</v>
      </c>
      <c r="N387" s="51">
        <v>-1264</v>
      </c>
    </row>
    <row r="388" spans="1:14" x14ac:dyDescent="0.3">
      <c r="A388" s="50" t="s">
        <v>755</v>
      </c>
      <c r="B388" s="50" t="s">
        <v>755</v>
      </c>
      <c r="C388" s="50" t="s">
        <v>756</v>
      </c>
      <c r="D388" s="50" t="s">
        <v>526</v>
      </c>
      <c r="E388" s="50" t="s">
        <v>540</v>
      </c>
      <c r="F388" s="50" t="s">
        <v>528</v>
      </c>
      <c r="G388" s="50" t="s">
        <v>516</v>
      </c>
      <c r="H388" s="50" t="s">
        <v>530</v>
      </c>
      <c r="I388" s="50" t="s">
        <v>382</v>
      </c>
      <c r="J388" s="50" t="s">
        <v>518</v>
      </c>
      <c r="K388" s="50" t="s">
        <v>518</v>
      </c>
      <c r="L388" s="50" t="s">
        <v>535</v>
      </c>
      <c r="M388" s="50" t="s">
        <v>371</v>
      </c>
      <c r="N388" s="51">
        <v>1264</v>
      </c>
    </row>
    <row r="389" spans="1:14" x14ac:dyDescent="0.3">
      <c r="A389" s="50" t="s">
        <v>755</v>
      </c>
      <c r="B389" s="50" t="s">
        <v>755</v>
      </c>
      <c r="C389" s="50" t="s">
        <v>756</v>
      </c>
      <c r="D389" s="50" t="s">
        <v>526</v>
      </c>
      <c r="E389" s="50" t="s">
        <v>669</v>
      </c>
      <c r="F389" s="50" t="s">
        <v>528</v>
      </c>
      <c r="G389" s="50" t="s">
        <v>516</v>
      </c>
      <c r="H389" s="50" t="s">
        <v>670</v>
      </c>
      <c r="I389" s="50" t="s">
        <v>375</v>
      </c>
      <c r="J389" s="50" t="s">
        <v>518</v>
      </c>
      <c r="K389" s="50" t="s">
        <v>518</v>
      </c>
      <c r="L389" s="50" t="s">
        <v>529</v>
      </c>
      <c r="M389" s="50" t="s">
        <v>363</v>
      </c>
      <c r="N389" s="51">
        <v>-86.44</v>
      </c>
    </row>
    <row r="390" spans="1:14" x14ac:dyDescent="0.3">
      <c r="A390" s="50" t="s">
        <v>755</v>
      </c>
      <c r="B390" s="50" t="s">
        <v>755</v>
      </c>
      <c r="C390" s="50" t="s">
        <v>756</v>
      </c>
      <c r="D390" s="50" t="s">
        <v>526</v>
      </c>
      <c r="E390" s="50" t="s">
        <v>562</v>
      </c>
      <c r="F390" s="50" t="s">
        <v>528</v>
      </c>
      <c r="G390" s="50" t="s">
        <v>391</v>
      </c>
      <c r="H390" s="50" t="s">
        <v>563</v>
      </c>
      <c r="I390" s="50" t="s">
        <v>264</v>
      </c>
      <c r="J390" s="50" t="s">
        <v>518</v>
      </c>
      <c r="K390" s="50" t="s">
        <v>518</v>
      </c>
      <c r="L390" s="50" t="s">
        <v>529</v>
      </c>
      <c r="M390" s="50" t="s">
        <v>363</v>
      </c>
      <c r="N390" s="51">
        <v>-5.2</v>
      </c>
    </row>
    <row r="391" spans="1:14" x14ac:dyDescent="0.3">
      <c r="A391" s="50" t="s">
        <v>755</v>
      </c>
      <c r="B391" s="50" t="s">
        <v>755</v>
      </c>
      <c r="C391" s="50" t="s">
        <v>756</v>
      </c>
      <c r="D391" s="50" t="s">
        <v>526</v>
      </c>
      <c r="E391" s="50" t="s">
        <v>543</v>
      </c>
      <c r="F391" s="50" t="s">
        <v>528</v>
      </c>
      <c r="G391" s="50" t="s">
        <v>516</v>
      </c>
      <c r="H391" s="50" t="s">
        <v>529</v>
      </c>
      <c r="I391" s="50" t="s">
        <v>363</v>
      </c>
      <c r="J391" s="50" t="s">
        <v>518</v>
      </c>
      <c r="K391" s="50" t="s">
        <v>518</v>
      </c>
      <c r="L391" s="50" t="s">
        <v>535</v>
      </c>
      <c r="M391" s="50" t="s">
        <v>371</v>
      </c>
      <c r="N391" s="51">
        <v>366.56</v>
      </c>
    </row>
    <row r="392" spans="1:14" x14ac:dyDescent="0.3">
      <c r="A392" s="50" t="s">
        <v>755</v>
      </c>
      <c r="B392" s="50" t="s">
        <v>755</v>
      </c>
      <c r="C392" s="50" t="s">
        <v>756</v>
      </c>
      <c r="D392" s="50" t="s">
        <v>526</v>
      </c>
      <c r="E392" s="50" t="s">
        <v>518</v>
      </c>
      <c r="F392" s="50" t="s">
        <v>528</v>
      </c>
      <c r="G392" s="50" t="s">
        <v>516</v>
      </c>
      <c r="H392" s="50" t="s">
        <v>544</v>
      </c>
      <c r="I392" s="50" t="s">
        <v>368</v>
      </c>
      <c r="J392" s="50" t="s">
        <v>518</v>
      </c>
      <c r="K392" s="50" t="s">
        <v>518</v>
      </c>
      <c r="L392" s="50" t="s">
        <v>529</v>
      </c>
      <c r="M392" s="50" t="s">
        <v>363</v>
      </c>
      <c r="N392" s="51">
        <v>-174.17</v>
      </c>
    </row>
    <row r="393" spans="1:14" x14ac:dyDescent="0.3">
      <c r="A393" s="50" t="s">
        <v>755</v>
      </c>
      <c r="B393" s="50" t="s">
        <v>755</v>
      </c>
      <c r="C393" s="50" t="s">
        <v>756</v>
      </c>
      <c r="D393" s="50" t="s">
        <v>526</v>
      </c>
      <c r="E393" s="50" t="s">
        <v>518</v>
      </c>
      <c r="F393" s="50" t="s">
        <v>528</v>
      </c>
      <c r="G393" s="50" t="s">
        <v>391</v>
      </c>
      <c r="H393" s="50" t="s">
        <v>544</v>
      </c>
      <c r="I393" s="50" t="s">
        <v>368</v>
      </c>
      <c r="J393" s="50" t="s">
        <v>518</v>
      </c>
      <c r="K393" s="50" t="s">
        <v>518</v>
      </c>
      <c r="L393" s="50" t="s">
        <v>529</v>
      </c>
      <c r="M393" s="50" t="s">
        <v>363</v>
      </c>
      <c r="N393" s="51">
        <v>69.17</v>
      </c>
    </row>
    <row r="394" spans="1:14" x14ac:dyDescent="0.3">
      <c r="A394" s="50" t="s">
        <v>755</v>
      </c>
      <c r="B394" s="50" t="s">
        <v>755</v>
      </c>
      <c r="C394" s="50" t="s">
        <v>757</v>
      </c>
      <c r="D394" s="50" t="s">
        <v>565</v>
      </c>
      <c r="E394" s="50" t="s">
        <v>518</v>
      </c>
      <c r="F394" s="50" t="s">
        <v>566</v>
      </c>
      <c r="G394" s="50" t="s">
        <v>391</v>
      </c>
      <c r="H394" s="50" t="s">
        <v>574</v>
      </c>
      <c r="I394" s="50" t="s">
        <v>392</v>
      </c>
      <c r="J394" s="50" t="s">
        <v>518</v>
      </c>
      <c r="K394" s="50" t="s">
        <v>518</v>
      </c>
      <c r="L394" s="50" t="s">
        <v>568</v>
      </c>
      <c r="M394" s="50" t="s">
        <v>401</v>
      </c>
      <c r="N394" s="51">
        <v>5.08</v>
      </c>
    </row>
    <row r="395" spans="1:14" x14ac:dyDescent="0.3">
      <c r="A395" s="50" t="s">
        <v>755</v>
      </c>
      <c r="B395" s="50" t="s">
        <v>755</v>
      </c>
      <c r="C395" s="50" t="s">
        <v>757</v>
      </c>
      <c r="D395" s="50" t="s">
        <v>565</v>
      </c>
      <c r="E395" s="50" t="s">
        <v>518</v>
      </c>
      <c r="F395" s="50" t="s">
        <v>566</v>
      </c>
      <c r="G395" s="50" t="s">
        <v>391</v>
      </c>
      <c r="H395" s="50" t="s">
        <v>568</v>
      </c>
      <c r="I395" s="50" t="s">
        <v>401</v>
      </c>
      <c r="J395" s="50" t="s">
        <v>518</v>
      </c>
      <c r="K395" s="50" t="s">
        <v>518</v>
      </c>
      <c r="L395" s="50" t="s">
        <v>574</v>
      </c>
      <c r="M395" s="50" t="s">
        <v>392</v>
      </c>
      <c r="N395" s="51">
        <v>-5.08</v>
      </c>
    </row>
    <row r="396" spans="1:14" x14ac:dyDescent="0.3">
      <c r="A396" s="50" t="s">
        <v>755</v>
      </c>
      <c r="B396" s="50" t="s">
        <v>755</v>
      </c>
      <c r="C396" s="50" t="s">
        <v>758</v>
      </c>
      <c r="D396" s="50" t="s">
        <v>565</v>
      </c>
      <c r="E396" s="50" t="s">
        <v>518</v>
      </c>
      <c r="F396" s="50" t="s">
        <v>566</v>
      </c>
      <c r="G396" s="50" t="s">
        <v>391</v>
      </c>
      <c r="H396" s="50" t="s">
        <v>574</v>
      </c>
      <c r="I396" s="50" t="s">
        <v>392</v>
      </c>
      <c r="J396" s="50" t="s">
        <v>518</v>
      </c>
      <c r="K396" s="50" t="s">
        <v>518</v>
      </c>
      <c r="L396" s="50" t="s">
        <v>568</v>
      </c>
      <c r="M396" s="50" t="s">
        <v>401</v>
      </c>
      <c r="N396" s="51">
        <v>5.08</v>
      </c>
    </row>
    <row r="397" spans="1:14" x14ac:dyDescent="0.3">
      <c r="A397" s="50" t="s">
        <v>755</v>
      </c>
      <c r="B397" s="50" t="s">
        <v>755</v>
      </c>
      <c r="C397" s="50" t="s">
        <v>758</v>
      </c>
      <c r="D397" s="50" t="s">
        <v>565</v>
      </c>
      <c r="E397" s="50" t="s">
        <v>518</v>
      </c>
      <c r="F397" s="50" t="s">
        <v>566</v>
      </c>
      <c r="G397" s="50" t="s">
        <v>391</v>
      </c>
      <c r="H397" s="50" t="s">
        <v>568</v>
      </c>
      <c r="I397" s="50" t="s">
        <v>401</v>
      </c>
      <c r="J397" s="50" t="s">
        <v>518</v>
      </c>
      <c r="K397" s="50" t="s">
        <v>518</v>
      </c>
      <c r="L397" s="50" t="s">
        <v>574</v>
      </c>
      <c r="M397" s="50" t="s">
        <v>392</v>
      </c>
      <c r="N397" s="51">
        <v>-5.08</v>
      </c>
    </row>
    <row r="398" spans="1:14" x14ac:dyDescent="0.3">
      <c r="A398" s="50" t="s">
        <v>759</v>
      </c>
      <c r="B398" s="50" t="s">
        <v>759</v>
      </c>
      <c r="C398" s="50" t="s">
        <v>760</v>
      </c>
      <c r="D398" s="50" t="s">
        <v>658</v>
      </c>
      <c r="E398" s="50" t="s">
        <v>761</v>
      </c>
      <c r="F398" s="50" t="s">
        <v>660</v>
      </c>
      <c r="G398" s="50" t="s">
        <v>516</v>
      </c>
      <c r="H398" s="50" t="s">
        <v>762</v>
      </c>
      <c r="I398" s="50" t="s">
        <v>306</v>
      </c>
      <c r="J398" s="50" t="s">
        <v>518</v>
      </c>
      <c r="K398" s="50" t="s">
        <v>518</v>
      </c>
      <c r="L398" s="50" t="s">
        <v>762</v>
      </c>
      <c r="M398" s="50" t="s">
        <v>306</v>
      </c>
      <c r="N398" s="51">
        <v>644.55999999999995</v>
      </c>
    </row>
    <row r="399" spans="1:14" x14ac:dyDescent="0.3">
      <c r="A399" s="50" t="s">
        <v>759</v>
      </c>
      <c r="B399" s="50" t="s">
        <v>759</v>
      </c>
      <c r="C399" s="50" t="s">
        <v>760</v>
      </c>
      <c r="D399" s="50" t="s">
        <v>658</v>
      </c>
      <c r="E399" s="50" t="s">
        <v>518</v>
      </c>
      <c r="F399" s="50" t="s">
        <v>660</v>
      </c>
      <c r="G399" s="50" t="s">
        <v>516</v>
      </c>
      <c r="H399" s="50" t="s">
        <v>544</v>
      </c>
      <c r="I399" s="50" t="s">
        <v>368</v>
      </c>
      <c r="J399" s="50" t="s">
        <v>518</v>
      </c>
      <c r="K399" s="50" t="s">
        <v>518</v>
      </c>
      <c r="L399" s="50" t="s">
        <v>762</v>
      </c>
      <c r="M399" s="50" t="s">
        <v>306</v>
      </c>
      <c r="N399" s="51">
        <v>-644.55999999999995</v>
      </c>
    </row>
    <row r="400" spans="1:14" x14ac:dyDescent="0.3">
      <c r="A400" s="50" t="s">
        <v>759</v>
      </c>
      <c r="B400" s="50" t="s">
        <v>759</v>
      </c>
      <c r="C400" s="50" t="s">
        <v>763</v>
      </c>
      <c r="D400" s="50" t="s">
        <v>526</v>
      </c>
      <c r="E400" s="50" t="s">
        <v>534</v>
      </c>
      <c r="F400" s="50" t="s">
        <v>528</v>
      </c>
      <c r="G400" s="50" t="s">
        <v>516</v>
      </c>
      <c r="H400" s="50" t="s">
        <v>535</v>
      </c>
      <c r="I400" s="50" t="s">
        <v>371</v>
      </c>
      <c r="J400" s="50" t="s">
        <v>518</v>
      </c>
      <c r="K400" s="50" t="s">
        <v>518</v>
      </c>
      <c r="L400" s="50" t="s">
        <v>529</v>
      </c>
      <c r="M400" s="50" t="s">
        <v>363</v>
      </c>
      <c r="N400" s="51">
        <v>-272.22000000000003</v>
      </c>
    </row>
    <row r="401" spans="1:14" x14ac:dyDescent="0.3">
      <c r="A401" s="50" t="s">
        <v>759</v>
      </c>
      <c r="B401" s="50" t="s">
        <v>759</v>
      </c>
      <c r="C401" s="50" t="s">
        <v>763</v>
      </c>
      <c r="D401" s="50" t="s">
        <v>526</v>
      </c>
      <c r="E401" s="50" t="s">
        <v>536</v>
      </c>
      <c r="F401" s="50" t="s">
        <v>528</v>
      </c>
      <c r="G401" s="50" t="s">
        <v>516</v>
      </c>
      <c r="H401" s="50" t="s">
        <v>537</v>
      </c>
      <c r="I401" s="50" t="s">
        <v>385</v>
      </c>
      <c r="J401" s="50" t="s">
        <v>518</v>
      </c>
      <c r="K401" s="50" t="s">
        <v>518</v>
      </c>
      <c r="L401" s="50" t="s">
        <v>529</v>
      </c>
      <c r="M401" s="50" t="s">
        <v>363</v>
      </c>
      <c r="N401" s="51">
        <v>-20</v>
      </c>
    </row>
    <row r="402" spans="1:14" x14ac:dyDescent="0.3">
      <c r="A402" s="50" t="s">
        <v>759</v>
      </c>
      <c r="B402" s="50" t="s">
        <v>759</v>
      </c>
      <c r="C402" s="50" t="s">
        <v>763</v>
      </c>
      <c r="D402" s="50" t="s">
        <v>526</v>
      </c>
      <c r="E402" s="50" t="s">
        <v>383</v>
      </c>
      <c r="F402" s="50" t="s">
        <v>528</v>
      </c>
      <c r="G402" s="50" t="s">
        <v>516</v>
      </c>
      <c r="H402" s="50" t="s">
        <v>538</v>
      </c>
      <c r="I402" s="50" t="s">
        <v>383</v>
      </c>
      <c r="J402" s="50" t="s">
        <v>518</v>
      </c>
      <c r="K402" s="50" t="s">
        <v>518</v>
      </c>
      <c r="L402" s="50" t="s">
        <v>529</v>
      </c>
      <c r="M402" s="50" t="s">
        <v>363</v>
      </c>
      <c r="N402" s="51">
        <v>-50</v>
      </c>
    </row>
    <row r="403" spans="1:14" x14ac:dyDescent="0.3">
      <c r="A403" s="50" t="s">
        <v>759</v>
      </c>
      <c r="B403" s="50" t="s">
        <v>759</v>
      </c>
      <c r="C403" s="50" t="s">
        <v>763</v>
      </c>
      <c r="D403" s="50" t="s">
        <v>526</v>
      </c>
      <c r="E403" s="50" t="s">
        <v>539</v>
      </c>
      <c r="F403" s="50" t="s">
        <v>528</v>
      </c>
      <c r="G403" s="50" t="s">
        <v>516</v>
      </c>
      <c r="H403" s="50" t="s">
        <v>529</v>
      </c>
      <c r="I403" s="50" t="s">
        <v>363</v>
      </c>
      <c r="J403" s="50" t="s">
        <v>518</v>
      </c>
      <c r="K403" s="50" t="s">
        <v>518</v>
      </c>
      <c r="L403" s="50" t="s">
        <v>535</v>
      </c>
      <c r="M403" s="50" t="s">
        <v>371</v>
      </c>
      <c r="N403" s="51">
        <v>192</v>
      </c>
    </row>
    <row r="404" spans="1:14" x14ac:dyDescent="0.3">
      <c r="A404" s="50" t="s">
        <v>759</v>
      </c>
      <c r="B404" s="50" t="s">
        <v>759</v>
      </c>
      <c r="C404" s="50" t="s">
        <v>763</v>
      </c>
      <c r="D404" s="50" t="s">
        <v>526</v>
      </c>
      <c r="E404" s="50" t="s">
        <v>540</v>
      </c>
      <c r="F404" s="50" t="s">
        <v>528</v>
      </c>
      <c r="G404" s="50" t="s">
        <v>516</v>
      </c>
      <c r="H404" s="50" t="s">
        <v>533</v>
      </c>
      <c r="I404" s="50" t="s">
        <v>364</v>
      </c>
      <c r="J404" s="50" t="s">
        <v>518</v>
      </c>
      <c r="K404" s="50" t="s">
        <v>518</v>
      </c>
      <c r="L404" s="50" t="s">
        <v>529</v>
      </c>
      <c r="M404" s="50" t="s">
        <v>363</v>
      </c>
      <c r="N404" s="51">
        <v>-122</v>
      </c>
    </row>
    <row r="405" spans="1:14" x14ac:dyDescent="0.3">
      <c r="A405" s="50" t="s">
        <v>759</v>
      </c>
      <c r="B405" s="50" t="s">
        <v>759</v>
      </c>
      <c r="C405" s="50" t="s">
        <v>763</v>
      </c>
      <c r="D405" s="50" t="s">
        <v>526</v>
      </c>
      <c r="E405" s="50" t="s">
        <v>540</v>
      </c>
      <c r="F405" s="50" t="s">
        <v>528</v>
      </c>
      <c r="G405" s="50" t="s">
        <v>516</v>
      </c>
      <c r="H405" s="50" t="s">
        <v>530</v>
      </c>
      <c r="I405" s="50" t="s">
        <v>382</v>
      </c>
      <c r="J405" s="50" t="s">
        <v>518</v>
      </c>
      <c r="K405" s="50" t="s">
        <v>518</v>
      </c>
      <c r="L405" s="50" t="s">
        <v>535</v>
      </c>
      <c r="M405" s="50" t="s">
        <v>371</v>
      </c>
      <c r="N405" s="51">
        <v>122</v>
      </c>
    </row>
    <row r="406" spans="1:14" x14ac:dyDescent="0.3">
      <c r="A406" s="50" t="s">
        <v>759</v>
      </c>
      <c r="B406" s="50" t="s">
        <v>759</v>
      </c>
      <c r="C406" s="50" t="s">
        <v>763</v>
      </c>
      <c r="D406" s="50" t="s">
        <v>526</v>
      </c>
      <c r="E406" s="50" t="s">
        <v>541</v>
      </c>
      <c r="F406" s="50" t="s">
        <v>528</v>
      </c>
      <c r="G406" s="50" t="s">
        <v>516</v>
      </c>
      <c r="H406" s="50" t="s">
        <v>542</v>
      </c>
      <c r="I406" s="50" t="s">
        <v>369</v>
      </c>
      <c r="J406" s="50" t="s">
        <v>518</v>
      </c>
      <c r="K406" s="50" t="s">
        <v>518</v>
      </c>
      <c r="L406" s="50" t="s">
        <v>529</v>
      </c>
      <c r="M406" s="50" t="s">
        <v>363</v>
      </c>
      <c r="N406" s="51">
        <v>-150.22</v>
      </c>
    </row>
    <row r="407" spans="1:14" x14ac:dyDescent="0.3">
      <c r="A407" s="50" t="s">
        <v>759</v>
      </c>
      <c r="B407" s="50" t="s">
        <v>759</v>
      </c>
      <c r="C407" s="50" t="s">
        <v>763</v>
      </c>
      <c r="D407" s="50" t="s">
        <v>526</v>
      </c>
      <c r="E407" s="50" t="s">
        <v>541</v>
      </c>
      <c r="F407" s="50" t="s">
        <v>528</v>
      </c>
      <c r="G407" s="50" t="s">
        <v>516</v>
      </c>
      <c r="H407" s="50" t="s">
        <v>530</v>
      </c>
      <c r="I407" s="50" t="s">
        <v>382</v>
      </c>
      <c r="J407" s="50" t="s">
        <v>518</v>
      </c>
      <c r="K407" s="50" t="s">
        <v>518</v>
      </c>
      <c r="L407" s="50" t="s">
        <v>535</v>
      </c>
      <c r="M407" s="50" t="s">
        <v>371</v>
      </c>
      <c r="N407" s="51">
        <v>150.22</v>
      </c>
    </row>
    <row r="408" spans="1:14" x14ac:dyDescent="0.3">
      <c r="A408" s="50" t="s">
        <v>759</v>
      </c>
      <c r="B408" s="50" t="s">
        <v>759</v>
      </c>
      <c r="C408" s="50" t="s">
        <v>763</v>
      </c>
      <c r="D408" s="50" t="s">
        <v>526</v>
      </c>
      <c r="E408" s="50" t="s">
        <v>543</v>
      </c>
      <c r="F408" s="50" t="s">
        <v>528</v>
      </c>
      <c r="G408" s="50" t="s">
        <v>516</v>
      </c>
      <c r="H408" s="50" t="s">
        <v>529</v>
      </c>
      <c r="I408" s="50" t="s">
        <v>363</v>
      </c>
      <c r="J408" s="50" t="s">
        <v>518</v>
      </c>
      <c r="K408" s="50" t="s">
        <v>518</v>
      </c>
      <c r="L408" s="50" t="s">
        <v>535</v>
      </c>
      <c r="M408" s="50" t="s">
        <v>371</v>
      </c>
      <c r="N408" s="51">
        <v>165.22</v>
      </c>
    </row>
    <row r="409" spans="1:14" x14ac:dyDescent="0.3">
      <c r="A409" s="50" t="s">
        <v>759</v>
      </c>
      <c r="B409" s="50" t="s">
        <v>759</v>
      </c>
      <c r="C409" s="50" t="s">
        <v>763</v>
      </c>
      <c r="D409" s="50" t="s">
        <v>526</v>
      </c>
      <c r="E409" s="50" t="s">
        <v>518</v>
      </c>
      <c r="F409" s="50" t="s">
        <v>528</v>
      </c>
      <c r="G409" s="50" t="s">
        <v>516</v>
      </c>
      <c r="H409" s="50" t="s">
        <v>544</v>
      </c>
      <c r="I409" s="50" t="s">
        <v>368</v>
      </c>
      <c r="J409" s="50" t="s">
        <v>518</v>
      </c>
      <c r="K409" s="50" t="s">
        <v>518</v>
      </c>
      <c r="L409" s="50" t="s">
        <v>529</v>
      </c>
      <c r="M409" s="50" t="s">
        <v>363</v>
      </c>
      <c r="N409" s="51">
        <v>-15</v>
      </c>
    </row>
    <row r="410" spans="1:14" x14ac:dyDescent="0.3">
      <c r="A410" s="50" t="s">
        <v>693</v>
      </c>
      <c r="B410" s="50" t="s">
        <v>612</v>
      </c>
      <c r="C410" s="50" t="s">
        <v>764</v>
      </c>
      <c r="D410" s="50" t="s">
        <v>658</v>
      </c>
      <c r="E410" s="50" t="s">
        <v>765</v>
      </c>
      <c r="F410" s="50" t="s">
        <v>660</v>
      </c>
      <c r="G410" s="50" t="s">
        <v>516</v>
      </c>
      <c r="H410" s="50" t="s">
        <v>766</v>
      </c>
      <c r="I410" s="50" t="s">
        <v>25</v>
      </c>
      <c r="J410" s="50" t="s">
        <v>518</v>
      </c>
      <c r="K410" s="50" t="s">
        <v>518</v>
      </c>
      <c r="L410" s="50" t="s">
        <v>544</v>
      </c>
      <c r="M410" s="50" t="s">
        <v>368</v>
      </c>
      <c r="N410" s="51">
        <v>273.08999999999997</v>
      </c>
    </row>
    <row r="411" spans="1:14" x14ac:dyDescent="0.3">
      <c r="A411" s="50" t="s">
        <v>693</v>
      </c>
      <c r="B411" s="50" t="s">
        <v>612</v>
      </c>
      <c r="C411" s="50" t="s">
        <v>764</v>
      </c>
      <c r="D411" s="50" t="s">
        <v>658</v>
      </c>
      <c r="E411" s="50" t="s">
        <v>518</v>
      </c>
      <c r="F411" s="50" t="s">
        <v>660</v>
      </c>
      <c r="G411" s="50" t="s">
        <v>516</v>
      </c>
      <c r="H411" s="50" t="s">
        <v>544</v>
      </c>
      <c r="I411" s="50" t="s">
        <v>368</v>
      </c>
      <c r="J411" s="50" t="s">
        <v>518</v>
      </c>
      <c r="K411" s="50" t="s">
        <v>518</v>
      </c>
      <c r="L411" s="50" t="s">
        <v>766</v>
      </c>
      <c r="M411" s="50" t="s">
        <v>25</v>
      </c>
      <c r="N411" s="51">
        <v>-273.08999999999997</v>
      </c>
    </row>
    <row r="412" spans="1:14" x14ac:dyDescent="0.3">
      <c r="A412" s="50" t="s">
        <v>693</v>
      </c>
      <c r="B412" s="50" t="s">
        <v>688</v>
      </c>
      <c r="C412" s="50" t="s">
        <v>767</v>
      </c>
      <c r="D412" s="50" t="s">
        <v>658</v>
      </c>
      <c r="E412" s="50" t="s">
        <v>768</v>
      </c>
      <c r="F412" s="50" t="s">
        <v>660</v>
      </c>
      <c r="G412" s="50" t="s">
        <v>516</v>
      </c>
      <c r="H412" s="50" t="s">
        <v>769</v>
      </c>
      <c r="I412" s="50" t="s">
        <v>324</v>
      </c>
      <c r="J412" s="50" t="s">
        <v>518</v>
      </c>
      <c r="K412" s="50" t="s">
        <v>518</v>
      </c>
      <c r="L412" s="50" t="s">
        <v>544</v>
      </c>
      <c r="M412" s="50" t="s">
        <v>368</v>
      </c>
      <c r="N412" s="51">
        <v>4.3899999999999997</v>
      </c>
    </row>
    <row r="413" spans="1:14" x14ac:dyDescent="0.3">
      <c r="A413" s="50" t="s">
        <v>693</v>
      </c>
      <c r="B413" s="50" t="s">
        <v>688</v>
      </c>
      <c r="C413" s="50" t="s">
        <v>767</v>
      </c>
      <c r="D413" s="50" t="s">
        <v>658</v>
      </c>
      <c r="E413" s="50" t="s">
        <v>518</v>
      </c>
      <c r="F413" s="50" t="s">
        <v>660</v>
      </c>
      <c r="G413" s="50" t="s">
        <v>516</v>
      </c>
      <c r="H413" s="50" t="s">
        <v>544</v>
      </c>
      <c r="I413" s="50" t="s">
        <v>368</v>
      </c>
      <c r="J413" s="50" t="s">
        <v>518</v>
      </c>
      <c r="K413" s="50" t="s">
        <v>518</v>
      </c>
      <c r="L413" s="50" t="s">
        <v>769</v>
      </c>
      <c r="M413" s="50" t="s">
        <v>324</v>
      </c>
      <c r="N413" s="51">
        <v>-4.3899999999999997</v>
      </c>
    </row>
    <row r="414" spans="1:14" x14ac:dyDescent="0.3">
      <c r="A414" s="50" t="s">
        <v>693</v>
      </c>
      <c r="B414" s="50" t="s">
        <v>693</v>
      </c>
      <c r="C414" s="50" t="s">
        <v>770</v>
      </c>
      <c r="D414" s="50" t="s">
        <v>614</v>
      </c>
      <c r="E414" s="50" t="s">
        <v>518</v>
      </c>
      <c r="F414" s="50" t="s">
        <v>615</v>
      </c>
      <c r="G414" s="50" t="s">
        <v>516</v>
      </c>
      <c r="H414" s="50" t="s">
        <v>521</v>
      </c>
      <c r="I414" s="50" t="s">
        <v>367</v>
      </c>
      <c r="J414" s="50" t="s">
        <v>705</v>
      </c>
      <c r="K414" s="50" t="s">
        <v>707</v>
      </c>
      <c r="L414" s="50" t="s">
        <v>544</v>
      </c>
      <c r="M414" s="50" t="s">
        <v>368</v>
      </c>
      <c r="N414" s="51">
        <v>71.88</v>
      </c>
    </row>
    <row r="415" spans="1:14" x14ac:dyDescent="0.3">
      <c r="A415" s="50" t="s">
        <v>693</v>
      </c>
      <c r="B415" s="50" t="s">
        <v>693</v>
      </c>
      <c r="C415" s="50" t="s">
        <v>770</v>
      </c>
      <c r="D415" s="50" t="s">
        <v>614</v>
      </c>
      <c r="E415" s="50" t="s">
        <v>518</v>
      </c>
      <c r="F415" s="50" t="s">
        <v>615</v>
      </c>
      <c r="G415" s="50" t="s">
        <v>516</v>
      </c>
      <c r="H415" s="50" t="s">
        <v>544</v>
      </c>
      <c r="I415" s="50" t="s">
        <v>368</v>
      </c>
      <c r="J415" s="50" t="s">
        <v>518</v>
      </c>
      <c r="K415" s="50" t="s">
        <v>518</v>
      </c>
      <c r="L415" s="50" t="s">
        <v>705</v>
      </c>
      <c r="M415" s="50" t="s">
        <v>706</v>
      </c>
      <c r="N415" s="51">
        <v>-71.88</v>
      </c>
    </row>
    <row r="416" spans="1:14" x14ac:dyDescent="0.3">
      <c r="A416" s="50" t="s">
        <v>693</v>
      </c>
      <c r="B416" s="50" t="s">
        <v>693</v>
      </c>
      <c r="C416" s="50" t="s">
        <v>771</v>
      </c>
      <c r="D416" s="50" t="s">
        <v>526</v>
      </c>
      <c r="E416" s="50" t="s">
        <v>531</v>
      </c>
      <c r="F416" s="50" t="s">
        <v>528</v>
      </c>
      <c r="G416" s="50" t="s">
        <v>516</v>
      </c>
      <c r="H416" s="50" t="s">
        <v>532</v>
      </c>
      <c r="I416" s="50" t="s">
        <v>381</v>
      </c>
      <c r="J416" s="50" t="s">
        <v>518</v>
      </c>
      <c r="K416" s="50" t="s">
        <v>518</v>
      </c>
      <c r="L416" s="50" t="s">
        <v>529</v>
      </c>
      <c r="M416" s="50" t="s">
        <v>363</v>
      </c>
      <c r="N416" s="51">
        <v>-10</v>
      </c>
    </row>
    <row r="417" spans="1:14" x14ac:dyDescent="0.3">
      <c r="A417" s="50" t="s">
        <v>693</v>
      </c>
      <c r="B417" s="50" t="s">
        <v>693</v>
      </c>
      <c r="C417" s="50" t="s">
        <v>771</v>
      </c>
      <c r="D417" s="50" t="s">
        <v>526</v>
      </c>
      <c r="E417" s="50" t="s">
        <v>534</v>
      </c>
      <c r="F417" s="50" t="s">
        <v>528</v>
      </c>
      <c r="G417" s="50" t="s">
        <v>516</v>
      </c>
      <c r="H417" s="50" t="s">
        <v>535</v>
      </c>
      <c r="I417" s="50" t="s">
        <v>371</v>
      </c>
      <c r="J417" s="50" t="s">
        <v>518</v>
      </c>
      <c r="K417" s="50" t="s">
        <v>518</v>
      </c>
      <c r="L417" s="50" t="s">
        <v>529</v>
      </c>
      <c r="M417" s="50" t="s">
        <v>363</v>
      </c>
      <c r="N417" s="51">
        <v>-1335.82</v>
      </c>
    </row>
    <row r="418" spans="1:14" x14ac:dyDescent="0.3">
      <c r="A418" s="50" t="s">
        <v>693</v>
      </c>
      <c r="B418" s="50" t="s">
        <v>693</v>
      </c>
      <c r="C418" s="50" t="s">
        <v>771</v>
      </c>
      <c r="D418" s="50" t="s">
        <v>526</v>
      </c>
      <c r="E418" s="50" t="s">
        <v>578</v>
      </c>
      <c r="F418" s="50" t="s">
        <v>528</v>
      </c>
      <c r="G418" s="50" t="s">
        <v>516</v>
      </c>
      <c r="H418" s="50" t="s">
        <v>579</v>
      </c>
      <c r="I418" s="50" t="s">
        <v>390</v>
      </c>
      <c r="J418" s="50" t="s">
        <v>518</v>
      </c>
      <c r="K418" s="50" t="s">
        <v>518</v>
      </c>
      <c r="L418" s="50" t="s">
        <v>535</v>
      </c>
      <c r="M418" s="50" t="s">
        <v>371</v>
      </c>
      <c r="N418" s="51">
        <v>21.99</v>
      </c>
    </row>
    <row r="419" spans="1:14" x14ac:dyDescent="0.3">
      <c r="A419" s="50" t="s">
        <v>693</v>
      </c>
      <c r="B419" s="50" t="s">
        <v>693</v>
      </c>
      <c r="C419" s="50" t="s">
        <v>771</v>
      </c>
      <c r="D419" s="50" t="s">
        <v>526</v>
      </c>
      <c r="E419" s="50" t="s">
        <v>580</v>
      </c>
      <c r="F419" s="50" t="s">
        <v>528</v>
      </c>
      <c r="G419" s="50" t="s">
        <v>391</v>
      </c>
      <c r="H419" s="50" t="s">
        <v>581</v>
      </c>
      <c r="I419" s="50" t="s">
        <v>410</v>
      </c>
      <c r="J419" s="50" t="s">
        <v>518</v>
      </c>
      <c r="K419" s="50" t="s">
        <v>518</v>
      </c>
      <c r="L419" s="50" t="s">
        <v>529</v>
      </c>
      <c r="M419" s="50" t="s">
        <v>363</v>
      </c>
      <c r="N419" s="51">
        <v>-21.99</v>
      </c>
    </row>
    <row r="420" spans="1:14" x14ac:dyDescent="0.3">
      <c r="A420" s="50" t="s">
        <v>693</v>
      </c>
      <c r="B420" s="50" t="s">
        <v>693</v>
      </c>
      <c r="C420" s="50" t="s">
        <v>771</v>
      </c>
      <c r="D420" s="50" t="s">
        <v>526</v>
      </c>
      <c r="E420" s="50" t="s">
        <v>582</v>
      </c>
      <c r="F420" s="50" t="s">
        <v>528</v>
      </c>
      <c r="G420" s="50" t="s">
        <v>516</v>
      </c>
      <c r="H420" s="50" t="s">
        <v>583</v>
      </c>
      <c r="I420" s="50" t="s">
        <v>388</v>
      </c>
      <c r="J420" s="50" t="s">
        <v>518</v>
      </c>
      <c r="K420" s="50" t="s">
        <v>518</v>
      </c>
      <c r="L420" s="50" t="s">
        <v>535</v>
      </c>
      <c r="M420" s="50" t="s">
        <v>371</v>
      </c>
      <c r="N420" s="51">
        <v>1.79</v>
      </c>
    </row>
    <row r="421" spans="1:14" x14ac:dyDescent="0.3">
      <c r="A421" s="50" t="s">
        <v>693</v>
      </c>
      <c r="B421" s="50" t="s">
        <v>693</v>
      </c>
      <c r="C421" s="50" t="s">
        <v>771</v>
      </c>
      <c r="D421" s="50" t="s">
        <v>526</v>
      </c>
      <c r="E421" s="50" t="s">
        <v>584</v>
      </c>
      <c r="F421" s="50" t="s">
        <v>528</v>
      </c>
      <c r="G421" s="50" t="s">
        <v>391</v>
      </c>
      <c r="H421" s="50" t="s">
        <v>563</v>
      </c>
      <c r="I421" s="50" t="s">
        <v>264</v>
      </c>
      <c r="J421" s="50" t="s">
        <v>518</v>
      </c>
      <c r="K421" s="50" t="s">
        <v>518</v>
      </c>
      <c r="L421" s="50" t="s">
        <v>529</v>
      </c>
      <c r="M421" s="50" t="s">
        <v>363</v>
      </c>
      <c r="N421" s="51">
        <v>-1.79</v>
      </c>
    </row>
    <row r="422" spans="1:14" x14ac:dyDescent="0.3">
      <c r="A422" s="50" t="s">
        <v>693</v>
      </c>
      <c r="B422" s="50" t="s">
        <v>693</v>
      </c>
      <c r="C422" s="50" t="s">
        <v>771</v>
      </c>
      <c r="D422" s="50" t="s">
        <v>526</v>
      </c>
      <c r="E422" s="50" t="s">
        <v>536</v>
      </c>
      <c r="F422" s="50" t="s">
        <v>528</v>
      </c>
      <c r="G422" s="50" t="s">
        <v>516</v>
      </c>
      <c r="H422" s="50" t="s">
        <v>537</v>
      </c>
      <c r="I422" s="50" t="s">
        <v>385</v>
      </c>
      <c r="J422" s="50" t="s">
        <v>518</v>
      </c>
      <c r="K422" s="50" t="s">
        <v>518</v>
      </c>
      <c r="L422" s="50" t="s">
        <v>529</v>
      </c>
      <c r="M422" s="50" t="s">
        <v>363</v>
      </c>
      <c r="N422" s="51">
        <v>-182.95</v>
      </c>
    </row>
    <row r="423" spans="1:14" x14ac:dyDescent="0.3">
      <c r="A423" s="50" t="s">
        <v>693</v>
      </c>
      <c r="B423" s="50" t="s">
        <v>693</v>
      </c>
      <c r="C423" s="50" t="s">
        <v>771</v>
      </c>
      <c r="D423" s="50" t="s">
        <v>526</v>
      </c>
      <c r="E423" s="50" t="s">
        <v>383</v>
      </c>
      <c r="F423" s="50" t="s">
        <v>528</v>
      </c>
      <c r="G423" s="50" t="s">
        <v>516</v>
      </c>
      <c r="H423" s="50" t="s">
        <v>538</v>
      </c>
      <c r="I423" s="50" t="s">
        <v>383</v>
      </c>
      <c r="J423" s="50" t="s">
        <v>518</v>
      </c>
      <c r="K423" s="50" t="s">
        <v>518</v>
      </c>
      <c r="L423" s="50" t="s">
        <v>529</v>
      </c>
      <c r="M423" s="50" t="s">
        <v>363</v>
      </c>
      <c r="N423" s="51">
        <v>-63</v>
      </c>
    </row>
    <row r="424" spans="1:14" x14ac:dyDescent="0.3">
      <c r="A424" s="50" t="s">
        <v>693</v>
      </c>
      <c r="B424" s="50" t="s">
        <v>693</v>
      </c>
      <c r="C424" s="50" t="s">
        <v>771</v>
      </c>
      <c r="D424" s="50" t="s">
        <v>526</v>
      </c>
      <c r="E424" s="50" t="s">
        <v>539</v>
      </c>
      <c r="F424" s="50" t="s">
        <v>528</v>
      </c>
      <c r="G424" s="50" t="s">
        <v>516</v>
      </c>
      <c r="H424" s="50" t="s">
        <v>529</v>
      </c>
      <c r="I424" s="50" t="s">
        <v>363</v>
      </c>
      <c r="J424" s="50" t="s">
        <v>518</v>
      </c>
      <c r="K424" s="50" t="s">
        <v>518</v>
      </c>
      <c r="L424" s="50" t="s">
        <v>535</v>
      </c>
      <c r="M424" s="50" t="s">
        <v>371</v>
      </c>
      <c r="N424" s="51">
        <v>217.13</v>
      </c>
    </row>
    <row r="425" spans="1:14" x14ac:dyDescent="0.3">
      <c r="A425" s="50" t="s">
        <v>693</v>
      </c>
      <c r="B425" s="50" t="s">
        <v>693</v>
      </c>
      <c r="C425" s="50" t="s">
        <v>771</v>
      </c>
      <c r="D425" s="50" t="s">
        <v>526</v>
      </c>
      <c r="E425" s="50" t="s">
        <v>540</v>
      </c>
      <c r="F425" s="50" t="s">
        <v>528</v>
      </c>
      <c r="G425" s="50" t="s">
        <v>516</v>
      </c>
      <c r="H425" s="50" t="s">
        <v>533</v>
      </c>
      <c r="I425" s="50" t="s">
        <v>364</v>
      </c>
      <c r="J425" s="50" t="s">
        <v>518</v>
      </c>
      <c r="K425" s="50" t="s">
        <v>518</v>
      </c>
      <c r="L425" s="50" t="s">
        <v>529</v>
      </c>
      <c r="M425" s="50" t="s">
        <v>363</v>
      </c>
      <c r="N425" s="51">
        <v>-1187.01</v>
      </c>
    </row>
    <row r="426" spans="1:14" x14ac:dyDescent="0.3">
      <c r="A426" s="50" t="s">
        <v>693</v>
      </c>
      <c r="B426" s="50" t="s">
        <v>693</v>
      </c>
      <c r="C426" s="50" t="s">
        <v>771</v>
      </c>
      <c r="D426" s="50" t="s">
        <v>526</v>
      </c>
      <c r="E426" s="50" t="s">
        <v>540</v>
      </c>
      <c r="F426" s="50" t="s">
        <v>528</v>
      </c>
      <c r="G426" s="50" t="s">
        <v>516</v>
      </c>
      <c r="H426" s="50" t="s">
        <v>530</v>
      </c>
      <c r="I426" s="50" t="s">
        <v>382</v>
      </c>
      <c r="J426" s="50" t="s">
        <v>518</v>
      </c>
      <c r="K426" s="50" t="s">
        <v>518</v>
      </c>
      <c r="L426" s="50" t="s">
        <v>535</v>
      </c>
      <c r="M426" s="50" t="s">
        <v>371</v>
      </c>
      <c r="N426" s="51">
        <v>1187.01</v>
      </c>
    </row>
    <row r="427" spans="1:14" x14ac:dyDescent="0.3">
      <c r="A427" s="50" t="s">
        <v>693</v>
      </c>
      <c r="B427" s="50" t="s">
        <v>693</v>
      </c>
      <c r="C427" s="50" t="s">
        <v>771</v>
      </c>
      <c r="D427" s="50" t="s">
        <v>526</v>
      </c>
      <c r="E427" s="50" t="s">
        <v>541</v>
      </c>
      <c r="F427" s="50" t="s">
        <v>528</v>
      </c>
      <c r="G427" s="50" t="s">
        <v>516</v>
      </c>
      <c r="H427" s="50" t="s">
        <v>542</v>
      </c>
      <c r="I427" s="50" t="s">
        <v>369</v>
      </c>
      <c r="J427" s="50" t="s">
        <v>518</v>
      </c>
      <c r="K427" s="50" t="s">
        <v>518</v>
      </c>
      <c r="L427" s="50" t="s">
        <v>529</v>
      </c>
      <c r="M427" s="50" t="s">
        <v>363</v>
      </c>
      <c r="N427" s="51">
        <v>-135</v>
      </c>
    </row>
    <row r="428" spans="1:14" x14ac:dyDescent="0.3">
      <c r="A428" s="50" t="s">
        <v>693</v>
      </c>
      <c r="B428" s="50" t="s">
        <v>693</v>
      </c>
      <c r="C428" s="50" t="s">
        <v>771</v>
      </c>
      <c r="D428" s="50" t="s">
        <v>526</v>
      </c>
      <c r="E428" s="50" t="s">
        <v>541</v>
      </c>
      <c r="F428" s="50" t="s">
        <v>528</v>
      </c>
      <c r="G428" s="50" t="s">
        <v>516</v>
      </c>
      <c r="H428" s="50" t="s">
        <v>530</v>
      </c>
      <c r="I428" s="50" t="s">
        <v>382</v>
      </c>
      <c r="J428" s="50" t="s">
        <v>518</v>
      </c>
      <c r="K428" s="50" t="s">
        <v>518</v>
      </c>
      <c r="L428" s="50" t="s">
        <v>535</v>
      </c>
      <c r="M428" s="50" t="s">
        <v>371</v>
      </c>
      <c r="N428" s="51">
        <v>135</v>
      </c>
    </row>
    <row r="429" spans="1:14" x14ac:dyDescent="0.3">
      <c r="A429" s="50" t="s">
        <v>693</v>
      </c>
      <c r="B429" s="50" t="s">
        <v>693</v>
      </c>
      <c r="C429" s="50" t="s">
        <v>771</v>
      </c>
      <c r="D429" s="50" t="s">
        <v>526</v>
      </c>
      <c r="E429" s="50" t="s">
        <v>543</v>
      </c>
      <c r="F429" s="50" t="s">
        <v>528</v>
      </c>
      <c r="G429" s="50" t="s">
        <v>516</v>
      </c>
      <c r="H429" s="50" t="s">
        <v>529</v>
      </c>
      <c r="I429" s="50" t="s">
        <v>363</v>
      </c>
      <c r="J429" s="50" t="s">
        <v>518</v>
      </c>
      <c r="K429" s="50" t="s">
        <v>518</v>
      </c>
      <c r="L429" s="50" t="s">
        <v>535</v>
      </c>
      <c r="M429" s="50" t="s">
        <v>371</v>
      </c>
      <c r="N429" s="51">
        <v>1476.25</v>
      </c>
    </row>
    <row r="430" spans="1:14" x14ac:dyDescent="0.3">
      <c r="A430" s="50" t="s">
        <v>693</v>
      </c>
      <c r="B430" s="50" t="s">
        <v>693</v>
      </c>
      <c r="C430" s="50" t="s">
        <v>771</v>
      </c>
      <c r="D430" s="50" t="s">
        <v>526</v>
      </c>
      <c r="E430" s="50" t="s">
        <v>518</v>
      </c>
      <c r="F430" s="50" t="s">
        <v>528</v>
      </c>
      <c r="G430" s="50" t="s">
        <v>516</v>
      </c>
      <c r="H430" s="50" t="s">
        <v>544</v>
      </c>
      <c r="I430" s="50" t="s">
        <v>368</v>
      </c>
      <c r="J430" s="50" t="s">
        <v>518</v>
      </c>
      <c r="K430" s="50" t="s">
        <v>518</v>
      </c>
      <c r="L430" s="50" t="s">
        <v>529</v>
      </c>
      <c r="M430" s="50" t="s">
        <v>363</v>
      </c>
      <c r="N430" s="51">
        <v>-125.39</v>
      </c>
    </row>
    <row r="431" spans="1:14" x14ac:dyDescent="0.3">
      <c r="A431" s="50" t="s">
        <v>693</v>
      </c>
      <c r="B431" s="50" t="s">
        <v>693</v>
      </c>
      <c r="C431" s="50" t="s">
        <v>771</v>
      </c>
      <c r="D431" s="50" t="s">
        <v>526</v>
      </c>
      <c r="E431" s="50" t="s">
        <v>518</v>
      </c>
      <c r="F431" s="50" t="s">
        <v>528</v>
      </c>
      <c r="G431" s="50" t="s">
        <v>391</v>
      </c>
      <c r="H431" s="50" t="s">
        <v>544</v>
      </c>
      <c r="I431" s="50" t="s">
        <v>368</v>
      </c>
      <c r="J431" s="50" t="s">
        <v>518</v>
      </c>
      <c r="K431" s="50" t="s">
        <v>518</v>
      </c>
      <c r="L431" s="50" t="s">
        <v>529</v>
      </c>
      <c r="M431" s="50" t="s">
        <v>363</v>
      </c>
      <c r="N431" s="51">
        <v>23.78</v>
      </c>
    </row>
    <row r="432" spans="1:14" x14ac:dyDescent="0.3">
      <c r="A432" s="50" t="s">
        <v>693</v>
      </c>
      <c r="B432" s="50" t="s">
        <v>693</v>
      </c>
      <c r="C432" s="50" t="s">
        <v>772</v>
      </c>
      <c r="D432" s="50" t="s">
        <v>565</v>
      </c>
      <c r="E432" s="50" t="s">
        <v>518</v>
      </c>
      <c r="F432" s="50" t="s">
        <v>566</v>
      </c>
      <c r="G432" s="50" t="s">
        <v>391</v>
      </c>
      <c r="H432" s="50" t="s">
        <v>567</v>
      </c>
      <c r="I432" s="50" t="s">
        <v>395</v>
      </c>
      <c r="J432" s="50" t="s">
        <v>518</v>
      </c>
      <c r="K432" s="50" t="s">
        <v>518</v>
      </c>
      <c r="L432" s="50" t="s">
        <v>568</v>
      </c>
      <c r="M432" s="50" t="s">
        <v>401</v>
      </c>
      <c r="N432" s="51">
        <v>5.08</v>
      </c>
    </row>
    <row r="433" spans="1:14" x14ac:dyDescent="0.3">
      <c r="A433" s="50" t="s">
        <v>693</v>
      </c>
      <c r="B433" s="50" t="s">
        <v>693</v>
      </c>
      <c r="C433" s="50" t="s">
        <v>772</v>
      </c>
      <c r="D433" s="50" t="s">
        <v>565</v>
      </c>
      <c r="E433" s="50" t="s">
        <v>518</v>
      </c>
      <c r="F433" s="50" t="s">
        <v>566</v>
      </c>
      <c r="G433" s="50" t="s">
        <v>391</v>
      </c>
      <c r="H433" s="50" t="s">
        <v>568</v>
      </c>
      <c r="I433" s="50" t="s">
        <v>401</v>
      </c>
      <c r="J433" s="50" t="s">
        <v>518</v>
      </c>
      <c r="K433" s="50" t="s">
        <v>518</v>
      </c>
      <c r="L433" s="50" t="s">
        <v>567</v>
      </c>
      <c r="M433" s="50" t="s">
        <v>395</v>
      </c>
      <c r="N433" s="51">
        <v>-5.08</v>
      </c>
    </row>
    <row r="434" spans="1:14" x14ac:dyDescent="0.3">
      <c r="A434" s="50" t="s">
        <v>693</v>
      </c>
      <c r="B434" s="50" t="s">
        <v>693</v>
      </c>
      <c r="C434" s="50" t="s">
        <v>773</v>
      </c>
      <c r="D434" s="50" t="s">
        <v>565</v>
      </c>
      <c r="E434" s="50" t="s">
        <v>518</v>
      </c>
      <c r="F434" s="50" t="s">
        <v>566</v>
      </c>
      <c r="G434" s="50" t="s">
        <v>391</v>
      </c>
      <c r="H434" s="50" t="s">
        <v>567</v>
      </c>
      <c r="I434" s="50" t="s">
        <v>395</v>
      </c>
      <c r="J434" s="50" t="s">
        <v>518</v>
      </c>
      <c r="K434" s="50" t="s">
        <v>518</v>
      </c>
      <c r="L434" s="50" t="s">
        <v>568</v>
      </c>
      <c r="M434" s="50" t="s">
        <v>401</v>
      </c>
      <c r="N434" s="51">
        <v>-5.08</v>
      </c>
    </row>
    <row r="435" spans="1:14" x14ac:dyDescent="0.3">
      <c r="A435" s="50" t="s">
        <v>693</v>
      </c>
      <c r="B435" s="50" t="s">
        <v>693</v>
      </c>
      <c r="C435" s="50" t="s">
        <v>773</v>
      </c>
      <c r="D435" s="50" t="s">
        <v>565</v>
      </c>
      <c r="E435" s="50" t="s">
        <v>518</v>
      </c>
      <c r="F435" s="50" t="s">
        <v>566</v>
      </c>
      <c r="G435" s="50" t="s">
        <v>391</v>
      </c>
      <c r="H435" s="50" t="s">
        <v>568</v>
      </c>
      <c r="I435" s="50" t="s">
        <v>401</v>
      </c>
      <c r="J435" s="50" t="s">
        <v>518</v>
      </c>
      <c r="K435" s="50" t="s">
        <v>518</v>
      </c>
      <c r="L435" s="50" t="s">
        <v>567</v>
      </c>
      <c r="M435" s="50" t="s">
        <v>395</v>
      </c>
      <c r="N435" s="51">
        <v>5.08</v>
      </c>
    </row>
    <row r="436" spans="1:14" x14ac:dyDescent="0.3">
      <c r="A436" s="50" t="s">
        <v>693</v>
      </c>
      <c r="B436" s="50" t="s">
        <v>693</v>
      </c>
      <c r="C436" s="50" t="s">
        <v>774</v>
      </c>
      <c r="D436" s="50" t="s">
        <v>565</v>
      </c>
      <c r="E436" s="50" t="s">
        <v>518</v>
      </c>
      <c r="F436" s="50" t="s">
        <v>566</v>
      </c>
      <c r="G436" s="50" t="s">
        <v>391</v>
      </c>
      <c r="H436" s="50" t="s">
        <v>574</v>
      </c>
      <c r="I436" s="50" t="s">
        <v>392</v>
      </c>
      <c r="J436" s="50" t="s">
        <v>518</v>
      </c>
      <c r="K436" s="50" t="s">
        <v>518</v>
      </c>
      <c r="L436" s="50" t="s">
        <v>568</v>
      </c>
      <c r="M436" s="50" t="s">
        <v>401</v>
      </c>
      <c r="N436" s="51">
        <v>5.08</v>
      </c>
    </row>
    <row r="437" spans="1:14" x14ac:dyDescent="0.3">
      <c r="A437" s="50" t="s">
        <v>693</v>
      </c>
      <c r="B437" s="50" t="s">
        <v>693</v>
      </c>
      <c r="C437" s="50" t="s">
        <v>774</v>
      </c>
      <c r="D437" s="50" t="s">
        <v>565</v>
      </c>
      <c r="E437" s="50" t="s">
        <v>518</v>
      </c>
      <c r="F437" s="50" t="s">
        <v>566</v>
      </c>
      <c r="G437" s="50" t="s">
        <v>391</v>
      </c>
      <c r="H437" s="50" t="s">
        <v>568</v>
      </c>
      <c r="I437" s="50" t="s">
        <v>401</v>
      </c>
      <c r="J437" s="50" t="s">
        <v>518</v>
      </c>
      <c r="K437" s="50" t="s">
        <v>518</v>
      </c>
      <c r="L437" s="50" t="s">
        <v>574</v>
      </c>
      <c r="M437" s="50" t="s">
        <v>392</v>
      </c>
      <c r="N437" s="51">
        <v>-5.08</v>
      </c>
    </row>
    <row r="438" spans="1:14" x14ac:dyDescent="0.3">
      <c r="A438" s="50" t="s">
        <v>775</v>
      </c>
      <c r="B438" s="50" t="s">
        <v>751</v>
      </c>
      <c r="C438" s="50" t="s">
        <v>776</v>
      </c>
      <c r="D438" s="50" t="s">
        <v>777</v>
      </c>
      <c r="E438" s="50" t="s">
        <v>778</v>
      </c>
      <c r="F438" s="50" t="s">
        <v>779</v>
      </c>
      <c r="G438" s="50" t="s">
        <v>516</v>
      </c>
      <c r="H438" s="50" t="s">
        <v>780</v>
      </c>
      <c r="I438" s="50" t="s">
        <v>267</v>
      </c>
      <c r="J438" s="50" t="s">
        <v>518</v>
      </c>
      <c r="K438" s="50" t="s">
        <v>518</v>
      </c>
      <c r="L438" s="50" t="s">
        <v>781</v>
      </c>
      <c r="M438" s="50" t="s">
        <v>782</v>
      </c>
      <c r="N438" s="51">
        <v>37.74</v>
      </c>
    </row>
    <row r="439" spans="1:14" x14ac:dyDescent="0.3">
      <c r="A439" s="50" t="s">
        <v>775</v>
      </c>
      <c r="B439" s="50" t="s">
        <v>751</v>
      </c>
      <c r="C439" s="50" t="s">
        <v>776</v>
      </c>
      <c r="D439" s="50" t="s">
        <v>777</v>
      </c>
      <c r="E439" s="50" t="s">
        <v>518</v>
      </c>
      <c r="F439" s="50" t="s">
        <v>779</v>
      </c>
      <c r="G439" s="50" t="s">
        <v>516</v>
      </c>
      <c r="H439" s="50" t="s">
        <v>783</v>
      </c>
      <c r="I439" s="50" t="s">
        <v>366</v>
      </c>
      <c r="J439" s="50" t="s">
        <v>781</v>
      </c>
      <c r="K439" s="50" t="s">
        <v>784</v>
      </c>
      <c r="L439" s="50" t="s">
        <v>780</v>
      </c>
      <c r="M439" s="50" t="s">
        <v>267</v>
      </c>
      <c r="N439" s="51">
        <v>-37.74</v>
      </c>
    </row>
    <row r="440" spans="1:14" x14ac:dyDescent="0.3">
      <c r="A440" s="50" t="s">
        <v>775</v>
      </c>
      <c r="B440" s="50" t="s">
        <v>775</v>
      </c>
      <c r="C440" s="50" t="s">
        <v>785</v>
      </c>
      <c r="D440" s="50" t="s">
        <v>526</v>
      </c>
      <c r="E440" s="50" t="s">
        <v>557</v>
      </c>
      <c r="F440" s="50" t="s">
        <v>528</v>
      </c>
      <c r="G440" s="50" t="s">
        <v>516</v>
      </c>
      <c r="H440" s="50" t="s">
        <v>558</v>
      </c>
      <c r="I440" s="50" t="s">
        <v>386</v>
      </c>
      <c r="J440" s="50" t="s">
        <v>518</v>
      </c>
      <c r="K440" s="50" t="s">
        <v>518</v>
      </c>
      <c r="L440" s="50" t="s">
        <v>529</v>
      </c>
      <c r="M440" s="50" t="s">
        <v>363</v>
      </c>
      <c r="N440" s="51">
        <v>-87</v>
      </c>
    </row>
    <row r="441" spans="1:14" x14ac:dyDescent="0.3">
      <c r="A441" s="50" t="s">
        <v>775</v>
      </c>
      <c r="B441" s="50" t="s">
        <v>775</v>
      </c>
      <c r="C441" s="50" t="s">
        <v>785</v>
      </c>
      <c r="D441" s="50" t="s">
        <v>526</v>
      </c>
      <c r="E441" s="50" t="s">
        <v>534</v>
      </c>
      <c r="F441" s="50" t="s">
        <v>528</v>
      </c>
      <c r="G441" s="50" t="s">
        <v>516</v>
      </c>
      <c r="H441" s="50" t="s">
        <v>535</v>
      </c>
      <c r="I441" s="50" t="s">
        <v>371</v>
      </c>
      <c r="J441" s="50" t="s">
        <v>518</v>
      </c>
      <c r="K441" s="50" t="s">
        <v>518</v>
      </c>
      <c r="L441" s="50" t="s">
        <v>529</v>
      </c>
      <c r="M441" s="50" t="s">
        <v>363</v>
      </c>
      <c r="N441" s="51">
        <v>-1449</v>
      </c>
    </row>
    <row r="442" spans="1:14" x14ac:dyDescent="0.3">
      <c r="A442" s="50" t="s">
        <v>775</v>
      </c>
      <c r="B442" s="50" t="s">
        <v>775</v>
      </c>
      <c r="C442" s="50" t="s">
        <v>785</v>
      </c>
      <c r="D442" s="50" t="s">
        <v>526</v>
      </c>
      <c r="E442" s="50" t="s">
        <v>536</v>
      </c>
      <c r="F442" s="50" t="s">
        <v>528</v>
      </c>
      <c r="G442" s="50" t="s">
        <v>516</v>
      </c>
      <c r="H442" s="50" t="s">
        <v>537</v>
      </c>
      <c r="I442" s="50" t="s">
        <v>385</v>
      </c>
      <c r="J442" s="50" t="s">
        <v>518</v>
      </c>
      <c r="K442" s="50" t="s">
        <v>518</v>
      </c>
      <c r="L442" s="50" t="s">
        <v>529</v>
      </c>
      <c r="M442" s="50" t="s">
        <v>363</v>
      </c>
      <c r="N442" s="51">
        <v>-168.65</v>
      </c>
    </row>
    <row r="443" spans="1:14" x14ac:dyDescent="0.3">
      <c r="A443" s="50" t="s">
        <v>775</v>
      </c>
      <c r="B443" s="50" t="s">
        <v>775</v>
      </c>
      <c r="C443" s="50" t="s">
        <v>785</v>
      </c>
      <c r="D443" s="50" t="s">
        <v>526</v>
      </c>
      <c r="E443" s="50" t="s">
        <v>539</v>
      </c>
      <c r="F443" s="50" t="s">
        <v>528</v>
      </c>
      <c r="G443" s="50" t="s">
        <v>516</v>
      </c>
      <c r="H443" s="50" t="s">
        <v>529</v>
      </c>
      <c r="I443" s="50" t="s">
        <v>363</v>
      </c>
      <c r="J443" s="50" t="s">
        <v>518</v>
      </c>
      <c r="K443" s="50" t="s">
        <v>518</v>
      </c>
      <c r="L443" s="50" t="s">
        <v>535</v>
      </c>
      <c r="M443" s="50" t="s">
        <v>371</v>
      </c>
      <c r="N443" s="51">
        <v>374</v>
      </c>
    </row>
    <row r="444" spans="1:14" x14ac:dyDescent="0.3">
      <c r="A444" s="50" t="s">
        <v>775</v>
      </c>
      <c r="B444" s="50" t="s">
        <v>775</v>
      </c>
      <c r="C444" s="50" t="s">
        <v>785</v>
      </c>
      <c r="D444" s="50" t="s">
        <v>526</v>
      </c>
      <c r="E444" s="50" t="s">
        <v>420</v>
      </c>
      <c r="F444" s="50" t="s">
        <v>528</v>
      </c>
      <c r="G444" s="50" t="s">
        <v>391</v>
      </c>
      <c r="H444" s="50" t="s">
        <v>561</v>
      </c>
      <c r="I444" s="50" t="s">
        <v>269</v>
      </c>
      <c r="J444" s="50" t="s">
        <v>518</v>
      </c>
      <c r="K444" s="50" t="s">
        <v>518</v>
      </c>
      <c r="L444" s="50" t="s">
        <v>529</v>
      </c>
      <c r="M444" s="50" t="s">
        <v>363</v>
      </c>
      <c r="N444" s="51">
        <v>-65.97</v>
      </c>
    </row>
    <row r="445" spans="1:14" x14ac:dyDescent="0.3">
      <c r="A445" s="50" t="s">
        <v>775</v>
      </c>
      <c r="B445" s="50" t="s">
        <v>775</v>
      </c>
      <c r="C445" s="50" t="s">
        <v>785</v>
      </c>
      <c r="D445" s="50" t="s">
        <v>526</v>
      </c>
      <c r="E445" s="50" t="s">
        <v>540</v>
      </c>
      <c r="F445" s="50" t="s">
        <v>528</v>
      </c>
      <c r="G445" s="50" t="s">
        <v>516</v>
      </c>
      <c r="H445" s="50" t="s">
        <v>533</v>
      </c>
      <c r="I445" s="50" t="s">
        <v>364</v>
      </c>
      <c r="J445" s="50" t="s">
        <v>518</v>
      </c>
      <c r="K445" s="50" t="s">
        <v>518</v>
      </c>
      <c r="L445" s="50" t="s">
        <v>529</v>
      </c>
      <c r="M445" s="50" t="s">
        <v>363</v>
      </c>
      <c r="N445" s="51">
        <v>-1094</v>
      </c>
    </row>
    <row r="446" spans="1:14" x14ac:dyDescent="0.3">
      <c r="A446" s="50" t="s">
        <v>775</v>
      </c>
      <c r="B446" s="50" t="s">
        <v>775</v>
      </c>
      <c r="C446" s="50" t="s">
        <v>785</v>
      </c>
      <c r="D446" s="50" t="s">
        <v>526</v>
      </c>
      <c r="E446" s="50" t="s">
        <v>540</v>
      </c>
      <c r="F446" s="50" t="s">
        <v>528</v>
      </c>
      <c r="G446" s="50" t="s">
        <v>516</v>
      </c>
      <c r="H446" s="50" t="s">
        <v>530</v>
      </c>
      <c r="I446" s="50" t="s">
        <v>382</v>
      </c>
      <c r="J446" s="50" t="s">
        <v>518</v>
      </c>
      <c r="K446" s="50" t="s">
        <v>518</v>
      </c>
      <c r="L446" s="50" t="s">
        <v>535</v>
      </c>
      <c r="M446" s="50" t="s">
        <v>371</v>
      </c>
      <c r="N446" s="51">
        <v>1094</v>
      </c>
    </row>
    <row r="447" spans="1:14" x14ac:dyDescent="0.3">
      <c r="A447" s="50" t="s">
        <v>775</v>
      </c>
      <c r="B447" s="50" t="s">
        <v>775</v>
      </c>
      <c r="C447" s="50" t="s">
        <v>785</v>
      </c>
      <c r="D447" s="50" t="s">
        <v>526</v>
      </c>
      <c r="E447" s="50" t="s">
        <v>541</v>
      </c>
      <c r="F447" s="50" t="s">
        <v>528</v>
      </c>
      <c r="G447" s="50" t="s">
        <v>516</v>
      </c>
      <c r="H447" s="50" t="s">
        <v>542</v>
      </c>
      <c r="I447" s="50" t="s">
        <v>369</v>
      </c>
      <c r="J447" s="50" t="s">
        <v>518</v>
      </c>
      <c r="K447" s="50" t="s">
        <v>518</v>
      </c>
      <c r="L447" s="50" t="s">
        <v>529</v>
      </c>
      <c r="M447" s="50" t="s">
        <v>363</v>
      </c>
      <c r="N447" s="51">
        <v>-318.89999999999998</v>
      </c>
    </row>
    <row r="448" spans="1:14" x14ac:dyDescent="0.3">
      <c r="A448" s="50" t="s">
        <v>775</v>
      </c>
      <c r="B448" s="50" t="s">
        <v>775</v>
      </c>
      <c r="C448" s="50" t="s">
        <v>785</v>
      </c>
      <c r="D448" s="50" t="s">
        <v>526</v>
      </c>
      <c r="E448" s="50" t="s">
        <v>541</v>
      </c>
      <c r="F448" s="50" t="s">
        <v>528</v>
      </c>
      <c r="G448" s="50" t="s">
        <v>516</v>
      </c>
      <c r="H448" s="50" t="s">
        <v>530</v>
      </c>
      <c r="I448" s="50" t="s">
        <v>382</v>
      </c>
      <c r="J448" s="50" t="s">
        <v>518</v>
      </c>
      <c r="K448" s="50" t="s">
        <v>518</v>
      </c>
      <c r="L448" s="50" t="s">
        <v>535</v>
      </c>
      <c r="M448" s="50" t="s">
        <v>371</v>
      </c>
      <c r="N448" s="51">
        <v>318.89999999999998</v>
      </c>
    </row>
    <row r="449" spans="1:14" x14ac:dyDescent="0.3">
      <c r="A449" s="50" t="s">
        <v>775</v>
      </c>
      <c r="B449" s="50" t="s">
        <v>775</v>
      </c>
      <c r="C449" s="50" t="s">
        <v>785</v>
      </c>
      <c r="D449" s="50" t="s">
        <v>526</v>
      </c>
      <c r="E449" s="50" t="s">
        <v>669</v>
      </c>
      <c r="F449" s="50" t="s">
        <v>528</v>
      </c>
      <c r="G449" s="50" t="s">
        <v>516</v>
      </c>
      <c r="H449" s="50" t="s">
        <v>670</v>
      </c>
      <c r="I449" s="50" t="s">
        <v>375</v>
      </c>
      <c r="J449" s="50" t="s">
        <v>518</v>
      </c>
      <c r="K449" s="50" t="s">
        <v>518</v>
      </c>
      <c r="L449" s="50" t="s">
        <v>529</v>
      </c>
      <c r="M449" s="50" t="s">
        <v>363</v>
      </c>
      <c r="N449" s="51">
        <v>-23.78</v>
      </c>
    </row>
    <row r="450" spans="1:14" x14ac:dyDescent="0.3">
      <c r="A450" s="50" t="s">
        <v>775</v>
      </c>
      <c r="B450" s="50" t="s">
        <v>775</v>
      </c>
      <c r="C450" s="50" t="s">
        <v>785</v>
      </c>
      <c r="D450" s="50" t="s">
        <v>526</v>
      </c>
      <c r="E450" s="50" t="s">
        <v>562</v>
      </c>
      <c r="F450" s="50" t="s">
        <v>528</v>
      </c>
      <c r="G450" s="50" t="s">
        <v>391</v>
      </c>
      <c r="H450" s="50" t="s">
        <v>563</v>
      </c>
      <c r="I450" s="50" t="s">
        <v>264</v>
      </c>
      <c r="J450" s="50" t="s">
        <v>518</v>
      </c>
      <c r="K450" s="50" t="s">
        <v>518</v>
      </c>
      <c r="L450" s="50" t="s">
        <v>529</v>
      </c>
      <c r="M450" s="50" t="s">
        <v>363</v>
      </c>
      <c r="N450" s="51">
        <v>-5.37</v>
      </c>
    </row>
    <row r="451" spans="1:14" x14ac:dyDescent="0.3">
      <c r="A451" s="50" t="s">
        <v>775</v>
      </c>
      <c r="B451" s="50" t="s">
        <v>775</v>
      </c>
      <c r="C451" s="50" t="s">
        <v>785</v>
      </c>
      <c r="D451" s="50" t="s">
        <v>526</v>
      </c>
      <c r="E451" s="50" t="s">
        <v>543</v>
      </c>
      <c r="F451" s="50" t="s">
        <v>528</v>
      </c>
      <c r="G451" s="50" t="s">
        <v>516</v>
      </c>
      <c r="H451" s="50" t="s">
        <v>529</v>
      </c>
      <c r="I451" s="50" t="s">
        <v>363</v>
      </c>
      <c r="J451" s="50" t="s">
        <v>518</v>
      </c>
      <c r="K451" s="50" t="s">
        <v>518</v>
      </c>
      <c r="L451" s="50" t="s">
        <v>535</v>
      </c>
      <c r="M451" s="50" t="s">
        <v>371</v>
      </c>
      <c r="N451" s="51">
        <v>1515.77</v>
      </c>
    </row>
    <row r="452" spans="1:14" x14ac:dyDescent="0.3">
      <c r="A452" s="50" t="s">
        <v>775</v>
      </c>
      <c r="B452" s="50" t="s">
        <v>775</v>
      </c>
      <c r="C452" s="50" t="s">
        <v>785</v>
      </c>
      <c r="D452" s="50" t="s">
        <v>526</v>
      </c>
      <c r="E452" s="50" t="s">
        <v>518</v>
      </c>
      <c r="F452" s="50" t="s">
        <v>528</v>
      </c>
      <c r="G452" s="50" t="s">
        <v>516</v>
      </c>
      <c r="H452" s="50" t="s">
        <v>544</v>
      </c>
      <c r="I452" s="50" t="s">
        <v>368</v>
      </c>
      <c r="J452" s="50" t="s">
        <v>518</v>
      </c>
      <c r="K452" s="50" t="s">
        <v>518</v>
      </c>
      <c r="L452" s="50" t="s">
        <v>529</v>
      </c>
      <c r="M452" s="50" t="s">
        <v>363</v>
      </c>
      <c r="N452" s="51">
        <v>-161.34</v>
      </c>
    </row>
    <row r="453" spans="1:14" x14ac:dyDescent="0.3">
      <c r="A453" s="50" t="s">
        <v>775</v>
      </c>
      <c r="B453" s="50" t="s">
        <v>775</v>
      </c>
      <c r="C453" s="50" t="s">
        <v>785</v>
      </c>
      <c r="D453" s="50" t="s">
        <v>526</v>
      </c>
      <c r="E453" s="50" t="s">
        <v>518</v>
      </c>
      <c r="F453" s="50" t="s">
        <v>528</v>
      </c>
      <c r="G453" s="50" t="s">
        <v>391</v>
      </c>
      <c r="H453" s="50" t="s">
        <v>544</v>
      </c>
      <c r="I453" s="50" t="s">
        <v>368</v>
      </c>
      <c r="J453" s="50" t="s">
        <v>518</v>
      </c>
      <c r="K453" s="50" t="s">
        <v>518</v>
      </c>
      <c r="L453" s="50" t="s">
        <v>529</v>
      </c>
      <c r="M453" s="50" t="s">
        <v>363</v>
      </c>
      <c r="N453" s="51">
        <v>71.34</v>
      </c>
    </row>
    <row r="454" spans="1:14" x14ac:dyDescent="0.3">
      <c r="A454" s="50" t="s">
        <v>775</v>
      </c>
      <c r="B454" s="50" t="s">
        <v>775</v>
      </c>
      <c r="C454" s="50" t="s">
        <v>786</v>
      </c>
      <c r="D454" s="50" t="s">
        <v>565</v>
      </c>
      <c r="E454" s="50" t="s">
        <v>518</v>
      </c>
      <c r="F454" s="50" t="s">
        <v>566</v>
      </c>
      <c r="G454" s="50" t="s">
        <v>391</v>
      </c>
      <c r="H454" s="50" t="s">
        <v>574</v>
      </c>
      <c r="I454" s="50" t="s">
        <v>392</v>
      </c>
      <c r="J454" s="50" t="s">
        <v>518</v>
      </c>
      <c r="K454" s="50" t="s">
        <v>518</v>
      </c>
      <c r="L454" s="50" t="s">
        <v>568</v>
      </c>
      <c r="M454" s="50" t="s">
        <v>401</v>
      </c>
      <c r="N454" s="51">
        <v>5.08</v>
      </c>
    </row>
    <row r="455" spans="1:14" x14ac:dyDescent="0.3">
      <c r="A455" s="50" t="s">
        <v>775</v>
      </c>
      <c r="B455" s="50" t="s">
        <v>775</v>
      </c>
      <c r="C455" s="50" t="s">
        <v>786</v>
      </c>
      <c r="D455" s="50" t="s">
        <v>565</v>
      </c>
      <c r="E455" s="50" t="s">
        <v>518</v>
      </c>
      <c r="F455" s="50" t="s">
        <v>566</v>
      </c>
      <c r="G455" s="50" t="s">
        <v>391</v>
      </c>
      <c r="H455" s="50" t="s">
        <v>568</v>
      </c>
      <c r="I455" s="50" t="s">
        <v>401</v>
      </c>
      <c r="J455" s="50" t="s">
        <v>518</v>
      </c>
      <c r="K455" s="50" t="s">
        <v>518</v>
      </c>
      <c r="L455" s="50" t="s">
        <v>574</v>
      </c>
      <c r="M455" s="50" t="s">
        <v>392</v>
      </c>
      <c r="N455" s="51">
        <v>-5.08</v>
      </c>
    </row>
    <row r="456" spans="1:14" x14ac:dyDescent="0.3">
      <c r="A456" s="50" t="s">
        <v>775</v>
      </c>
      <c r="B456" s="50" t="s">
        <v>775</v>
      </c>
      <c r="C456" s="50" t="s">
        <v>787</v>
      </c>
      <c r="D456" s="50" t="s">
        <v>565</v>
      </c>
      <c r="E456" s="50" t="s">
        <v>518</v>
      </c>
      <c r="F456" s="50" t="s">
        <v>566</v>
      </c>
      <c r="G456" s="50" t="s">
        <v>391</v>
      </c>
      <c r="H456" s="50" t="s">
        <v>574</v>
      </c>
      <c r="I456" s="50" t="s">
        <v>392</v>
      </c>
      <c r="J456" s="50" t="s">
        <v>518</v>
      </c>
      <c r="K456" s="50" t="s">
        <v>518</v>
      </c>
      <c r="L456" s="50" t="s">
        <v>568</v>
      </c>
      <c r="M456" s="50" t="s">
        <v>401</v>
      </c>
      <c r="N456" s="51">
        <v>5.08</v>
      </c>
    </row>
    <row r="457" spans="1:14" x14ac:dyDescent="0.3">
      <c r="A457" s="50" t="s">
        <v>775</v>
      </c>
      <c r="B457" s="50" t="s">
        <v>775</v>
      </c>
      <c r="C457" s="50" t="s">
        <v>787</v>
      </c>
      <c r="D457" s="50" t="s">
        <v>565</v>
      </c>
      <c r="E457" s="50" t="s">
        <v>518</v>
      </c>
      <c r="F457" s="50" t="s">
        <v>566</v>
      </c>
      <c r="G457" s="50" t="s">
        <v>391</v>
      </c>
      <c r="H457" s="50" t="s">
        <v>568</v>
      </c>
      <c r="I457" s="50" t="s">
        <v>401</v>
      </c>
      <c r="J457" s="50" t="s">
        <v>518</v>
      </c>
      <c r="K457" s="50" t="s">
        <v>518</v>
      </c>
      <c r="L457" s="50" t="s">
        <v>574</v>
      </c>
      <c r="M457" s="50" t="s">
        <v>392</v>
      </c>
      <c r="N457" s="51">
        <v>-5.08</v>
      </c>
    </row>
    <row r="458" spans="1:14" x14ac:dyDescent="0.3">
      <c r="A458" s="50" t="s">
        <v>775</v>
      </c>
      <c r="B458" s="50" t="s">
        <v>775</v>
      </c>
      <c r="C458" s="50" t="s">
        <v>788</v>
      </c>
      <c r="D458" s="50" t="s">
        <v>565</v>
      </c>
      <c r="E458" s="50" t="s">
        <v>518</v>
      </c>
      <c r="F458" s="50" t="s">
        <v>566</v>
      </c>
      <c r="G458" s="50" t="s">
        <v>391</v>
      </c>
      <c r="H458" s="50" t="s">
        <v>574</v>
      </c>
      <c r="I458" s="50" t="s">
        <v>392</v>
      </c>
      <c r="J458" s="50" t="s">
        <v>518</v>
      </c>
      <c r="K458" s="50" t="s">
        <v>518</v>
      </c>
      <c r="L458" s="50" t="s">
        <v>568</v>
      </c>
      <c r="M458" s="50" t="s">
        <v>401</v>
      </c>
      <c r="N458" s="51">
        <v>5.08</v>
      </c>
    </row>
    <row r="459" spans="1:14" x14ac:dyDescent="0.3">
      <c r="A459" s="50" t="s">
        <v>775</v>
      </c>
      <c r="B459" s="50" t="s">
        <v>775</v>
      </c>
      <c r="C459" s="50" t="s">
        <v>788</v>
      </c>
      <c r="D459" s="50" t="s">
        <v>565</v>
      </c>
      <c r="E459" s="50" t="s">
        <v>518</v>
      </c>
      <c r="F459" s="50" t="s">
        <v>566</v>
      </c>
      <c r="G459" s="50" t="s">
        <v>391</v>
      </c>
      <c r="H459" s="50" t="s">
        <v>568</v>
      </c>
      <c r="I459" s="50" t="s">
        <v>401</v>
      </c>
      <c r="J459" s="50" t="s">
        <v>518</v>
      </c>
      <c r="K459" s="50" t="s">
        <v>518</v>
      </c>
      <c r="L459" s="50" t="s">
        <v>574</v>
      </c>
      <c r="M459" s="50" t="s">
        <v>392</v>
      </c>
      <c r="N459" s="51">
        <v>-5.08</v>
      </c>
    </row>
    <row r="460" spans="1:14" x14ac:dyDescent="0.3">
      <c r="A460" s="50" t="s">
        <v>789</v>
      </c>
      <c r="B460" s="50" t="s">
        <v>759</v>
      </c>
      <c r="C460" s="50" t="s">
        <v>790</v>
      </c>
      <c r="D460" s="50" t="s">
        <v>624</v>
      </c>
      <c r="E460" s="50" t="s">
        <v>625</v>
      </c>
      <c r="F460" s="50" t="s">
        <v>626</v>
      </c>
      <c r="G460" s="50" t="s">
        <v>516</v>
      </c>
      <c r="H460" s="50" t="s">
        <v>627</v>
      </c>
      <c r="I460" s="50" t="s">
        <v>292</v>
      </c>
      <c r="J460" s="50" t="s">
        <v>518</v>
      </c>
      <c r="K460" s="50" t="s">
        <v>518</v>
      </c>
      <c r="L460" s="50" t="s">
        <v>544</v>
      </c>
      <c r="M460" s="50" t="s">
        <v>368</v>
      </c>
      <c r="N460" s="51">
        <v>47.76</v>
      </c>
    </row>
    <row r="461" spans="1:14" x14ac:dyDescent="0.3">
      <c r="A461" s="50" t="s">
        <v>789</v>
      </c>
      <c r="B461" s="50" t="s">
        <v>759</v>
      </c>
      <c r="C461" s="50" t="s">
        <v>790</v>
      </c>
      <c r="D461" s="50" t="s">
        <v>624</v>
      </c>
      <c r="E461" s="50" t="s">
        <v>628</v>
      </c>
      <c r="F461" s="50" t="s">
        <v>626</v>
      </c>
      <c r="G461" s="50" t="s">
        <v>516</v>
      </c>
      <c r="H461" s="50" t="s">
        <v>629</v>
      </c>
      <c r="I461" s="50" t="s">
        <v>293</v>
      </c>
      <c r="J461" s="50" t="s">
        <v>518</v>
      </c>
      <c r="K461" s="50" t="s">
        <v>518</v>
      </c>
      <c r="L461" s="50" t="s">
        <v>544</v>
      </c>
      <c r="M461" s="50" t="s">
        <v>368</v>
      </c>
      <c r="N461" s="51">
        <v>0.16</v>
      </c>
    </row>
    <row r="462" spans="1:14" x14ac:dyDescent="0.3">
      <c r="A462" s="50" t="s">
        <v>789</v>
      </c>
      <c r="B462" s="50" t="s">
        <v>759</v>
      </c>
      <c r="C462" s="50" t="s">
        <v>790</v>
      </c>
      <c r="D462" s="50" t="s">
        <v>624</v>
      </c>
      <c r="E462" s="50" t="s">
        <v>630</v>
      </c>
      <c r="F462" s="50" t="s">
        <v>626</v>
      </c>
      <c r="G462" s="50" t="s">
        <v>516</v>
      </c>
      <c r="H462" s="50" t="s">
        <v>631</v>
      </c>
      <c r="I462" s="50" t="s">
        <v>291</v>
      </c>
      <c r="J462" s="50" t="s">
        <v>518</v>
      </c>
      <c r="K462" s="50" t="s">
        <v>518</v>
      </c>
      <c r="L462" s="50" t="s">
        <v>544</v>
      </c>
      <c r="M462" s="50" t="s">
        <v>368</v>
      </c>
      <c r="N462" s="51">
        <v>1.05</v>
      </c>
    </row>
    <row r="463" spans="1:14" x14ac:dyDescent="0.3">
      <c r="A463" s="50" t="s">
        <v>789</v>
      </c>
      <c r="B463" s="50" t="s">
        <v>759</v>
      </c>
      <c r="C463" s="50" t="s">
        <v>790</v>
      </c>
      <c r="D463" s="50" t="s">
        <v>624</v>
      </c>
      <c r="E463" s="50" t="s">
        <v>632</v>
      </c>
      <c r="F463" s="50" t="s">
        <v>626</v>
      </c>
      <c r="G463" s="50" t="s">
        <v>516</v>
      </c>
      <c r="H463" s="50" t="s">
        <v>633</v>
      </c>
      <c r="I463" s="50" t="s">
        <v>289</v>
      </c>
      <c r="J463" s="50" t="s">
        <v>518</v>
      </c>
      <c r="K463" s="50" t="s">
        <v>518</v>
      </c>
      <c r="L463" s="50" t="s">
        <v>544</v>
      </c>
      <c r="M463" s="50" t="s">
        <v>368</v>
      </c>
      <c r="N463" s="51">
        <v>431.68</v>
      </c>
    </row>
    <row r="464" spans="1:14" x14ac:dyDescent="0.3">
      <c r="A464" s="50" t="s">
        <v>789</v>
      </c>
      <c r="B464" s="50" t="s">
        <v>759</v>
      </c>
      <c r="C464" s="50" t="s">
        <v>790</v>
      </c>
      <c r="D464" s="50" t="s">
        <v>624</v>
      </c>
      <c r="E464" s="50" t="s">
        <v>634</v>
      </c>
      <c r="F464" s="50" t="s">
        <v>626</v>
      </c>
      <c r="G464" s="50" t="s">
        <v>516</v>
      </c>
      <c r="H464" s="50" t="s">
        <v>635</v>
      </c>
      <c r="I464" s="50" t="s">
        <v>274</v>
      </c>
      <c r="J464" s="50" t="s">
        <v>518</v>
      </c>
      <c r="K464" s="50" t="s">
        <v>518</v>
      </c>
      <c r="L464" s="50" t="s">
        <v>544</v>
      </c>
      <c r="M464" s="50" t="s">
        <v>368</v>
      </c>
      <c r="N464" s="51">
        <v>4.05</v>
      </c>
    </row>
    <row r="465" spans="1:14" x14ac:dyDescent="0.3">
      <c r="A465" s="50" t="s">
        <v>789</v>
      </c>
      <c r="B465" s="50" t="s">
        <v>759</v>
      </c>
      <c r="C465" s="50" t="s">
        <v>790</v>
      </c>
      <c r="D465" s="50" t="s">
        <v>624</v>
      </c>
      <c r="E465" s="50" t="s">
        <v>636</v>
      </c>
      <c r="F465" s="50" t="s">
        <v>626</v>
      </c>
      <c r="G465" s="50" t="s">
        <v>516</v>
      </c>
      <c r="H465" s="50" t="s">
        <v>637</v>
      </c>
      <c r="I465" s="50" t="s">
        <v>271</v>
      </c>
      <c r="J465" s="50" t="s">
        <v>518</v>
      </c>
      <c r="K465" s="50" t="s">
        <v>518</v>
      </c>
      <c r="L465" s="50" t="s">
        <v>544</v>
      </c>
      <c r="M465" s="50" t="s">
        <v>368</v>
      </c>
      <c r="N465" s="51">
        <v>1189.97</v>
      </c>
    </row>
    <row r="466" spans="1:14" x14ac:dyDescent="0.3">
      <c r="A466" s="50" t="s">
        <v>789</v>
      </c>
      <c r="B466" s="50" t="s">
        <v>759</v>
      </c>
      <c r="C466" s="50" t="s">
        <v>790</v>
      </c>
      <c r="D466" s="50" t="s">
        <v>624</v>
      </c>
      <c r="E466" s="50" t="s">
        <v>636</v>
      </c>
      <c r="F466" s="50" t="s">
        <v>626</v>
      </c>
      <c r="G466" s="50" t="s">
        <v>516</v>
      </c>
      <c r="H466" s="50" t="s">
        <v>638</v>
      </c>
      <c r="I466" s="50" t="s">
        <v>272</v>
      </c>
      <c r="J466" s="50" t="s">
        <v>518</v>
      </c>
      <c r="K466" s="50" t="s">
        <v>518</v>
      </c>
      <c r="L466" s="50" t="s">
        <v>544</v>
      </c>
      <c r="M466" s="50" t="s">
        <v>368</v>
      </c>
      <c r="N466" s="51">
        <v>506.76</v>
      </c>
    </row>
    <row r="467" spans="1:14" x14ac:dyDescent="0.3">
      <c r="A467" s="50" t="s">
        <v>789</v>
      </c>
      <c r="B467" s="50" t="s">
        <v>759</v>
      </c>
      <c r="C467" s="50" t="s">
        <v>790</v>
      </c>
      <c r="D467" s="50" t="s">
        <v>624</v>
      </c>
      <c r="E467" s="50" t="s">
        <v>639</v>
      </c>
      <c r="F467" s="50" t="s">
        <v>626</v>
      </c>
      <c r="G467" s="50" t="s">
        <v>516</v>
      </c>
      <c r="H467" s="50" t="s">
        <v>640</v>
      </c>
      <c r="I467" s="50" t="s">
        <v>287</v>
      </c>
      <c r="J467" s="50" t="s">
        <v>518</v>
      </c>
      <c r="K467" s="50" t="s">
        <v>518</v>
      </c>
      <c r="L467" s="50" t="s">
        <v>544</v>
      </c>
      <c r="M467" s="50" t="s">
        <v>368</v>
      </c>
      <c r="N467" s="51">
        <v>197.64</v>
      </c>
    </row>
    <row r="468" spans="1:14" x14ac:dyDescent="0.3">
      <c r="A468" s="50" t="s">
        <v>789</v>
      </c>
      <c r="B468" s="50" t="s">
        <v>759</v>
      </c>
      <c r="C468" s="50" t="s">
        <v>790</v>
      </c>
      <c r="D468" s="50" t="s">
        <v>624</v>
      </c>
      <c r="E468" s="50" t="s">
        <v>641</v>
      </c>
      <c r="F468" s="50" t="s">
        <v>626</v>
      </c>
      <c r="G468" s="50" t="s">
        <v>516</v>
      </c>
      <c r="H468" s="50" t="s">
        <v>642</v>
      </c>
      <c r="I468" s="50" t="s">
        <v>286</v>
      </c>
      <c r="J468" s="50" t="s">
        <v>518</v>
      </c>
      <c r="K468" s="50" t="s">
        <v>518</v>
      </c>
      <c r="L468" s="50" t="s">
        <v>544</v>
      </c>
      <c r="M468" s="50" t="s">
        <v>368</v>
      </c>
      <c r="N468" s="51">
        <v>1.48</v>
      </c>
    </row>
    <row r="469" spans="1:14" x14ac:dyDescent="0.3">
      <c r="A469" s="50" t="s">
        <v>789</v>
      </c>
      <c r="B469" s="50" t="s">
        <v>759</v>
      </c>
      <c r="C469" s="50" t="s">
        <v>790</v>
      </c>
      <c r="D469" s="50" t="s">
        <v>624</v>
      </c>
      <c r="E469" s="50" t="s">
        <v>643</v>
      </c>
      <c r="F469" s="50" t="s">
        <v>626</v>
      </c>
      <c r="G469" s="50" t="s">
        <v>516</v>
      </c>
      <c r="H469" s="50" t="s">
        <v>644</v>
      </c>
      <c r="I469" s="50" t="s">
        <v>288</v>
      </c>
      <c r="J469" s="50" t="s">
        <v>518</v>
      </c>
      <c r="K469" s="50" t="s">
        <v>518</v>
      </c>
      <c r="L469" s="50" t="s">
        <v>544</v>
      </c>
      <c r="M469" s="50" t="s">
        <v>368</v>
      </c>
      <c r="N469" s="51">
        <v>8.9700000000000006</v>
      </c>
    </row>
    <row r="470" spans="1:14" x14ac:dyDescent="0.3">
      <c r="A470" s="50" t="s">
        <v>789</v>
      </c>
      <c r="B470" s="50" t="s">
        <v>759</v>
      </c>
      <c r="C470" s="50" t="s">
        <v>790</v>
      </c>
      <c r="D470" s="50" t="s">
        <v>624</v>
      </c>
      <c r="E470" s="50" t="s">
        <v>645</v>
      </c>
      <c r="F470" s="50" t="s">
        <v>626</v>
      </c>
      <c r="G470" s="50" t="s">
        <v>516</v>
      </c>
      <c r="H470" s="50" t="s">
        <v>646</v>
      </c>
      <c r="I470" s="50" t="s">
        <v>284</v>
      </c>
      <c r="J470" s="50" t="s">
        <v>518</v>
      </c>
      <c r="K470" s="50" t="s">
        <v>518</v>
      </c>
      <c r="L470" s="50" t="s">
        <v>544</v>
      </c>
      <c r="M470" s="50" t="s">
        <v>368</v>
      </c>
      <c r="N470" s="51">
        <v>22.01</v>
      </c>
    </row>
    <row r="471" spans="1:14" x14ac:dyDescent="0.3">
      <c r="A471" s="50" t="s">
        <v>789</v>
      </c>
      <c r="B471" s="50" t="s">
        <v>759</v>
      </c>
      <c r="C471" s="50" t="s">
        <v>790</v>
      </c>
      <c r="D471" s="50" t="s">
        <v>624</v>
      </c>
      <c r="E471" s="50" t="s">
        <v>647</v>
      </c>
      <c r="F471" s="50" t="s">
        <v>626</v>
      </c>
      <c r="G471" s="50" t="s">
        <v>516</v>
      </c>
      <c r="H471" s="50" t="s">
        <v>648</v>
      </c>
      <c r="I471" s="50" t="s">
        <v>283</v>
      </c>
      <c r="J471" s="50" t="s">
        <v>518</v>
      </c>
      <c r="K471" s="50" t="s">
        <v>518</v>
      </c>
      <c r="L471" s="50" t="s">
        <v>544</v>
      </c>
      <c r="M471" s="50" t="s">
        <v>368</v>
      </c>
      <c r="N471" s="51">
        <v>94.1</v>
      </c>
    </row>
    <row r="472" spans="1:14" x14ac:dyDescent="0.3">
      <c r="A472" s="50" t="s">
        <v>789</v>
      </c>
      <c r="B472" s="50" t="s">
        <v>759</v>
      </c>
      <c r="C472" s="50" t="s">
        <v>790</v>
      </c>
      <c r="D472" s="50" t="s">
        <v>624</v>
      </c>
      <c r="E472" s="50" t="s">
        <v>649</v>
      </c>
      <c r="F472" s="50" t="s">
        <v>626</v>
      </c>
      <c r="G472" s="50" t="s">
        <v>516</v>
      </c>
      <c r="H472" s="50" t="s">
        <v>650</v>
      </c>
      <c r="I472" s="50" t="s">
        <v>285</v>
      </c>
      <c r="J472" s="50" t="s">
        <v>518</v>
      </c>
      <c r="K472" s="50" t="s">
        <v>518</v>
      </c>
      <c r="L472" s="50" t="s">
        <v>544</v>
      </c>
      <c r="M472" s="50" t="s">
        <v>368</v>
      </c>
      <c r="N472" s="51">
        <v>46.33</v>
      </c>
    </row>
    <row r="473" spans="1:14" x14ac:dyDescent="0.3">
      <c r="A473" s="50" t="s">
        <v>789</v>
      </c>
      <c r="B473" s="50" t="s">
        <v>759</v>
      </c>
      <c r="C473" s="50" t="s">
        <v>790</v>
      </c>
      <c r="D473" s="50" t="s">
        <v>624</v>
      </c>
      <c r="E473" s="50" t="s">
        <v>518</v>
      </c>
      <c r="F473" s="50" t="s">
        <v>626</v>
      </c>
      <c r="G473" s="50" t="s">
        <v>516</v>
      </c>
      <c r="H473" s="50" t="s">
        <v>544</v>
      </c>
      <c r="I473" s="50" t="s">
        <v>368</v>
      </c>
      <c r="J473" s="50" t="s">
        <v>518</v>
      </c>
      <c r="K473" s="50" t="s">
        <v>518</v>
      </c>
      <c r="L473" s="50" t="s">
        <v>638</v>
      </c>
      <c r="M473" s="50" t="s">
        <v>272</v>
      </c>
      <c r="N473" s="51">
        <v>-2551.96</v>
      </c>
    </row>
    <row r="474" spans="1:14" x14ac:dyDescent="0.3">
      <c r="A474" s="50" t="s">
        <v>789</v>
      </c>
      <c r="B474" s="50" t="s">
        <v>789</v>
      </c>
      <c r="C474" s="50" t="s">
        <v>791</v>
      </c>
      <c r="D474" s="50" t="s">
        <v>614</v>
      </c>
      <c r="E474" s="50" t="s">
        <v>518</v>
      </c>
      <c r="F474" s="50" t="s">
        <v>615</v>
      </c>
      <c r="G474" s="50" t="s">
        <v>516</v>
      </c>
      <c r="H474" s="50" t="s">
        <v>521</v>
      </c>
      <c r="I474" s="50" t="s">
        <v>367</v>
      </c>
      <c r="J474" s="50" t="s">
        <v>792</v>
      </c>
      <c r="K474" s="50" t="s">
        <v>793</v>
      </c>
      <c r="L474" s="50" t="s">
        <v>544</v>
      </c>
      <c r="M474" s="50" t="s">
        <v>368</v>
      </c>
      <c r="N474" s="51">
        <v>225</v>
      </c>
    </row>
    <row r="475" spans="1:14" x14ac:dyDescent="0.3">
      <c r="A475" s="50" t="s">
        <v>789</v>
      </c>
      <c r="B475" s="50" t="s">
        <v>789</v>
      </c>
      <c r="C475" s="50" t="s">
        <v>791</v>
      </c>
      <c r="D475" s="50" t="s">
        <v>614</v>
      </c>
      <c r="E475" s="50" t="s">
        <v>518</v>
      </c>
      <c r="F475" s="50" t="s">
        <v>615</v>
      </c>
      <c r="G475" s="50" t="s">
        <v>516</v>
      </c>
      <c r="H475" s="50" t="s">
        <v>544</v>
      </c>
      <c r="I475" s="50" t="s">
        <v>368</v>
      </c>
      <c r="J475" s="50" t="s">
        <v>518</v>
      </c>
      <c r="K475" s="50" t="s">
        <v>518</v>
      </c>
      <c r="L475" s="50" t="s">
        <v>792</v>
      </c>
      <c r="M475" s="50" t="s">
        <v>794</v>
      </c>
      <c r="N475" s="51">
        <v>-225</v>
      </c>
    </row>
    <row r="476" spans="1:14" x14ac:dyDescent="0.3">
      <c r="A476" s="50" t="s">
        <v>789</v>
      </c>
      <c r="B476" s="50" t="s">
        <v>789</v>
      </c>
      <c r="C476" s="50" t="s">
        <v>795</v>
      </c>
      <c r="D476" s="50" t="s">
        <v>526</v>
      </c>
      <c r="E476" s="50" t="s">
        <v>527</v>
      </c>
      <c r="F476" s="50" t="s">
        <v>528</v>
      </c>
      <c r="G476" s="50" t="s">
        <v>516</v>
      </c>
      <c r="H476" s="50" t="s">
        <v>529</v>
      </c>
      <c r="I476" s="50" t="s">
        <v>363</v>
      </c>
      <c r="J476" s="50" t="s">
        <v>518</v>
      </c>
      <c r="K476" s="50" t="s">
        <v>518</v>
      </c>
      <c r="L476" s="50" t="s">
        <v>529</v>
      </c>
      <c r="M476" s="50" t="s">
        <v>363</v>
      </c>
      <c r="N476" s="51">
        <v>-1325.65</v>
      </c>
    </row>
    <row r="477" spans="1:14" x14ac:dyDescent="0.3">
      <c r="A477" s="50" t="s">
        <v>789</v>
      </c>
      <c r="B477" s="50" t="s">
        <v>789</v>
      </c>
      <c r="C477" s="50" t="s">
        <v>795</v>
      </c>
      <c r="D477" s="50" t="s">
        <v>526</v>
      </c>
      <c r="E477" s="50" t="s">
        <v>556</v>
      </c>
      <c r="F477" s="50" t="s">
        <v>528</v>
      </c>
      <c r="G477" s="50" t="s">
        <v>516</v>
      </c>
      <c r="H477" s="50" t="s">
        <v>529</v>
      </c>
      <c r="I477" s="50" t="s">
        <v>363</v>
      </c>
      <c r="J477" s="50" t="s">
        <v>518</v>
      </c>
      <c r="K477" s="50" t="s">
        <v>518</v>
      </c>
      <c r="L477" s="50" t="s">
        <v>529</v>
      </c>
      <c r="M477" s="50" t="s">
        <v>363</v>
      </c>
      <c r="N477" s="51">
        <v>254</v>
      </c>
    </row>
    <row r="478" spans="1:14" x14ac:dyDescent="0.3">
      <c r="A478" s="50" t="s">
        <v>789</v>
      </c>
      <c r="B478" s="50" t="s">
        <v>789</v>
      </c>
      <c r="C478" s="50" t="s">
        <v>795</v>
      </c>
      <c r="D478" s="50" t="s">
        <v>526</v>
      </c>
      <c r="E478" s="50" t="s">
        <v>557</v>
      </c>
      <c r="F478" s="50" t="s">
        <v>528</v>
      </c>
      <c r="G478" s="50" t="s">
        <v>516</v>
      </c>
      <c r="H478" s="50" t="s">
        <v>558</v>
      </c>
      <c r="I478" s="50" t="s">
        <v>386</v>
      </c>
      <c r="J478" s="50" t="s">
        <v>518</v>
      </c>
      <c r="K478" s="50" t="s">
        <v>518</v>
      </c>
      <c r="L478" s="50" t="s">
        <v>529</v>
      </c>
      <c r="M478" s="50" t="s">
        <v>363</v>
      </c>
      <c r="N478" s="51">
        <v>-58</v>
      </c>
    </row>
    <row r="479" spans="1:14" x14ac:dyDescent="0.3">
      <c r="A479" s="50" t="s">
        <v>789</v>
      </c>
      <c r="B479" s="50" t="s">
        <v>789</v>
      </c>
      <c r="C479" s="50" t="s">
        <v>795</v>
      </c>
      <c r="D479" s="50" t="s">
        <v>526</v>
      </c>
      <c r="E479" s="50" t="s">
        <v>534</v>
      </c>
      <c r="F479" s="50" t="s">
        <v>528</v>
      </c>
      <c r="G479" s="50" t="s">
        <v>516</v>
      </c>
      <c r="H479" s="50" t="s">
        <v>535</v>
      </c>
      <c r="I479" s="50" t="s">
        <v>371</v>
      </c>
      <c r="J479" s="50" t="s">
        <v>518</v>
      </c>
      <c r="K479" s="50" t="s">
        <v>518</v>
      </c>
      <c r="L479" s="50" t="s">
        <v>529</v>
      </c>
      <c r="M479" s="50" t="s">
        <v>363</v>
      </c>
      <c r="N479" s="51">
        <v>-501.09</v>
      </c>
    </row>
    <row r="480" spans="1:14" x14ac:dyDescent="0.3">
      <c r="A480" s="50" t="s">
        <v>789</v>
      </c>
      <c r="B480" s="50" t="s">
        <v>789</v>
      </c>
      <c r="C480" s="50" t="s">
        <v>795</v>
      </c>
      <c r="D480" s="50" t="s">
        <v>526</v>
      </c>
      <c r="E480" s="50" t="s">
        <v>559</v>
      </c>
      <c r="F480" s="50" t="s">
        <v>528</v>
      </c>
      <c r="G480" s="50" t="s">
        <v>516</v>
      </c>
      <c r="H480" s="50" t="s">
        <v>529</v>
      </c>
      <c r="I480" s="50" t="s">
        <v>363</v>
      </c>
      <c r="J480" s="50" t="s">
        <v>518</v>
      </c>
      <c r="K480" s="50" t="s">
        <v>518</v>
      </c>
      <c r="L480" s="50" t="s">
        <v>529</v>
      </c>
      <c r="M480" s="50" t="s">
        <v>363</v>
      </c>
      <c r="N480" s="51">
        <v>173.78</v>
      </c>
    </row>
    <row r="481" spans="1:14" x14ac:dyDescent="0.3">
      <c r="A481" s="50" t="s">
        <v>789</v>
      </c>
      <c r="B481" s="50" t="s">
        <v>789</v>
      </c>
      <c r="C481" s="50" t="s">
        <v>795</v>
      </c>
      <c r="D481" s="50" t="s">
        <v>526</v>
      </c>
      <c r="E481" s="50" t="s">
        <v>536</v>
      </c>
      <c r="F481" s="50" t="s">
        <v>528</v>
      </c>
      <c r="G481" s="50" t="s">
        <v>516</v>
      </c>
      <c r="H481" s="50" t="s">
        <v>537</v>
      </c>
      <c r="I481" s="50" t="s">
        <v>385</v>
      </c>
      <c r="J481" s="50" t="s">
        <v>518</v>
      </c>
      <c r="K481" s="50" t="s">
        <v>518</v>
      </c>
      <c r="L481" s="50" t="s">
        <v>529</v>
      </c>
      <c r="M481" s="50" t="s">
        <v>363</v>
      </c>
      <c r="N481" s="51">
        <v>79.55</v>
      </c>
    </row>
    <row r="482" spans="1:14" x14ac:dyDescent="0.3">
      <c r="A482" s="50" t="s">
        <v>789</v>
      </c>
      <c r="B482" s="50" t="s">
        <v>789</v>
      </c>
      <c r="C482" s="50" t="s">
        <v>795</v>
      </c>
      <c r="D482" s="50" t="s">
        <v>526</v>
      </c>
      <c r="E482" s="50" t="s">
        <v>383</v>
      </c>
      <c r="F482" s="50" t="s">
        <v>528</v>
      </c>
      <c r="G482" s="50" t="s">
        <v>516</v>
      </c>
      <c r="H482" s="50" t="s">
        <v>538</v>
      </c>
      <c r="I482" s="50" t="s">
        <v>383</v>
      </c>
      <c r="J482" s="50" t="s">
        <v>518</v>
      </c>
      <c r="K482" s="50" t="s">
        <v>518</v>
      </c>
      <c r="L482" s="50" t="s">
        <v>529</v>
      </c>
      <c r="M482" s="50" t="s">
        <v>363</v>
      </c>
      <c r="N482" s="51">
        <v>126</v>
      </c>
    </row>
    <row r="483" spans="1:14" x14ac:dyDescent="0.3">
      <c r="A483" s="50" t="s">
        <v>789</v>
      </c>
      <c r="B483" s="50" t="s">
        <v>789</v>
      </c>
      <c r="C483" s="50" t="s">
        <v>795</v>
      </c>
      <c r="D483" s="50" t="s">
        <v>526</v>
      </c>
      <c r="E483" s="50" t="s">
        <v>539</v>
      </c>
      <c r="F483" s="50" t="s">
        <v>528</v>
      </c>
      <c r="G483" s="50" t="s">
        <v>516</v>
      </c>
      <c r="H483" s="50" t="s">
        <v>529</v>
      </c>
      <c r="I483" s="50" t="s">
        <v>363</v>
      </c>
      <c r="J483" s="50" t="s">
        <v>518</v>
      </c>
      <c r="K483" s="50" t="s">
        <v>518</v>
      </c>
      <c r="L483" s="50" t="s">
        <v>529</v>
      </c>
      <c r="M483" s="50" t="s">
        <v>363</v>
      </c>
      <c r="N483" s="51">
        <v>260.85000000000002</v>
      </c>
    </row>
    <row r="484" spans="1:14" x14ac:dyDescent="0.3">
      <c r="A484" s="50" t="s">
        <v>789</v>
      </c>
      <c r="B484" s="50" t="s">
        <v>789</v>
      </c>
      <c r="C484" s="50" t="s">
        <v>795</v>
      </c>
      <c r="D484" s="50" t="s">
        <v>526</v>
      </c>
      <c r="E484" s="50" t="s">
        <v>420</v>
      </c>
      <c r="F484" s="50" t="s">
        <v>528</v>
      </c>
      <c r="G484" s="50" t="s">
        <v>391</v>
      </c>
      <c r="H484" s="50" t="s">
        <v>561</v>
      </c>
      <c r="I484" s="50" t="s">
        <v>269</v>
      </c>
      <c r="J484" s="50" t="s">
        <v>518</v>
      </c>
      <c r="K484" s="50" t="s">
        <v>518</v>
      </c>
      <c r="L484" s="50" t="s">
        <v>529</v>
      </c>
      <c r="M484" s="50" t="s">
        <v>363</v>
      </c>
      <c r="N484" s="51">
        <v>-23.99</v>
      </c>
    </row>
    <row r="485" spans="1:14" x14ac:dyDescent="0.3">
      <c r="A485" s="50" t="s">
        <v>789</v>
      </c>
      <c r="B485" s="50" t="s">
        <v>789</v>
      </c>
      <c r="C485" s="50" t="s">
        <v>795</v>
      </c>
      <c r="D485" s="50" t="s">
        <v>526</v>
      </c>
      <c r="E485" s="50" t="s">
        <v>709</v>
      </c>
      <c r="F485" s="50" t="s">
        <v>528</v>
      </c>
      <c r="G485" s="50" t="s">
        <v>516</v>
      </c>
      <c r="H485" s="50" t="s">
        <v>710</v>
      </c>
      <c r="I485" s="50" t="s">
        <v>373</v>
      </c>
      <c r="J485" s="50" t="s">
        <v>518</v>
      </c>
      <c r="K485" s="50" t="s">
        <v>518</v>
      </c>
      <c r="L485" s="50" t="s">
        <v>529</v>
      </c>
      <c r="M485" s="50" t="s">
        <v>363</v>
      </c>
      <c r="N485" s="51">
        <v>25</v>
      </c>
    </row>
    <row r="486" spans="1:14" x14ac:dyDescent="0.3">
      <c r="A486" s="50" t="s">
        <v>789</v>
      </c>
      <c r="B486" s="50" t="s">
        <v>789</v>
      </c>
      <c r="C486" s="50" t="s">
        <v>795</v>
      </c>
      <c r="D486" s="50" t="s">
        <v>526</v>
      </c>
      <c r="E486" s="50" t="s">
        <v>540</v>
      </c>
      <c r="F486" s="50" t="s">
        <v>528</v>
      </c>
      <c r="G486" s="50" t="s">
        <v>516</v>
      </c>
      <c r="H486" s="50" t="s">
        <v>533</v>
      </c>
      <c r="I486" s="50" t="s">
        <v>364</v>
      </c>
      <c r="J486" s="50" t="s">
        <v>518</v>
      </c>
      <c r="K486" s="50" t="s">
        <v>518</v>
      </c>
      <c r="L486" s="50" t="s">
        <v>529</v>
      </c>
      <c r="M486" s="50" t="s">
        <v>363</v>
      </c>
      <c r="N486" s="51">
        <v>89.87</v>
      </c>
    </row>
    <row r="487" spans="1:14" x14ac:dyDescent="0.3">
      <c r="A487" s="50" t="s">
        <v>789</v>
      </c>
      <c r="B487" s="50" t="s">
        <v>789</v>
      </c>
      <c r="C487" s="50" t="s">
        <v>795</v>
      </c>
      <c r="D487" s="50" t="s">
        <v>526</v>
      </c>
      <c r="E487" s="50" t="s">
        <v>540</v>
      </c>
      <c r="F487" s="50" t="s">
        <v>528</v>
      </c>
      <c r="G487" s="50" t="s">
        <v>516</v>
      </c>
      <c r="H487" s="50" t="s">
        <v>530</v>
      </c>
      <c r="I487" s="50" t="s">
        <v>382</v>
      </c>
      <c r="J487" s="50" t="s">
        <v>518</v>
      </c>
      <c r="K487" s="50" t="s">
        <v>518</v>
      </c>
      <c r="L487" s="50" t="s">
        <v>529</v>
      </c>
      <c r="M487" s="50" t="s">
        <v>363</v>
      </c>
      <c r="N487" s="51">
        <v>-89.87</v>
      </c>
    </row>
    <row r="488" spans="1:14" x14ac:dyDescent="0.3">
      <c r="A488" s="50" t="s">
        <v>789</v>
      </c>
      <c r="B488" s="50" t="s">
        <v>789</v>
      </c>
      <c r="C488" s="50" t="s">
        <v>795</v>
      </c>
      <c r="D488" s="50" t="s">
        <v>526</v>
      </c>
      <c r="E488" s="50" t="s">
        <v>541</v>
      </c>
      <c r="F488" s="50" t="s">
        <v>528</v>
      </c>
      <c r="G488" s="50" t="s">
        <v>516</v>
      </c>
      <c r="H488" s="50" t="s">
        <v>542</v>
      </c>
      <c r="I488" s="50" t="s">
        <v>369</v>
      </c>
      <c r="J488" s="50" t="s">
        <v>518</v>
      </c>
      <c r="K488" s="50" t="s">
        <v>518</v>
      </c>
      <c r="L488" s="50" t="s">
        <v>529</v>
      </c>
      <c r="M488" s="50" t="s">
        <v>363</v>
      </c>
      <c r="N488" s="51">
        <v>-544</v>
      </c>
    </row>
    <row r="489" spans="1:14" x14ac:dyDescent="0.3">
      <c r="A489" s="50" t="s">
        <v>789</v>
      </c>
      <c r="B489" s="50" t="s">
        <v>789</v>
      </c>
      <c r="C489" s="50" t="s">
        <v>795</v>
      </c>
      <c r="D489" s="50" t="s">
        <v>526</v>
      </c>
      <c r="E489" s="50" t="s">
        <v>541</v>
      </c>
      <c r="F489" s="50" t="s">
        <v>528</v>
      </c>
      <c r="G489" s="50" t="s">
        <v>516</v>
      </c>
      <c r="H489" s="50" t="s">
        <v>530</v>
      </c>
      <c r="I489" s="50" t="s">
        <v>382</v>
      </c>
      <c r="J489" s="50" t="s">
        <v>518</v>
      </c>
      <c r="K489" s="50" t="s">
        <v>518</v>
      </c>
      <c r="L489" s="50" t="s">
        <v>529</v>
      </c>
      <c r="M489" s="50" t="s">
        <v>363</v>
      </c>
      <c r="N489" s="51">
        <v>544</v>
      </c>
    </row>
    <row r="490" spans="1:14" x14ac:dyDescent="0.3">
      <c r="A490" s="50" t="s">
        <v>789</v>
      </c>
      <c r="B490" s="50" t="s">
        <v>789</v>
      </c>
      <c r="C490" s="50" t="s">
        <v>795</v>
      </c>
      <c r="D490" s="50" t="s">
        <v>526</v>
      </c>
      <c r="E490" s="50" t="s">
        <v>669</v>
      </c>
      <c r="F490" s="50" t="s">
        <v>528</v>
      </c>
      <c r="G490" s="50" t="s">
        <v>516</v>
      </c>
      <c r="H490" s="50" t="s">
        <v>670</v>
      </c>
      <c r="I490" s="50" t="s">
        <v>375</v>
      </c>
      <c r="J490" s="50" t="s">
        <v>518</v>
      </c>
      <c r="K490" s="50" t="s">
        <v>518</v>
      </c>
      <c r="L490" s="50" t="s">
        <v>529</v>
      </c>
      <c r="M490" s="50" t="s">
        <v>363</v>
      </c>
      <c r="N490" s="51">
        <v>86.44</v>
      </c>
    </row>
    <row r="491" spans="1:14" x14ac:dyDescent="0.3">
      <c r="A491" s="50" t="s">
        <v>789</v>
      </c>
      <c r="B491" s="50" t="s">
        <v>789</v>
      </c>
      <c r="C491" s="50" t="s">
        <v>795</v>
      </c>
      <c r="D491" s="50" t="s">
        <v>526</v>
      </c>
      <c r="E491" s="50" t="s">
        <v>562</v>
      </c>
      <c r="F491" s="50" t="s">
        <v>528</v>
      </c>
      <c r="G491" s="50" t="s">
        <v>391</v>
      </c>
      <c r="H491" s="50" t="s">
        <v>563</v>
      </c>
      <c r="I491" s="50" t="s">
        <v>264</v>
      </c>
      <c r="J491" s="50" t="s">
        <v>518</v>
      </c>
      <c r="K491" s="50" t="s">
        <v>518</v>
      </c>
      <c r="L491" s="50" t="s">
        <v>529</v>
      </c>
      <c r="M491" s="50" t="s">
        <v>363</v>
      </c>
      <c r="N491" s="51">
        <v>-1.96</v>
      </c>
    </row>
    <row r="492" spans="1:14" x14ac:dyDescent="0.3">
      <c r="A492" s="50" t="s">
        <v>789</v>
      </c>
      <c r="B492" s="50" t="s">
        <v>789</v>
      </c>
      <c r="C492" s="50" t="s">
        <v>795</v>
      </c>
      <c r="D492" s="50" t="s">
        <v>526</v>
      </c>
      <c r="E492" s="50" t="s">
        <v>543</v>
      </c>
      <c r="F492" s="50" t="s">
        <v>528</v>
      </c>
      <c r="G492" s="50" t="s">
        <v>516</v>
      </c>
      <c r="H492" s="50" t="s">
        <v>529</v>
      </c>
      <c r="I492" s="50" t="s">
        <v>363</v>
      </c>
      <c r="J492" s="50" t="s">
        <v>518</v>
      </c>
      <c r="K492" s="50" t="s">
        <v>518</v>
      </c>
      <c r="L492" s="50" t="s">
        <v>529</v>
      </c>
      <c r="M492" s="50" t="s">
        <v>363</v>
      </c>
      <c r="N492" s="51">
        <v>920.07</v>
      </c>
    </row>
    <row r="493" spans="1:14" x14ac:dyDescent="0.3">
      <c r="A493" s="50" t="s">
        <v>789</v>
      </c>
      <c r="B493" s="50" t="s">
        <v>789</v>
      </c>
      <c r="C493" s="50" t="s">
        <v>795</v>
      </c>
      <c r="D493" s="50" t="s">
        <v>526</v>
      </c>
      <c r="E493" s="50" t="s">
        <v>518</v>
      </c>
      <c r="F493" s="50" t="s">
        <v>528</v>
      </c>
      <c r="G493" s="50" t="s">
        <v>516</v>
      </c>
      <c r="H493" s="50" t="s">
        <v>544</v>
      </c>
      <c r="I493" s="50" t="s">
        <v>368</v>
      </c>
      <c r="J493" s="50" t="s">
        <v>518</v>
      </c>
      <c r="K493" s="50" t="s">
        <v>518</v>
      </c>
      <c r="L493" s="50" t="s">
        <v>529</v>
      </c>
      <c r="M493" s="50" t="s">
        <v>363</v>
      </c>
      <c r="N493" s="51">
        <v>-40.950000000000003</v>
      </c>
    </row>
    <row r="494" spans="1:14" x14ac:dyDescent="0.3">
      <c r="A494" s="50" t="s">
        <v>789</v>
      </c>
      <c r="B494" s="50" t="s">
        <v>789</v>
      </c>
      <c r="C494" s="50" t="s">
        <v>795</v>
      </c>
      <c r="D494" s="50" t="s">
        <v>526</v>
      </c>
      <c r="E494" s="50" t="s">
        <v>518</v>
      </c>
      <c r="F494" s="50" t="s">
        <v>528</v>
      </c>
      <c r="G494" s="50" t="s">
        <v>391</v>
      </c>
      <c r="H494" s="50" t="s">
        <v>544</v>
      </c>
      <c r="I494" s="50" t="s">
        <v>368</v>
      </c>
      <c r="J494" s="50" t="s">
        <v>518</v>
      </c>
      <c r="K494" s="50" t="s">
        <v>518</v>
      </c>
      <c r="L494" s="50" t="s">
        <v>529</v>
      </c>
      <c r="M494" s="50" t="s">
        <v>363</v>
      </c>
      <c r="N494" s="51">
        <v>25.95</v>
      </c>
    </row>
    <row r="495" spans="1:14" x14ac:dyDescent="0.3">
      <c r="A495" s="50" t="s">
        <v>789</v>
      </c>
      <c r="B495" s="50" t="s">
        <v>789</v>
      </c>
      <c r="C495" s="50" t="s">
        <v>796</v>
      </c>
      <c r="D495" s="50" t="s">
        <v>565</v>
      </c>
      <c r="E495" s="50" t="s">
        <v>518</v>
      </c>
      <c r="F495" s="50" t="s">
        <v>566</v>
      </c>
      <c r="G495" s="50" t="s">
        <v>391</v>
      </c>
      <c r="H495" s="50" t="s">
        <v>567</v>
      </c>
      <c r="I495" s="50" t="s">
        <v>395</v>
      </c>
      <c r="J495" s="50" t="s">
        <v>518</v>
      </c>
      <c r="K495" s="50" t="s">
        <v>518</v>
      </c>
      <c r="L495" s="50" t="s">
        <v>568</v>
      </c>
      <c r="M495" s="50" t="s">
        <v>401</v>
      </c>
      <c r="N495" s="51">
        <v>5.08</v>
      </c>
    </row>
    <row r="496" spans="1:14" x14ac:dyDescent="0.3">
      <c r="A496" s="50" t="s">
        <v>789</v>
      </c>
      <c r="B496" s="50" t="s">
        <v>789</v>
      </c>
      <c r="C496" s="50" t="s">
        <v>796</v>
      </c>
      <c r="D496" s="50" t="s">
        <v>565</v>
      </c>
      <c r="E496" s="50" t="s">
        <v>518</v>
      </c>
      <c r="F496" s="50" t="s">
        <v>566</v>
      </c>
      <c r="G496" s="50" t="s">
        <v>391</v>
      </c>
      <c r="H496" s="50" t="s">
        <v>568</v>
      </c>
      <c r="I496" s="50" t="s">
        <v>401</v>
      </c>
      <c r="J496" s="50" t="s">
        <v>518</v>
      </c>
      <c r="K496" s="50" t="s">
        <v>518</v>
      </c>
      <c r="L496" s="50" t="s">
        <v>567</v>
      </c>
      <c r="M496" s="50" t="s">
        <v>395</v>
      </c>
      <c r="N496" s="51">
        <v>-5.08</v>
      </c>
    </row>
    <row r="497" spans="1:14" x14ac:dyDescent="0.3">
      <c r="A497" s="50" t="s">
        <v>789</v>
      </c>
      <c r="B497" s="50" t="s">
        <v>789</v>
      </c>
      <c r="C497" s="50" t="s">
        <v>797</v>
      </c>
      <c r="D497" s="50" t="s">
        <v>565</v>
      </c>
      <c r="E497" s="50" t="s">
        <v>518</v>
      </c>
      <c r="F497" s="50" t="s">
        <v>566</v>
      </c>
      <c r="G497" s="50" t="s">
        <v>391</v>
      </c>
      <c r="H497" s="50" t="s">
        <v>574</v>
      </c>
      <c r="I497" s="50" t="s">
        <v>392</v>
      </c>
      <c r="J497" s="50" t="s">
        <v>518</v>
      </c>
      <c r="K497" s="50" t="s">
        <v>518</v>
      </c>
      <c r="L497" s="50" t="s">
        <v>568</v>
      </c>
      <c r="M497" s="50" t="s">
        <v>401</v>
      </c>
      <c r="N497" s="51">
        <v>5.08</v>
      </c>
    </row>
    <row r="498" spans="1:14" x14ac:dyDescent="0.3">
      <c r="A498" s="50" t="s">
        <v>789</v>
      </c>
      <c r="B498" s="50" t="s">
        <v>789</v>
      </c>
      <c r="C498" s="50" t="s">
        <v>797</v>
      </c>
      <c r="D498" s="50" t="s">
        <v>565</v>
      </c>
      <c r="E498" s="50" t="s">
        <v>518</v>
      </c>
      <c r="F498" s="50" t="s">
        <v>566</v>
      </c>
      <c r="G498" s="50" t="s">
        <v>391</v>
      </c>
      <c r="H498" s="50" t="s">
        <v>568</v>
      </c>
      <c r="I498" s="50" t="s">
        <v>401</v>
      </c>
      <c r="J498" s="50" t="s">
        <v>518</v>
      </c>
      <c r="K498" s="50" t="s">
        <v>518</v>
      </c>
      <c r="L498" s="50" t="s">
        <v>574</v>
      </c>
      <c r="M498" s="50" t="s">
        <v>392</v>
      </c>
      <c r="N498" s="51">
        <v>-5.08</v>
      </c>
    </row>
    <row r="499" spans="1:14" x14ac:dyDescent="0.3">
      <c r="A499" s="50" t="s">
        <v>789</v>
      </c>
      <c r="B499" s="50" t="s">
        <v>789</v>
      </c>
      <c r="C499" s="50" t="s">
        <v>798</v>
      </c>
      <c r="D499" s="50" t="s">
        <v>565</v>
      </c>
      <c r="E499" s="50" t="s">
        <v>518</v>
      </c>
      <c r="F499" s="50" t="s">
        <v>566</v>
      </c>
      <c r="G499" s="50" t="s">
        <v>391</v>
      </c>
      <c r="H499" s="50" t="s">
        <v>567</v>
      </c>
      <c r="I499" s="50" t="s">
        <v>395</v>
      </c>
      <c r="J499" s="50" t="s">
        <v>518</v>
      </c>
      <c r="K499" s="50" t="s">
        <v>518</v>
      </c>
      <c r="L499" s="50" t="s">
        <v>568</v>
      </c>
      <c r="M499" s="50" t="s">
        <v>401</v>
      </c>
      <c r="N499" s="51">
        <v>5.08</v>
      </c>
    </row>
    <row r="500" spans="1:14" x14ac:dyDescent="0.3">
      <c r="A500" s="50" t="s">
        <v>789</v>
      </c>
      <c r="B500" s="50" t="s">
        <v>789</v>
      </c>
      <c r="C500" s="50" t="s">
        <v>798</v>
      </c>
      <c r="D500" s="50" t="s">
        <v>565</v>
      </c>
      <c r="E500" s="50" t="s">
        <v>518</v>
      </c>
      <c r="F500" s="50" t="s">
        <v>566</v>
      </c>
      <c r="G500" s="50" t="s">
        <v>391</v>
      </c>
      <c r="H500" s="50" t="s">
        <v>568</v>
      </c>
      <c r="I500" s="50" t="s">
        <v>401</v>
      </c>
      <c r="J500" s="50" t="s">
        <v>518</v>
      </c>
      <c r="K500" s="50" t="s">
        <v>518</v>
      </c>
      <c r="L500" s="50" t="s">
        <v>567</v>
      </c>
      <c r="M500" s="50" t="s">
        <v>395</v>
      </c>
      <c r="N500" s="51">
        <v>-5.08</v>
      </c>
    </row>
    <row r="501" spans="1:14" x14ac:dyDescent="0.3">
      <c r="A501" s="50" t="s">
        <v>789</v>
      </c>
      <c r="B501" s="50" t="s">
        <v>789</v>
      </c>
      <c r="C501" s="50" t="s">
        <v>799</v>
      </c>
      <c r="D501" s="50" t="s">
        <v>565</v>
      </c>
      <c r="E501" s="50" t="s">
        <v>518</v>
      </c>
      <c r="F501" s="50" t="s">
        <v>566</v>
      </c>
      <c r="G501" s="50" t="s">
        <v>391</v>
      </c>
      <c r="H501" s="50" t="s">
        <v>574</v>
      </c>
      <c r="I501" s="50" t="s">
        <v>392</v>
      </c>
      <c r="J501" s="50" t="s">
        <v>518</v>
      </c>
      <c r="K501" s="50" t="s">
        <v>518</v>
      </c>
      <c r="L501" s="50" t="s">
        <v>568</v>
      </c>
      <c r="M501" s="50" t="s">
        <v>401</v>
      </c>
      <c r="N501" s="51">
        <v>5.08</v>
      </c>
    </row>
    <row r="502" spans="1:14" x14ac:dyDescent="0.3">
      <c r="A502" s="50" t="s">
        <v>789</v>
      </c>
      <c r="B502" s="50" t="s">
        <v>789</v>
      </c>
      <c r="C502" s="50" t="s">
        <v>799</v>
      </c>
      <c r="D502" s="50" t="s">
        <v>565</v>
      </c>
      <c r="E502" s="50" t="s">
        <v>518</v>
      </c>
      <c r="F502" s="50" t="s">
        <v>566</v>
      </c>
      <c r="G502" s="50" t="s">
        <v>391</v>
      </c>
      <c r="H502" s="50" t="s">
        <v>568</v>
      </c>
      <c r="I502" s="50" t="s">
        <v>401</v>
      </c>
      <c r="J502" s="50" t="s">
        <v>518</v>
      </c>
      <c r="K502" s="50" t="s">
        <v>518</v>
      </c>
      <c r="L502" s="50" t="s">
        <v>574</v>
      </c>
      <c r="M502" s="50" t="s">
        <v>392</v>
      </c>
      <c r="N502" s="51">
        <v>-5.08</v>
      </c>
    </row>
    <row r="503" spans="1:14" x14ac:dyDescent="0.3">
      <c r="A503" s="50" t="s">
        <v>800</v>
      </c>
      <c r="B503" s="50" t="s">
        <v>789</v>
      </c>
      <c r="C503" s="50" t="s">
        <v>801</v>
      </c>
      <c r="D503" s="50" t="s">
        <v>548</v>
      </c>
      <c r="E503" s="50" t="s">
        <v>802</v>
      </c>
      <c r="F503" s="50" t="s">
        <v>550</v>
      </c>
      <c r="G503" s="50" t="s">
        <v>516</v>
      </c>
      <c r="H503" s="50" t="s">
        <v>803</v>
      </c>
      <c r="I503" s="50" t="s">
        <v>261</v>
      </c>
      <c r="J503" s="50" t="s">
        <v>518</v>
      </c>
      <c r="K503" s="50" t="s">
        <v>518</v>
      </c>
      <c r="L503" s="50" t="s">
        <v>804</v>
      </c>
      <c r="M503" s="50" t="s">
        <v>805</v>
      </c>
      <c r="N503" s="51">
        <v>1500</v>
      </c>
    </row>
    <row r="504" spans="1:14" x14ac:dyDescent="0.3">
      <c r="A504" s="50" t="s">
        <v>800</v>
      </c>
      <c r="B504" s="50" t="s">
        <v>789</v>
      </c>
      <c r="C504" s="50" t="s">
        <v>801</v>
      </c>
      <c r="D504" s="50" t="s">
        <v>548</v>
      </c>
      <c r="E504" s="50" t="s">
        <v>802</v>
      </c>
      <c r="F504" s="50" t="s">
        <v>550</v>
      </c>
      <c r="G504" s="50" t="s">
        <v>516</v>
      </c>
      <c r="H504" s="50" t="s">
        <v>521</v>
      </c>
      <c r="I504" s="50" t="s">
        <v>367</v>
      </c>
      <c r="J504" s="50" t="s">
        <v>804</v>
      </c>
      <c r="K504" s="50" t="s">
        <v>806</v>
      </c>
      <c r="L504" s="50" t="s">
        <v>803</v>
      </c>
      <c r="M504" s="50" t="s">
        <v>261</v>
      </c>
      <c r="N504" s="51">
        <v>-1500</v>
      </c>
    </row>
    <row r="505" spans="1:14" x14ac:dyDescent="0.3">
      <c r="A505" s="50" t="s">
        <v>800</v>
      </c>
      <c r="B505" s="50" t="s">
        <v>789</v>
      </c>
      <c r="C505" s="50" t="s">
        <v>807</v>
      </c>
      <c r="D505" s="50" t="s">
        <v>548</v>
      </c>
      <c r="E505" s="50" t="s">
        <v>808</v>
      </c>
      <c r="F505" s="50" t="s">
        <v>550</v>
      </c>
      <c r="G505" s="50" t="s">
        <v>516</v>
      </c>
      <c r="H505" s="50" t="s">
        <v>803</v>
      </c>
      <c r="I505" s="50" t="s">
        <v>261</v>
      </c>
      <c r="J505" s="50" t="s">
        <v>518</v>
      </c>
      <c r="K505" s="50" t="s">
        <v>518</v>
      </c>
      <c r="L505" s="50" t="s">
        <v>804</v>
      </c>
      <c r="M505" s="50" t="s">
        <v>805</v>
      </c>
      <c r="N505" s="51">
        <v>1500</v>
      </c>
    </row>
    <row r="506" spans="1:14" x14ac:dyDescent="0.3">
      <c r="A506" s="50" t="s">
        <v>800</v>
      </c>
      <c r="B506" s="50" t="s">
        <v>789</v>
      </c>
      <c r="C506" s="50" t="s">
        <v>807</v>
      </c>
      <c r="D506" s="50" t="s">
        <v>548</v>
      </c>
      <c r="E506" s="50" t="s">
        <v>808</v>
      </c>
      <c r="F506" s="50" t="s">
        <v>550</v>
      </c>
      <c r="G506" s="50" t="s">
        <v>516</v>
      </c>
      <c r="H506" s="50" t="s">
        <v>521</v>
      </c>
      <c r="I506" s="50" t="s">
        <v>367</v>
      </c>
      <c r="J506" s="50" t="s">
        <v>804</v>
      </c>
      <c r="K506" s="50" t="s">
        <v>806</v>
      </c>
      <c r="L506" s="50" t="s">
        <v>803</v>
      </c>
      <c r="M506" s="50" t="s">
        <v>261</v>
      </c>
      <c r="N506" s="51">
        <v>-1500</v>
      </c>
    </row>
    <row r="507" spans="1:14" x14ac:dyDescent="0.3">
      <c r="A507" s="50" t="s">
        <v>800</v>
      </c>
      <c r="B507" s="50" t="s">
        <v>800</v>
      </c>
      <c r="C507" s="50" t="s">
        <v>809</v>
      </c>
      <c r="D507" s="50" t="s">
        <v>718</v>
      </c>
      <c r="E507" s="50" t="s">
        <v>810</v>
      </c>
      <c r="F507" s="50" t="s">
        <v>720</v>
      </c>
      <c r="G507" s="50" t="s">
        <v>516</v>
      </c>
      <c r="H507" s="50" t="s">
        <v>586</v>
      </c>
      <c r="I507" s="50" t="s">
        <v>365</v>
      </c>
      <c r="J507" s="50" t="s">
        <v>518</v>
      </c>
      <c r="K507" s="50" t="s">
        <v>518</v>
      </c>
      <c r="L507" s="50" t="s">
        <v>586</v>
      </c>
      <c r="M507" s="50" t="s">
        <v>365</v>
      </c>
      <c r="N507" s="51">
        <v>729.42</v>
      </c>
    </row>
    <row r="508" spans="1:14" x14ac:dyDescent="0.3">
      <c r="A508" s="50" t="s">
        <v>800</v>
      </c>
      <c r="B508" s="50" t="s">
        <v>800</v>
      </c>
      <c r="C508" s="50" t="s">
        <v>809</v>
      </c>
      <c r="D508" s="50" t="s">
        <v>718</v>
      </c>
      <c r="E508" s="50" t="s">
        <v>518</v>
      </c>
      <c r="F508" s="50" t="s">
        <v>720</v>
      </c>
      <c r="G508" s="50" t="s">
        <v>516</v>
      </c>
      <c r="H508" s="50" t="s">
        <v>544</v>
      </c>
      <c r="I508" s="50" t="s">
        <v>368</v>
      </c>
      <c r="J508" s="50" t="s">
        <v>518</v>
      </c>
      <c r="K508" s="50" t="s">
        <v>518</v>
      </c>
      <c r="L508" s="50" t="s">
        <v>586</v>
      </c>
      <c r="M508" s="50" t="s">
        <v>365</v>
      </c>
      <c r="N508" s="51">
        <v>-729.42</v>
      </c>
    </row>
    <row r="509" spans="1:14" x14ac:dyDescent="0.3">
      <c r="A509" s="50" t="s">
        <v>800</v>
      </c>
      <c r="B509" s="50" t="s">
        <v>800</v>
      </c>
      <c r="C509" s="50" t="s">
        <v>811</v>
      </c>
      <c r="D509" s="50" t="s">
        <v>526</v>
      </c>
      <c r="E509" s="50" t="s">
        <v>527</v>
      </c>
      <c r="F509" s="50" t="s">
        <v>528</v>
      </c>
      <c r="G509" s="50" t="s">
        <v>516</v>
      </c>
      <c r="H509" s="50" t="s">
        <v>529</v>
      </c>
      <c r="I509" s="50" t="s">
        <v>363</v>
      </c>
      <c r="J509" s="50" t="s">
        <v>518</v>
      </c>
      <c r="K509" s="50" t="s">
        <v>518</v>
      </c>
      <c r="L509" s="50" t="s">
        <v>535</v>
      </c>
      <c r="M509" s="50" t="s">
        <v>371</v>
      </c>
      <c r="N509" s="51">
        <v>142</v>
      </c>
    </row>
    <row r="510" spans="1:14" x14ac:dyDescent="0.3">
      <c r="A510" s="50" t="s">
        <v>800</v>
      </c>
      <c r="B510" s="50" t="s">
        <v>800</v>
      </c>
      <c r="C510" s="50" t="s">
        <v>811</v>
      </c>
      <c r="D510" s="50" t="s">
        <v>526</v>
      </c>
      <c r="E510" s="50" t="s">
        <v>556</v>
      </c>
      <c r="F510" s="50" t="s">
        <v>528</v>
      </c>
      <c r="G510" s="50" t="s">
        <v>516</v>
      </c>
      <c r="H510" s="50" t="s">
        <v>529</v>
      </c>
      <c r="I510" s="50" t="s">
        <v>363</v>
      </c>
      <c r="J510" s="50" t="s">
        <v>518</v>
      </c>
      <c r="K510" s="50" t="s">
        <v>518</v>
      </c>
      <c r="L510" s="50" t="s">
        <v>535</v>
      </c>
      <c r="M510" s="50" t="s">
        <v>371</v>
      </c>
      <c r="N510" s="51">
        <v>53.78</v>
      </c>
    </row>
    <row r="511" spans="1:14" x14ac:dyDescent="0.3">
      <c r="A511" s="50" t="s">
        <v>800</v>
      </c>
      <c r="B511" s="50" t="s">
        <v>800</v>
      </c>
      <c r="C511" s="50" t="s">
        <v>811</v>
      </c>
      <c r="D511" s="50" t="s">
        <v>526</v>
      </c>
      <c r="E511" s="50" t="s">
        <v>557</v>
      </c>
      <c r="F511" s="50" t="s">
        <v>528</v>
      </c>
      <c r="G511" s="50" t="s">
        <v>516</v>
      </c>
      <c r="H511" s="50" t="s">
        <v>558</v>
      </c>
      <c r="I511" s="50" t="s">
        <v>386</v>
      </c>
      <c r="J511" s="50" t="s">
        <v>518</v>
      </c>
      <c r="K511" s="50" t="s">
        <v>518</v>
      </c>
      <c r="L511" s="50" t="s">
        <v>529</v>
      </c>
      <c r="M511" s="50" t="s">
        <v>363</v>
      </c>
      <c r="N511" s="51">
        <v>-58</v>
      </c>
    </row>
    <row r="512" spans="1:14" x14ac:dyDescent="0.3">
      <c r="A512" s="50" t="s">
        <v>800</v>
      </c>
      <c r="B512" s="50" t="s">
        <v>800</v>
      </c>
      <c r="C512" s="50" t="s">
        <v>811</v>
      </c>
      <c r="D512" s="50" t="s">
        <v>526</v>
      </c>
      <c r="E512" s="50" t="s">
        <v>534</v>
      </c>
      <c r="F512" s="50" t="s">
        <v>528</v>
      </c>
      <c r="G512" s="50" t="s">
        <v>516</v>
      </c>
      <c r="H512" s="50" t="s">
        <v>535</v>
      </c>
      <c r="I512" s="50" t="s">
        <v>371</v>
      </c>
      <c r="J512" s="50" t="s">
        <v>518</v>
      </c>
      <c r="K512" s="50" t="s">
        <v>518</v>
      </c>
      <c r="L512" s="50" t="s">
        <v>529</v>
      </c>
      <c r="M512" s="50" t="s">
        <v>363</v>
      </c>
      <c r="N512" s="51">
        <v>-1070</v>
      </c>
    </row>
    <row r="513" spans="1:14" x14ac:dyDescent="0.3">
      <c r="A513" s="50" t="s">
        <v>800</v>
      </c>
      <c r="B513" s="50" t="s">
        <v>800</v>
      </c>
      <c r="C513" s="50" t="s">
        <v>811</v>
      </c>
      <c r="D513" s="50" t="s">
        <v>526</v>
      </c>
      <c r="E513" s="50" t="s">
        <v>536</v>
      </c>
      <c r="F513" s="50" t="s">
        <v>528</v>
      </c>
      <c r="G513" s="50" t="s">
        <v>516</v>
      </c>
      <c r="H513" s="50" t="s">
        <v>537</v>
      </c>
      <c r="I513" s="50" t="s">
        <v>385</v>
      </c>
      <c r="J513" s="50" t="s">
        <v>518</v>
      </c>
      <c r="K513" s="50" t="s">
        <v>518</v>
      </c>
      <c r="L513" s="50" t="s">
        <v>529</v>
      </c>
      <c r="M513" s="50" t="s">
        <v>363</v>
      </c>
      <c r="N513" s="51">
        <v>-70.099999999999994</v>
      </c>
    </row>
    <row r="514" spans="1:14" x14ac:dyDescent="0.3">
      <c r="A514" s="50" t="s">
        <v>800</v>
      </c>
      <c r="B514" s="50" t="s">
        <v>800</v>
      </c>
      <c r="C514" s="50" t="s">
        <v>811</v>
      </c>
      <c r="D514" s="50" t="s">
        <v>526</v>
      </c>
      <c r="E514" s="50" t="s">
        <v>383</v>
      </c>
      <c r="F514" s="50" t="s">
        <v>528</v>
      </c>
      <c r="G514" s="50" t="s">
        <v>516</v>
      </c>
      <c r="H514" s="50" t="s">
        <v>538</v>
      </c>
      <c r="I514" s="50" t="s">
        <v>383</v>
      </c>
      <c r="J514" s="50" t="s">
        <v>518</v>
      </c>
      <c r="K514" s="50" t="s">
        <v>518</v>
      </c>
      <c r="L514" s="50" t="s">
        <v>529</v>
      </c>
      <c r="M514" s="50" t="s">
        <v>363</v>
      </c>
      <c r="N514" s="51">
        <v>-2.85</v>
      </c>
    </row>
    <row r="515" spans="1:14" x14ac:dyDescent="0.3">
      <c r="A515" s="50" t="s">
        <v>800</v>
      </c>
      <c r="B515" s="50" t="s">
        <v>800</v>
      </c>
      <c r="C515" s="50" t="s">
        <v>811</v>
      </c>
      <c r="D515" s="50" t="s">
        <v>526</v>
      </c>
      <c r="E515" s="50" t="s">
        <v>420</v>
      </c>
      <c r="F515" s="50" t="s">
        <v>528</v>
      </c>
      <c r="G515" s="50" t="s">
        <v>391</v>
      </c>
      <c r="H515" s="50" t="s">
        <v>561</v>
      </c>
      <c r="I515" s="50" t="s">
        <v>269</v>
      </c>
      <c r="J515" s="50" t="s">
        <v>518</v>
      </c>
      <c r="K515" s="50" t="s">
        <v>518</v>
      </c>
      <c r="L515" s="50" t="s">
        <v>529</v>
      </c>
      <c r="M515" s="50" t="s">
        <v>363</v>
      </c>
      <c r="N515" s="51">
        <v>-43.98</v>
      </c>
    </row>
    <row r="516" spans="1:14" x14ac:dyDescent="0.3">
      <c r="A516" s="50" t="s">
        <v>800</v>
      </c>
      <c r="B516" s="50" t="s">
        <v>800</v>
      </c>
      <c r="C516" s="50" t="s">
        <v>811</v>
      </c>
      <c r="D516" s="50" t="s">
        <v>526</v>
      </c>
      <c r="E516" s="50" t="s">
        <v>540</v>
      </c>
      <c r="F516" s="50" t="s">
        <v>528</v>
      </c>
      <c r="G516" s="50" t="s">
        <v>516</v>
      </c>
      <c r="H516" s="50" t="s">
        <v>533</v>
      </c>
      <c r="I516" s="50" t="s">
        <v>364</v>
      </c>
      <c r="J516" s="50" t="s">
        <v>518</v>
      </c>
      <c r="K516" s="50" t="s">
        <v>518</v>
      </c>
      <c r="L516" s="50" t="s">
        <v>529</v>
      </c>
      <c r="M516" s="50" t="s">
        <v>363</v>
      </c>
      <c r="N516" s="51">
        <v>-560</v>
      </c>
    </row>
    <row r="517" spans="1:14" x14ac:dyDescent="0.3">
      <c r="A517" s="50" t="s">
        <v>800</v>
      </c>
      <c r="B517" s="50" t="s">
        <v>800</v>
      </c>
      <c r="C517" s="50" t="s">
        <v>811</v>
      </c>
      <c r="D517" s="50" t="s">
        <v>526</v>
      </c>
      <c r="E517" s="50" t="s">
        <v>540</v>
      </c>
      <c r="F517" s="50" t="s">
        <v>528</v>
      </c>
      <c r="G517" s="50" t="s">
        <v>516</v>
      </c>
      <c r="H517" s="50" t="s">
        <v>530</v>
      </c>
      <c r="I517" s="50" t="s">
        <v>382</v>
      </c>
      <c r="J517" s="50" t="s">
        <v>518</v>
      </c>
      <c r="K517" s="50" t="s">
        <v>518</v>
      </c>
      <c r="L517" s="50" t="s">
        <v>535</v>
      </c>
      <c r="M517" s="50" t="s">
        <v>371</v>
      </c>
      <c r="N517" s="51">
        <v>560</v>
      </c>
    </row>
    <row r="518" spans="1:14" x14ac:dyDescent="0.3">
      <c r="A518" s="50" t="s">
        <v>800</v>
      </c>
      <c r="B518" s="50" t="s">
        <v>800</v>
      </c>
      <c r="C518" s="50" t="s">
        <v>811</v>
      </c>
      <c r="D518" s="50" t="s">
        <v>526</v>
      </c>
      <c r="E518" s="50" t="s">
        <v>541</v>
      </c>
      <c r="F518" s="50" t="s">
        <v>528</v>
      </c>
      <c r="G518" s="50" t="s">
        <v>516</v>
      </c>
      <c r="H518" s="50" t="s">
        <v>542</v>
      </c>
      <c r="I518" s="50" t="s">
        <v>369</v>
      </c>
      <c r="J518" s="50" t="s">
        <v>518</v>
      </c>
      <c r="K518" s="50" t="s">
        <v>518</v>
      </c>
      <c r="L518" s="50" t="s">
        <v>529</v>
      </c>
      <c r="M518" s="50" t="s">
        <v>363</v>
      </c>
      <c r="N518" s="51">
        <v>-475.23</v>
      </c>
    </row>
    <row r="519" spans="1:14" x14ac:dyDescent="0.3">
      <c r="A519" s="50" t="s">
        <v>800</v>
      </c>
      <c r="B519" s="50" t="s">
        <v>800</v>
      </c>
      <c r="C519" s="50" t="s">
        <v>811</v>
      </c>
      <c r="D519" s="50" t="s">
        <v>526</v>
      </c>
      <c r="E519" s="50" t="s">
        <v>541</v>
      </c>
      <c r="F519" s="50" t="s">
        <v>528</v>
      </c>
      <c r="G519" s="50" t="s">
        <v>516</v>
      </c>
      <c r="H519" s="50" t="s">
        <v>530</v>
      </c>
      <c r="I519" s="50" t="s">
        <v>382</v>
      </c>
      <c r="J519" s="50" t="s">
        <v>518</v>
      </c>
      <c r="K519" s="50" t="s">
        <v>518</v>
      </c>
      <c r="L519" s="50" t="s">
        <v>535</v>
      </c>
      <c r="M519" s="50" t="s">
        <v>371</v>
      </c>
      <c r="N519" s="51">
        <v>475.23</v>
      </c>
    </row>
    <row r="520" spans="1:14" x14ac:dyDescent="0.3">
      <c r="A520" s="50" t="s">
        <v>800</v>
      </c>
      <c r="B520" s="50" t="s">
        <v>800</v>
      </c>
      <c r="C520" s="50" t="s">
        <v>811</v>
      </c>
      <c r="D520" s="50" t="s">
        <v>526</v>
      </c>
      <c r="E520" s="50" t="s">
        <v>562</v>
      </c>
      <c r="F520" s="50" t="s">
        <v>528</v>
      </c>
      <c r="G520" s="50" t="s">
        <v>391</v>
      </c>
      <c r="H520" s="50" t="s">
        <v>563</v>
      </c>
      <c r="I520" s="50" t="s">
        <v>264</v>
      </c>
      <c r="J520" s="50" t="s">
        <v>518</v>
      </c>
      <c r="K520" s="50" t="s">
        <v>518</v>
      </c>
      <c r="L520" s="50" t="s">
        <v>529</v>
      </c>
      <c r="M520" s="50" t="s">
        <v>363</v>
      </c>
      <c r="N520" s="51">
        <v>-3.58</v>
      </c>
    </row>
    <row r="521" spans="1:14" x14ac:dyDescent="0.3">
      <c r="A521" s="50" t="s">
        <v>800</v>
      </c>
      <c r="B521" s="50" t="s">
        <v>800</v>
      </c>
      <c r="C521" s="50" t="s">
        <v>811</v>
      </c>
      <c r="D521" s="50" t="s">
        <v>526</v>
      </c>
      <c r="E521" s="50" t="s">
        <v>543</v>
      </c>
      <c r="F521" s="50" t="s">
        <v>528</v>
      </c>
      <c r="G521" s="50" t="s">
        <v>516</v>
      </c>
      <c r="H521" s="50" t="s">
        <v>529</v>
      </c>
      <c r="I521" s="50" t="s">
        <v>363</v>
      </c>
      <c r="J521" s="50" t="s">
        <v>518</v>
      </c>
      <c r="K521" s="50" t="s">
        <v>518</v>
      </c>
      <c r="L521" s="50" t="s">
        <v>535</v>
      </c>
      <c r="M521" s="50" t="s">
        <v>371</v>
      </c>
      <c r="N521" s="51">
        <v>1067.73</v>
      </c>
    </row>
    <row r="522" spans="1:14" x14ac:dyDescent="0.3">
      <c r="A522" s="50" t="s">
        <v>800</v>
      </c>
      <c r="B522" s="50" t="s">
        <v>800</v>
      </c>
      <c r="C522" s="50" t="s">
        <v>811</v>
      </c>
      <c r="D522" s="50" t="s">
        <v>526</v>
      </c>
      <c r="E522" s="50" t="s">
        <v>518</v>
      </c>
      <c r="F522" s="50" t="s">
        <v>528</v>
      </c>
      <c r="G522" s="50" t="s">
        <v>516</v>
      </c>
      <c r="H522" s="50" t="s">
        <v>544</v>
      </c>
      <c r="I522" s="50" t="s">
        <v>368</v>
      </c>
      <c r="J522" s="50" t="s">
        <v>518</v>
      </c>
      <c r="K522" s="50" t="s">
        <v>518</v>
      </c>
      <c r="L522" s="50" t="s">
        <v>529</v>
      </c>
      <c r="M522" s="50" t="s">
        <v>363</v>
      </c>
      <c r="N522" s="51">
        <v>-62.56</v>
      </c>
    </row>
    <row r="523" spans="1:14" x14ac:dyDescent="0.3">
      <c r="A523" s="50" t="s">
        <v>800</v>
      </c>
      <c r="B523" s="50" t="s">
        <v>800</v>
      </c>
      <c r="C523" s="50" t="s">
        <v>811</v>
      </c>
      <c r="D523" s="50" t="s">
        <v>526</v>
      </c>
      <c r="E523" s="50" t="s">
        <v>518</v>
      </c>
      <c r="F523" s="50" t="s">
        <v>528</v>
      </c>
      <c r="G523" s="50" t="s">
        <v>391</v>
      </c>
      <c r="H523" s="50" t="s">
        <v>544</v>
      </c>
      <c r="I523" s="50" t="s">
        <v>368</v>
      </c>
      <c r="J523" s="50" t="s">
        <v>518</v>
      </c>
      <c r="K523" s="50" t="s">
        <v>518</v>
      </c>
      <c r="L523" s="50" t="s">
        <v>529</v>
      </c>
      <c r="M523" s="50" t="s">
        <v>363</v>
      </c>
      <c r="N523" s="51">
        <v>47.56</v>
      </c>
    </row>
    <row r="524" spans="1:14" x14ac:dyDescent="0.3">
      <c r="A524" s="50" t="s">
        <v>800</v>
      </c>
      <c r="B524" s="50" t="s">
        <v>800</v>
      </c>
      <c r="C524" s="50" t="s">
        <v>812</v>
      </c>
      <c r="D524" s="50" t="s">
        <v>565</v>
      </c>
      <c r="E524" s="50" t="s">
        <v>518</v>
      </c>
      <c r="F524" s="50" t="s">
        <v>566</v>
      </c>
      <c r="G524" s="50" t="s">
        <v>391</v>
      </c>
      <c r="H524" s="50" t="s">
        <v>574</v>
      </c>
      <c r="I524" s="50" t="s">
        <v>392</v>
      </c>
      <c r="J524" s="50" t="s">
        <v>518</v>
      </c>
      <c r="K524" s="50" t="s">
        <v>518</v>
      </c>
      <c r="L524" s="50" t="s">
        <v>568</v>
      </c>
      <c r="M524" s="50" t="s">
        <v>401</v>
      </c>
      <c r="N524" s="51">
        <v>5.08</v>
      </c>
    </row>
    <row r="525" spans="1:14" x14ac:dyDescent="0.3">
      <c r="A525" s="50" t="s">
        <v>800</v>
      </c>
      <c r="B525" s="50" t="s">
        <v>800</v>
      </c>
      <c r="C525" s="50" t="s">
        <v>812</v>
      </c>
      <c r="D525" s="50" t="s">
        <v>565</v>
      </c>
      <c r="E525" s="50" t="s">
        <v>518</v>
      </c>
      <c r="F525" s="50" t="s">
        <v>566</v>
      </c>
      <c r="G525" s="50" t="s">
        <v>391</v>
      </c>
      <c r="H525" s="50" t="s">
        <v>568</v>
      </c>
      <c r="I525" s="50" t="s">
        <v>401</v>
      </c>
      <c r="J525" s="50" t="s">
        <v>518</v>
      </c>
      <c r="K525" s="50" t="s">
        <v>518</v>
      </c>
      <c r="L525" s="50" t="s">
        <v>574</v>
      </c>
      <c r="M525" s="50" t="s">
        <v>392</v>
      </c>
      <c r="N525" s="51">
        <v>-5.08</v>
      </c>
    </row>
    <row r="526" spans="1:14" x14ac:dyDescent="0.3">
      <c r="A526" s="50" t="s">
        <v>800</v>
      </c>
      <c r="B526" s="50" t="s">
        <v>800</v>
      </c>
      <c r="C526" s="50" t="s">
        <v>813</v>
      </c>
      <c r="D526" s="50" t="s">
        <v>565</v>
      </c>
      <c r="E526" s="50" t="s">
        <v>518</v>
      </c>
      <c r="F526" s="50" t="s">
        <v>566</v>
      </c>
      <c r="G526" s="50" t="s">
        <v>391</v>
      </c>
      <c r="H526" s="50" t="s">
        <v>574</v>
      </c>
      <c r="I526" s="50" t="s">
        <v>392</v>
      </c>
      <c r="J526" s="50" t="s">
        <v>518</v>
      </c>
      <c r="K526" s="50" t="s">
        <v>518</v>
      </c>
      <c r="L526" s="50" t="s">
        <v>568</v>
      </c>
      <c r="M526" s="50" t="s">
        <v>401</v>
      </c>
      <c r="N526" s="51">
        <v>5.08</v>
      </c>
    </row>
    <row r="527" spans="1:14" x14ac:dyDescent="0.3">
      <c r="A527" s="50" t="s">
        <v>800</v>
      </c>
      <c r="B527" s="50" t="s">
        <v>800</v>
      </c>
      <c r="C527" s="50" t="s">
        <v>813</v>
      </c>
      <c r="D527" s="50" t="s">
        <v>565</v>
      </c>
      <c r="E527" s="50" t="s">
        <v>518</v>
      </c>
      <c r="F527" s="50" t="s">
        <v>566</v>
      </c>
      <c r="G527" s="50" t="s">
        <v>391</v>
      </c>
      <c r="H527" s="50" t="s">
        <v>568</v>
      </c>
      <c r="I527" s="50" t="s">
        <v>401</v>
      </c>
      <c r="J527" s="50" t="s">
        <v>518</v>
      </c>
      <c r="K527" s="50" t="s">
        <v>518</v>
      </c>
      <c r="L527" s="50" t="s">
        <v>574</v>
      </c>
      <c r="M527" s="50" t="s">
        <v>392</v>
      </c>
      <c r="N527" s="51">
        <v>-5.08</v>
      </c>
    </row>
    <row r="528" spans="1:14" x14ac:dyDescent="0.3">
      <c r="A528" s="50" t="s">
        <v>814</v>
      </c>
      <c r="B528" s="50" t="s">
        <v>814</v>
      </c>
      <c r="C528" s="50" t="s">
        <v>815</v>
      </c>
      <c r="D528" s="50" t="s">
        <v>526</v>
      </c>
      <c r="E528" s="50" t="s">
        <v>527</v>
      </c>
      <c r="F528" s="50" t="s">
        <v>528</v>
      </c>
      <c r="G528" s="50" t="s">
        <v>516</v>
      </c>
      <c r="H528" s="50" t="s">
        <v>529</v>
      </c>
      <c r="I528" s="50" t="s">
        <v>363</v>
      </c>
      <c r="J528" s="50" t="s">
        <v>518</v>
      </c>
      <c r="K528" s="50" t="s">
        <v>518</v>
      </c>
      <c r="L528" s="50" t="s">
        <v>533</v>
      </c>
      <c r="M528" s="50" t="s">
        <v>364</v>
      </c>
      <c r="N528" s="51">
        <v>573.70000000000005</v>
      </c>
    </row>
    <row r="529" spans="1:14" x14ac:dyDescent="0.3">
      <c r="A529" s="50" t="s">
        <v>814</v>
      </c>
      <c r="B529" s="50" t="s">
        <v>814</v>
      </c>
      <c r="C529" s="50" t="s">
        <v>815</v>
      </c>
      <c r="D529" s="50" t="s">
        <v>526</v>
      </c>
      <c r="E529" s="50" t="s">
        <v>534</v>
      </c>
      <c r="F529" s="50" t="s">
        <v>528</v>
      </c>
      <c r="G529" s="50" t="s">
        <v>516</v>
      </c>
      <c r="H529" s="50" t="s">
        <v>535</v>
      </c>
      <c r="I529" s="50" t="s">
        <v>371</v>
      </c>
      <c r="J529" s="50" t="s">
        <v>518</v>
      </c>
      <c r="K529" s="50" t="s">
        <v>518</v>
      </c>
      <c r="L529" s="50" t="s">
        <v>530</v>
      </c>
      <c r="M529" s="50" t="s">
        <v>382</v>
      </c>
      <c r="N529" s="51">
        <v>-649</v>
      </c>
    </row>
    <row r="530" spans="1:14" x14ac:dyDescent="0.3">
      <c r="A530" s="50" t="s">
        <v>814</v>
      </c>
      <c r="B530" s="50" t="s">
        <v>814</v>
      </c>
      <c r="C530" s="50" t="s">
        <v>815</v>
      </c>
      <c r="D530" s="50" t="s">
        <v>526</v>
      </c>
      <c r="E530" s="50" t="s">
        <v>578</v>
      </c>
      <c r="F530" s="50" t="s">
        <v>528</v>
      </c>
      <c r="G530" s="50" t="s">
        <v>516</v>
      </c>
      <c r="H530" s="50" t="s">
        <v>579</v>
      </c>
      <c r="I530" s="50" t="s">
        <v>390</v>
      </c>
      <c r="J530" s="50" t="s">
        <v>518</v>
      </c>
      <c r="K530" s="50" t="s">
        <v>518</v>
      </c>
      <c r="L530" s="50" t="s">
        <v>533</v>
      </c>
      <c r="M530" s="50" t="s">
        <v>364</v>
      </c>
      <c r="N530" s="51">
        <v>43.98</v>
      </c>
    </row>
    <row r="531" spans="1:14" x14ac:dyDescent="0.3">
      <c r="A531" s="50" t="s">
        <v>814</v>
      </c>
      <c r="B531" s="50" t="s">
        <v>814</v>
      </c>
      <c r="C531" s="50" t="s">
        <v>815</v>
      </c>
      <c r="D531" s="50" t="s">
        <v>526</v>
      </c>
      <c r="E531" s="50" t="s">
        <v>580</v>
      </c>
      <c r="F531" s="50" t="s">
        <v>528</v>
      </c>
      <c r="G531" s="50" t="s">
        <v>391</v>
      </c>
      <c r="H531" s="50" t="s">
        <v>581</v>
      </c>
      <c r="I531" s="50" t="s">
        <v>410</v>
      </c>
      <c r="J531" s="50" t="s">
        <v>518</v>
      </c>
      <c r="K531" s="50" t="s">
        <v>518</v>
      </c>
      <c r="L531" s="50" t="s">
        <v>530</v>
      </c>
      <c r="M531" s="50" t="s">
        <v>382</v>
      </c>
      <c r="N531" s="51">
        <v>-43.98</v>
      </c>
    </row>
    <row r="532" spans="1:14" x14ac:dyDescent="0.3">
      <c r="A532" s="50" t="s">
        <v>814</v>
      </c>
      <c r="B532" s="50" t="s">
        <v>814</v>
      </c>
      <c r="C532" s="50" t="s">
        <v>815</v>
      </c>
      <c r="D532" s="50" t="s">
        <v>526</v>
      </c>
      <c r="E532" s="50" t="s">
        <v>582</v>
      </c>
      <c r="F532" s="50" t="s">
        <v>528</v>
      </c>
      <c r="G532" s="50" t="s">
        <v>516</v>
      </c>
      <c r="H532" s="50" t="s">
        <v>583</v>
      </c>
      <c r="I532" s="50" t="s">
        <v>388</v>
      </c>
      <c r="J532" s="50" t="s">
        <v>518</v>
      </c>
      <c r="K532" s="50" t="s">
        <v>518</v>
      </c>
      <c r="L532" s="50" t="s">
        <v>533</v>
      </c>
      <c r="M532" s="50" t="s">
        <v>364</v>
      </c>
      <c r="N532" s="51">
        <v>3.58</v>
      </c>
    </row>
    <row r="533" spans="1:14" x14ac:dyDescent="0.3">
      <c r="A533" s="50" t="s">
        <v>814</v>
      </c>
      <c r="B533" s="50" t="s">
        <v>814</v>
      </c>
      <c r="C533" s="50" t="s">
        <v>815</v>
      </c>
      <c r="D533" s="50" t="s">
        <v>526</v>
      </c>
      <c r="E533" s="50" t="s">
        <v>584</v>
      </c>
      <c r="F533" s="50" t="s">
        <v>528</v>
      </c>
      <c r="G533" s="50" t="s">
        <v>391</v>
      </c>
      <c r="H533" s="50" t="s">
        <v>563</v>
      </c>
      <c r="I533" s="50" t="s">
        <v>264</v>
      </c>
      <c r="J533" s="50" t="s">
        <v>518</v>
      </c>
      <c r="K533" s="50" t="s">
        <v>518</v>
      </c>
      <c r="L533" s="50" t="s">
        <v>530</v>
      </c>
      <c r="M533" s="50" t="s">
        <v>382</v>
      </c>
      <c r="N533" s="51">
        <v>-3.58</v>
      </c>
    </row>
    <row r="534" spans="1:14" x14ac:dyDescent="0.3">
      <c r="A534" s="50" t="s">
        <v>814</v>
      </c>
      <c r="B534" s="50" t="s">
        <v>814</v>
      </c>
      <c r="C534" s="50" t="s">
        <v>815</v>
      </c>
      <c r="D534" s="50" t="s">
        <v>526</v>
      </c>
      <c r="E534" s="50" t="s">
        <v>536</v>
      </c>
      <c r="F534" s="50" t="s">
        <v>528</v>
      </c>
      <c r="G534" s="50" t="s">
        <v>516</v>
      </c>
      <c r="H534" s="50" t="s">
        <v>537</v>
      </c>
      <c r="I534" s="50" t="s">
        <v>385</v>
      </c>
      <c r="J534" s="50" t="s">
        <v>518</v>
      </c>
      <c r="K534" s="50" t="s">
        <v>518</v>
      </c>
      <c r="L534" s="50" t="s">
        <v>530</v>
      </c>
      <c r="M534" s="50" t="s">
        <v>382</v>
      </c>
      <c r="N534" s="51">
        <v>-118.65</v>
      </c>
    </row>
    <row r="535" spans="1:14" x14ac:dyDescent="0.3">
      <c r="A535" s="50" t="s">
        <v>814</v>
      </c>
      <c r="B535" s="50" t="s">
        <v>814</v>
      </c>
      <c r="C535" s="50" t="s">
        <v>815</v>
      </c>
      <c r="D535" s="50" t="s">
        <v>526</v>
      </c>
      <c r="E535" s="50" t="s">
        <v>383</v>
      </c>
      <c r="F535" s="50" t="s">
        <v>528</v>
      </c>
      <c r="G535" s="50" t="s">
        <v>516</v>
      </c>
      <c r="H535" s="50" t="s">
        <v>538</v>
      </c>
      <c r="I535" s="50" t="s">
        <v>383</v>
      </c>
      <c r="J535" s="50" t="s">
        <v>518</v>
      </c>
      <c r="K535" s="50" t="s">
        <v>518</v>
      </c>
      <c r="L535" s="50" t="s">
        <v>530</v>
      </c>
      <c r="M535" s="50" t="s">
        <v>382</v>
      </c>
      <c r="N535" s="51">
        <v>-123.15</v>
      </c>
    </row>
    <row r="536" spans="1:14" x14ac:dyDescent="0.3">
      <c r="A536" s="50" t="s">
        <v>814</v>
      </c>
      <c r="B536" s="50" t="s">
        <v>814</v>
      </c>
      <c r="C536" s="50" t="s">
        <v>815</v>
      </c>
      <c r="D536" s="50" t="s">
        <v>526</v>
      </c>
      <c r="E536" s="50" t="s">
        <v>420</v>
      </c>
      <c r="F536" s="50" t="s">
        <v>528</v>
      </c>
      <c r="G536" s="50" t="s">
        <v>391</v>
      </c>
      <c r="H536" s="50" t="s">
        <v>561</v>
      </c>
      <c r="I536" s="50" t="s">
        <v>269</v>
      </c>
      <c r="J536" s="50" t="s">
        <v>518</v>
      </c>
      <c r="K536" s="50" t="s">
        <v>518</v>
      </c>
      <c r="L536" s="50" t="s">
        <v>533</v>
      </c>
      <c r="M536" s="50" t="s">
        <v>364</v>
      </c>
      <c r="N536" s="51">
        <v>21.99</v>
      </c>
    </row>
    <row r="537" spans="1:14" x14ac:dyDescent="0.3">
      <c r="A537" s="50" t="s">
        <v>814</v>
      </c>
      <c r="B537" s="50" t="s">
        <v>814</v>
      </c>
      <c r="C537" s="50" t="s">
        <v>815</v>
      </c>
      <c r="D537" s="50" t="s">
        <v>526</v>
      </c>
      <c r="E537" s="50" t="s">
        <v>540</v>
      </c>
      <c r="F537" s="50" t="s">
        <v>528</v>
      </c>
      <c r="G537" s="50" t="s">
        <v>516</v>
      </c>
      <c r="H537" s="50" t="s">
        <v>533</v>
      </c>
      <c r="I537" s="50" t="s">
        <v>364</v>
      </c>
      <c r="J537" s="50" t="s">
        <v>518</v>
      </c>
      <c r="K537" s="50" t="s">
        <v>518</v>
      </c>
      <c r="L537" s="50" t="s">
        <v>530</v>
      </c>
      <c r="M537" s="50" t="s">
        <v>382</v>
      </c>
      <c r="N537" s="51">
        <v>-649</v>
      </c>
    </row>
    <row r="538" spans="1:14" x14ac:dyDescent="0.3">
      <c r="A538" s="50" t="s">
        <v>814</v>
      </c>
      <c r="B538" s="50" t="s">
        <v>814</v>
      </c>
      <c r="C538" s="50" t="s">
        <v>815</v>
      </c>
      <c r="D538" s="50" t="s">
        <v>526</v>
      </c>
      <c r="E538" s="50" t="s">
        <v>540</v>
      </c>
      <c r="F538" s="50" t="s">
        <v>528</v>
      </c>
      <c r="G538" s="50" t="s">
        <v>516</v>
      </c>
      <c r="H538" s="50" t="s">
        <v>530</v>
      </c>
      <c r="I538" s="50" t="s">
        <v>382</v>
      </c>
      <c r="J538" s="50" t="s">
        <v>518</v>
      </c>
      <c r="K538" s="50" t="s">
        <v>518</v>
      </c>
      <c r="L538" s="50" t="s">
        <v>533</v>
      </c>
      <c r="M538" s="50" t="s">
        <v>364</v>
      </c>
      <c r="N538" s="51">
        <v>649</v>
      </c>
    </row>
    <row r="539" spans="1:14" x14ac:dyDescent="0.3">
      <c r="A539" s="50" t="s">
        <v>814</v>
      </c>
      <c r="B539" s="50" t="s">
        <v>814</v>
      </c>
      <c r="C539" s="50" t="s">
        <v>815</v>
      </c>
      <c r="D539" s="50" t="s">
        <v>526</v>
      </c>
      <c r="E539" s="50" t="s">
        <v>541</v>
      </c>
      <c r="F539" s="50" t="s">
        <v>528</v>
      </c>
      <c r="G539" s="50" t="s">
        <v>516</v>
      </c>
      <c r="H539" s="50" t="s">
        <v>542</v>
      </c>
      <c r="I539" s="50" t="s">
        <v>369</v>
      </c>
      <c r="J539" s="50" t="s">
        <v>518</v>
      </c>
      <c r="K539" s="50" t="s">
        <v>518</v>
      </c>
      <c r="L539" s="50" t="s">
        <v>533</v>
      </c>
      <c r="M539" s="50" t="s">
        <v>364</v>
      </c>
      <c r="N539" s="51">
        <v>26.2</v>
      </c>
    </row>
    <row r="540" spans="1:14" x14ac:dyDescent="0.3">
      <c r="A540" s="50" t="s">
        <v>814</v>
      </c>
      <c r="B540" s="50" t="s">
        <v>814</v>
      </c>
      <c r="C540" s="50" t="s">
        <v>815</v>
      </c>
      <c r="D540" s="50" t="s">
        <v>526</v>
      </c>
      <c r="E540" s="50" t="s">
        <v>541</v>
      </c>
      <c r="F540" s="50" t="s">
        <v>528</v>
      </c>
      <c r="G540" s="50" t="s">
        <v>516</v>
      </c>
      <c r="H540" s="50" t="s">
        <v>530</v>
      </c>
      <c r="I540" s="50" t="s">
        <v>382</v>
      </c>
      <c r="J540" s="50" t="s">
        <v>518</v>
      </c>
      <c r="K540" s="50" t="s">
        <v>518</v>
      </c>
      <c r="L540" s="50" t="s">
        <v>530</v>
      </c>
      <c r="M540" s="50" t="s">
        <v>382</v>
      </c>
      <c r="N540" s="51">
        <v>-26.2</v>
      </c>
    </row>
    <row r="541" spans="1:14" x14ac:dyDescent="0.3">
      <c r="A541" s="50" t="s">
        <v>814</v>
      </c>
      <c r="B541" s="50" t="s">
        <v>814</v>
      </c>
      <c r="C541" s="50" t="s">
        <v>815</v>
      </c>
      <c r="D541" s="50" t="s">
        <v>526</v>
      </c>
      <c r="E541" s="50" t="s">
        <v>562</v>
      </c>
      <c r="F541" s="50" t="s">
        <v>528</v>
      </c>
      <c r="G541" s="50" t="s">
        <v>391</v>
      </c>
      <c r="H541" s="50" t="s">
        <v>563</v>
      </c>
      <c r="I541" s="50" t="s">
        <v>264</v>
      </c>
      <c r="J541" s="50" t="s">
        <v>518</v>
      </c>
      <c r="K541" s="50" t="s">
        <v>518</v>
      </c>
      <c r="L541" s="50" t="s">
        <v>533</v>
      </c>
      <c r="M541" s="50" t="s">
        <v>364</v>
      </c>
      <c r="N541" s="51">
        <v>1.79</v>
      </c>
    </row>
    <row r="542" spans="1:14" x14ac:dyDescent="0.3">
      <c r="A542" s="50" t="s">
        <v>814</v>
      </c>
      <c r="B542" s="50" t="s">
        <v>814</v>
      </c>
      <c r="C542" s="50" t="s">
        <v>815</v>
      </c>
      <c r="D542" s="50" t="s">
        <v>526</v>
      </c>
      <c r="E542" s="50" t="s">
        <v>543</v>
      </c>
      <c r="F542" s="50" t="s">
        <v>528</v>
      </c>
      <c r="G542" s="50" t="s">
        <v>516</v>
      </c>
      <c r="H542" s="50" t="s">
        <v>529</v>
      </c>
      <c r="I542" s="50" t="s">
        <v>363</v>
      </c>
      <c r="J542" s="50" t="s">
        <v>518</v>
      </c>
      <c r="K542" s="50" t="s">
        <v>518</v>
      </c>
      <c r="L542" s="50" t="s">
        <v>533</v>
      </c>
      <c r="M542" s="50" t="s">
        <v>364</v>
      </c>
      <c r="N542" s="51">
        <v>383.32</v>
      </c>
    </row>
    <row r="543" spans="1:14" x14ac:dyDescent="0.3">
      <c r="A543" s="50" t="s">
        <v>814</v>
      </c>
      <c r="B543" s="50" t="s">
        <v>814</v>
      </c>
      <c r="C543" s="50" t="s">
        <v>815</v>
      </c>
      <c r="D543" s="50" t="s">
        <v>526</v>
      </c>
      <c r="E543" s="50" t="s">
        <v>518</v>
      </c>
      <c r="F543" s="50" t="s">
        <v>528</v>
      </c>
      <c r="G543" s="50" t="s">
        <v>516</v>
      </c>
      <c r="H543" s="50" t="s">
        <v>544</v>
      </c>
      <c r="I543" s="50" t="s">
        <v>368</v>
      </c>
      <c r="J543" s="50" t="s">
        <v>518</v>
      </c>
      <c r="K543" s="50" t="s">
        <v>518</v>
      </c>
      <c r="L543" s="50" t="s">
        <v>530</v>
      </c>
      <c r="M543" s="50" t="s">
        <v>382</v>
      </c>
      <c r="N543" s="51">
        <v>-113.78</v>
      </c>
    </row>
    <row r="544" spans="1:14" x14ac:dyDescent="0.3">
      <c r="A544" s="50" t="s">
        <v>814</v>
      </c>
      <c r="B544" s="50" t="s">
        <v>814</v>
      </c>
      <c r="C544" s="50" t="s">
        <v>815</v>
      </c>
      <c r="D544" s="50" t="s">
        <v>526</v>
      </c>
      <c r="E544" s="50" t="s">
        <v>518</v>
      </c>
      <c r="F544" s="50" t="s">
        <v>528</v>
      </c>
      <c r="G544" s="50" t="s">
        <v>391</v>
      </c>
      <c r="H544" s="50" t="s">
        <v>544</v>
      </c>
      <c r="I544" s="50" t="s">
        <v>368</v>
      </c>
      <c r="J544" s="50" t="s">
        <v>518</v>
      </c>
      <c r="K544" s="50" t="s">
        <v>518</v>
      </c>
      <c r="L544" s="50" t="s">
        <v>530</v>
      </c>
      <c r="M544" s="50" t="s">
        <v>382</v>
      </c>
      <c r="N544" s="51">
        <v>23.78</v>
      </c>
    </row>
    <row r="545" spans="1:14" x14ac:dyDescent="0.3">
      <c r="A545" s="50" t="s">
        <v>814</v>
      </c>
      <c r="B545" s="50" t="s">
        <v>814</v>
      </c>
      <c r="C545" s="50" t="s">
        <v>816</v>
      </c>
      <c r="D545" s="50" t="s">
        <v>565</v>
      </c>
      <c r="E545" s="50" t="s">
        <v>518</v>
      </c>
      <c r="F545" s="50" t="s">
        <v>566</v>
      </c>
      <c r="G545" s="50" t="s">
        <v>391</v>
      </c>
      <c r="H545" s="50" t="s">
        <v>574</v>
      </c>
      <c r="I545" s="50" t="s">
        <v>392</v>
      </c>
      <c r="J545" s="50" t="s">
        <v>518</v>
      </c>
      <c r="K545" s="50" t="s">
        <v>518</v>
      </c>
      <c r="L545" s="50" t="s">
        <v>568</v>
      </c>
      <c r="M545" s="50" t="s">
        <v>401</v>
      </c>
      <c r="N545" s="51">
        <v>-5.08</v>
      </c>
    </row>
    <row r="546" spans="1:14" x14ac:dyDescent="0.3">
      <c r="A546" s="50" t="s">
        <v>814</v>
      </c>
      <c r="B546" s="50" t="s">
        <v>814</v>
      </c>
      <c r="C546" s="50" t="s">
        <v>816</v>
      </c>
      <c r="D546" s="50" t="s">
        <v>565</v>
      </c>
      <c r="E546" s="50" t="s">
        <v>518</v>
      </c>
      <c r="F546" s="50" t="s">
        <v>566</v>
      </c>
      <c r="G546" s="50" t="s">
        <v>391</v>
      </c>
      <c r="H546" s="50" t="s">
        <v>568</v>
      </c>
      <c r="I546" s="50" t="s">
        <v>401</v>
      </c>
      <c r="J546" s="50" t="s">
        <v>518</v>
      </c>
      <c r="K546" s="50" t="s">
        <v>518</v>
      </c>
      <c r="L546" s="50" t="s">
        <v>574</v>
      </c>
      <c r="M546" s="50" t="s">
        <v>392</v>
      </c>
      <c r="N546" s="51">
        <v>5.08</v>
      </c>
    </row>
    <row r="547" spans="1:14" x14ac:dyDescent="0.3">
      <c r="A547" s="50" t="s">
        <v>814</v>
      </c>
      <c r="B547" s="50" t="s">
        <v>814</v>
      </c>
      <c r="C547" s="50" t="s">
        <v>817</v>
      </c>
      <c r="D547" s="50" t="s">
        <v>565</v>
      </c>
      <c r="E547" s="50" t="s">
        <v>518</v>
      </c>
      <c r="F547" s="50" t="s">
        <v>566</v>
      </c>
      <c r="G547" s="50" t="s">
        <v>391</v>
      </c>
      <c r="H547" s="50" t="s">
        <v>574</v>
      </c>
      <c r="I547" s="50" t="s">
        <v>392</v>
      </c>
      <c r="J547" s="50" t="s">
        <v>518</v>
      </c>
      <c r="K547" s="50" t="s">
        <v>518</v>
      </c>
      <c r="L547" s="50" t="s">
        <v>568</v>
      </c>
      <c r="M547" s="50" t="s">
        <v>401</v>
      </c>
      <c r="N547" s="51">
        <v>5.08</v>
      </c>
    </row>
    <row r="548" spans="1:14" x14ac:dyDescent="0.3">
      <c r="A548" s="50" t="s">
        <v>814</v>
      </c>
      <c r="B548" s="50" t="s">
        <v>814</v>
      </c>
      <c r="C548" s="50" t="s">
        <v>817</v>
      </c>
      <c r="D548" s="50" t="s">
        <v>565</v>
      </c>
      <c r="E548" s="50" t="s">
        <v>518</v>
      </c>
      <c r="F548" s="50" t="s">
        <v>566</v>
      </c>
      <c r="G548" s="50" t="s">
        <v>391</v>
      </c>
      <c r="H548" s="50" t="s">
        <v>568</v>
      </c>
      <c r="I548" s="50" t="s">
        <v>401</v>
      </c>
      <c r="J548" s="50" t="s">
        <v>518</v>
      </c>
      <c r="K548" s="50" t="s">
        <v>518</v>
      </c>
      <c r="L548" s="50" t="s">
        <v>574</v>
      </c>
      <c r="M548" s="50" t="s">
        <v>392</v>
      </c>
      <c r="N548" s="51">
        <v>-5.08</v>
      </c>
    </row>
    <row r="549" spans="1:14" x14ac:dyDescent="0.3">
      <c r="A549" s="50" t="s">
        <v>814</v>
      </c>
      <c r="B549" s="50" t="s">
        <v>814</v>
      </c>
      <c r="C549" s="50" t="s">
        <v>818</v>
      </c>
      <c r="D549" s="50" t="s">
        <v>565</v>
      </c>
      <c r="E549" s="50" t="s">
        <v>518</v>
      </c>
      <c r="F549" s="50" t="s">
        <v>566</v>
      </c>
      <c r="G549" s="50" t="s">
        <v>391</v>
      </c>
      <c r="H549" s="50" t="s">
        <v>574</v>
      </c>
      <c r="I549" s="50" t="s">
        <v>392</v>
      </c>
      <c r="J549" s="50" t="s">
        <v>518</v>
      </c>
      <c r="K549" s="50" t="s">
        <v>518</v>
      </c>
      <c r="L549" s="50" t="s">
        <v>568</v>
      </c>
      <c r="M549" s="50" t="s">
        <v>401</v>
      </c>
      <c r="N549" s="51">
        <v>5.08</v>
      </c>
    </row>
    <row r="550" spans="1:14" x14ac:dyDescent="0.3">
      <c r="A550" s="50" t="s">
        <v>814</v>
      </c>
      <c r="B550" s="50" t="s">
        <v>814</v>
      </c>
      <c r="C550" s="50" t="s">
        <v>818</v>
      </c>
      <c r="D550" s="50" t="s">
        <v>565</v>
      </c>
      <c r="E550" s="50" t="s">
        <v>518</v>
      </c>
      <c r="F550" s="50" t="s">
        <v>566</v>
      </c>
      <c r="G550" s="50" t="s">
        <v>391</v>
      </c>
      <c r="H550" s="50" t="s">
        <v>568</v>
      </c>
      <c r="I550" s="50" t="s">
        <v>401</v>
      </c>
      <c r="J550" s="50" t="s">
        <v>518</v>
      </c>
      <c r="K550" s="50" t="s">
        <v>518</v>
      </c>
      <c r="L550" s="50" t="s">
        <v>574</v>
      </c>
      <c r="M550" s="50" t="s">
        <v>392</v>
      </c>
      <c r="N550" s="51">
        <v>-5.08</v>
      </c>
    </row>
    <row r="551" spans="1:14" x14ac:dyDescent="0.3">
      <c r="A551" s="50" t="s">
        <v>819</v>
      </c>
      <c r="B551" s="50" t="s">
        <v>819</v>
      </c>
      <c r="C551" s="50" t="s">
        <v>820</v>
      </c>
      <c r="D551" s="50" t="s">
        <v>526</v>
      </c>
      <c r="E551" s="50" t="s">
        <v>557</v>
      </c>
      <c r="F551" s="50" t="s">
        <v>528</v>
      </c>
      <c r="G551" s="50" t="s">
        <v>516</v>
      </c>
      <c r="H551" s="50" t="s">
        <v>558</v>
      </c>
      <c r="I551" s="50" t="s">
        <v>386</v>
      </c>
      <c r="J551" s="50" t="s">
        <v>518</v>
      </c>
      <c r="K551" s="50" t="s">
        <v>518</v>
      </c>
      <c r="L551" s="50" t="s">
        <v>529</v>
      </c>
      <c r="M551" s="50" t="s">
        <v>363</v>
      </c>
      <c r="N551" s="51">
        <v>-58</v>
      </c>
    </row>
    <row r="552" spans="1:14" x14ac:dyDescent="0.3">
      <c r="A552" s="50" t="s">
        <v>819</v>
      </c>
      <c r="B552" s="50" t="s">
        <v>819</v>
      </c>
      <c r="C552" s="50" t="s">
        <v>820</v>
      </c>
      <c r="D552" s="50" t="s">
        <v>526</v>
      </c>
      <c r="E552" s="50" t="s">
        <v>534</v>
      </c>
      <c r="F552" s="50" t="s">
        <v>528</v>
      </c>
      <c r="G552" s="50" t="s">
        <v>516</v>
      </c>
      <c r="H552" s="50" t="s">
        <v>535</v>
      </c>
      <c r="I552" s="50" t="s">
        <v>371</v>
      </c>
      <c r="J552" s="50" t="s">
        <v>518</v>
      </c>
      <c r="K552" s="50" t="s">
        <v>518</v>
      </c>
      <c r="L552" s="50" t="s">
        <v>529</v>
      </c>
      <c r="M552" s="50" t="s">
        <v>363</v>
      </c>
      <c r="N552" s="51">
        <v>-74.790000000000006</v>
      </c>
    </row>
    <row r="553" spans="1:14" x14ac:dyDescent="0.3">
      <c r="A553" s="50" t="s">
        <v>819</v>
      </c>
      <c r="B553" s="50" t="s">
        <v>819</v>
      </c>
      <c r="C553" s="50" t="s">
        <v>820</v>
      </c>
      <c r="D553" s="50" t="s">
        <v>526</v>
      </c>
      <c r="E553" s="50" t="s">
        <v>420</v>
      </c>
      <c r="F553" s="50" t="s">
        <v>528</v>
      </c>
      <c r="G553" s="50" t="s">
        <v>391</v>
      </c>
      <c r="H553" s="50" t="s">
        <v>561</v>
      </c>
      <c r="I553" s="50" t="s">
        <v>269</v>
      </c>
      <c r="J553" s="50" t="s">
        <v>518</v>
      </c>
      <c r="K553" s="50" t="s">
        <v>518</v>
      </c>
      <c r="L553" s="50" t="s">
        <v>529</v>
      </c>
      <c r="M553" s="50" t="s">
        <v>363</v>
      </c>
      <c r="N553" s="51">
        <v>-43.98</v>
      </c>
    </row>
    <row r="554" spans="1:14" x14ac:dyDescent="0.3">
      <c r="A554" s="50" t="s">
        <v>819</v>
      </c>
      <c r="B554" s="50" t="s">
        <v>819</v>
      </c>
      <c r="C554" s="50" t="s">
        <v>820</v>
      </c>
      <c r="D554" s="50" t="s">
        <v>526</v>
      </c>
      <c r="E554" s="50" t="s">
        <v>540</v>
      </c>
      <c r="F554" s="50" t="s">
        <v>528</v>
      </c>
      <c r="G554" s="50" t="s">
        <v>516</v>
      </c>
      <c r="H554" s="50" t="s">
        <v>533</v>
      </c>
      <c r="I554" s="50" t="s">
        <v>364</v>
      </c>
      <c r="J554" s="50" t="s">
        <v>518</v>
      </c>
      <c r="K554" s="50" t="s">
        <v>518</v>
      </c>
      <c r="L554" s="50" t="s">
        <v>529</v>
      </c>
      <c r="M554" s="50" t="s">
        <v>363</v>
      </c>
      <c r="N554" s="51">
        <v>-21.29</v>
      </c>
    </row>
    <row r="555" spans="1:14" x14ac:dyDescent="0.3">
      <c r="A555" s="50" t="s">
        <v>819</v>
      </c>
      <c r="B555" s="50" t="s">
        <v>819</v>
      </c>
      <c r="C555" s="50" t="s">
        <v>820</v>
      </c>
      <c r="D555" s="50" t="s">
        <v>526</v>
      </c>
      <c r="E555" s="50" t="s">
        <v>540</v>
      </c>
      <c r="F555" s="50" t="s">
        <v>528</v>
      </c>
      <c r="G555" s="50" t="s">
        <v>516</v>
      </c>
      <c r="H555" s="50" t="s">
        <v>530</v>
      </c>
      <c r="I555" s="50" t="s">
        <v>382</v>
      </c>
      <c r="J555" s="50" t="s">
        <v>518</v>
      </c>
      <c r="K555" s="50" t="s">
        <v>518</v>
      </c>
      <c r="L555" s="50" t="s">
        <v>535</v>
      </c>
      <c r="M555" s="50" t="s">
        <v>371</v>
      </c>
      <c r="N555" s="51">
        <v>21.29</v>
      </c>
    </row>
    <row r="556" spans="1:14" x14ac:dyDescent="0.3">
      <c r="A556" s="50" t="s">
        <v>819</v>
      </c>
      <c r="B556" s="50" t="s">
        <v>819</v>
      </c>
      <c r="C556" s="50" t="s">
        <v>820</v>
      </c>
      <c r="D556" s="50" t="s">
        <v>526</v>
      </c>
      <c r="E556" s="50" t="s">
        <v>541</v>
      </c>
      <c r="F556" s="50" t="s">
        <v>528</v>
      </c>
      <c r="G556" s="50" t="s">
        <v>516</v>
      </c>
      <c r="H556" s="50" t="s">
        <v>542</v>
      </c>
      <c r="I556" s="50" t="s">
        <v>369</v>
      </c>
      <c r="J556" s="50" t="s">
        <v>518</v>
      </c>
      <c r="K556" s="50" t="s">
        <v>518</v>
      </c>
      <c r="L556" s="50" t="s">
        <v>529</v>
      </c>
      <c r="M556" s="50" t="s">
        <v>363</v>
      </c>
      <c r="N556" s="51">
        <v>-52.5</v>
      </c>
    </row>
    <row r="557" spans="1:14" x14ac:dyDescent="0.3">
      <c r="A557" s="50" t="s">
        <v>819</v>
      </c>
      <c r="B557" s="50" t="s">
        <v>819</v>
      </c>
      <c r="C557" s="50" t="s">
        <v>820</v>
      </c>
      <c r="D557" s="50" t="s">
        <v>526</v>
      </c>
      <c r="E557" s="50" t="s">
        <v>541</v>
      </c>
      <c r="F557" s="50" t="s">
        <v>528</v>
      </c>
      <c r="G557" s="50" t="s">
        <v>516</v>
      </c>
      <c r="H557" s="50" t="s">
        <v>530</v>
      </c>
      <c r="I557" s="50" t="s">
        <v>382</v>
      </c>
      <c r="J557" s="50" t="s">
        <v>518</v>
      </c>
      <c r="K557" s="50" t="s">
        <v>518</v>
      </c>
      <c r="L557" s="50" t="s">
        <v>535</v>
      </c>
      <c r="M557" s="50" t="s">
        <v>371</v>
      </c>
      <c r="N557" s="51">
        <v>52.5</v>
      </c>
    </row>
    <row r="558" spans="1:14" x14ac:dyDescent="0.3">
      <c r="A558" s="50" t="s">
        <v>819</v>
      </c>
      <c r="B558" s="50" t="s">
        <v>819</v>
      </c>
      <c r="C558" s="50" t="s">
        <v>820</v>
      </c>
      <c r="D558" s="50" t="s">
        <v>526</v>
      </c>
      <c r="E558" s="50" t="s">
        <v>562</v>
      </c>
      <c r="F558" s="50" t="s">
        <v>528</v>
      </c>
      <c r="G558" s="50" t="s">
        <v>391</v>
      </c>
      <c r="H558" s="50" t="s">
        <v>563</v>
      </c>
      <c r="I558" s="50" t="s">
        <v>264</v>
      </c>
      <c r="J558" s="50" t="s">
        <v>518</v>
      </c>
      <c r="K558" s="50" t="s">
        <v>518</v>
      </c>
      <c r="L558" s="50" t="s">
        <v>529</v>
      </c>
      <c r="M558" s="50" t="s">
        <v>363</v>
      </c>
      <c r="N558" s="51">
        <v>-3.58</v>
      </c>
    </row>
    <row r="559" spans="1:14" x14ac:dyDescent="0.3">
      <c r="A559" s="50" t="s">
        <v>819</v>
      </c>
      <c r="B559" s="50" t="s">
        <v>819</v>
      </c>
      <c r="C559" s="50" t="s">
        <v>820</v>
      </c>
      <c r="D559" s="50" t="s">
        <v>526</v>
      </c>
      <c r="E559" s="50" t="s">
        <v>543</v>
      </c>
      <c r="F559" s="50" t="s">
        <v>528</v>
      </c>
      <c r="G559" s="50" t="s">
        <v>516</v>
      </c>
      <c r="H559" s="50" t="s">
        <v>529</v>
      </c>
      <c r="I559" s="50" t="s">
        <v>363</v>
      </c>
      <c r="J559" s="50" t="s">
        <v>518</v>
      </c>
      <c r="K559" s="50" t="s">
        <v>518</v>
      </c>
      <c r="L559" s="50" t="s">
        <v>535</v>
      </c>
      <c r="M559" s="50" t="s">
        <v>371</v>
      </c>
      <c r="N559" s="51">
        <v>180.35</v>
      </c>
    </row>
    <row r="560" spans="1:14" x14ac:dyDescent="0.3">
      <c r="A560" s="50" t="s">
        <v>819</v>
      </c>
      <c r="B560" s="50" t="s">
        <v>819</v>
      </c>
      <c r="C560" s="50" t="s">
        <v>820</v>
      </c>
      <c r="D560" s="50" t="s">
        <v>526</v>
      </c>
      <c r="E560" s="50" t="s">
        <v>518</v>
      </c>
      <c r="F560" s="50" t="s">
        <v>528</v>
      </c>
      <c r="G560" s="50" t="s">
        <v>516</v>
      </c>
      <c r="H560" s="50" t="s">
        <v>821</v>
      </c>
      <c r="I560" s="50" t="s">
        <v>370</v>
      </c>
      <c r="J560" s="50" t="s">
        <v>518</v>
      </c>
      <c r="K560" s="50" t="s">
        <v>518</v>
      </c>
      <c r="L560" s="50" t="s">
        <v>518</v>
      </c>
      <c r="M560" s="50" t="s">
        <v>518</v>
      </c>
      <c r="N560" s="51">
        <v>-47.56</v>
      </c>
    </row>
    <row r="561" spans="1:14" x14ac:dyDescent="0.3">
      <c r="A561" s="50" t="s">
        <v>819</v>
      </c>
      <c r="B561" s="50" t="s">
        <v>819</v>
      </c>
      <c r="C561" s="50" t="s">
        <v>820</v>
      </c>
      <c r="D561" s="50" t="s">
        <v>526</v>
      </c>
      <c r="E561" s="50" t="s">
        <v>518</v>
      </c>
      <c r="F561" s="50" t="s">
        <v>528</v>
      </c>
      <c r="G561" s="50" t="s">
        <v>391</v>
      </c>
      <c r="H561" s="50" t="s">
        <v>821</v>
      </c>
      <c r="I561" s="50" t="s">
        <v>370</v>
      </c>
      <c r="J561" s="50" t="s">
        <v>518</v>
      </c>
      <c r="K561" s="50" t="s">
        <v>518</v>
      </c>
      <c r="L561" s="50" t="s">
        <v>518</v>
      </c>
      <c r="M561" s="50" t="s">
        <v>518</v>
      </c>
      <c r="N561" s="51">
        <v>47.56</v>
      </c>
    </row>
    <row r="562" spans="1:14" x14ac:dyDescent="0.3">
      <c r="A562" s="50" t="s">
        <v>819</v>
      </c>
      <c r="B562" s="50" t="s">
        <v>819</v>
      </c>
      <c r="C562" s="50" t="s">
        <v>822</v>
      </c>
      <c r="D562" s="50" t="s">
        <v>565</v>
      </c>
      <c r="E562" s="50" t="s">
        <v>518</v>
      </c>
      <c r="F562" s="50" t="s">
        <v>566</v>
      </c>
      <c r="G562" s="50" t="s">
        <v>391</v>
      </c>
      <c r="H562" s="50" t="s">
        <v>574</v>
      </c>
      <c r="I562" s="50" t="s">
        <v>392</v>
      </c>
      <c r="J562" s="50" t="s">
        <v>518</v>
      </c>
      <c r="K562" s="50" t="s">
        <v>518</v>
      </c>
      <c r="L562" s="50" t="s">
        <v>568</v>
      </c>
      <c r="M562" s="50" t="s">
        <v>401</v>
      </c>
      <c r="N562" s="51">
        <v>5.08</v>
      </c>
    </row>
    <row r="563" spans="1:14" x14ac:dyDescent="0.3">
      <c r="A563" s="50" t="s">
        <v>819</v>
      </c>
      <c r="B563" s="50" t="s">
        <v>819</v>
      </c>
      <c r="C563" s="50" t="s">
        <v>822</v>
      </c>
      <c r="D563" s="50" t="s">
        <v>565</v>
      </c>
      <c r="E563" s="50" t="s">
        <v>518</v>
      </c>
      <c r="F563" s="50" t="s">
        <v>566</v>
      </c>
      <c r="G563" s="50" t="s">
        <v>391</v>
      </c>
      <c r="H563" s="50" t="s">
        <v>568</v>
      </c>
      <c r="I563" s="50" t="s">
        <v>401</v>
      </c>
      <c r="J563" s="50" t="s">
        <v>518</v>
      </c>
      <c r="K563" s="50" t="s">
        <v>518</v>
      </c>
      <c r="L563" s="50" t="s">
        <v>574</v>
      </c>
      <c r="M563" s="50" t="s">
        <v>392</v>
      </c>
      <c r="N563" s="51">
        <v>-5.08</v>
      </c>
    </row>
    <row r="564" spans="1:14" x14ac:dyDescent="0.3">
      <c r="A564" s="50" t="s">
        <v>819</v>
      </c>
      <c r="B564" s="50" t="s">
        <v>819</v>
      </c>
      <c r="C564" s="50" t="s">
        <v>823</v>
      </c>
      <c r="D564" s="50" t="s">
        <v>565</v>
      </c>
      <c r="E564" s="50" t="s">
        <v>518</v>
      </c>
      <c r="F564" s="50" t="s">
        <v>566</v>
      </c>
      <c r="G564" s="50" t="s">
        <v>391</v>
      </c>
      <c r="H564" s="50" t="s">
        <v>574</v>
      </c>
      <c r="I564" s="50" t="s">
        <v>392</v>
      </c>
      <c r="J564" s="50" t="s">
        <v>518</v>
      </c>
      <c r="K564" s="50" t="s">
        <v>518</v>
      </c>
      <c r="L564" s="50" t="s">
        <v>568</v>
      </c>
      <c r="M564" s="50" t="s">
        <v>401</v>
      </c>
      <c r="N564" s="51">
        <v>5.08</v>
      </c>
    </row>
    <row r="565" spans="1:14" x14ac:dyDescent="0.3">
      <c r="A565" s="50" t="s">
        <v>819</v>
      </c>
      <c r="B565" s="50" t="s">
        <v>819</v>
      </c>
      <c r="C565" s="50" t="s">
        <v>823</v>
      </c>
      <c r="D565" s="50" t="s">
        <v>565</v>
      </c>
      <c r="E565" s="50" t="s">
        <v>518</v>
      </c>
      <c r="F565" s="50" t="s">
        <v>566</v>
      </c>
      <c r="G565" s="50" t="s">
        <v>391</v>
      </c>
      <c r="H565" s="50" t="s">
        <v>568</v>
      </c>
      <c r="I565" s="50" t="s">
        <v>401</v>
      </c>
      <c r="J565" s="50" t="s">
        <v>518</v>
      </c>
      <c r="K565" s="50" t="s">
        <v>518</v>
      </c>
      <c r="L565" s="50" t="s">
        <v>574</v>
      </c>
      <c r="M565" s="50" t="s">
        <v>392</v>
      </c>
      <c r="N565" s="51">
        <v>-5.08</v>
      </c>
    </row>
    <row r="566" spans="1:14" x14ac:dyDescent="0.3">
      <c r="A566" s="50" t="s">
        <v>824</v>
      </c>
      <c r="B566" s="50" t="s">
        <v>824</v>
      </c>
      <c r="C566" s="50" t="s">
        <v>825</v>
      </c>
      <c r="D566" s="50" t="s">
        <v>826</v>
      </c>
      <c r="E566" s="50" t="s">
        <v>827</v>
      </c>
      <c r="F566" s="50" t="s">
        <v>501</v>
      </c>
      <c r="G566" s="50" t="s">
        <v>516</v>
      </c>
      <c r="H566" s="50" t="s">
        <v>640</v>
      </c>
      <c r="I566" s="50" t="s">
        <v>287</v>
      </c>
      <c r="J566" s="50" t="s">
        <v>518</v>
      </c>
      <c r="K566" s="50" t="s">
        <v>518</v>
      </c>
      <c r="L566" s="50" t="s">
        <v>544</v>
      </c>
      <c r="M566" s="50" t="s">
        <v>368</v>
      </c>
      <c r="N566" s="51">
        <v>-221.93</v>
      </c>
    </row>
    <row r="567" spans="1:14" x14ac:dyDescent="0.3">
      <c r="A567" s="50" t="s">
        <v>824</v>
      </c>
      <c r="B567" s="50" t="s">
        <v>824</v>
      </c>
      <c r="C567" s="50" t="s">
        <v>825</v>
      </c>
      <c r="D567" s="50" t="s">
        <v>826</v>
      </c>
      <c r="E567" s="50" t="s">
        <v>518</v>
      </c>
      <c r="F567" s="50" t="s">
        <v>501</v>
      </c>
      <c r="G567" s="50" t="s">
        <v>516</v>
      </c>
      <c r="H567" s="50" t="s">
        <v>544</v>
      </c>
      <c r="I567" s="50" t="s">
        <v>368</v>
      </c>
      <c r="J567" s="50" t="s">
        <v>518</v>
      </c>
      <c r="K567" s="50" t="s">
        <v>518</v>
      </c>
      <c r="L567" s="50" t="s">
        <v>640</v>
      </c>
      <c r="M567" s="50" t="s">
        <v>287</v>
      </c>
      <c r="N567" s="51">
        <v>221.93</v>
      </c>
    </row>
    <row r="568" spans="1:14" x14ac:dyDescent="0.3">
      <c r="A568" s="50" t="s">
        <v>824</v>
      </c>
      <c r="B568" s="50" t="s">
        <v>824</v>
      </c>
      <c r="C568" s="50" t="s">
        <v>828</v>
      </c>
      <c r="D568" s="50" t="s">
        <v>473</v>
      </c>
      <c r="E568" s="50" t="s">
        <v>829</v>
      </c>
      <c r="F568" s="50" t="s">
        <v>830</v>
      </c>
      <c r="G568" s="50" t="s">
        <v>516</v>
      </c>
      <c r="H568" s="50" t="s">
        <v>831</v>
      </c>
      <c r="I568" s="50" t="s">
        <v>265</v>
      </c>
      <c r="J568" s="50" t="s">
        <v>518</v>
      </c>
      <c r="K568" s="50" t="s">
        <v>518</v>
      </c>
      <c r="L568" s="50" t="s">
        <v>832</v>
      </c>
      <c r="M568" s="50" t="s">
        <v>833</v>
      </c>
      <c r="N568" s="51">
        <v>70987.009999999995</v>
      </c>
    </row>
    <row r="569" spans="1:14" x14ac:dyDescent="0.3">
      <c r="A569" s="50" t="s">
        <v>824</v>
      </c>
      <c r="B569" s="50" t="s">
        <v>824</v>
      </c>
      <c r="C569" s="50" t="s">
        <v>828</v>
      </c>
      <c r="D569" s="50" t="s">
        <v>473</v>
      </c>
      <c r="E569" s="50" t="s">
        <v>518</v>
      </c>
      <c r="F569" s="50" t="s">
        <v>830</v>
      </c>
      <c r="G569" s="50" t="s">
        <v>516</v>
      </c>
      <c r="H569" s="50" t="s">
        <v>521</v>
      </c>
      <c r="I569" s="50" t="s">
        <v>367</v>
      </c>
      <c r="J569" s="50" t="s">
        <v>832</v>
      </c>
      <c r="K569" s="50" t="s">
        <v>834</v>
      </c>
      <c r="L569" s="50" t="s">
        <v>831</v>
      </c>
      <c r="M569" s="50" t="s">
        <v>265</v>
      </c>
      <c r="N569" s="51">
        <v>-70987.009999999995</v>
      </c>
    </row>
    <row r="570" spans="1:14" x14ac:dyDescent="0.3">
      <c r="A570" s="50" t="s">
        <v>824</v>
      </c>
      <c r="B570" s="50" t="s">
        <v>824</v>
      </c>
      <c r="C570" s="50" t="s">
        <v>835</v>
      </c>
      <c r="D570" s="50" t="s">
        <v>526</v>
      </c>
      <c r="E570" s="50" t="s">
        <v>534</v>
      </c>
      <c r="F570" s="50" t="s">
        <v>528</v>
      </c>
      <c r="G570" s="50" t="s">
        <v>516</v>
      </c>
      <c r="H570" s="50" t="s">
        <v>535</v>
      </c>
      <c r="I570" s="50" t="s">
        <v>371</v>
      </c>
      <c r="J570" s="50" t="s">
        <v>518</v>
      </c>
      <c r="K570" s="50" t="s">
        <v>518</v>
      </c>
      <c r="L570" s="50" t="s">
        <v>529</v>
      </c>
      <c r="M570" s="50" t="s">
        <v>363</v>
      </c>
      <c r="N570" s="51">
        <v>-418</v>
      </c>
    </row>
    <row r="571" spans="1:14" x14ac:dyDescent="0.3">
      <c r="A571" s="50" t="s">
        <v>824</v>
      </c>
      <c r="B571" s="50" t="s">
        <v>824</v>
      </c>
      <c r="C571" s="50" t="s">
        <v>835</v>
      </c>
      <c r="D571" s="50" t="s">
        <v>526</v>
      </c>
      <c r="E571" s="50" t="s">
        <v>536</v>
      </c>
      <c r="F571" s="50" t="s">
        <v>528</v>
      </c>
      <c r="G571" s="50" t="s">
        <v>516</v>
      </c>
      <c r="H571" s="50" t="s">
        <v>537</v>
      </c>
      <c r="I571" s="50" t="s">
        <v>385</v>
      </c>
      <c r="J571" s="50" t="s">
        <v>518</v>
      </c>
      <c r="K571" s="50" t="s">
        <v>518</v>
      </c>
      <c r="L571" s="50" t="s">
        <v>529</v>
      </c>
      <c r="M571" s="50" t="s">
        <v>363</v>
      </c>
      <c r="N571" s="51">
        <v>-20</v>
      </c>
    </row>
    <row r="572" spans="1:14" x14ac:dyDescent="0.3">
      <c r="A572" s="50" t="s">
        <v>824</v>
      </c>
      <c r="B572" s="50" t="s">
        <v>824</v>
      </c>
      <c r="C572" s="50" t="s">
        <v>835</v>
      </c>
      <c r="D572" s="50" t="s">
        <v>526</v>
      </c>
      <c r="E572" s="50" t="s">
        <v>540</v>
      </c>
      <c r="F572" s="50" t="s">
        <v>528</v>
      </c>
      <c r="G572" s="50" t="s">
        <v>516</v>
      </c>
      <c r="H572" s="50" t="s">
        <v>533</v>
      </c>
      <c r="I572" s="50" t="s">
        <v>364</v>
      </c>
      <c r="J572" s="50" t="s">
        <v>518</v>
      </c>
      <c r="K572" s="50" t="s">
        <v>518</v>
      </c>
      <c r="L572" s="50" t="s">
        <v>529</v>
      </c>
      <c r="M572" s="50" t="s">
        <v>363</v>
      </c>
      <c r="N572" s="51">
        <v>-225</v>
      </c>
    </row>
    <row r="573" spans="1:14" x14ac:dyDescent="0.3">
      <c r="A573" s="50" t="s">
        <v>824</v>
      </c>
      <c r="B573" s="50" t="s">
        <v>824</v>
      </c>
      <c r="C573" s="50" t="s">
        <v>835</v>
      </c>
      <c r="D573" s="50" t="s">
        <v>526</v>
      </c>
      <c r="E573" s="50" t="s">
        <v>540</v>
      </c>
      <c r="F573" s="50" t="s">
        <v>528</v>
      </c>
      <c r="G573" s="50" t="s">
        <v>516</v>
      </c>
      <c r="H573" s="50" t="s">
        <v>530</v>
      </c>
      <c r="I573" s="50" t="s">
        <v>382</v>
      </c>
      <c r="J573" s="50" t="s">
        <v>518</v>
      </c>
      <c r="K573" s="50" t="s">
        <v>518</v>
      </c>
      <c r="L573" s="50" t="s">
        <v>535</v>
      </c>
      <c r="M573" s="50" t="s">
        <v>371</v>
      </c>
      <c r="N573" s="51">
        <v>225</v>
      </c>
    </row>
    <row r="574" spans="1:14" x14ac:dyDescent="0.3">
      <c r="A574" s="50" t="s">
        <v>824</v>
      </c>
      <c r="B574" s="50" t="s">
        <v>824</v>
      </c>
      <c r="C574" s="50" t="s">
        <v>835</v>
      </c>
      <c r="D574" s="50" t="s">
        <v>526</v>
      </c>
      <c r="E574" s="50" t="s">
        <v>541</v>
      </c>
      <c r="F574" s="50" t="s">
        <v>528</v>
      </c>
      <c r="G574" s="50" t="s">
        <v>516</v>
      </c>
      <c r="H574" s="50" t="s">
        <v>542</v>
      </c>
      <c r="I574" s="50" t="s">
        <v>369</v>
      </c>
      <c r="J574" s="50" t="s">
        <v>518</v>
      </c>
      <c r="K574" s="50" t="s">
        <v>518</v>
      </c>
      <c r="L574" s="50" t="s">
        <v>529</v>
      </c>
      <c r="M574" s="50" t="s">
        <v>363</v>
      </c>
      <c r="N574" s="51">
        <v>-186</v>
      </c>
    </row>
    <row r="575" spans="1:14" x14ac:dyDescent="0.3">
      <c r="A575" s="50" t="s">
        <v>824</v>
      </c>
      <c r="B575" s="50" t="s">
        <v>824</v>
      </c>
      <c r="C575" s="50" t="s">
        <v>835</v>
      </c>
      <c r="D575" s="50" t="s">
        <v>526</v>
      </c>
      <c r="E575" s="50" t="s">
        <v>541</v>
      </c>
      <c r="F575" s="50" t="s">
        <v>528</v>
      </c>
      <c r="G575" s="50" t="s">
        <v>516</v>
      </c>
      <c r="H575" s="50" t="s">
        <v>530</v>
      </c>
      <c r="I575" s="50" t="s">
        <v>382</v>
      </c>
      <c r="J575" s="50" t="s">
        <v>518</v>
      </c>
      <c r="K575" s="50" t="s">
        <v>518</v>
      </c>
      <c r="L575" s="50" t="s">
        <v>535</v>
      </c>
      <c r="M575" s="50" t="s">
        <v>371</v>
      </c>
      <c r="N575" s="51">
        <v>186</v>
      </c>
    </row>
    <row r="576" spans="1:14" x14ac:dyDescent="0.3">
      <c r="A576" s="50" t="s">
        <v>824</v>
      </c>
      <c r="B576" s="50" t="s">
        <v>824</v>
      </c>
      <c r="C576" s="50" t="s">
        <v>835</v>
      </c>
      <c r="D576" s="50" t="s">
        <v>526</v>
      </c>
      <c r="E576" s="50" t="s">
        <v>543</v>
      </c>
      <c r="F576" s="50" t="s">
        <v>528</v>
      </c>
      <c r="G576" s="50" t="s">
        <v>516</v>
      </c>
      <c r="H576" s="50" t="s">
        <v>529</v>
      </c>
      <c r="I576" s="50" t="s">
        <v>363</v>
      </c>
      <c r="J576" s="50" t="s">
        <v>518</v>
      </c>
      <c r="K576" s="50" t="s">
        <v>518</v>
      </c>
      <c r="L576" s="50" t="s">
        <v>535</v>
      </c>
      <c r="M576" s="50" t="s">
        <v>371</v>
      </c>
      <c r="N576" s="51">
        <v>468</v>
      </c>
    </row>
    <row r="577" spans="1:14" x14ac:dyDescent="0.3">
      <c r="A577" s="50" t="s">
        <v>824</v>
      </c>
      <c r="B577" s="50" t="s">
        <v>824</v>
      </c>
      <c r="C577" s="50" t="s">
        <v>835</v>
      </c>
      <c r="D577" s="50" t="s">
        <v>526</v>
      </c>
      <c r="E577" s="50" t="s">
        <v>518</v>
      </c>
      <c r="F577" s="50" t="s">
        <v>528</v>
      </c>
      <c r="G577" s="50" t="s">
        <v>516</v>
      </c>
      <c r="H577" s="50" t="s">
        <v>544</v>
      </c>
      <c r="I577" s="50" t="s">
        <v>368</v>
      </c>
      <c r="J577" s="50" t="s">
        <v>518</v>
      </c>
      <c r="K577" s="50" t="s">
        <v>518</v>
      </c>
      <c r="L577" s="50" t="s">
        <v>529</v>
      </c>
      <c r="M577" s="50" t="s">
        <v>363</v>
      </c>
      <c r="N577" s="51">
        <v>-30</v>
      </c>
    </row>
    <row r="578" spans="1:14" x14ac:dyDescent="0.3">
      <c r="A578" s="50" t="s">
        <v>836</v>
      </c>
      <c r="B578" s="50" t="s">
        <v>510</v>
      </c>
      <c r="C578" s="50" t="s">
        <v>837</v>
      </c>
      <c r="D578" s="50" t="s">
        <v>658</v>
      </c>
      <c r="E578" s="50" t="s">
        <v>838</v>
      </c>
      <c r="F578" s="50" t="s">
        <v>660</v>
      </c>
      <c r="G578" s="50" t="s">
        <v>516</v>
      </c>
      <c r="H578" s="50" t="s">
        <v>839</v>
      </c>
      <c r="I578" s="50" t="s">
        <v>351</v>
      </c>
      <c r="J578" s="50" t="s">
        <v>518</v>
      </c>
      <c r="K578" s="50" t="s">
        <v>518</v>
      </c>
      <c r="L578" s="50" t="s">
        <v>544</v>
      </c>
      <c r="M578" s="50" t="s">
        <v>368</v>
      </c>
      <c r="N578" s="51">
        <v>115</v>
      </c>
    </row>
    <row r="579" spans="1:14" x14ac:dyDescent="0.3">
      <c r="A579" s="50" t="s">
        <v>836</v>
      </c>
      <c r="B579" s="50" t="s">
        <v>510</v>
      </c>
      <c r="C579" s="50" t="s">
        <v>837</v>
      </c>
      <c r="D579" s="50" t="s">
        <v>658</v>
      </c>
      <c r="E579" s="50" t="s">
        <v>518</v>
      </c>
      <c r="F579" s="50" t="s">
        <v>660</v>
      </c>
      <c r="G579" s="50" t="s">
        <v>516</v>
      </c>
      <c r="H579" s="50" t="s">
        <v>544</v>
      </c>
      <c r="I579" s="50" t="s">
        <v>368</v>
      </c>
      <c r="J579" s="50" t="s">
        <v>518</v>
      </c>
      <c r="K579" s="50" t="s">
        <v>518</v>
      </c>
      <c r="L579" s="50" t="s">
        <v>839</v>
      </c>
      <c r="M579" s="50" t="s">
        <v>351</v>
      </c>
      <c r="N579" s="51">
        <v>-115</v>
      </c>
    </row>
    <row r="580" spans="1:14" x14ac:dyDescent="0.3">
      <c r="A580" s="50" t="s">
        <v>836</v>
      </c>
      <c r="B580" s="50" t="s">
        <v>789</v>
      </c>
      <c r="C580" s="50" t="s">
        <v>840</v>
      </c>
      <c r="D580" s="50" t="s">
        <v>548</v>
      </c>
      <c r="E580" s="50" t="s">
        <v>841</v>
      </c>
      <c r="F580" s="50" t="s">
        <v>550</v>
      </c>
      <c r="G580" s="50" t="s">
        <v>516</v>
      </c>
      <c r="H580" s="50" t="s">
        <v>600</v>
      </c>
      <c r="I580" s="50" t="s">
        <v>296</v>
      </c>
      <c r="J580" s="50" t="s">
        <v>518</v>
      </c>
      <c r="K580" s="50" t="s">
        <v>518</v>
      </c>
      <c r="L580" s="50" t="s">
        <v>601</v>
      </c>
      <c r="M580" s="50" t="s">
        <v>602</v>
      </c>
      <c r="N580" s="51">
        <v>468</v>
      </c>
    </row>
    <row r="581" spans="1:14" x14ac:dyDescent="0.3">
      <c r="A581" s="50" t="s">
        <v>836</v>
      </c>
      <c r="B581" s="50" t="s">
        <v>789</v>
      </c>
      <c r="C581" s="50" t="s">
        <v>840</v>
      </c>
      <c r="D581" s="50" t="s">
        <v>548</v>
      </c>
      <c r="E581" s="50" t="s">
        <v>841</v>
      </c>
      <c r="F581" s="50" t="s">
        <v>550</v>
      </c>
      <c r="G581" s="50" t="s">
        <v>516</v>
      </c>
      <c r="H581" s="50" t="s">
        <v>521</v>
      </c>
      <c r="I581" s="50" t="s">
        <v>367</v>
      </c>
      <c r="J581" s="50" t="s">
        <v>601</v>
      </c>
      <c r="K581" s="50" t="s">
        <v>603</v>
      </c>
      <c r="L581" s="50" t="s">
        <v>600</v>
      </c>
      <c r="M581" s="50" t="s">
        <v>296</v>
      </c>
      <c r="N581" s="51">
        <v>-468</v>
      </c>
    </row>
    <row r="582" spans="1:14" x14ac:dyDescent="0.3">
      <c r="A582" s="50" t="s">
        <v>836</v>
      </c>
      <c r="B582" s="50" t="s">
        <v>836</v>
      </c>
      <c r="C582" s="50" t="s">
        <v>842</v>
      </c>
      <c r="D582" s="50" t="s">
        <v>614</v>
      </c>
      <c r="E582" s="50" t="s">
        <v>518</v>
      </c>
      <c r="F582" s="50" t="s">
        <v>615</v>
      </c>
      <c r="G582" s="50" t="s">
        <v>516</v>
      </c>
      <c r="H582" s="50" t="s">
        <v>783</v>
      </c>
      <c r="I582" s="50" t="s">
        <v>366</v>
      </c>
      <c r="J582" s="50" t="s">
        <v>781</v>
      </c>
      <c r="K582" s="50" t="s">
        <v>784</v>
      </c>
      <c r="L582" s="50" t="s">
        <v>544</v>
      </c>
      <c r="M582" s="50" t="s">
        <v>368</v>
      </c>
      <c r="N582" s="51">
        <v>37.74</v>
      </c>
    </row>
    <row r="583" spans="1:14" x14ac:dyDescent="0.3">
      <c r="A583" s="50" t="s">
        <v>836</v>
      </c>
      <c r="B583" s="50" t="s">
        <v>836</v>
      </c>
      <c r="C583" s="50" t="s">
        <v>842</v>
      </c>
      <c r="D583" s="50" t="s">
        <v>614</v>
      </c>
      <c r="E583" s="50" t="s">
        <v>518</v>
      </c>
      <c r="F583" s="50" t="s">
        <v>615</v>
      </c>
      <c r="G583" s="50" t="s">
        <v>516</v>
      </c>
      <c r="H583" s="50" t="s">
        <v>544</v>
      </c>
      <c r="I583" s="50" t="s">
        <v>368</v>
      </c>
      <c r="J583" s="50" t="s">
        <v>518</v>
      </c>
      <c r="K583" s="50" t="s">
        <v>518</v>
      </c>
      <c r="L583" s="50" t="s">
        <v>781</v>
      </c>
      <c r="M583" s="50" t="s">
        <v>782</v>
      </c>
      <c r="N583" s="51">
        <v>-37.74</v>
      </c>
    </row>
    <row r="584" spans="1:14" x14ac:dyDescent="0.3">
      <c r="A584" s="50" t="s">
        <v>836</v>
      </c>
      <c r="B584" s="50" t="s">
        <v>836</v>
      </c>
      <c r="C584" s="50" t="s">
        <v>843</v>
      </c>
      <c r="D584" s="50" t="s">
        <v>614</v>
      </c>
      <c r="E584" s="50" t="s">
        <v>518</v>
      </c>
      <c r="F584" s="50" t="s">
        <v>615</v>
      </c>
      <c r="G584" s="50" t="s">
        <v>516</v>
      </c>
      <c r="H584" s="50" t="s">
        <v>521</v>
      </c>
      <c r="I584" s="50" t="s">
        <v>367</v>
      </c>
      <c r="J584" s="50" t="s">
        <v>804</v>
      </c>
      <c r="K584" s="50" t="s">
        <v>806</v>
      </c>
      <c r="L584" s="50" t="s">
        <v>544</v>
      </c>
      <c r="M584" s="50" t="s">
        <v>368</v>
      </c>
      <c r="N584" s="51">
        <v>3000</v>
      </c>
    </row>
    <row r="585" spans="1:14" x14ac:dyDescent="0.3">
      <c r="A585" s="50" t="s">
        <v>836</v>
      </c>
      <c r="B585" s="50" t="s">
        <v>836</v>
      </c>
      <c r="C585" s="50" t="s">
        <v>843</v>
      </c>
      <c r="D585" s="50" t="s">
        <v>614</v>
      </c>
      <c r="E585" s="50" t="s">
        <v>518</v>
      </c>
      <c r="F585" s="50" t="s">
        <v>615</v>
      </c>
      <c r="G585" s="50" t="s">
        <v>516</v>
      </c>
      <c r="H585" s="50" t="s">
        <v>544</v>
      </c>
      <c r="I585" s="50" t="s">
        <v>368</v>
      </c>
      <c r="J585" s="50" t="s">
        <v>518</v>
      </c>
      <c r="K585" s="50" t="s">
        <v>518</v>
      </c>
      <c r="L585" s="50" t="s">
        <v>804</v>
      </c>
      <c r="M585" s="50" t="s">
        <v>805</v>
      </c>
      <c r="N585" s="51">
        <v>-3000</v>
      </c>
    </row>
    <row r="586" spans="1:14" x14ac:dyDescent="0.3">
      <c r="A586" s="50" t="s">
        <v>836</v>
      </c>
      <c r="B586" s="50" t="s">
        <v>836</v>
      </c>
      <c r="C586" s="50" t="s">
        <v>844</v>
      </c>
      <c r="D586" s="50" t="s">
        <v>614</v>
      </c>
      <c r="E586" s="50" t="s">
        <v>518</v>
      </c>
      <c r="F586" s="50" t="s">
        <v>615</v>
      </c>
      <c r="G586" s="50" t="s">
        <v>516</v>
      </c>
      <c r="H586" s="50" t="s">
        <v>521</v>
      </c>
      <c r="I586" s="50" t="s">
        <v>367</v>
      </c>
      <c r="J586" s="50" t="s">
        <v>832</v>
      </c>
      <c r="K586" s="50" t="s">
        <v>834</v>
      </c>
      <c r="L586" s="50" t="s">
        <v>544</v>
      </c>
      <c r="M586" s="50" t="s">
        <v>368</v>
      </c>
      <c r="N586" s="51">
        <v>70987.009999999995</v>
      </c>
    </row>
    <row r="587" spans="1:14" x14ac:dyDescent="0.3">
      <c r="A587" s="50" t="s">
        <v>836</v>
      </c>
      <c r="B587" s="50" t="s">
        <v>836</v>
      </c>
      <c r="C587" s="50" t="s">
        <v>844</v>
      </c>
      <c r="D587" s="50" t="s">
        <v>614</v>
      </c>
      <c r="E587" s="50" t="s">
        <v>518</v>
      </c>
      <c r="F587" s="50" t="s">
        <v>615</v>
      </c>
      <c r="G587" s="50" t="s">
        <v>516</v>
      </c>
      <c r="H587" s="50" t="s">
        <v>544</v>
      </c>
      <c r="I587" s="50" t="s">
        <v>368</v>
      </c>
      <c r="J587" s="50" t="s">
        <v>518</v>
      </c>
      <c r="K587" s="50" t="s">
        <v>518</v>
      </c>
      <c r="L587" s="50" t="s">
        <v>832</v>
      </c>
      <c r="M587" s="50" t="s">
        <v>833</v>
      </c>
      <c r="N587" s="51">
        <v>-70987.009999999995</v>
      </c>
    </row>
    <row r="588" spans="1:14" x14ac:dyDescent="0.3">
      <c r="A588" s="50" t="s">
        <v>836</v>
      </c>
      <c r="B588" s="50" t="s">
        <v>836</v>
      </c>
      <c r="C588" s="50" t="s">
        <v>845</v>
      </c>
      <c r="D588" s="50" t="s">
        <v>526</v>
      </c>
      <c r="E588" s="50" t="s">
        <v>531</v>
      </c>
      <c r="F588" s="50" t="s">
        <v>528</v>
      </c>
      <c r="G588" s="50" t="s">
        <v>516</v>
      </c>
      <c r="H588" s="50" t="s">
        <v>532</v>
      </c>
      <c r="I588" s="50" t="s">
        <v>381</v>
      </c>
      <c r="J588" s="50" t="s">
        <v>518</v>
      </c>
      <c r="K588" s="50" t="s">
        <v>518</v>
      </c>
      <c r="L588" s="50" t="s">
        <v>529</v>
      </c>
      <c r="M588" s="50" t="s">
        <v>363</v>
      </c>
      <c r="N588" s="51">
        <v>-10</v>
      </c>
    </row>
    <row r="589" spans="1:14" x14ac:dyDescent="0.3">
      <c r="A589" s="50" t="s">
        <v>836</v>
      </c>
      <c r="B589" s="50" t="s">
        <v>836</v>
      </c>
      <c r="C589" s="50" t="s">
        <v>845</v>
      </c>
      <c r="D589" s="50" t="s">
        <v>526</v>
      </c>
      <c r="E589" s="50" t="s">
        <v>383</v>
      </c>
      <c r="F589" s="50" t="s">
        <v>528</v>
      </c>
      <c r="G589" s="50" t="s">
        <v>516</v>
      </c>
      <c r="H589" s="50" t="s">
        <v>538</v>
      </c>
      <c r="I589" s="50" t="s">
        <v>383</v>
      </c>
      <c r="J589" s="50" t="s">
        <v>518</v>
      </c>
      <c r="K589" s="50" t="s">
        <v>518</v>
      </c>
      <c r="L589" s="50" t="s">
        <v>529</v>
      </c>
      <c r="M589" s="50" t="s">
        <v>363</v>
      </c>
      <c r="N589" s="51">
        <v>-10</v>
      </c>
    </row>
    <row r="590" spans="1:14" x14ac:dyDescent="0.3">
      <c r="A590" s="50" t="s">
        <v>836</v>
      </c>
      <c r="B590" s="50" t="s">
        <v>836</v>
      </c>
      <c r="C590" s="50" t="s">
        <v>845</v>
      </c>
      <c r="D590" s="50" t="s">
        <v>526</v>
      </c>
      <c r="E590" s="50" t="s">
        <v>539</v>
      </c>
      <c r="F590" s="50" t="s">
        <v>528</v>
      </c>
      <c r="G590" s="50" t="s">
        <v>516</v>
      </c>
      <c r="H590" s="50" t="s">
        <v>529</v>
      </c>
      <c r="I590" s="50" t="s">
        <v>363</v>
      </c>
      <c r="J590" s="50" t="s">
        <v>518</v>
      </c>
      <c r="K590" s="50" t="s">
        <v>518</v>
      </c>
      <c r="L590" s="50" t="s">
        <v>670</v>
      </c>
      <c r="M590" s="50" t="s">
        <v>375</v>
      </c>
      <c r="N590" s="51">
        <v>71.61</v>
      </c>
    </row>
    <row r="591" spans="1:14" x14ac:dyDescent="0.3">
      <c r="A591" s="50" t="s">
        <v>836</v>
      </c>
      <c r="B591" s="50" t="s">
        <v>836</v>
      </c>
      <c r="C591" s="50" t="s">
        <v>845</v>
      </c>
      <c r="D591" s="50" t="s">
        <v>526</v>
      </c>
      <c r="E591" s="50" t="s">
        <v>669</v>
      </c>
      <c r="F591" s="50" t="s">
        <v>528</v>
      </c>
      <c r="G591" s="50" t="s">
        <v>516</v>
      </c>
      <c r="H591" s="50" t="s">
        <v>670</v>
      </c>
      <c r="I591" s="50" t="s">
        <v>375</v>
      </c>
      <c r="J591" s="50" t="s">
        <v>518</v>
      </c>
      <c r="K591" s="50" t="s">
        <v>518</v>
      </c>
      <c r="L591" s="50" t="s">
        <v>529</v>
      </c>
      <c r="M591" s="50" t="s">
        <v>363</v>
      </c>
      <c r="N591" s="51">
        <v>-21.61</v>
      </c>
    </row>
    <row r="592" spans="1:14" x14ac:dyDescent="0.3">
      <c r="A592" s="50" t="s">
        <v>836</v>
      </c>
      <c r="B592" s="50" t="s">
        <v>836</v>
      </c>
      <c r="C592" s="50" t="s">
        <v>845</v>
      </c>
      <c r="D592" s="50" t="s">
        <v>526</v>
      </c>
      <c r="E592" s="50" t="s">
        <v>518</v>
      </c>
      <c r="F592" s="50" t="s">
        <v>528</v>
      </c>
      <c r="G592" s="50" t="s">
        <v>516</v>
      </c>
      <c r="H592" s="50" t="s">
        <v>544</v>
      </c>
      <c r="I592" s="50" t="s">
        <v>368</v>
      </c>
      <c r="J592" s="50" t="s">
        <v>518</v>
      </c>
      <c r="K592" s="50" t="s">
        <v>518</v>
      </c>
      <c r="L592" s="50" t="s">
        <v>529</v>
      </c>
      <c r="M592" s="50" t="s">
        <v>363</v>
      </c>
      <c r="N592" s="51">
        <v>-30</v>
      </c>
    </row>
    <row r="593" spans="1:14" x14ac:dyDescent="0.3">
      <c r="A593" s="50" t="s">
        <v>836</v>
      </c>
      <c r="B593" s="50" t="s">
        <v>846</v>
      </c>
      <c r="C593" s="50" t="s">
        <v>847</v>
      </c>
      <c r="D593" s="50" t="s">
        <v>624</v>
      </c>
      <c r="E593" s="50" t="s">
        <v>636</v>
      </c>
      <c r="F593" s="50" t="s">
        <v>626</v>
      </c>
      <c r="G593" s="50" t="s">
        <v>516</v>
      </c>
      <c r="H593" s="50" t="s">
        <v>638</v>
      </c>
      <c r="I593" s="50" t="s">
        <v>272</v>
      </c>
      <c r="J593" s="50" t="s">
        <v>518</v>
      </c>
      <c r="K593" s="50" t="s">
        <v>518</v>
      </c>
      <c r="L593" s="50" t="s">
        <v>544</v>
      </c>
      <c r="M593" s="50" t="s">
        <v>368</v>
      </c>
      <c r="N593" s="51">
        <v>289.58</v>
      </c>
    </row>
    <row r="594" spans="1:14" x14ac:dyDescent="0.3">
      <c r="A594" s="50" t="s">
        <v>836</v>
      </c>
      <c r="B594" s="50" t="s">
        <v>846</v>
      </c>
      <c r="C594" s="50" t="s">
        <v>847</v>
      </c>
      <c r="D594" s="50" t="s">
        <v>624</v>
      </c>
      <c r="E594" s="50" t="s">
        <v>639</v>
      </c>
      <c r="F594" s="50" t="s">
        <v>626</v>
      </c>
      <c r="G594" s="50" t="s">
        <v>516</v>
      </c>
      <c r="H594" s="50" t="s">
        <v>640</v>
      </c>
      <c r="I594" s="50" t="s">
        <v>287</v>
      </c>
      <c r="J594" s="50" t="s">
        <v>518</v>
      </c>
      <c r="K594" s="50" t="s">
        <v>518</v>
      </c>
      <c r="L594" s="50" t="s">
        <v>544</v>
      </c>
      <c r="M594" s="50" t="s">
        <v>368</v>
      </c>
      <c r="N594" s="51">
        <v>33.65</v>
      </c>
    </row>
    <row r="595" spans="1:14" x14ac:dyDescent="0.3">
      <c r="A595" s="50" t="s">
        <v>836</v>
      </c>
      <c r="B595" s="50" t="s">
        <v>846</v>
      </c>
      <c r="C595" s="50" t="s">
        <v>847</v>
      </c>
      <c r="D595" s="50" t="s">
        <v>624</v>
      </c>
      <c r="E595" s="50" t="s">
        <v>641</v>
      </c>
      <c r="F595" s="50" t="s">
        <v>626</v>
      </c>
      <c r="G595" s="50" t="s">
        <v>516</v>
      </c>
      <c r="H595" s="50" t="s">
        <v>642</v>
      </c>
      <c r="I595" s="50" t="s">
        <v>286</v>
      </c>
      <c r="J595" s="50" t="s">
        <v>518</v>
      </c>
      <c r="K595" s="50" t="s">
        <v>518</v>
      </c>
      <c r="L595" s="50" t="s">
        <v>544</v>
      </c>
      <c r="M595" s="50" t="s">
        <v>368</v>
      </c>
      <c r="N595" s="51">
        <v>0.28999999999999998</v>
      </c>
    </row>
    <row r="596" spans="1:14" x14ac:dyDescent="0.3">
      <c r="A596" s="50" t="s">
        <v>836</v>
      </c>
      <c r="B596" s="50" t="s">
        <v>846</v>
      </c>
      <c r="C596" s="50" t="s">
        <v>847</v>
      </c>
      <c r="D596" s="50" t="s">
        <v>624</v>
      </c>
      <c r="E596" s="50" t="s">
        <v>643</v>
      </c>
      <c r="F596" s="50" t="s">
        <v>626</v>
      </c>
      <c r="G596" s="50" t="s">
        <v>516</v>
      </c>
      <c r="H596" s="50" t="s">
        <v>644</v>
      </c>
      <c r="I596" s="50" t="s">
        <v>288</v>
      </c>
      <c r="J596" s="50" t="s">
        <v>518</v>
      </c>
      <c r="K596" s="50" t="s">
        <v>518</v>
      </c>
      <c r="L596" s="50" t="s">
        <v>544</v>
      </c>
      <c r="M596" s="50" t="s">
        <v>368</v>
      </c>
      <c r="N596" s="51">
        <v>1.74</v>
      </c>
    </row>
    <row r="597" spans="1:14" x14ac:dyDescent="0.3">
      <c r="A597" s="50" t="s">
        <v>836</v>
      </c>
      <c r="B597" s="50" t="s">
        <v>846</v>
      </c>
      <c r="C597" s="50" t="s">
        <v>847</v>
      </c>
      <c r="D597" s="50" t="s">
        <v>624</v>
      </c>
      <c r="E597" s="50" t="s">
        <v>645</v>
      </c>
      <c r="F597" s="50" t="s">
        <v>626</v>
      </c>
      <c r="G597" s="50" t="s">
        <v>516</v>
      </c>
      <c r="H597" s="50" t="s">
        <v>646</v>
      </c>
      <c r="I597" s="50" t="s">
        <v>284</v>
      </c>
      <c r="J597" s="50" t="s">
        <v>518</v>
      </c>
      <c r="K597" s="50" t="s">
        <v>518</v>
      </c>
      <c r="L597" s="50" t="s">
        <v>544</v>
      </c>
      <c r="M597" s="50" t="s">
        <v>368</v>
      </c>
      <c r="N597" s="51">
        <v>4.2</v>
      </c>
    </row>
    <row r="598" spans="1:14" x14ac:dyDescent="0.3">
      <c r="A598" s="50" t="s">
        <v>836</v>
      </c>
      <c r="B598" s="50" t="s">
        <v>846</v>
      </c>
      <c r="C598" s="50" t="s">
        <v>847</v>
      </c>
      <c r="D598" s="50" t="s">
        <v>624</v>
      </c>
      <c r="E598" s="50" t="s">
        <v>647</v>
      </c>
      <c r="F598" s="50" t="s">
        <v>626</v>
      </c>
      <c r="G598" s="50" t="s">
        <v>516</v>
      </c>
      <c r="H598" s="50" t="s">
        <v>648</v>
      </c>
      <c r="I598" s="50" t="s">
        <v>283</v>
      </c>
      <c r="J598" s="50" t="s">
        <v>518</v>
      </c>
      <c r="K598" s="50" t="s">
        <v>518</v>
      </c>
      <c r="L598" s="50" t="s">
        <v>544</v>
      </c>
      <c r="M598" s="50" t="s">
        <v>368</v>
      </c>
      <c r="N598" s="51">
        <v>17.95</v>
      </c>
    </row>
    <row r="599" spans="1:14" x14ac:dyDescent="0.3">
      <c r="A599" s="50" t="s">
        <v>836</v>
      </c>
      <c r="B599" s="50" t="s">
        <v>846</v>
      </c>
      <c r="C599" s="50" t="s">
        <v>847</v>
      </c>
      <c r="D599" s="50" t="s">
        <v>624</v>
      </c>
      <c r="E599" s="50" t="s">
        <v>649</v>
      </c>
      <c r="F599" s="50" t="s">
        <v>626</v>
      </c>
      <c r="G599" s="50" t="s">
        <v>516</v>
      </c>
      <c r="H599" s="50" t="s">
        <v>650</v>
      </c>
      <c r="I599" s="50" t="s">
        <v>285</v>
      </c>
      <c r="J599" s="50" t="s">
        <v>518</v>
      </c>
      <c r="K599" s="50" t="s">
        <v>518</v>
      </c>
      <c r="L599" s="50" t="s">
        <v>544</v>
      </c>
      <c r="M599" s="50" t="s">
        <v>368</v>
      </c>
      <c r="N599" s="51">
        <v>8.98</v>
      </c>
    </row>
    <row r="600" spans="1:14" x14ac:dyDescent="0.3">
      <c r="A600" s="50" t="s">
        <v>836</v>
      </c>
      <c r="B600" s="50" t="s">
        <v>846</v>
      </c>
      <c r="C600" s="50" t="s">
        <v>847</v>
      </c>
      <c r="D600" s="50" t="s">
        <v>624</v>
      </c>
      <c r="E600" s="50" t="s">
        <v>518</v>
      </c>
      <c r="F600" s="50" t="s">
        <v>626</v>
      </c>
      <c r="G600" s="50" t="s">
        <v>516</v>
      </c>
      <c r="H600" s="50" t="s">
        <v>544</v>
      </c>
      <c r="I600" s="50" t="s">
        <v>368</v>
      </c>
      <c r="J600" s="50" t="s">
        <v>518</v>
      </c>
      <c r="K600" s="50" t="s">
        <v>518</v>
      </c>
      <c r="L600" s="50" t="s">
        <v>638</v>
      </c>
      <c r="M600" s="50" t="s">
        <v>272</v>
      </c>
      <c r="N600" s="51">
        <v>-356.39</v>
      </c>
    </row>
    <row r="601" spans="1:14" x14ac:dyDescent="0.3">
      <c r="A601" s="50" t="s">
        <v>848</v>
      </c>
      <c r="B601" s="50" t="s">
        <v>824</v>
      </c>
      <c r="C601" s="50" t="s">
        <v>849</v>
      </c>
      <c r="D601" s="50" t="s">
        <v>548</v>
      </c>
      <c r="E601" s="50" t="s">
        <v>850</v>
      </c>
      <c r="F601" s="50" t="s">
        <v>550</v>
      </c>
      <c r="G601" s="50" t="s">
        <v>516</v>
      </c>
      <c r="H601" s="50" t="s">
        <v>851</v>
      </c>
      <c r="I601" s="50" t="s">
        <v>319</v>
      </c>
      <c r="J601" s="50" t="s">
        <v>518</v>
      </c>
      <c r="K601" s="50" t="s">
        <v>518</v>
      </c>
      <c r="L601" s="50" t="s">
        <v>852</v>
      </c>
      <c r="M601" s="50" t="s">
        <v>853</v>
      </c>
      <c r="N601" s="51">
        <v>600</v>
      </c>
    </row>
    <row r="602" spans="1:14" x14ac:dyDescent="0.3">
      <c r="A602" s="50" t="s">
        <v>848</v>
      </c>
      <c r="B602" s="50" t="s">
        <v>824</v>
      </c>
      <c r="C602" s="50" t="s">
        <v>849</v>
      </c>
      <c r="D602" s="50" t="s">
        <v>548</v>
      </c>
      <c r="E602" s="50" t="s">
        <v>850</v>
      </c>
      <c r="F602" s="50" t="s">
        <v>550</v>
      </c>
      <c r="G602" s="50" t="s">
        <v>516</v>
      </c>
      <c r="H602" s="50" t="s">
        <v>521</v>
      </c>
      <c r="I602" s="50" t="s">
        <v>367</v>
      </c>
      <c r="J602" s="50" t="s">
        <v>852</v>
      </c>
      <c r="K602" s="50" t="s">
        <v>854</v>
      </c>
      <c r="L602" s="50" t="s">
        <v>851</v>
      </c>
      <c r="M602" s="50" t="s">
        <v>319</v>
      </c>
      <c r="N602" s="51">
        <v>-600</v>
      </c>
    </row>
    <row r="603" spans="1:14" x14ac:dyDescent="0.3">
      <c r="A603" s="50" t="s">
        <v>848</v>
      </c>
      <c r="B603" s="50" t="s">
        <v>848</v>
      </c>
      <c r="C603" s="50" t="s">
        <v>855</v>
      </c>
      <c r="D603" s="50" t="s">
        <v>658</v>
      </c>
      <c r="E603" s="50" t="s">
        <v>856</v>
      </c>
      <c r="F603" s="50" t="s">
        <v>660</v>
      </c>
      <c r="G603" s="50" t="s">
        <v>516</v>
      </c>
      <c r="H603" s="50" t="s">
        <v>857</v>
      </c>
      <c r="I603" s="50" t="s">
        <v>18</v>
      </c>
      <c r="J603" s="50" t="s">
        <v>518</v>
      </c>
      <c r="K603" s="50" t="s">
        <v>518</v>
      </c>
      <c r="L603" s="50" t="s">
        <v>544</v>
      </c>
      <c r="M603" s="50" t="s">
        <v>368</v>
      </c>
      <c r="N603" s="51">
        <v>33.42</v>
      </c>
    </row>
    <row r="604" spans="1:14" x14ac:dyDescent="0.3">
      <c r="A604" s="50" t="s">
        <v>848</v>
      </c>
      <c r="B604" s="50" t="s">
        <v>848</v>
      </c>
      <c r="C604" s="50" t="s">
        <v>855</v>
      </c>
      <c r="D604" s="50" t="s">
        <v>658</v>
      </c>
      <c r="E604" s="50" t="s">
        <v>518</v>
      </c>
      <c r="F604" s="50" t="s">
        <v>660</v>
      </c>
      <c r="G604" s="50" t="s">
        <v>516</v>
      </c>
      <c r="H604" s="50" t="s">
        <v>544</v>
      </c>
      <c r="I604" s="50" t="s">
        <v>368</v>
      </c>
      <c r="J604" s="50" t="s">
        <v>518</v>
      </c>
      <c r="K604" s="50" t="s">
        <v>518</v>
      </c>
      <c r="L604" s="50" t="s">
        <v>857</v>
      </c>
      <c r="M604" s="50" t="s">
        <v>18</v>
      </c>
      <c r="N604" s="51">
        <v>-33.42</v>
      </c>
    </row>
    <row r="605" spans="1:14" x14ac:dyDescent="0.3">
      <c r="A605" s="50" t="s">
        <v>848</v>
      </c>
      <c r="B605" s="50" t="s">
        <v>848</v>
      </c>
      <c r="C605" s="50" t="s">
        <v>858</v>
      </c>
      <c r="D605" s="50" t="s">
        <v>658</v>
      </c>
      <c r="E605" s="50" t="s">
        <v>856</v>
      </c>
      <c r="F605" s="50" t="s">
        <v>660</v>
      </c>
      <c r="G605" s="50" t="s">
        <v>516</v>
      </c>
      <c r="H605" s="50" t="s">
        <v>857</v>
      </c>
      <c r="I605" s="50" t="s">
        <v>18</v>
      </c>
      <c r="J605" s="50" t="s">
        <v>518</v>
      </c>
      <c r="K605" s="50" t="s">
        <v>518</v>
      </c>
      <c r="L605" s="50" t="s">
        <v>544</v>
      </c>
      <c r="M605" s="50" t="s">
        <v>368</v>
      </c>
      <c r="N605" s="51">
        <v>33.42</v>
      </c>
    </row>
    <row r="606" spans="1:14" x14ac:dyDescent="0.3">
      <c r="A606" s="50" t="s">
        <v>848</v>
      </c>
      <c r="B606" s="50" t="s">
        <v>848</v>
      </c>
      <c r="C606" s="50" t="s">
        <v>858</v>
      </c>
      <c r="D606" s="50" t="s">
        <v>658</v>
      </c>
      <c r="E606" s="50" t="s">
        <v>518</v>
      </c>
      <c r="F606" s="50" t="s">
        <v>660</v>
      </c>
      <c r="G606" s="50" t="s">
        <v>516</v>
      </c>
      <c r="H606" s="50" t="s">
        <v>544</v>
      </c>
      <c r="I606" s="50" t="s">
        <v>368</v>
      </c>
      <c r="J606" s="50" t="s">
        <v>518</v>
      </c>
      <c r="K606" s="50" t="s">
        <v>518</v>
      </c>
      <c r="L606" s="50" t="s">
        <v>857</v>
      </c>
      <c r="M606" s="50" t="s">
        <v>18</v>
      </c>
      <c r="N606" s="51">
        <v>-33.42</v>
      </c>
    </row>
    <row r="607" spans="1:14" x14ac:dyDescent="0.3">
      <c r="A607" s="50" t="s">
        <v>848</v>
      </c>
      <c r="B607" s="50" t="s">
        <v>848</v>
      </c>
      <c r="C607" s="50" t="s">
        <v>859</v>
      </c>
      <c r="D607" s="50" t="s">
        <v>658</v>
      </c>
      <c r="E607" s="50" t="s">
        <v>856</v>
      </c>
      <c r="F607" s="50" t="s">
        <v>660</v>
      </c>
      <c r="G607" s="50" t="s">
        <v>516</v>
      </c>
      <c r="H607" s="50" t="s">
        <v>857</v>
      </c>
      <c r="I607" s="50" t="s">
        <v>18</v>
      </c>
      <c r="J607" s="50" t="s">
        <v>518</v>
      </c>
      <c r="K607" s="50" t="s">
        <v>518</v>
      </c>
      <c r="L607" s="50" t="s">
        <v>544</v>
      </c>
      <c r="M607" s="50" t="s">
        <v>368</v>
      </c>
      <c r="N607" s="51">
        <v>-33.42</v>
      </c>
    </row>
    <row r="608" spans="1:14" x14ac:dyDescent="0.3">
      <c r="A608" s="50" t="s">
        <v>848</v>
      </c>
      <c r="B608" s="50" t="s">
        <v>848</v>
      </c>
      <c r="C608" s="50" t="s">
        <v>859</v>
      </c>
      <c r="D608" s="50" t="s">
        <v>658</v>
      </c>
      <c r="E608" s="50" t="s">
        <v>518</v>
      </c>
      <c r="F608" s="50" t="s">
        <v>660</v>
      </c>
      <c r="G608" s="50" t="s">
        <v>516</v>
      </c>
      <c r="H608" s="50" t="s">
        <v>544</v>
      </c>
      <c r="I608" s="50" t="s">
        <v>368</v>
      </c>
      <c r="J608" s="50" t="s">
        <v>518</v>
      </c>
      <c r="K608" s="50" t="s">
        <v>518</v>
      </c>
      <c r="L608" s="50" t="s">
        <v>857</v>
      </c>
      <c r="M608" s="50" t="s">
        <v>18</v>
      </c>
      <c r="N608" s="51">
        <v>33.42</v>
      </c>
    </row>
    <row r="609" spans="1:14" x14ac:dyDescent="0.3">
      <c r="A609" s="50" t="s">
        <v>848</v>
      </c>
      <c r="B609" s="50" t="s">
        <v>848</v>
      </c>
      <c r="C609" s="50" t="s">
        <v>860</v>
      </c>
      <c r="D609" s="50" t="s">
        <v>614</v>
      </c>
      <c r="E609" s="50" t="s">
        <v>518</v>
      </c>
      <c r="F609" s="50" t="s">
        <v>615</v>
      </c>
      <c r="G609" s="50" t="s">
        <v>391</v>
      </c>
      <c r="H609" s="50" t="s">
        <v>521</v>
      </c>
      <c r="I609" s="50" t="s">
        <v>367</v>
      </c>
      <c r="J609" s="50" t="s">
        <v>698</v>
      </c>
      <c r="K609" s="50" t="s">
        <v>700</v>
      </c>
      <c r="L609" s="50" t="s">
        <v>544</v>
      </c>
      <c r="M609" s="50" t="s">
        <v>368</v>
      </c>
      <c r="N609" s="51">
        <v>317</v>
      </c>
    </row>
    <row r="610" spans="1:14" x14ac:dyDescent="0.3">
      <c r="A610" s="50" t="s">
        <v>848</v>
      </c>
      <c r="B610" s="50" t="s">
        <v>848</v>
      </c>
      <c r="C610" s="50" t="s">
        <v>860</v>
      </c>
      <c r="D610" s="50" t="s">
        <v>614</v>
      </c>
      <c r="E610" s="50" t="s">
        <v>518</v>
      </c>
      <c r="F610" s="50" t="s">
        <v>615</v>
      </c>
      <c r="G610" s="50" t="s">
        <v>391</v>
      </c>
      <c r="H610" s="50" t="s">
        <v>544</v>
      </c>
      <c r="I610" s="50" t="s">
        <v>368</v>
      </c>
      <c r="J610" s="50" t="s">
        <v>518</v>
      </c>
      <c r="K610" s="50" t="s">
        <v>518</v>
      </c>
      <c r="L610" s="50" t="s">
        <v>698</v>
      </c>
      <c r="M610" s="50" t="s">
        <v>699</v>
      </c>
      <c r="N610" s="51">
        <v>-317</v>
      </c>
    </row>
    <row r="611" spans="1:14" x14ac:dyDescent="0.3">
      <c r="A611" s="50" t="s">
        <v>848</v>
      </c>
      <c r="B611" s="50" t="s">
        <v>848</v>
      </c>
      <c r="C611" s="50" t="s">
        <v>861</v>
      </c>
      <c r="D611" s="50" t="s">
        <v>526</v>
      </c>
      <c r="E611" s="50" t="s">
        <v>527</v>
      </c>
      <c r="F611" s="50" t="s">
        <v>528</v>
      </c>
      <c r="G611" s="50" t="s">
        <v>516</v>
      </c>
      <c r="H611" s="50" t="s">
        <v>529</v>
      </c>
      <c r="I611" s="50" t="s">
        <v>363</v>
      </c>
      <c r="J611" s="50" t="s">
        <v>518</v>
      </c>
      <c r="K611" s="50" t="s">
        <v>518</v>
      </c>
      <c r="L611" s="50" t="s">
        <v>535</v>
      </c>
      <c r="M611" s="50" t="s">
        <v>371</v>
      </c>
      <c r="N611" s="51">
        <v>284.10000000000002</v>
      </c>
    </row>
    <row r="612" spans="1:14" x14ac:dyDescent="0.3">
      <c r="A612" s="50" t="s">
        <v>848</v>
      </c>
      <c r="B612" s="50" t="s">
        <v>848</v>
      </c>
      <c r="C612" s="50" t="s">
        <v>861</v>
      </c>
      <c r="D612" s="50" t="s">
        <v>526</v>
      </c>
      <c r="E612" s="50" t="s">
        <v>577</v>
      </c>
      <c r="F612" s="50" t="s">
        <v>528</v>
      </c>
      <c r="G612" s="50" t="s">
        <v>516</v>
      </c>
      <c r="H612" s="50" t="s">
        <v>529</v>
      </c>
      <c r="I612" s="50" t="s">
        <v>363</v>
      </c>
      <c r="J612" s="50" t="s">
        <v>518</v>
      </c>
      <c r="K612" s="50" t="s">
        <v>518</v>
      </c>
      <c r="L612" s="50" t="s">
        <v>535</v>
      </c>
      <c r="M612" s="50" t="s">
        <v>371</v>
      </c>
      <c r="N612" s="51">
        <v>151</v>
      </c>
    </row>
    <row r="613" spans="1:14" x14ac:dyDescent="0.3">
      <c r="A613" s="50" t="s">
        <v>848</v>
      </c>
      <c r="B613" s="50" t="s">
        <v>848</v>
      </c>
      <c r="C613" s="50" t="s">
        <v>861</v>
      </c>
      <c r="D613" s="50" t="s">
        <v>526</v>
      </c>
      <c r="E613" s="50" t="s">
        <v>534</v>
      </c>
      <c r="F613" s="50" t="s">
        <v>528</v>
      </c>
      <c r="G613" s="50" t="s">
        <v>516</v>
      </c>
      <c r="H613" s="50" t="s">
        <v>535</v>
      </c>
      <c r="I613" s="50" t="s">
        <v>371</v>
      </c>
      <c r="J613" s="50" t="s">
        <v>518</v>
      </c>
      <c r="K613" s="50" t="s">
        <v>518</v>
      </c>
      <c r="L613" s="50" t="s">
        <v>530</v>
      </c>
      <c r="M613" s="50" t="s">
        <v>382</v>
      </c>
      <c r="N613" s="51">
        <v>-513</v>
      </c>
    </row>
    <row r="614" spans="1:14" x14ac:dyDescent="0.3">
      <c r="A614" s="50" t="s">
        <v>848</v>
      </c>
      <c r="B614" s="50" t="s">
        <v>848</v>
      </c>
      <c r="C614" s="50" t="s">
        <v>861</v>
      </c>
      <c r="D614" s="50" t="s">
        <v>526</v>
      </c>
      <c r="E614" s="50" t="s">
        <v>536</v>
      </c>
      <c r="F614" s="50" t="s">
        <v>528</v>
      </c>
      <c r="G614" s="50" t="s">
        <v>516</v>
      </c>
      <c r="H614" s="50" t="s">
        <v>537</v>
      </c>
      <c r="I614" s="50" t="s">
        <v>385</v>
      </c>
      <c r="J614" s="50" t="s">
        <v>518</v>
      </c>
      <c r="K614" s="50" t="s">
        <v>518</v>
      </c>
      <c r="L614" s="50" t="s">
        <v>530</v>
      </c>
      <c r="M614" s="50" t="s">
        <v>382</v>
      </c>
      <c r="N614" s="51">
        <v>-35.1</v>
      </c>
    </row>
    <row r="615" spans="1:14" x14ac:dyDescent="0.3">
      <c r="A615" s="50" t="s">
        <v>848</v>
      </c>
      <c r="B615" s="50" t="s">
        <v>848</v>
      </c>
      <c r="C615" s="50" t="s">
        <v>861</v>
      </c>
      <c r="D615" s="50" t="s">
        <v>526</v>
      </c>
      <c r="E615" s="50" t="s">
        <v>540</v>
      </c>
      <c r="F615" s="50" t="s">
        <v>528</v>
      </c>
      <c r="G615" s="50" t="s">
        <v>516</v>
      </c>
      <c r="H615" s="50" t="s">
        <v>533</v>
      </c>
      <c r="I615" s="50" t="s">
        <v>364</v>
      </c>
      <c r="J615" s="50" t="s">
        <v>518</v>
      </c>
      <c r="K615" s="50" t="s">
        <v>518</v>
      </c>
      <c r="L615" s="50" t="s">
        <v>530</v>
      </c>
      <c r="M615" s="50" t="s">
        <v>382</v>
      </c>
      <c r="N615" s="51">
        <v>-377</v>
      </c>
    </row>
    <row r="616" spans="1:14" x14ac:dyDescent="0.3">
      <c r="A616" s="50" t="s">
        <v>848</v>
      </c>
      <c r="B616" s="50" t="s">
        <v>848</v>
      </c>
      <c r="C616" s="50" t="s">
        <v>861</v>
      </c>
      <c r="D616" s="50" t="s">
        <v>526</v>
      </c>
      <c r="E616" s="50" t="s">
        <v>540</v>
      </c>
      <c r="F616" s="50" t="s">
        <v>528</v>
      </c>
      <c r="G616" s="50" t="s">
        <v>516</v>
      </c>
      <c r="H616" s="50" t="s">
        <v>530</v>
      </c>
      <c r="I616" s="50" t="s">
        <v>382</v>
      </c>
      <c r="J616" s="50" t="s">
        <v>518</v>
      </c>
      <c r="K616" s="50" t="s">
        <v>518</v>
      </c>
      <c r="L616" s="50" t="s">
        <v>535</v>
      </c>
      <c r="M616" s="50" t="s">
        <v>371</v>
      </c>
      <c r="N616" s="51">
        <v>377</v>
      </c>
    </row>
    <row r="617" spans="1:14" x14ac:dyDescent="0.3">
      <c r="A617" s="50" t="s">
        <v>848</v>
      </c>
      <c r="B617" s="50" t="s">
        <v>848</v>
      </c>
      <c r="C617" s="50" t="s">
        <v>861</v>
      </c>
      <c r="D617" s="50" t="s">
        <v>526</v>
      </c>
      <c r="E617" s="50" t="s">
        <v>541</v>
      </c>
      <c r="F617" s="50" t="s">
        <v>528</v>
      </c>
      <c r="G617" s="50" t="s">
        <v>516</v>
      </c>
      <c r="H617" s="50" t="s">
        <v>542</v>
      </c>
      <c r="I617" s="50" t="s">
        <v>369</v>
      </c>
      <c r="J617" s="50" t="s">
        <v>518</v>
      </c>
      <c r="K617" s="50" t="s">
        <v>518</v>
      </c>
      <c r="L617" s="50" t="s">
        <v>530</v>
      </c>
      <c r="M617" s="50" t="s">
        <v>382</v>
      </c>
      <c r="N617" s="51">
        <v>-136</v>
      </c>
    </row>
    <row r="618" spans="1:14" x14ac:dyDescent="0.3">
      <c r="A618" s="50" t="s">
        <v>848</v>
      </c>
      <c r="B618" s="50" t="s">
        <v>848</v>
      </c>
      <c r="C618" s="50" t="s">
        <v>861</v>
      </c>
      <c r="D618" s="50" t="s">
        <v>526</v>
      </c>
      <c r="E618" s="50" t="s">
        <v>541</v>
      </c>
      <c r="F618" s="50" t="s">
        <v>528</v>
      </c>
      <c r="G618" s="50" t="s">
        <v>516</v>
      </c>
      <c r="H618" s="50" t="s">
        <v>530</v>
      </c>
      <c r="I618" s="50" t="s">
        <v>382</v>
      </c>
      <c r="J618" s="50" t="s">
        <v>518</v>
      </c>
      <c r="K618" s="50" t="s">
        <v>518</v>
      </c>
      <c r="L618" s="50" t="s">
        <v>535</v>
      </c>
      <c r="M618" s="50" t="s">
        <v>371</v>
      </c>
      <c r="N618" s="51">
        <v>136</v>
      </c>
    </row>
    <row r="619" spans="1:14" x14ac:dyDescent="0.3">
      <c r="A619" s="50" t="s">
        <v>848</v>
      </c>
      <c r="B619" s="50" t="s">
        <v>848</v>
      </c>
      <c r="C619" s="50" t="s">
        <v>861</v>
      </c>
      <c r="D619" s="50" t="s">
        <v>526</v>
      </c>
      <c r="E619" s="50" t="s">
        <v>543</v>
      </c>
      <c r="F619" s="50" t="s">
        <v>528</v>
      </c>
      <c r="G619" s="50" t="s">
        <v>516</v>
      </c>
      <c r="H619" s="50" t="s">
        <v>529</v>
      </c>
      <c r="I619" s="50" t="s">
        <v>363</v>
      </c>
      <c r="J619" s="50" t="s">
        <v>518</v>
      </c>
      <c r="K619" s="50" t="s">
        <v>518</v>
      </c>
      <c r="L619" s="50" t="s">
        <v>535</v>
      </c>
      <c r="M619" s="50" t="s">
        <v>371</v>
      </c>
      <c r="N619" s="51">
        <v>143</v>
      </c>
    </row>
    <row r="620" spans="1:14" x14ac:dyDescent="0.3">
      <c r="A620" s="50" t="s">
        <v>848</v>
      </c>
      <c r="B620" s="50" t="s">
        <v>848</v>
      </c>
      <c r="C620" s="50" t="s">
        <v>861</v>
      </c>
      <c r="D620" s="50" t="s">
        <v>526</v>
      </c>
      <c r="E620" s="50" t="s">
        <v>518</v>
      </c>
      <c r="F620" s="50" t="s">
        <v>528</v>
      </c>
      <c r="G620" s="50" t="s">
        <v>516</v>
      </c>
      <c r="H620" s="50" t="s">
        <v>544</v>
      </c>
      <c r="I620" s="50" t="s">
        <v>368</v>
      </c>
      <c r="J620" s="50" t="s">
        <v>518</v>
      </c>
      <c r="K620" s="50" t="s">
        <v>518</v>
      </c>
      <c r="L620" s="50" t="s">
        <v>530</v>
      </c>
      <c r="M620" s="50" t="s">
        <v>382</v>
      </c>
      <c r="N620" s="51">
        <v>-30</v>
      </c>
    </row>
    <row r="621" spans="1:14" x14ac:dyDescent="0.3">
      <c r="A621" s="50" t="s">
        <v>862</v>
      </c>
      <c r="B621" s="50" t="s">
        <v>862</v>
      </c>
      <c r="C621" s="50" t="s">
        <v>863</v>
      </c>
      <c r="D621" s="50" t="s">
        <v>526</v>
      </c>
      <c r="E621" s="50" t="s">
        <v>527</v>
      </c>
      <c r="F621" s="50" t="s">
        <v>528</v>
      </c>
      <c r="G621" s="50" t="s">
        <v>516</v>
      </c>
      <c r="H621" s="50" t="s">
        <v>529</v>
      </c>
      <c r="I621" s="50" t="s">
        <v>363</v>
      </c>
      <c r="J621" s="50" t="s">
        <v>518</v>
      </c>
      <c r="K621" s="50" t="s">
        <v>518</v>
      </c>
      <c r="L621" s="50" t="s">
        <v>529</v>
      </c>
      <c r="M621" s="50" t="s">
        <v>363</v>
      </c>
      <c r="N621" s="51">
        <v>-573.70000000000005</v>
      </c>
    </row>
    <row r="622" spans="1:14" x14ac:dyDescent="0.3">
      <c r="A622" s="50" t="s">
        <v>862</v>
      </c>
      <c r="B622" s="50" t="s">
        <v>862</v>
      </c>
      <c r="C622" s="50" t="s">
        <v>863</v>
      </c>
      <c r="D622" s="50" t="s">
        <v>526</v>
      </c>
      <c r="E622" s="50" t="s">
        <v>534</v>
      </c>
      <c r="F622" s="50" t="s">
        <v>528</v>
      </c>
      <c r="G622" s="50" t="s">
        <v>516</v>
      </c>
      <c r="H622" s="50" t="s">
        <v>535</v>
      </c>
      <c r="I622" s="50" t="s">
        <v>371</v>
      </c>
      <c r="J622" s="50" t="s">
        <v>518</v>
      </c>
      <c r="K622" s="50" t="s">
        <v>518</v>
      </c>
      <c r="L622" s="50" t="s">
        <v>529</v>
      </c>
      <c r="M622" s="50" t="s">
        <v>363</v>
      </c>
      <c r="N622" s="51">
        <v>-105.27</v>
      </c>
    </row>
    <row r="623" spans="1:14" x14ac:dyDescent="0.3">
      <c r="A623" s="50" t="s">
        <v>862</v>
      </c>
      <c r="B623" s="50" t="s">
        <v>862</v>
      </c>
      <c r="C623" s="50" t="s">
        <v>863</v>
      </c>
      <c r="D623" s="50" t="s">
        <v>526</v>
      </c>
      <c r="E623" s="50" t="s">
        <v>536</v>
      </c>
      <c r="F623" s="50" t="s">
        <v>528</v>
      </c>
      <c r="G623" s="50" t="s">
        <v>516</v>
      </c>
      <c r="H623" s="50" t="s">
        <v>537</v>
      </c>
      <c r="I623" s="50" t="s">
        <v>385</v>
      </c>
      <c r="J623" s="50" t="s">
        <v>518</v>
      </c>
      <c r="K623" s="50" t="s">
        <v>518</v>
      </c>
      <c r="L623" s="50" t="s">
        <v>529</v>
      </c>
      <c r="M623" s="50" t="s">
        <v>363</v>
      </c>
      <c r="N623" s="51">
        <v>-35.700000000000003</v>
      </c>
    </row>
    <row r="624" spans="1:14" x14ac:dyDescent="0.3">
      <c r="A624" s="50" t="s">
        <v>862</v>
      </c>
      <c r="B624" s="50" t="s">
        <v>862</v>
      </c>
      <c r="C624" s="50" t="s">
        <v>863</v>
      </c>
      <c r="D624" s="50" t="s">
        <v>526</v>
      </c>
      <c r="E624" s="50" t="s">
        <v>539</v>
      </c>
      <c r="F624" s="50" t="s">
        <v>528</v>
      </c>
      <c r="G624" s="50" t="s">
        <v>516</v>
      </c>
      <c r="H624" s="50" t="s">
        <v>529</v>
      </c>
      <c r="I624" s="50" t="s">
        <v>363</v>
      </c>
      <c r="J624" s="50" t="s">
        <v>518</v>
      </c>
      <c r="K624" s="50" t="s">
        <v>518</v>
      </c>
      <c r="L624" s="50" t="s">
        <v>529</v>
      </c>
      <c r="M624" s="50" t="s">
        <v>363</v>
      </c>
      <c r="N624" s="51">
        <v>275</v>
      </c>
    </row>
    <row r="625" spans="1:14" x14ac:dyDescent="0.3">
      <c r="A625" s="50" t="s">
        <v>862</v>
      </c>
      <c r="B625" s="50" t="s">
        <v>862</v>
      </c>
      <c r="C625" s="50" t="s">
        <v>863</v>
      </c>
      <c r="D625" s="50" t="s">
        <v>526</v>
      </c>
      <c r="E625" s="50" t="s">
        <v>540</v>
      </c>
      <c r="F625" s="50" t="s">
        <v>528</v>
      </c>
      <c r="G625" s="50" t="s">
        <v>516</v>
      </c>
      <c r="H625" s="50" t="s">
        <v>533</v>
      </c>
      <c r="I625" s="50" t="s">
        <v>364</v>
      </c>
      <c r="J625" s="50" t="s">
        <v>518</v>
      </c>
      <c r="K625" s="50" t="s">
        <v>518</v>
      </c>
      <c r="L625" s="50" t="s">
        <v>529</v>
      </c>
      <c r="M625" s="50" t="s">
        <v>363</v>
      </c>
      <c r="N625" s="51">
        <v>-32</v>
      </c>
    </row>
    <row r="626" spans="1:14" x14ac:dyDescent="0.3">
      <c r="A626" s="50" t="s">
        <v>862</v>
      </c>
      <c r="B626" s="50" t="s">
        <v>862</v>
      </c>
      <c r="C626" s="50" t="s">
        <v>863</v>
      </c>
      <c r="D626" s="50" t="s">
        <v>526</v>
      </c>
      <c r="E626" s="50" t="s">
        <v>540</v>
      </c>
      <c r="F626" s="50" t="s">
        <v>528</v>
      </c>
      <c r="G626" s="50" t="s">
        <v>516</v>
      </c>
      <c r="H626" s="50" t="s">
        <v>530</v>
      </c>
      <c r="I626" s="50" t="s">
        <v>382</v>
      </c>
      <c r="J626" s="50" t="s">
        <v>518</v>
      </c>
      <c r="K626" s="50" t="s">
        <v>518</v>
      </c>
      <c r="L626" s="50" t="s">
        <v>529</v>
      </c>
      <c r="M626" s="50" t="s">
        <v>363</v>
      </c>
      <c r="N626" s="51">
        <v>32</v>
      </c>
    </row>
    <row r="627" spans="1:14" x14ac:dyDescent="0.3">
      <c r="A627" s="50" t="s">
        <v>862</v>
      </c>
      <c r="B627" s="50" t="s">
        <v>862</v>
      </c>
      <c r="C627" s="50" t="s">
        <v>863</v>
      </c>
      <c r="D627" s="50" t="s">
        <v>526</v>
      </c>
      <c r="E627" s="50" t="s">
        <v>541</v>
      </c>
      <c r="F627" s="50" t="s">
        <v>528</v>
      </c>
      <c r="G627" s="50" t="s">
        <v>516</v>
      </c>
      <c r="H627" s="50" t="s">
        <v>542</v>
      </c>
      <c r="I627" s="50" t="s">
        <v>369</v>
      </c>
      <c r="J627" s="50" t="s">
        <v>518</v>
      </c>
      <c r="K627" s="50" t="s">
        <v>518</v>
      </c>
      <c r="L627" s="50" t="s">
        <v>529</v>
      </c>
      <c r="M627" s="50" t="s">
        <v>363</v>
      </c>
      <c r="N627" s="51">
        <v>-66.400000000000006</v>
      </c>
    </row>
    <row r="628" spans="1:14" x14ac:dyDescent="0.3">
      <c r="A628" s="50" t="s">
        <v>862</v>
      </c>
      <c r="B628" s="50" t="s">
        <v>862</v>
      </c>
      <c r="C628" s="50" t="s">
        <v>863</v>
      </c>
      <c r="D628" s="50" t="s">
        <v>526</v>
      </c>
      <c r="E628" s="50" t="s">
        <v>541</v>
      </c>
      <c r="F628" s="50" t="s">
        <v>528</v>
      </c>
      <c r="G628" s="50" t="s">
        <v>516</v>
      </c>
      <c r="H628" s="50" t="s">
        <v>530</v>
      </c>
      <c r="I628" s="50" t="s">
        <v>382</v>
      </c>
      <c r="J628" s="50" t="s">
        <v>518</v>
      </c>
      <c r="K628" s="50" t="s">
        <v>518</v>
      </c>
      <c r="L628" s="50" t="s">
        <v>529</v>
      </c>
      <c r="M628" s="50" t="s">
        <v>363</v>
      </c>
      <c r="N628" s="51">
        <v>66.400000000000006</v>
      </c>
    </row>
    <row r="629" spans="1:14" x14ac:dyDescent="0.3">
      <c r="A629" s="50" t="s">
        <v>862</v>
      </c>
      <c r="B629" s="50" t="s">
        <v>862</v>
      </c>
      <c r="C629" s="50" t="s">
        <v>863</v>
      </c>
      <c r="D629" s="50" t="s">
        <v>526</v>
      </c>
      <c r="E629" s="50" t="s">
        <v>671</v>
      </c>
      <c r="F629" s="50" t="s">
        <v>528</v>
      </c>
      <c r="G629" s="50" t="s">
        <v>516</v>
      </c>
      <c r="H629" s="50" t="s">
        <v>586</v>
      </c>
      <c r="I629" s="50" t="s">
        <v>365</v>
      </c>
      <c r="J629" s="50" t="s">
        <v>518</v>
      </c>
      <c r="K629" s="50" t="s">
        <v>518</v>
      </c>
      <c r="L629" s="50" t="s">
        <v>529</v>
      </c>
      <c r="M629" s="50" t="s">
        <v>363</v>
      </c>
      <c r="N629" s="51">
        <v>6.87</v>
      </c>
    </row>
    <row r="630" spans="1:14" x14ac:dyDescent="0.3">
      <c r="A630" s="50" t="s">
        <v>862</v>
      </c>
      <c r="B630" s="50" t="s">
        <v>862</v>
      </c>
      <c r="C630" s="50" t="s">
        <v>863</v>
      </c>
      <c r="D630" s="50" t="s">
        <v>526</v>
      </c>
      <c r="E630" s="50" t="s">
        <v>543</v>
      </c>
      <c r="F630" s="50" t="s">
        <v>528</v>
      </c>
      <c r="G630" s="50" t="s">
        <v>516</v>
      </c>
      <c r="H630" s="50" t="s">
        <v>529</v>
      </c>
      <c r="I630" s="50" t="s">
        <v>363</v>
      </c>
      <c r="J630" s="50" t="s">
        <v>518</v>
      </c>
      <c r="K630" s="50" t="s">
        <v>518</v>
      </c>
      <c r="L630" s="50" t="s">
        <v>529</v>
      </c>
      <c r="M630" s="50" t="s">
        <v>363</v>
      </c>
      <c r="N630" s="51">
        <v>447.8</v>
      </c>
    </row>
    <row r="631" spans="1:14" x14ac:dyDescent="0.3">
      <c r="A631" s="50" t="s">
        <v>862</v>
      </c>
      <c r="B631" s="50" t="s">
        <v>862</v>
      </c>
      <c r="C631" s="50" t="s">
        <v>863</v>
      </c>
      <c r="D631" s="50" t="s">
        <v>526</v>
      </c>
      <c r="E631" s="50" t="s">
        <v>518</v>
      </c>
      <c r="F631" s="50" t="s">
        <v>528</v>
      </c>
      <c r="G631" s="50" t="s">
        <v>516</v>
      </c>
      <c r="H631" s="50" t="s">
        <v>544</v>
      </c>
      <c r="I631" s="50" t="s">
        <v>368</v>
      </c>
      <c r="J631" s="50" t="s">
        <v>518</v>
      </c>
      <c r="K631" s="50" t="s">
        <v>518</v>
      </c>
      <c r="L631" s="50" t="s">
        <v>529</v>
      </c>
      <c r="M631" s="50" t="s">
        <v>363</v>
      </c>
      <c r="N631" s="51">
        <v>-15</v>
      </c>
    </row>
    <row r="632" spans="1:14" x14ac:dyDescent="0.3">
      <c r="A632" s="50" t="s">
        <v>862</v>
      </c>
      <c r="B632" s="50" t="s">
        <v>862</v>
      </c>
      <c r="C632" s="50" t="s">
        <v>864</v>
      </c>
      <c r="D632" s="50" t="s">
        <v>565</v>
      </c>
      <c r="E632" s="50" t="s">
        <v>518</v>
      </c>
      <c r="F632" s="50" t="s">
        <v>566</v>
      </c>
      <c r="G632" s="50" t="s">
        <v>391</v>
      </c>
      <c r="H632" s="50" t="s">
        <v>567</v>
      </c>
      <c r="I632" s="50" t="s">
        <v>395</v>
      </c>
      <c r="J632" s="50" t="s">
        <v>518</v>
      </c>
      <c r="K632" s="50" t="s">
        <v>518</v>
      </c>
      <c r="L632" s="50" t="s">
        <v>568</v>
      </c>
      <c r="M632" s="50" t="s">
        <v>401</v>
      </c>
      <c r="N632" s="51">
        <v>5.08</v>
      </c>
    </row>
    <row r="633" spans="1:14" x14ac:dyDescent="0.3">
      <c r="A633" s="50" t="s">
        <v>862</v>
      </c>
      <c r="B633" s="50" t="s">
        <v>862</v>
      </c>
      <c r="C633" s="50" t="s">
        <v>864</v>
      </c>
      <c r="D633" s="50" t="s">
        <v>565</v>
      </c>
      <c r="E633" s="50" t="s">
        <v>518</v>
      </c>
      <c r="F633" s="50" t="s">
        <v>566</v>
      </c>
      <c r="G633" s="50" t="s">
        <v>391</v>
      </c>
      <c r="H633" s="50" t="s">
        <v>568</v>
      </c>
      <c r="I633" s="50" t="s">
        <v>401</v>
      </c>
      <c r="J633" s="50" t="s">
        <v>518</v>
      </c>
      <c r="K633" s="50" t="s">
        <v>518</v>
      </c>
      <c r="L633" s="50" t="s">
        <v>567</v>
      </c>
      <c r="M633" s="50" t="s">
        <v>395</v>
      </c>
      <c r="N633" s="51">
        <v>-5.08</v>
      </c>
    </row>
    <row r="634" spans="1:14" x14ac:dyDescent="0.3">
      <c r="A634" s="50" t="s">
        <v>846</v>
      </c>
      <c r="B634" s="50" t="s">
        <v>846</v>
      </c>
      <c r="C634" s="50" t="s">
        <v>865</v>
      </c>
      <c r="D634" s="50" t="s">
        <v>526</v>
      </c>
      <c r="E634" s="50" t="s">
        <v>527</v>
      </c>
      <c r="F634" s="50" t="s">
        <v>528</v>
      </c>
      <c r="G634" s="50" t="s">
        <v>516</v>
      </c>
      <c r="H634" s="50" t="s">
        <v>529</v>
      </c>
      <c r="I634" s="50" t="s">
        <v>363</v>
      </c>
      <c r="J634" s="50" t="s">
        <v>518</v>
      </c>
      <c r="K634" s="50" t="s">
        <v>518</v>
      </c>
      <c r="L634" s="50" t="s">
        <v>535</v>
      </c>
      <c r="M634" s="50" t="s">
        <v>371</v>
      </c>
      <c r="N634" s="51">
        <v>378</v>
      </c>
    </row>
    <row r="635" spans="1:14" x14ac:dyDescent="0.3">
      <c r="A635" s="50" t="s">
        <v>846</v>
      </c>
      <c r="B635" s="50" t="s">
        <v>846</v>
      </c>
      <c r="C635" s="50" t="s">
        <v>865</v>
      </c>
      <c r="D635" s="50" t="s">
        <v>526</v>
      </c>
      <c r="E635" s="50" t="s">
        <v>557</v>
      </c>
      <c r="F635" s="50" t="s">
        <v>528</v>
      </c>
      <c r="G635" s="50" t="s">
        <v>516</v>
      </c>
      <c r="H635" s="50" t="s">
        <v>558</v>
      </c>
      <c r="I635" s="50" t="s">
        <v>386</v>
      </c>
      <c r="J635" s="50" t="s">
        <v>518</v>
      </c>
      <c r="K635" s="50" t="s">
        <v>518</v>
      </c>
      <c r="L635" s="50" t="s">
        <v>529</v>
      </c>
      <c r="M635" s="50" t="s">
        <v>363</v>
      </c>
      <c r="N635" s="51">
        <v>-87</v>
      </c>
    </row>
    <row r="636" spans="1:14" x14ac:dyDescent="0.3">
      <c r="A636" s="50" t="s">
        <v>846</v>
      </c>
      <c r="B636" s="50" t="s">
        <v>846</v>
      </c>
      <c r="C636" s="50" t="s">
        <v>865</v>
      </c>
      <c r="D636" s="50" t="s">
        <v>526</v>
      </c>
      <c r="E636" s="50" t="s">
        <v>577</v>
      </c>
      <c r="F636" s="50" t="s">
        <v>528</v>
      </c>
      <c r="G636" s="50" t="s">
        <v>516</v>
      </c>
      <c r="H636" s="50" t="s">
        <v>529</v>
      </c>
      <c r="I636" s="50" t="s">
        <v>363</v>
      </c>
      <c r="J636" s="50" t="s">
        <v>518</v>
      </c>
      <c r="K636" s="50" t="s">
        <v>518</v>
      </c>
      <c r="L636" s="50" t="s">
        <v>535</v>
      </c>
      <c r="M636" s="50" t="s">
        <v>371</v>
      </c>
      <c r="N636" s="51">
        <v>50</v>
      </c>
    </row>
    <row r="637" spans="1:14" x14ac:dyDescent="0.3">
      <c r="A637" s="50" t="s">
        <v>846</v>
      </c>
      <c r="B637" s="50" t="s">
        <v>846</v>
      </c>
      <c r="C637" s="50" t="s">
        <v>865</v>
      </c>
      <c r="D637" s="50" t="s">
        <v>526</v>
      </c>
      <c r="E637" s="50" t="s">
        <v>531</v>
      </c>
      <c r="F637" s="50" t="s">
        <v>528</v>
      </c>
      <c r="G637" s="50" t="s">
        <v>516</v>
      </c>
      <c r="H637" s="50" t="s">
        <v>532</v>
      </c>
      <c r="I637" s="50" t="s">
        <v>381</v>
      </c>
      <c r="J637" s="50" t="s">
        <v>518</v>
      </c>
      <c r="K637" s="50" t="s">
        <v>518</v>
      </c>
      <c r="L637" s="50" t="s">
        <v>529</v>
      </c>
      <c r="M637" s="50" t="s">
        <v>363</v>
      </c>
      <c r="N637" s="51">
        <v>-30</v>
      </c>
    </row>
    <row r="638" spans="1:14" x14ac:dyDescent="0.3">
      <c r="A638" s="50" t="s">
        <v>846</v>
      </c>
      <c r="B638" s="50" t="s">
        <v>846</v>
      </c>
      <c r="C638" s="50" t="s">
        <v>865</v>
      </c>
      <c r="D638" s="50" t="s">
        <v>526</v>
      </c>
      <c r="E638" s="50" t="s">
        <v>534</v>
      </c>
      <c r="F638" s="50" t="s">
        <v>528</v>
      </c>
      <c r="G638" s="50" t="s">
        <v>516</v>
      </c>
      <c r="H638" s="50" t="s">
        <v>535</v>
      </c>
      <c r="I638" s="50" t="s">
        <v>371</v>
      </c>
      <c r="J638" s="50" t="s">
        <v>518</v>
      </c>
      <c r="K638" s="50" t="s">
        <v>518</v>
      </c>
      <c r="L638" s="50" t="s">
        <v>529</v>
      </c>
      <c r="M638" s="50" t="s">
        <v>363</v>
      </c>
      <c r="N638" s="51">
        <v>-1940.91</v>
      </c>
    </row>
    <row r="639" spans="1:14" x14ac:dyDescent="0.3">
      <c r="A639" s="50" t="s">
        <v>846</v>
      </c>
      <c r="B639" s="50" t="s">
        <v>846</v>
      </c>
      <c r="C639" s="50" t="s">
        <v>865</v>
      </c>
      <c r="D639" s="50" t="s">
        <v>526</v>
      </c>
      <c r="E639" s="50" t="s">
        <v>536</v>
      </c>
      <c r="F639" s="50" t="s">
        <v>528</v>
      </c>
      <c r="G639" s="50" t="s">
        <v>516</v>
      </c>
      <c r="H639" s="50" t="s">
        <v>537</v>
      </c>
      <c r="I639" s="50" t="s">
        <v>385</v>
      </c>
      <c r="J639" s="50" t="s">
        <v>518</v>
      </c>
      <c r="K639" s="50" t="s">
        <v>518</v>
      </c>
      <c r="L639" s="50" t="s">
        <v>529</v>
      </c>
      <c r="M639" s="50" t="s">
        <v>363</v>
      </c>
      <c r="N639" s="51">
        <v>-197.35</v>
      </c>
    </row>
    <row r="640" spans="1:14" x14ac:dyDescent="0.3">
      <c r="A640" s="50" t="s">
        <v>846</v>
      </c>
      <c r="B640" s="50" t="s">
        <v>846</v>
      </c>
      <c r="C640" s="50" t="s">
        <v>865</v>
      </c>
      <c r="D640" s="50" t="s">
        <v>526</v>
      </c>
      <c r="E640" s="50" t="s">
        <v>383</v>
      </c>
      <c r="F640" s="50" t="s">
        <v>528</v>
      </c>
      <c r="G640" s="50" t="s">
        <v>516</v>
      </c>
      <c r="H640" s="50" t="s">
        <v>538</v>
      </c>
      <c r="I640" s="50" t="s">
        <v>383</v>
      </c>
      <c r="J640" s="50" t="s">
        <v>518</v>
      </c>
      <c r="K640" s="50" t="s">
        <v>518</v>
      </c>
      <c r="L640" s="50" t="s">
        <v>529</v>
      </c>
      <c r="M640" s="50" t="s">
        <v>363</v>
      </c>
      <c r="N640" s="51">
        <v>-245.4</v>
      </c>
    </row>
    <row r="641" spans="1:14" x14ac:dyDescent="0.3">
      <c r="A641" s="50" t="s">
        <v>846</v>
      </c>
      <c r="B641" s="50" t="s">
        <v>846</v>
      </c>
      <c r="C641" s="50" t="s">
        <v>865</v>
      </c>
      <c r="D641" s="50" t="s">
        <v>526</v>
      </c>
      <c r="E641" s="50" t="s">
        <v>539</v>
      </c>
      <c r="F641" s="50" t="s">
        <v>528</v>
      </c>
      <c r="G641" s="50" t="s">
        <v>516</v>
      </c>
      <c r="H641" s="50" t="s">
        <v>529</v>
      </c>
      <c r="I641" s="50" t="s">
        <v>363</v>
      </c>
      <c r="J641" s="50" t="s">
        <v>518</v>
      </c>
      <c r="K641" s="50" t="s">
        <v>518</v>
      </c>
      <c r="L641" s="50" t="s">
        <v>535</v>
      </c>
      <c r="M641" s="50" t="s">
        <v>371</v>
      </c>
      <c r="N641" s="51">
        <v>546.78</v>
      </c>
    </row>
    <row r="642" spans="1:14" x14ac:dyDescent="0.3">
      <c r="A642" s="50" t="s">
        <v>846</v>
      </c>
      <c r="B642" s="50" t="s">
        <v>846</v>
      </c>
      <c r="C642" s="50" t="s">
        <v>865</v>
      </c>
      <c r="D642" s="50" t="s">
        <v>526</v>
      </c>
      <c r="E642" s="50" t="s">
        <v>420</v>
      </c>
      <c r="F642" s="50" t="s">
        <v>528</v>
      </c>
      <c r="G642" s="50" t="s">
        <v>391</v>
      </c>
      <c r="H642" s="50" t="s">
        <v>561</v>
      </c>
      <c r="I642" s="50" t="s">
        <v>269</v>
      </c>
      <c r="J642" s="50" t="s">
        <v>518</v>
      </c>
      <c r="K642" s="50" t="s">
        <v>518</v>
      </c>
      <c r="L642" s="50" t="s">
        <v>529</v>
      </c>
      <c r="M642" s="50" t="s">
        <v>363</v>
      </c>
      <c r="N642" s="51">
        <v>-43.98</v>
      </c>
    </row>
    <row r="643" spans="1:14" x14ac:dyDescent="0.3">
      <c r="A643" s="50" t="s">
        <v>846</v>
      </c>
      <c r="B643" s="50" t="s">
        <v>846</v>
      </c>
      <c r="C643" s="50" t="s">
        <v>865</v>
      </c>
      <c r="D643" s="50" t="s">
        <v>526</v>
      </c>
      <c r="E643" s="50" t="s">
        <v>540</v>
      </c>
      <c r="F643" s="50" t="s">
        <v>528</v>
      </c>
      <c r="G643" s="50" t="s">
        <v>516</v>
      </c>
      <c r="H643" s="50" t="s">
        <v>533</v>
      </c>
      <c r="I643" s="50" t="s">
        <v>364</v>
      </c>
      <c r="J643" s="50" t="s">
        <v>518</v>
      </c>
      <c r="K643" s="50" t="s">
        <v>518</v>
      </c>
      <c r="L643" s="50" t="s">
        <v>529</v>
      </c>
      <c r="M643" s="50" t="s">
        <v>363</v>
      </c>
      <c r="N643" s="51">
        <v>-902.91</v>
      </c>
    </row>
    <row r="644" spans="1:14" x14ac:dyDescent="0.3">
      <c r="A644" s="50" t="s">
        <v>846</v>
      </c>
      <c r="B644" s="50" t="s">
        <v>846</v>
      </c>
      <c r="C644" s="50" t="s">
        <v>865</v>
      </c>
      <c r="D644" s="50" t="s">
        <v>526</v>
      </c>
      <c r="E644" s="50" t="s">
        <v>540</v>
      </c>
      <c r="F644" s="50" t="s">
        <v>528</v>
      </c>
      <c r="G644" s="50" t="s">
        <v>516</v>
      </c>
      <c r="H644" s="50" t="s">
        <v>530</v>
      </c>
      <c r="I644" s="50" t="s">
        <v>382</v>
      </c>
      <c r="J644" s="50" t="s">
        <v>518</v>
      </c>
      <c r="K644" s="50" t="s">
        <v>518</v>
      </c>
      <c r="L644" s="50" t="s">
        <v>535</v>
      </c>
      <c r="M644" s="50" t="s">
        <v>371</v>
      </c>
      <c r="N644" s="51">
        <v>902.91</v>
      </c>
    </row>
    <row r="645" spans="1:14" x14ac:dyDescent="0.3">
      <c r="A645" s="50" t="s">
        <v>846</v>
      </c>
      <c r="B645" s="50" t="s">
        <v>846</v>
      </c>
      <c r="C645" s="50" t="s">
        <v>865</v>
      </c>
      <c r="D645" s="50" t="s">
        <v>526</v>
      </c>
      <c r="E645" s="50" t="s">
        <v>541</v>
      </c>
      <c r="F645" s="50" t="s">
        <v>528</v>
      </c>
      <c r="G645" s="50" t="s">
        <v>516</v>
      </c>
      <c r="H645" s="50" t="s">
        <v>542</v>
      </c>
      <c r="I645" s="50" t="s">
        <v>369</v>
      </c>
      <c r="J645" s="50" t="s">
        <v>518</v>
      </c>
      <c r="K645" s="50" t="s">
        <v>518</v>
      </c>
      <c r="L645" s="50" t="s">
        <v>529</v>
      </c>
      <c r="M645" s="50" t="s">
        <v>363</v>
      </c>
      <c r="N645" s="51">
        <v>-1198</v>
      </c>
    </row>
    <row r="646" spans="1:14" x14ac:dyDescent="0.3">
      <c r="A646" s="50" t="s">
        <v>846</v>
      </c>
      <c r="B646" s="50" t="s">
        <v>846</v>
      </c>
      <c r="C646" s="50" t="s">
        <v>865</v>
      </c>
      <c r="D646" s="50" t="s">
        <v>526</v>
      </c>
      <c r="E646" s="50" t="s">
        <v>541</v>
      </c>
      <c r="F646" s="50" t="s">
        <v>528</v>
      </c>
      <c r="G646" s="50" t="s">
        <v>516</v>
      </c>
      <c r="H646" s="50" t="s">
        <v>530</v>
      </c>
      <c r="I646" s="50" t="s">
        <v>382</v>
      </c>
      <c r="J646" s="50" t="s">
        <v>518</v>
      </c>
      <c r="K646" s="50" t="s">
        <v>518</v>
      </c>
      <c r="L646" s="50" t="s">
        <v>535</v>
      </c>
      <c r="M646" s="50" t="s">
        <v>371</v>
      </c>
      <c r="N646" s="51">
        <v>1198</v>
      </c>
    </row>
    <row r="647" spans="1:14" x14ac:dyDescent="0.3">
      <c r="A647" s="50" t="s">
        <v>846</v>
      </c>
      <c r="B647" s="50" t="s">
        <v>846</v>
      </c>
      <c r="C647" s="50" t="s">
        <v>865</v>
      </c>
      <c r="D647" s="50" t="s">
        <v>526</v>
      </c>
      <c r="E647" s="50" t="s">
        <v>669</v>
      </c>
      <c r="F647" s="50" t="s">
        <v>528</v>
      </c>
      <c r="G647" s="50" t="s">
        <v>516</v>
      </c>
      <c r="H647" s="50" t="s">
        <v>670</v>
      </c>
      <c r="I647" s="50" t="s">
        <v>375</v>
      </c>
      <c r="J647" s="50" t="s">
        <v>518</v>
      </c>
      <c r="K647" s="50" t="s">
        <v>518</v>
      </c>
      <c r="L647" s="50" t="s">
        <v>529</v>
      </c>
      <c r="M647" s="50" t="s">
        <v>363</v>
      </c>
      <c r="N647" s="51">
        <v>-64.83</v>
      </c>
    </row>
    <row r="648" spans="1:14" x14ac:dyDescent="0.3">
      <c r="A648" s="50" t="s">
        <v>846</v>
      </c>
      <c r="B648" s="50" t="s">
        <v>846</v>
      </c>
      <c r="C648" s="50" t="s">
        <v>865</v>
      </c>
      <c r="D648" s="50" t="s">
        <v>526</v>
      </c>
      <c r="E648" s="50" t="s">
        <v>562</v>
      </c>
      <c r="F648" s="50" t="s">
        <v>528</v>
      </c>
      <c r="G648" s="50" t="s">
        <v>391</v>
      </c>
      <c r="H648" s="50" t="s">
        <v>563</v>
      </c>
      <c r="I648" s="50" t="s">
        <v>264</v>
      </c>
      <c r="J648" s="50" t="s">
        <v>518</v>
      </c>
      <c r="K648" s="50" t="s">
        <v>518</v>
      </c>
      <c r="L648" s="50" t="s">
        <v>529</v>
      </c>
      <c r="M648" s="50" t="s">
        <v>363</v>
      </c>
      <c r="N648" s="51">
        <v>-3.58</v>
      </c>
    </row>
    <row r="649" spans="1:14" x14ac:dyDescent="0.3">
      <c r="A649" s="50" t="s">
        <v>846</v>
      </c>
      <c r="B649" s="50" t="s">
        <v>846</v>
      </c>
      <c r="C649" s="50" t="s">
        <v>865</v>
      </c>
      <c r="D649" s="50" t="s">
        <v>526</v>
      </c>
      <c r="E649" s="50" t="s">
        <v>543</v>
      </c>
      <c r="F649" s="50" t="s">
        <v>528</v>
      </c>
      <c r="G649" s="50" t="s">
        <v>516</v>
      </c>
      <c r="H649" s="50" t="s">
        <v>529</v>
      </c>
      <c r="I649" s="50" t="s">
        <v>363</v>
      </c>
      <c r="J649" s="50" t="s">
        <v>518</v>
      </c>
      <c r="K649" s="50" t="s">
        <v>518</v>
      </c>
      <c r="L649" s="50" t="s">
        <v>535</v>
      </c>
      <c r="M649" s="50" t="s">
        <v>371</v>
      </c>
      <c r="N649" s="51">
        <v>1743.27</v>
      </c>
    </row>
    <row r="650" spans="1:14" x14ac:dyDescent="0.3">
      <c r="A650" s="50" t="s">
        <v>846</v>
      </c>
      <c r="B650" s="50" t="s">
        <v>846</v>
      </c>
      <c r="C650" s="50" t="s">
        <v>865</v>
      </c>
      <c r="D650" s="50" t="s">
        <v>526</v>
      </c>
      <c r="E650" s="50" t="s">
        <v>518</v>
      </c>
      <c r="F650" s="50" t="s">
        <v>528</v>
      </c>
      <c r="G650" s="50" t="s">
        <v>516</v>
      </c>
      <c r="H650" s="50" t="s">
        <v>544</v>
      </c>
      <c r="I650" s="50" t="s">
        <v>368</v>
      </c>
      <c r="J650" s="50" t="s">
        <v>518</v>
      </c>
      <c r="K650" s="50" t="s">
        <v>518</v>
      </c>
      <c r="L650" s="50" t="s">
        <v>529</v>
      </c>
      <c r="M650" s="50" t="s">
        <v>363</v>
      </c>
      <c r="N650" s="51">
        <v>-152.56</v>
      </c>
    </row>
    <row r="651" spans="1:14" x14ac:dyDescent="0.3">
      <c r="A651" s="50" t="s">
        <v>846</v>
      </c>
      <c r="B651" s="50" t="s">
        <v>846</v>
      </c>
      <c r="C651" s="50" t="s">
        <v>865</v>
      </c>
      <c r="D651" s="50" t="s">
        <v>526</v>
      </c>
      <c r="E651" s="50" t="s">
        <v>518</v>
      </c>
      <c r="F651" s="50" t="s">
        <v>528</v>
      </c>
      <c r="G651" s="50" t="s">
        <v>391</v>
      </c>
      <c r="H651" s="50" t="s">
        <v>544</v>
      </c>
      <c r="I651" s="50" t="s">
        <v>368</v>
      </c>
      <c r="J651" s="50" t="s">
        <v>518</v>
      </c>
      <c r="K651" s="50" t="s">
        <v>518</v>
      </c>
      <c r="L651" s="50" t="s">
        <v>529</v>
      </c>
      <c r="M651" s="50" t="s">
        <v>363</v>
      </c>
      <c r="N651" s="51">
        <v>47.56</v>
      </c>
    </row>
    <row r="652" spans="1:14" x14ac:dyDescent="0.3">
      <c r="A652" s="50" t="s">
        <v>846</v>
      </c>
      <c r="B652" s="50" t="s">
        <v>846</v>
      </c>
      <c r="C652" s="50" t="s">
        <v>866</v>
      </c>
      <c r="D652" s="50" t="s">
        <v>565</v>
      </c>
      <c r="E652" s="50" t="s">
        <v>518</v>
      </c>
      <c r="F652" s="50" t="s">
        <v>566</v>
      </c>
      <c r="G652" s="50" t="s">
        <v>391</v>
      </c>
      <c r="H652" s="50" t="s">
        <v>567</v>
      </c>
      <c r="I652" s="50" t="s">
        <v>395</v>
      </c>
      <c r="J652" s="50" t="s">
        <v>518</v>
      </c>
      <c r="K652" s="50" t="s">
        <v>518</v>
      </c>
      <c r="L652" s="50" t="s">
        <v>568</v>
      </c>
      <c r="M652" s="50" t="s">
        <v>401</v>
      </c>
      <c r="N652" s="51">
        <v>5.08</v>
      </c>
    </row>
    <row r="653" spans="1:14" x14ac:dyDescent="0.3">
      <c r="A653" s="50" t="s">
        <v>846</v>
      </c>
      <c r="B653" s="50" t="s">
        <v>846</v>
      </c>
      <c r="C653" s="50" t="s">
        <v>866</v>
      </c>
      <c r="D653" s="50" t="s">
        <v>565</v>
      </c>
      <c r="E653" s="50" t="s">
        <v>518</v>
      </c>
      <c r="F653" s="50" t="s">
        <v>566</v>
      </c>
      <c r="G653" s="50" t="s">
        <v>391</v>
      </c>
      <c r="H653" s="50" t="s">
        <v>568</v>
      </c>
      <c r="I653" s="50" t="s">
        <v>401</v>
      </c>
      <c r="J653" s="50" t="s">
        <v>518</v>
      </c>
      <c r="K653" s="50" t="s">
        <v>518</v>
      </c>
      <c r="L653" s="50" t="s">
        <v>567</v>
      </c>
      <c r="M653" s="50" t="s">
        <v>395</v>
      </c>
      <c r="N653" s="51">
        <v>-5.08</v>
      </c>
    </row>
    <row r="654" spans="1:14" x14ac:dyDescent="0.3">
      <c r="A654" s="50" t="s">
        <v>846</v>
      </c>
      <c r="B654" s="50" t="s">
        <v>846</v>
      </c>
      <c r="C654" s="50" t="s">
        <v>867</v>
      </c>
      <c r="D654" s="50" t="s">
        <v>565</v>
      </c>
      <c r="E654" s="50" t="s">
        <v>518</v>
      </c>
      <c r="F654" s="50" t="s">
        <v>566</v>
      </c>
      <c r="G654" s="50" t="s">
        <v>391</v>
      </c>
      <c r="H654" s="50" t="s">
        <v>574</v>
      </c>
      <c r="I654" s="50" t="s">
        <v>392</v>
      </c>
      <c r="J654" s="50" t="s">
        <v>518</v>
      </c>
      <c r="K654" s="50" t="s">
        <v>518</v>
      </c>
      <c r="L654" s="50" t="s">
        <v>568</v>
      </c>
      <c r="M654" s="50" t="s">
        <v>401</v>
      </c>
      <c r="N654" s="51">
        <v>5.08</v>
      </c>
    </row>
    <row r="655" spans="1:14" x14ac:dyDescent="0.3">
      <c r="A655" s="50" t="s">
        <v>846</v>
      </c>
      <c r="B655" s="50" t="s">
        <v>846</v>
      </c>
      <c r="C655" s="50" t="s">
        <v>867</v>
      </c>
      <c r="D655" s="50" t="s">
        <v>565</v>
      </c>
      <c r="E655" s="50" t="s">
        <v>518</v>
      </c>
      <c r="F655" s="50" t="s">
        <v>566</v>
      </c>
      <c r="G655" s="50" t="s">
        <v>391</v>
      </c>
      <c r="H655" s="50" t="s">
        <v>568</v>
      </c>
      <c r="I655" s="50" t="s">
        <v>401</v>
      </c>
      <c r="J655" s="50" t="s">
        <v>518</v>
      </c>
      <c r="K655" s="50" t="s">
        <v>518</v>
      </c>
      <c r="L655" s="50" t="s">
        <v>574</v>
      </c>
      <c r="M655" s="50" t="s">
        <v>392</v>
      </c>
      <c r="N655" s="51">
        <v>-5.08</v>
      </c>
    </row>
    <row r="656" spans="1:14" x14ac:dyDescent="0.3">
      <c r="A656" s="50" t="s">
        <v>846</v>
      </c>
      <c r="B656" s="50" t="s">
        <v>846</v>
      </c>
      <c r="C656" s="50" t="s">
        <v>868</v>
      </c>
      <c r="D656" s="50" t="s">
        <v>565</v>
      </c>
      <c r="E656" s="50" t="s">
        <v>518</v>
      </c>
      <c r="F656" s="50" t="s">
        <v>566</v>
      </c>
      <c r="G656" s="50" t="s">
        <v>391</v>
      </c>
      <c r="H656" s="50" t="s">
        <v>574</v>
      </c>
      <c r="I656" s="50" t="s">
        <v>392</v>
      </c>
      <c r="J656" s="50" t="s">
        <v>518</v>
      </c>
      <c r="K656" s="50" t="s">
        <v>518</v>
      </c>
      <c r="L656" s="50" t="s">
        <v>568</v>
      </c>
      <c r="M656" s="50" t="s">
        <v>401</v>
      </c>
      <c r="N656" s="51">
        <v>5.08</v>
      </c>
    </row>
    <row r="657" spans="1:14" x14ac:dyDescent="0.3">
      <c r="A657" s="50" t="s">
        <v>846</v>
      </c>
      <c r="B657" s="50" t="s">
        <v>846</v>
      </c>
      <c r="C657" s="50" t="s">
        <v>868</v>
      </c>
      <c r="D657" s="50" t="s">
        <v>565</v>
      </c>
      <c r="E657" s="50" t="s">
        <v>518</v>
      </c>
      <c r="F657" s="50" t="s">
        <v>566</v>
      </c>
      <c r="G657" s="50" t="s">
        <v>391</v>
      </c>
      <c r="H657" s="50" t="s">
        <v>568</v>
      </c>
      <c r="I657" s="50" t="s">
        <v>401</v>
      </c>
      <c r="J657" s="50" t="s">
        <v>518</v>
      </c>
      <c r="K657" s="50" t="s">
        <v>518</v>
      </c>
      <c r="L657" s="50" t="s">
        <v>574</v>
      </c>
      <c r="M657" s="50" t="s">
        <v>392</v>
      </c>
      <c r="N657" s="51">
        <v>-5.08</v>
      </c>
    </row>
    <row r="658" spans="1:14" x14ac:dyDescent="0.3">
      <c r="A658" s="50" t="s">
        <v>846</v>
      </c>
      <c r="B658" s="50" t="s">
        <v>846</v>
      </c>
      <c r="C658" s="50" t="s">
        <v>869</v>
      </c>
      <c r="D658" s="50" t="s">
        <v>870</v>
      </c>
      <c r="E658" s="50" t="s">
        <v>871</v>
      </c>
      <c r="F658" s="50" t="s">
        <v>872</v>
      </c>
      <c r="G658" s="50" t="s">
        <v>516</v>
      </c>
      <c r="H658" s="50" t="s">
        <v>873</v>
      </c>
      <c r="I658" s="50" t="s">
        <v>356</v>
      </c>
      <c r="J658" s="50" t="s">
        <v>518</v>
      </c>
      <c r="K658" s="50" t="s">
        <v>518</v>
      </c>
      <c r="L658" s="50" t="s">
        <v>544</v>
      </c>
      <c r="M658" s="50" t="s">
        <v>368</v>
      </c>
      <c r="N658" s="51">
        <v>202.16</v>
      </c>
    </row>
    <row r="659" spans="1:14" x14ac:dyDescent="0.3">
      <c r="A659" s="50" t="s">
        <v>846</v>
      </c>
      <c r="B659" s="50" t="s">
        <v>846</v>
      </c>
      <c r="C659" s="50" t="s">
        <v>869</v>
      </c>
      <c r="D659" s="50" t="s">
        <v>870</v>
      </c>
      <c r="E659" s="50" t="s">
        <v>518</v>
      </c>
      <c r="F659" s="50" t="s">
        <v>872</v>
      </c>
      <c r="G659" s="50" t="s">
        <v>516</v>
      </c>
      <c r="H659" s="50" t="s">
        <v>544</v>
      </c>
      <c r="I659" s="50" t="s">
        <v>368</v>
      </c>
      <c r="J659" s="50" t="s">
        <v>518</v>
      </c>
      <c r="K659" s="50" t="s">
        <v>518</v>
      </c>
      <c r="L659" s="50" t="s">
        <v>873</v>
      </c>
      <c r="M659" s="50" t="s">
        <v>356</v>
      </c>
      <c r="N659" s="51">
        <v>-202.16</v>
      </c>
    </row>
    <row r="660" spans="1:14" x14ac:dyDescent="0.3">
      <c r="A660" s="50" t="s">
        <v>846</v>
      </c>
      <c r="B660" s="50" t="s">
        <v>846</v>
      </c>
      <c r="C660" s="50" t="s">
        <v>874</v>
      </c>
      <c r="D660" s="50" t="s">
        <v>870</v>
      </c>
      <c r="E660" s="50" t="s">
        <v>875</v>
      </c>
      <c r="F660" s="50" t="s">
        <v>872</v>
      </c>
      <c r="G660" s="50" t="s">
        <v>516</v>
      </c>
      <c r="H660" s="50" t="s">
        <v>637</v>
      </c>
      <c r="I660" s="50" t="s">
        <v>271</v>
      </c>
      <c r="J660" s="50" t="s">
        <v>518</v>
      </c>
      <c r="K660" s="50" t="s">
        <v>518</v>
      </c>
      <c r="L660" s="50" t="s">
        <v>544</v>
      </c>
      <c r="M660" s="50" t="s">
        <v>368</v>
      </c>
      <c r="N660" s="51">
        <v>170.47</v>
      </c>
    </row>
    <row r="661" spans="1:14" x14ac:dyDescent="0.3">
      <c r="A661" s="50" t="s">
        <v>846</v>
      </c>
      <c r="B661" s="50" t="s">
        <v>846</v>
      </c>
      <c r="C661" s="50" t="s">
        <v>874</v>
      </c>
      <c r="D661" s="50" t="s">
        <v>870</v>
      </c>
      <c r="E661" s="50" t="s">
        <v>518</v>
      </c>
      <c r="F661" s="50" t="s">
        <v>872</v>
      </c>
      <c r="G661" s="50" t="s">
        <v>516</v>
      </c>
      <c r="H661" s="50" t="s">
        <v>544</v>
      </c>
      <c r="I661" s="50" t="s">
        <v>368</v>
      </c>
      <c r="J661" s="50" t="s">
        <v>518</v>
      </c>
      <c r="K661" s="50" t="s">
        <v>518</v>
      </c>
      <c r="L661" s="50" t="s">
        <v>637</v>
      </c>
      <c r="M661" s="50" t="s">
        <v>271</v>
      </c>
      <c r="N661" s="51">
        <v>-170.47</v>
      </c>
    </row>
    <row r="662" spans="1:14" x14ac:dyDescent="0.3">
      <c r="A662" s="50" t="s">
        <v>846</v>
      </c>
      <c r="B662" s="50" t="s">
        <v>846</v>
      </c>
      <c r="C662" s="50" t="s">
        <v>876</v>
      </c>
      <c r="D662" s="50" t="s">
        <v>870</v>
      </c>
      <c r="E662" s="50" t="s">
        <v>875</v>
      </c>
      <c r="F662" s="50" t="s">
        <v>872</v>
      </c>
      <c r="G662" s="50" t="s">
        <v>516</v>
      </c>
      <c r="H662" s="50" t="s">
        <v>638</v>
      </c>
      <c r="I662" s="50" t="s">
        <v>272</v>
      </c>
      <c r="J662" s="50" t="s">
        <v>518</v>
      </c>
      <c r="K662" s="50" t="s">
        <v>518</v>
      </c>
      <c r="L662" s="50" t="s">
        <v>544</v>
      </c>
      <c r="M662" s="50" t="s">
        <v>368</v>
      </c>
      <c r="N662" s="51">
        <v>134.34</v>
      </c>
    </row>
    <row r="663" spans="1:14" x14ac:dyDescent="0.3">
      <c r="A663" s="50" t="s">
        <v>846</v>
      </c>
      <c r="B663" s="50" t="s">
        <v>846</v>
      </c>
      <c r="C663" s="50" t="s">
        <v>876</v>
      </c>
      <c r="D663" s="50" t="s">
        <v>870</v>
      </c>
      <c r="E663" s="50" t="s">
        <v>518</v>
      </c>
      <c r="F663" s="50" t="s">
        <v>872</v>
      </c>
      <c r="G663" s="50" t="s">
        <v>516</v>
      </c>
      <c r="H663" s="50" t="s">
        <v>544</v>
      </c>
      <c r="I663" s="50" t="s">
        <v>368</v>
      </c>
      <c r="J663" s="50" t="s">
        <v>518</v>
      </c>
      <c r="K663" s="50" t="s">
        <v>518</v>
      </c>
      <c r="L663" s="50" t="s">
        <v>638</v>
      </c>
      <c r="M663" s="50" t="s">
        <v>272</v>
      </c>
      <c r="N663" s="51">
        <v>-134.34</v>
      </c>
    </row>
    <row r="664" spans="1:14" x14ac:dyDescent="0.3">
      <c r="A664" s="50" t="s">
        <v>846</v>
      </c>
      <c r="B664" s="50" t="s">
        <v>846</v>
      </c>
      <c r="C664" s="50" t="s">
        <v>877</v>
      </c>
      <c r="D664" s="50" t="s">
        <v>870</v>
      </c>
      <c r="E664" s="50" t="s">
        <v>875</v>
      </c>
      <c r="F664" s="50" t="s">
        <v>872</v>
      </c>
      <c r="G664" s="50" t="s">
        <v>516</v>
      </c>
      <c r="H664" s="50" t="s">
        <v>878</v>
      </c>
      <c r="I664" s="50" t="s">
        <v>275</v>
      </c>
      <c r="J664" s="50" t="s">
        <v>518</v>
      </c>
      <c r="K664" s="50" t="s">
        <v>518</v>
      </c>
      <c r="L664" s="50" t="s">
        <v>544</v>
      </c>
      <c r="M664" s="50" t="s">
        <v>368</v>
      </c>
      <c r="N664" s="51">
        <v>68.150000000000006</v>
      </c>
    </row>
    <row r="665" spans="1:14" x14ac:dyDescent="0.3">
      <c r="A665" s="50" t="s">
        <v>846</v>
      </c>
      <c r="B665" s="50" t="s">
        <v>846</v>
      </c>
      <c r="C665" s="50" t="s">
        <v>877</v>
      </c>
      <c r="D665" s="50" t="s">
        <v>870</v>
      </c>
      <c r="E665" s="50" t="s">
        <v>518</v>
      </c>
      <c r="F665" s="50" t="s">
        <v>872</v>
      </c>
      <c r="G665" s="50" t="s">
        <v>516</v>
      </c>
      <c r="H665" s="50" t="s">
        <v>544</v>
      </c>
      <c r="I665" s="50" t="s">
        <v>368</v>
      </c>
      <c r="J665" s="50" t="s">
        <v>518</v>
      </c>
      <c r="K665" s="50" t="s">
        <v>518</v>
      </c>
      <c r="L665" s="50" t="s">
        <v>878</v>
      </c>
      <c r="M665" s="50" t="s">
        <v>275</v>
      </c>
      <c r="N665" s="51">
        <v>-68.150000000000006</v>
      </c>
    </row>
    <row r="666" spans="1:14" x14ac:dyDescent="0.3">
      <c r="A666" s="50" t="s">
        <v>846</v>
      </c>
      <c r="B666" s="50" t="s">
        <v>846</v>
      </c>
      <c r="C666" s="50" t="s">
        <v>879</v>
      </c>
      <c r="D666" s="50" t="s">
        <v>870</v>
      </c>
      <c r="E666" s="50" t="s">
        <v>875</v>
      </c>
      <c r="F666" s="50" t="s">
        <v>872</v>
      </c>
      <c r="G666" s="50" t="s">
        <v>516</v>
      </c>
      <c r="H666" s="50" t="s">
        <v>880</v>
      </c>
      <c r="I666" s="50" t="s">
        <v>276</v>
      </c>
      <c r="J666" s="50" t="s">
        <v>518</v>
      </c>
      <c r="K666" s="50" t="s">
        <v>518</v>
      </c>
      <c r="L666" s="50" t="s">
        <v>544</v>
      </c>
      <c r="M666" s="50" t="s">
        <v>368</v>
      </c>
      <c r="N666" s="51">
        <v>35.76</v>
      </c>
    </row>
    <row r="667" spans="1:14" x14ac:dyDescent="0.3">
      <c r="A667" s="50" t="s">
        <v>846</v>
      </c>
      <c r="B667" s="50" t="s">
        <v>846</v>
      </c>
      <c r="C667" s="50" t="s">
        <v>879</v>
      </c>
      <c r="D667" s="50" t="s">
        <v>870</v>
      </c>
      <c r="E667" s="50" t="s">
        <v>518</v>
      </c>
      <c r="F667" s="50" t="s">
        <v>872</v>
      </c>
      <c r="G667" s="50" t="s">
        <v>516</v>
      </c>
      <c r="H667" s="50" t="s">
        <v>544</v>
      </c>
      <c r="I667" s="50" t="s">
        <v>368</v>
      </c>
      <c r="J667" s="50" t="s">
        <v>518</v>
      </c>
      <c r="K667" s="50" t="s">
        <v>518</v>
      </c>
      <c r="L667" s="50" t="s">
        <v>880</v>
      </c>
      <c r="M667" s="50" t="s">
        <v>276</v>
      </c>
      <c r="N667" s="51">
        <v>-35.76</v>
      </c>
    </row>
    <row r="668" spans="1:14" x14ac:dyDescent="0.3">
      <c r="A668" s="50" t="s">
        <v>846</v>
      </c>
      <c r="B668" s="50" t="s">
        <v>846</v>
      </c>
      <c r="C668" s="50" t="s">
        <v>881</v>
      </c>
      <c r="D668" s="50" t="s">
        <v>870</v>
      </c>
      <c r="E668" s="50" t="s">
        <v>875</v>
      </c>
      <c r="F668" s="50" t="s">
        <v>872</v>
      </c>
      <c r="G668" s="50" t="s">
        <v>516</v>
      </c>
      <c r="H668" s="50" t="s">
        <v>882</v>
      </c>
      <c r="I668" s="50" t="s">
        <v>277</v>
      </c>
      <c r="J668" s="50" t="s">
        <v>518</v>
      </c>
      <c r="K668" s="50" t="s">
        <v>518</v>
      </c>
      <c r="L668" s="50" t="s">
        <v>544</v>
      </c>
      <c r="M668" s="50" t="s">
        <v>368</v>
      </c>
      <c r="N668" s="51">
        <v>168.1</v>
      </c>
    </row>
    <row r="669" spans="1:14" x14ac:dyDescent="0.3">
      <c r="A669" s="50" t="s">
        <v>846</v>
      </c>
      <c r="B669" s="50" t="s">
        <v>846</v>
      </c>
      <c r="C669" s="50" t="s">
        <v>881</v>
      </c>
      <c r="D669" s="50" t="s">
        <v>870</v>
      </c>
      <c r="E669" s="50" t="s">
        <v>518</v>
      </c>
      <c r="F669" s="50" t="s">
        <v>872</v>
      </c>
      <c r="G669" s="50" t="s">
        <v>516</v>
      </c>
      <c r="H669" s="50" t="s">
        <v>544</v>
      </c>
      <c r="I669" s="50" t="s">
        <v>368</v>
      </c>
      <c r="J669" s="50" t="s">
        <v>518</v>
      </c>
      <c r="K669" s="50" t="s">
        <v>518</v>
      </c>
      <c r="L669" s="50" t="s">
        <v>882</v>
      </c>
      <c r="M669" s="50" t="s">
        <v>277</v>
      </c>
      <c r="N669" s="51">
        <v>-168.1</v>
      </c>
    </row>
    <row r="670" spans="1:14" x14ac:dyDescent="0.3">
      <c r="A670" s="50" t="s">
        <v>846</v>
      </c>
      <c r="B670" s="50" t="s">
        <v>846</v>
      </c>
      <c r="C670" s="50" t="s">
        <v>883</v>
      </c>
      <c r="D670" s="50" t="s">
        <v>870</v>
      </c>
      <c r="E670" s="50" t="s">
        <v>875</v>
      </c>
      <c r="F670" s="50" t="s">
        <v>872</v>
      </c>
      <c r="G670" s="50" t="s">
        <v>516</v>
      </c>
      <c r="H670" s="50" t="s">
        <v>884</v>
      </c>
      <c r="I670" s="50" t="s">
        <v>278</v>
      </c>
      <c r="J670" s="50" t="s">
        <v>518</v>
      </c>
      <c r="K670" s="50" t="s">
        <v>518</v>
      </c>
      <c r="L670" s="50" t="s">
        <v>544</v>
      </c>
      <c r="M670" s="50" t="s">
        <v>368</v>
      </c>
      <c r="N670" s="51">
        <v>63.27</v>
      </c>
    </row>
    <row r="671" spans="1:14" x14ac:dyDescent="0.3">
      <c r="A671" s="50" t="s">
        <v>846</v>
      </c>
      <c r="B671" s="50" t="s">
        <v>846</v>
      </c>
      <c r="C671" s="50" t="s">
        <v>883</v>
      </c>
      <c r="D671" s="50" t="s">
        <v>870</v>
      </c>
      <c r="E671" s="50" t="s">
        <v>518</v>
      </c>
      <c r="F671" s="50" t="s">
        <v>872</v>
      </c>
      <c r="G671" s="50" t="s">
        <v>516</v>
      </c>
      <c r="H671" s="50" t="s">
        <v>544</v>
      </c>
      <c r="I671" s="50" t="s">
        <v>368</v>
      </c>
      <c r="J671" s="50" t="s">
        <v>518</v>
      </c>
      <c r="K671" s="50" t="s">
        <v>518</v>
      </c>
      <c r="L671" s="50" t="s">
        <v>884</v>
      </c>
      <c r="M671" s="50" t="s">
        <v>278</v>
      </c>
      <c r="N671" s="51">
        <v>-63.27</v>
      </c>
    </row>
    <row r="672" spans="1:14" x14ac:dyDescent="0.3">
      <c r="A672" s="50" t="s">
        <v>846</v>
      </c>
      <c r="B672" s="50" t="s">
        <v>846</v>
      </c>
      <c r="C672" s="50" t="s">
        <v>885</v>
      </c>
      <c r="D672" s="50" t="s">
        <v>870</v>
      </c>
      <c r="E672" s="50" t="s">
        <v>875</v>
      </c>
      <c r="F672" s="50" t="s">
        <v>872</v>
      </c>
      <c r="G672" s="50" t="s">
        <v>516</v>
      </c>
      <c r="H672" s="50" t="s">
        <v>886</v>
      </c>
      <c r="I672" s="50" t="s">
        <v>281</v>
      </c>
      <c r="J672" s="50" t="s">
        <v>518</v>
      </c>
      <c r="K672" s="50" t="s">
        <v>518</v>
      </c>
      <c r="L672" s="50" t="s">
        <v>544</v>
      </c>
      <c r="M672" s="50" t="s">
        <v>368</v>
      </c>
      <c r="N672" s="51">
        <v>171.28</v>
      </c>
    </row>
    <row r="673" spans="1:14" x14ac:dyDescent="0.3">
      <c r="A673" s="50" t="s">
        <v>846</v>
      </c>
      <c r="B673" s="50" t="s">
        <v>846</v>
      </c>
      <c r="C673" s="50" t="s">
        <v>885</v>
      </c>
      <c r="D673" s="50" t="s">
        <v>870</v>
      </c>
      <c r="E673" s="50" t="s">
        <v>518</v>
      </c>
      <c r="F673" s="50" t="s">
        <v>872</v>
      </c>
      <c r="G673" s="50" t="s">
        <v>516</v>
      </c>
      <c r="H673" s="50" t="s">
        <v>544</v>
      </c>
      <c r="I673" s="50" t="s">
        <v>368</v>
      </c>
      <c r="J673" s="50" t="s">
        <v>518</v>
      </c>
      <c r="K673" s="50" t="s">
        <v>518</v>
      </c>
      <c r="L673" s="50" t="s">
        <v>886</v>
      </c>
      <c r="M673" s="50" t="s">
        <v>281</v>
      </c>
      <c r="N673" s="51">
        <v>-171.28</v>
      </c>
    </row>
    <row r="674" spans="1:14" x14ac:dyDescent="0.3">
      <c r="A674" s="50" t="s">
        <v>846</v>
      </c>
      <c r="B674" s="50" t="s">
        <v>846</v>
      </c>
      <c r="C674" s="50" t="s">
        <v>887</v>
      </c>
      <c r="D674" s="50" t="s">
        <v>870</v>
      </c>
      <c r="E674" s="50" t="s">
        <v>875</v>
      </c>
      <c r="F674" s="50" t="s">
        <v>872</v>
      </c>
      <c r="G674" s="50" t="s">
        <v>516</v>
      </c>
      <c r="H674" s="50" t="s">
        <v>888</v>
      </c>
      <c r="I674" s="50" t="s">
        <v>282</v>
      </c>
      <c r="J674" s="50" t="s">
        <v>518</v>
      </c>
      <c r="K674" s="50" t="s">
        <v>518</v>
      </c>
      <c r="L674" s="50" t="s">
        <v>544</v>
      </c>
      <c r="M674" s="50" t="s">
        <v>368</v>
      </c>
      <c r="N674" s="51">
        <v>-4.1500000000000004</v>
      </c>
    </row>
    <row r="675" spans="1:14" x14ac:dyDescent="0.3">
      <c r="A675" s="50" t="s">
        <v>846</v>
      </c>
      <c r="B675" s="50" t="s">
        <v>846</v>
      </c>
      <c r="C675" s="50" t="s">
        <v>887</v>
      </c>
      <c r="D675" s="50" t="s">
        <v>870</v>
      </c>
      <c r="E675" s="50" t="s">
        <v>518</v>
      </c>
      <c r="F675" s="50" t="s">
        <v>872</v>
      </c>
      <c r="G675" s="50" t="s">
        <v>516</v>
      </c>
      <c r="H675" s="50" t="s">
        <v>544</v>
      </c>
      <c r="I675" s="50" t="s">
        <v>368</v>
      </c>
      <c r="J675" s="50" t="s">
        <v>518</v>
      </c>
      <c r="K675" s="50" t="s">
        <v>518</v>
      </c>
      <c r="L675" s="50" t="s">
        <v>888</v>
      </c>
      <c r="M675" s="50" t="s">
        <v>282</v>
      </c>
      <c r="N675" s="51">
        <v>4.1500000000000004</v>
      </c>
    </row>
    <row r="676" spans="1:14" x14ac:dyDescent="0.3">
      <c r="A676" s="50" t="s">
        <v>846</v>
      </c>
      <c r="B676" s="50" t="s">
        <v>846</v>
      </c>
      <c r="C676" s="50" t="s">
        <v>889</v>
      </c>
      <c r="D676" s="50" t="s">
        <v>870</v>
      </c>
      <c r="E676" s="50" t="s">
        <v>875</v>
      </c>
      <c r="F676" s="50" t="s">
        <v>872</v>
      </c>
      <c r="G676" s="50" t="s">
        <v>516</v>
      </c>
      <c r="H676" s="50" t="s">
        <v>648</v>
      </c>
      <c r="I676" s="50" t="s">
        <v>283</v>
      </c>
      <c r="J676" s="50" t="s">
        <v>518</v>
      </c>
      <c r="K676" s="50" t="s">
        <v>518</v>
      </c>
      <c r="L676" s="50" t="s">
        <v>544</v>
      </c>
      <c r="M676" s="50" t="s">
        <v>368</v>
      </c>
      <c r="N676" s="51">
        <v>33.61</v>
      </c>
    </row>
    <row r="677" spans="1:14" x14ac:dyDescent="0.3">
      <c r="A677" s="50" t="s">
        <v>846</v>
      </c>
      <c r="B677" s="50" t="s">
        <v>846</v>
      </c>
      <c r="C677" s="50" t="s">
        <v>889</v>
      </c>
      <c r="D677" s="50" t="s">
        <v>870</v>
      </c>
      <c r="E677" s="50" t="s">
        <v>518</v>
      </c>
      <c r="F677" s="50" t="s">
        <v>872</v>
      </c>
      <c r="G677" s="50" t="s">
        <v>516</v>
      </c>
      <c r="H677" s="50" t="s">
        <v>544</v>
      </c>
      <c r="I677" s="50" t="s">
        <v>368</v>
      </c>
      <c r="J677" s="50" t="s">
        <v>518</v>
      </c>
      <c r="K677" s="50" t="s">
        <v>518</v>
      </c>
      <c r="L677" s="50" t="s">
        <v>648</v>
      </c>
      <c r="M677" s="50" t="s">
        <v>283</v>
      </c>
      <c r="N677" s="51">
        <v>-33.61</v>
      </c>
    </row>
    <row r="678" spans="1:14" x14ac:dyDescent="0.3">
      <c r="A678" s="50" t="s">
        <v>846</v>
      </c>
      <c r="B678" s="50" t="s">
        <v>846</v>
      </c>
      <c r="C678" s="50" t="s">
        <v>890</v>
      </c>
      <c r="D678" s="50" t="s">
        <v>870</v>
      </c>
      <c r="E678" s="50" t="s">
        <v>875</v>
      </c>
      <c r="F678" s="50" t="s">
        <v>872</v>
      </c>
      <c r="G678" s="50" t="s">
        <v>516</v>
      </c>
      <c r="H678" s="50" t="s">
        <v>646</v>
      </c>
      <c r="I678" s="50" t="s">
        <v>284</v>
      </c>
      <c r="J678" s="50" t="s">
        <v>518</v>
      </c>
      <c r="K678" s="50" t="s">
        <v>518</v>
      </c>
      <c r="L678" s="50" t="s">
        <v>544</v>
      </c>
      <c r="M678" s="50" t="s">
        <v>368</v>
      </c>
      <c r="N678" s="51">
        <v>7.86</v>
      </c>
    </row>
    <row r="679" spans="1:14" x14ac:dyDescent="0.3">
      <c r="A679" s="50" t="s">
        <v>846</v>
      </c>
      <c r="B679" s="50" t="s">
        <v>846</v>
      </c>
      <c r="C679" s="50" t="s">
        <v>890</v>
      </c>
      <c r="D679" s="50" t="s">
        <v>870</v>
      </c>
      <c r="E679" s="50" t="s">
        <v>518</v>
      </c>
      <c r="F679" s="50" t="s">
        <v>872</v>
      </c>
      <c r="G679" s="50" t="s">
        <v>516</v>
      </c>
      <c r="H679" s="50" t="s">
        <v>544</v>
      </c>
      <c r="I679" s="50" t="s">
        <v>368</v>
      </c>
      <c r="J679" s="50" t="s">
        <v>518</v>
      </c>
      <c r="K679" s="50" t="s">
        <v>518</v>
      </c>
      <c r="L679" s="50" t="s">
        <v>646</v>
      </c>
      <c r="M679" s="50" t="s">
        <v>284</v>
      </c>
      <c r="N679" s="51">
        <v>-7.86</v>
      </c>
    </row>
    <row r="680" spans="1:14" x14ac:dyDescent="0.3">
      <c r="A680" s="50" t="s">
        <v>846</v>
      </c>
      <c r="B680" s="50" t="s">
        <v>846</v>
      </c>
      <c r="C680" s="50" t="s">
        <v>891</v>
      </c>
      <c r="D680" s="50" t="s">
        <v>870</v>
      </c>
      <c r="E680" s="50" t="s">
        <v>875</v>
      </c>
      <c r="F680" s="50" t="s">
        <v>872</v>
      </c>
      <c r="G680" s="50" t="s">
        <v>516</v>
      </c>
      <c r="H680" s="50" t="s">
        <v>650</v>
      </c>
      <c r="I680" s="50" t="s">
        <v>285</v>
      </c>
      <c r="J680" s="50" t="s">
        <v>518</v>
      </c>
      <c r="K680" s="50" t="s">
        <v>518</v>
      </c>
      <c r="L680" s="50" t="s">
        <v>544</v>
      </c>
      <c r="M680" s="50" t="s">
        <v>368</v>
      </c>
      <c r="N680" s="51">
        <v>16.760000000000002</v>
      </c>
    </row>
    <row r="681" spans="1:14" x14ac:dyDescent="0.3">
      <c r="A681" s="50" t="s">
        <v>846</v>
      </c>
      <c r="B681" s="50" t="s">
        <v>846</v>
      </c>
      <c r="C681" s="50" t="s">
        <v>891</v>
      </c>
      <c r="D681" s="50" t="s">
        <v>870</v>
      </c>
      <c r="E681" s="50" t="s">
        <v>518</v>
      </c>
      <c r="F681" s="50" t="s">
        <v>872</v>
      </c>
      <c r="G681" s="50" t="s">
        <v>516</v>
      </c>
      <c r="H681" s="50" t="s">
        <v>544</v>
      </c>
      <c r="I681" s="50" t="s">
        <v>368</v>
      </c>
      <c r="J681" s="50" t="s">
        <v>518</v>
      </c>
      <c r="K681" s="50" t="s">
        <v>518</v>
      </c>
      <c r="L681" s="50" t="s">
        <v>650</v>
      </c>
      <c r="M681" s="50" t="s">
        <v>285</v>
      </c>
      <c r="N681" s="51">
        <v>-16.760000000000002</v>
      </c>
    </row>
    <row r="682" spans="1:14" x14ac:dyDescent="0.3">
      <c r="A682" s="50" t="s">
        <v>846</v>
      </c>
      <c r="B682" s="50" t="s">
        <v>846</v>
      </c>
      <c r="C682" s="50" t="s">
        <v>892</v>
      </c>
      <c r="D682" s="50" t="s">
        <v>870</v>
      </c>
      <c r="E682" s="50" t="s">
        <v>875</v>
      </c>
      <c r="F682" s="50" t="s">
        <v>872</v>
      </c>
      <c r="G682" s="50" t="s">
        <v>516</v>
      </c>
      <c r="H682" s="50" t="s">
        <v>640</v>
      </c>
      <c r="I682" s="50" t="s">
        <v>287</v>
      </c>
      <c r="J682" s="50" t="s">
        <v>518</v>
      </c>
      <c r="K682" s="50" t="s">
        <v>518</v>
      </c>
      <c r="L682" s="50" t="s">
        <v>544</v>
      </c>
      <c r="M682" s="50" t="s">
        <v>368</v>
      </c>
      <c r="N682" s="51">
        <v>30.83</v>
      </c>
    </row>
    <row r="683" spans="1:14" x14ac:dyDescent="0.3">
      <c r="A683" s="50" t="s">
        <v>846</v>
      </c>
      <c r="B683" s="50" t="s">
        <v>846</v>
      </c>
      <c r="C683" s="50" t="s">
        <v>892</v>
      </c>
      <c r="D683" s="50" t="s">
        <v>870</v>
      </c>
      <c r="E683" s="50" t="s">
        <v>518</v>
      </c>
      <c r="F683" s="50" t="s">
        <v>872</v>
      </c>
      <c r="G683" s="50" t="s">
        <v>516</v>
      </c>
      <c r="H683" s="50" t="s">
        <v>544</v>
      </c>
      <c r="I683" s="50" t="s">
        <v>368</v>
      </c>
      <c r="J683" s="50" t="s">
        <v>518</v>
      </c>
      <c r="K683" s="50" t="s">
        <v>518</v>
      </c>
      <c r="L683" s="50" t="s">
        <v>640</v>
      </c>
      <c r="M683" s="50" t="s">
        <v>287</v>
      </c>
      <c r="N683" s="51">
        <v>-30.83</v>
      </c>
    </row>
    <row r="684" spans="1:14" x14ac:dyDescent="0.3">
      <c r="A684" s="50" t="s">
        <v>846</v>
      </c>
      <c r="B684" s="50" t="s">
        <v>846</v>
      </c>
      <c r="C684" s="50" t="s">
        <v>893</v>
      </c>
      <c r="D684" s="50" t="s">
        <v>870</v>
      </c>
      <c r="E684" s="50" t="s">
        <v>875</v>
      </c>
      <c r="F684" s="50" t="s">
        <v>872</v>
      </c>
      <c r="G684" s="50" t="s">
        <v>516</v>
      </c>
      <c r="H684" s="50" t="s">
        <v>644</v>
      </c>
      <c r="I684" s="50" t="s">
        <v>288</v>
      </c>
      <c r="J684" s="50" t="s">
        <v>518</v>
      </c>
      <c r="K684" s="50" t="s">
        <v>518</v>
      </c>
      <c r="L684" s="50" t="s">
        <v>544</v>
      </c>
      <c r="M684" s="50" t="s">
        <v>368</v>
      </c>
      <c r="N684" s="51">
        <v>3.24</v>
      </c>
    </row>
    <row r="685" spans="1:14" x14ac:dyDescent="0.3">
      <c r="A685" s="50" t="s">
        <v>846</v>
      </c>
      <c r="B685" s="50" t="s">
        <v>846</v>
      </c>
      <c r="C685" s="50" t="s">
        <v>893</v>
      </c>
      <c r="D685" s="50" t="s">
        <v>870</v>
      </c>
      <c r="E685" s="50" t="s">
        <v>518</v>
      </c>
      <c r="F685" s="50" t="s">
        <v>872</v>
      </c>
      <c r="G685" s="50" t="s">
        <v>516</v>
      </c>
      <c r="H685" s="50" t="s">
        <v>544</v>
      </c>
      <c r="I685" s="50" t="s">
        <v>368</v>
      </c>
      <c r="J685" s="50" t="s">
        <v>518</v>
      </c>
      <c r="K685" s="50" t="s">
        <v>518</v>
      </c>
      <c r="L685" s="50" t="s">
        <v>644</v>
      </c>
      <c r="M685" s="50" t="s">
        <v>288</v>
      </c>
      <c r="N685" s="51">
        <v>-3.24</v>
      </c>
    </row>
    <row r="686" spans="1:14" x14ac:dyDescent="0.3">
      <c r="A686" s="50" t="s">
        <v>846</v>
      </c>
      <c r="B686" s="50" t="s">
        <v>846</v>
      </c>
      <c r="C686" s="50" t="s">
        <v>894</v>
      </c>
      <c r="D686" s="50" t="s">
        <v>870</v>
      </c>
      <c r="E686" s="50" t="s">
        <v>875</v>
      </c>
      <c r="F686" s="50" t="s">
        <v>872</v>
      </c>
      <c r="G686" s="50" t="s">
        <v>516</v>
      </c>
      <c r="H686" s="50" t="s">
        <v>633</v>
      </c>
      <c r="I686" s="50" t="s">
        <v>289</v>
      </c>
      <c r="J686" s="50" t="s">
        <v>518</v>
      </c>
      <c r="K686" s="50" t="s">
        <v>518</v>
      </c>
      <c r="L686" s="50" t="s">
        <v>544</v>
      </c>
      <c r="M686" s="50" t="s">
        <v>368</v>
      </c>
      <c r="N686" s="51">
        <v>66.64</v>
      </c>
    </row>
    <row r="687" spans="1:14" x14ac:dyDescent="0.3">
      <c r="A687" s="50" t="s">
        <v>846</v>
      </c>
      <c r="B687" s="50" t="s">
        <v>846</v>
      </c>
      <c r="C687" s="50" t="s">
        <v>894</v>
      </c>
      <c r="D687" s="50" t="s">
        <v>870</v>
      </c>
      <c r="E687" s="50" t="s">
        <v>518</v>
      </c>
      <c r="F687" s="50" t="s">
        <v>872</v>
      </c>
      <c r="G687" s="50" t="s">
        <v>516</v>
      </c>
      <c r="H687" s="50" t="s">
        <v>544</v>
      </c>
      <c r="I687" s="50" t="s">
        <v>368</v>
      </c>
      <c r="J687" s="50" t="s">
        <v>518</v>
      </c>
      <c r="K687" s="50" t="s">
        <v>518</v>
      </c>
      <c r="L687" s="50" t="s">
        <v>633</v>
      </c>
      <c r="M687" s="50" t="s">
        <v>289</v>
      </c>
      <c r="N687" s="51">
        <v>-66.64</v>
      </c>
    </row>
    <row r="688" spans="1:14" x14ac:dyDescent="0.3">
      <c r="A688" s="50" t="s">
        <v>846</v>
      </c>
      <c r="B688" s="50" t="s">
        <v>846</v>
      </c>
      <c r="C688" s="50" t="s">
        <v>895</v>
      </c>
      <c r="D688" s="50" t="s">
        <v>870</v>
      </c>
      <c r="E688" s="50" t="s">
        <v>875</v>
      </c>
      <c r="F688" s="50" t="s">
        <v>872</v>
      </c>
      <c r="G688" s="50" t="s">
        <v>516</v>
      </c>
      <c r="H688" s="50" t="s">
        <v>631</v>
      </c>
      <c r="I688" s="50" t="s">
        <v>291</v>
      </c>
      <c r="J688" s="50" t="s">
        <v>518</v>
      </c>
      <c r="K688" s="50" t="s">
        <v>518</v>
      </c>
      <c r="L688" s="50" t="s">
        <v>544</v>
      </c>
      <c r="M688" s="50" t="s">
        <v>368</v>
      </c>
      <c r="N688" s="51">
        <v>0.39</v>
      </c>
    </row>
    <row r="689" spans="1:14" x14ac:dyDescent="0.3">
      <c r="A689" s="50" t="s">
        <v>846</v>
      </c>
      <c r="B689" s="50" t="s">
        <v>846</v>
      </c>
      <c r="C689" s="50" t="s">
        <v>895</v>
      </c>
      <c r="D689" s="50" t="s">
        <v>870</v>
      </c>
      <c r="E689" s="50" t="s">
        <v>518</v>
      </c>
      <c r="F689" s="50" t="s">
        <v>872</v>
      </c>
      <c r="G689" s="50" t="s">
        <v>516</v>
      </c>
      <c r="H689" s="50" t="s">
        <v>544</v>
      </c>
      <c r="I689" s="50" t="s">
        <v>368</v>
      </c>
      <c r="J689" s="50" t="s">
        <v>518</v>
      </c>
      <c r="K689" s="50" t="s">
        <v>518</v>
      </c>
      <c r="L689" s="50" t="s">
        <v>631</v>
      </c>
      <c r="M689" s="50" t="s">
        <v>291</v>
      </c>
      <c r="N689" s="51">
        <v>-0.39</v>
      </c>
    </row>
    <row r="690" spans="1:14" x14ac:dyDescent="0.3">
      <c r="A690" s="50" t="s">
        <v>846</v>
      </c>
      <c r="B690" s="50" t="s">
        <v>846</v>
      </c>
      <c r="C690" s="50" t="s">
        <v>896</v>
      </c>
      <c r="D690" s="50" t="s">
        <v>870</v>
      </c>
      <c r="E690" s="50" t="s">
        <v>875</v>
      </c>
      <c r="F690" s="50" t="s">
        <v>872</v>
      </c>
      <c r="G690" s="50" t="s">
        <v>516</v>
      </c>
      <c r="H690" s="50" t="s">
        <v>627</v>
      </c>
      <c r="I690" s="50" t="s">
        <v>292</v>
      </c>
      <c r="J690" s="50" t="s">
        <v>518</v>
      </c>
      <c r="K690" s="50" t="s">
        <v>518</v>
      </c>
      <c r="L690" s="50" t="s">
        <v>544</v>
      </c>
      <c r="M690" s="50" t="s">
        <v>368</v>
      </c>
      <c r="N690" s="51">
        <v>4.49</v>
      </c>
    </row>
    <row r="691" spans="1:14" x14ac:dyDescent="0.3">
      <c r="A691" s="50" t="s">
        <v>846</v>
      </c>
      <c r="B691" s="50" t="s">
        <v>846</v>
      </c>
      <c r="C691" s="50" t="s">
        <v>896</v>
      </c>
      <c r="D691" s="50" t="s">
        <v>870</v>
      </c>
      <c r="E691" s="50" t="s">
        <v>518</v>
      </c>
      <c r="F691" s="50" t="s">
        <v>872</v>
      </c>
      <c r="G691" s="50" t="s">
        <v>516</v>
      </c>
      <c r="H691" s="50" t="s">
        <v>544</v>
      </c>
      <c r="I691" s="50" t="s">
        <v>368</v>
      </c>
      <c r="J691" s="50" t="s">
        <v>518</v>
      </c>
      <c r="K691" s="50" t="s">
        <v>518</v>
      </c>
      <c r="L691" s="50" t="s">
        <v>627</v>
      </c>
      <c r="M691" s="50" t="s">
        <v>292</v>
      </c>
      <c r="N691" s="51">
        <v>-4.49</v>
      </c>
    </row>
    <row r="692" spans="1:14" x14ac:dyDescent="0.3">
      <c r="A692" s="50" t="s">
        <v>846</v>
      </c>
      <c r="B692" s="50" t="s">
        <v>846</v>
      </c>
      <c r="C692" s="50" t="s">
        <v>897</v>
      </c>
      <c r="D692" s="50" t="s">
        <v>870</v>
      </c>
      <c r="E692" s="50" t="s">
        <v>875</v>
      </c>
      <c r="F692" s="50" t="s">
        <v>872</v>
      </c>
      <c r="G692" s="50" t="s">
        <v>516</v>
      </c>
      <c r="H692" s="50" t="s">
        <v>629</v>
      </c>
      <c r="I692" s="50" t="s">
        <v>293</v>
      </c>
      <c r="J692" s="50" t="s">
        <v>518</v>
      </c>
      <c r="K692" s="50" t="s">
        <v>518</v>
      </c>
      <c r="L692" s="50" t="s">
        <v>544</v>
      </c>
      <c r="M692" s="50" t="s">
        <v>368</v>
      </c>
      <c r="N692" s="51">
        <v>0.06</v>
      </c>
    </row>
    <row r="693" spans="1:14" x14ac:dyDescent="0.3">
      <c r="A693" s="50" t="s">
        <v>846</v>
      </c>
      <c r="B693" s="50" t="s">
        <v>846</v>
      </c>
      <c r="C693" s="50" t="s">
        <v>897</v>
      </c>
      <c r="D693" s="50" t="s">
        <v>870</v>
      </c>
      <c r="E693" s="50" t="s">
        <v>518</v>
      </c>
      <c r="F693" s="50" t="s">
        <v>872</v>
      </c>
      <c r="G693" s="50" t="s">
        <v>516</v>
      </c>
      <c r="H693" s="50" t="s">
        <v>544</v>
      </c>
      <c r="I693" s="50" t="s">
        <v>368</v>
      </c>
      <c r="J693" s="50" t="s">
        <v>518</v>
      </c>
      <c r="K693" s="50" t="s">
        <v>518</v>
      </c>
      <c r="L693" s="50" t="s">
        <v>629</v>
      </c>
      <c r="M693" s="50" t="s">
        <v>293</v>
      </c>
      <c r="N693" s="51">
        <v>-0.06</v>
      </c>
    </row>
    <row r="694" spans="1:14" x14ac:dyDescent="0.3">
      <c r="A694" s="50" t="s">
        <v>846</v>
      </c>
      <c r="B694" s="50" t="s">
        <v>846</v>
      </c>
      <c r="C694" s="50" t="s">
        <v>898</v>
      </c>
      <c r="D694" s="50" t="s">
        <v>870</v>
      </c>
      <c r="E694" s="50" t="s">
        <v>899</v>
      </c>
      <c r="F694" s="50" t="s">
        <v>872</v>
      </c>
      <c r="G694" s="50" t="s">
        <v>516</v>
      </c>
      <c r="H694" s="50" t="s">
        <v>900</v>
      </c>
      <c r="I694" s="50" t="s">
        <v>357</v>
      </c>
      <c r="J694" s="50" t="s">
        <v>518</v>
      </c>
      <c r="K694" s="50" t="s">
        <v>518</v>
      </c>
      <c r="L694" s="50" t="s">
        <v>544</v>
      </c>
      <c r="M694" s="50" t="s">
        <v>368</v>
      </c>
      <c r="N694" s="51">
        <v>170.55</v>
      </c>
    </row>
    <row r="695" spans="1:14" x14ac:dyDescent="0.3">
      <c r="A695" s="50" t="s">
        <v>846</v>
      </c>
      <c r="B695" s="50" t="s">
        <v>846</v>
      </c>
      <c r="C695" s="50" t="s">
        <v>898</v>
      </c>
      <c r="D695" s="50" t="s">
        <v>870</v>
      </c>
      <c r="E695" s="50" t="s">
        <v>518</v>
      </c>
      <c r="F695" s="50" t="s">
        <v>872</v>
      </c>
      <c r="G695" s="50" t="s">
        <v>516</v>
      </c>
      <c r="H695" s="50" t="s">
        <v>544</v>
      </c>
      <c r="I695" s="50" t="s">
        <v>368</v>
      </c>
      <c r="J695" s="50" t="s">
        <v>518</v>
      </c>
      <c r="K695" s="50" t="s">
        <v>518</v>
      </c>
      <c r="L695" s="50" t="s">
        <v>900</v>
      </c>
      <c r="M695" s="50" t="s">
        <v>357</v>
      </c>
      <c r="N695" s="51">
        <v>-170.55</v>
      </c>
    </row>
    <row r="696" spans="1:14" x14ac:dyDescent="0.3">
      <c r="A696" s="50" t="s">
        <v>846</v>
      </c>
      <c r="B696" s="50" t="s">
        <v>846</v>
      </c>
      <c r="C696" s="50" t="s">
        <v>901</v>
      </c>
      <c r="D696" s="50" t="s">
        <v>870</v>
      </c>
      <c r="E696" s="50" t="s">
        <v>902</v>
      </c>
      <c r="F696" s="50" t="s">
        <v>872</v>
      </c>
      <c r="G696" s="50" t="s">
        <v>516</v>
      </c>
      <c r="H696" s="50" t="s">
        <v>900</v>
      </c>
      <c r="I696" s="50" t="s">
        <v>357</v>
      </c>
      <c r="J696" s="50" t="s">
        <v>518</v>
      </c>
      <c r="K696" s="50" t="s">
        <v>518</v>
      </c>
      <c r="L696" s="50" t="s">
        <v>544</v>
      </c>
      <c r="M696" s="50" t="s">
        <v>368</v>
      </c>
      <c r="N696" s="51">
        <v>15.71</v>
      </c>
    </row>
    <row r="697" spans="1:14" x14ac:dyDescent="0.3">
      <c r="A697" s="50" t="s">
        <v>846</v>
      </c>
      <c r="B697" s="50" t="s">
        <v>846</v>
      </c>
      <c r="C697" s="50" t="s">
        <v>901</v>
      </c>
      <c r="D697" s="50" t="s">
        <v>870</v>
      </c>
      <c r="E697" s="50" t="s">
        <v>518</v>
      </c>
      <c r="F697" s="50" t="s">
        <v>872</v>
      </c>
      <c r="G697" s="50" t="s">
        <v>516</v>
      </c>
      <c r="H697" s="50" t="s">
        <v>544</v>
      </c>
      <c r="I697" s="50" t="s">
        <v>368</v>
      </c>
      <c r="J697" s="50" t="s">
        <v>518</v>
      </c>
      <c r="K697" s="50" t="s">
        <v>518</v>
      </c>
      <c r="L697" s="50" t="s">
        <v>900</v>
      </c>
      <c r="M697" s="50" t="s">
        <v>357</v>
      </c>
      <c r="N697" s="51">
        <v>-15.71</v>
      </c>
    </row>
    <row r="698" spans="1:14" x14ac:dyDescent="0.3">
      <c r="A698" s="50" t="s">
        <v>846</v>
      </c>
      <c r="B698" s="50" t="s">
        <v>846</v>
      </c>
      <c r="C698" s="50" t="s">
        <v>903</v>
      </c>
      <c r="D698" s="50" t="s">
        <v>870</v>
      </c>
      <c r="E698" s="50" t="s">
        <v>904</v>
      </c>
      <c r="F698" s="50" t="s">
        <v>872</v>
      </c>
      <c r="G698" s="50" t="s">
        <v>516</v>
      </c>
      <c r="H698" s="50" t="s">
        <v>900</v>
      </c>
      <c r="I698" s="50" t="s">
        <v>357</v>
      </c>
      <c r="J698" s="50" t="s">
        <v>518</v>
      </c>
      <c r="K698" s="50" t="s">
        <v>518</v>
      </c>
      <c r="L698" s="50" t="s">
        <v>544</v>
      </c>
      <c r="M698" s="50" t="s">
        <v>368</v>
      </c>
      <c r="N698" s="51">
        <v>89.06</v>
      </c>
    </row>
    <row r="699" spans="1:14" x14ac:dyDescent="0.3">
      <c r="A699" s="50" t="s">
        <v>846</v>
      </c>
      <c r="B699" s="50" t="s">
        <v>846</v>
      </c>
      <c r="C699" s="50" t="s">
        <v>903</v>
      </c>
      <c r="D699" s="50" t="s">
        <v>870</v>
      </c>
      <c r="E699" s="50" t="s">
        <v>518</v>
      </c>
      <c r="F699" s="50" t="s">
        <v>872</v>
      </c>
      <c r="G699" s="50" t="s">
        <v>516</v>
      </c>
      <c r="H699" s="50" t="s">
        <v>544</v>
      </c>
      <c r="I699" s="50" t="s">
        <v>368</v>
      </c>
      <c r="J699" s="50" t="s">
        <v>518</v>
      </c>
      <c r="K699" s="50" t="s">
        <v>518</v>
      </c>
      <c r="L699" s="50" t="s">
        <v>900</v>
      </c>
      <c r="M699" s="50" t="s">
        <v>357</v>
      </c>
      <c r="N699" s="51">
        <v>-89.06</v>
      </c>
    </row>
    <row r="700" spans="1:14" x14ac:dyDescent="0.3">
      <c r="A700" s="50" t="s">
        <v>846</v>
      </c>
      <c r="B700" s="50" t="s">
        <v>846</v>
      </c>
      <c r="C700" s="50" t="s">
        <v>905</v>
      </c>
      <c r="D700" s="50" t="s">
        <v>870</v>
      </c>
      <c r="E700" s="50" t="s">
        <v>906</v>
      </c>
      <c r="F700" s="50" t="s">
        <v>872</v>
      </c>
      <c r="G700" s="50" t="s">
        <v>516</v>
      </c>
      <c r="H700" s="50" t="s">
        <v>907</v>
      </c>
      <c r="I700" s="50" t="s">
        <v>355</v>
      </c>
      <c r="J700" s="50" t="s">
        <v>518</v>
      </c>
      <c r="K700" s="50" t="s">
        <v>518</v>
      </c>
      <c r="L700" s="50" t="s">
        <v>544</v>
      </c>
      <c r="M700" s="50" t="s">
        <v>368</v>
      </c>
      <c r="N700" s="51">
        <v>988.38</v>
      </c>
    </row>
    <row r="701" spans="1:14" x14ac:dyDescent="0.3">
      <c r="A701" s="50" t="s">
        <v>846</v>
      </c>
      <c r="B701" s="50" t="s">
        <v>846</v>
      </c>
      <c r="C701" s="50" t="s">
        <v>905</v>
      </c>
      <c r="D701" s="50" t="s">
        <v>870</v>
      </c>
      <c r="E701" s="50" t="s">
        <v>518</v>
      </c>
      <c r="F701" s="50" t="s">
        <v>872</v>
      </c>
      <c r="G701" s="50" t="s">
        <v>516</v>
      </c>
      <c r="H701" s="50" t="s">
        <v>544</v>
      </c>
      <c r="I701" s="50" t="s">
        <v>368</v>
      </c>
      <c r="J701" s="50" t="s">
        <v>518</v>
      </c>
      <c r="K701" s="50" t="s">
        <v>518</v>
      </c>
      <c r="L701" s="50" t="s">
        <v>907</v>
      </c>
      <c r="M701" s="50" t="s">
        <v>355</v>
      </c>
      <c r="N701" s="51">
        <v>-988.38</v>
      </c>
    </row>
    <row r="702" spans="1:14" x14ac:dyDescent="0.3">
      <c r="A702" s="50" t="s">
        <v>846</v>
      </c>
      <c r="B702" s="50" t="s">
        <v>846</v>
      </c>
      <c r="C702" s="50" t="s">
        <v>908</v>
      </c>
      <c r="D702" s="50" t="s">
        <v>870</v>
      </c>
      <c r="E702" s="50" t="s">
        <v>909</v>
      </c>
      <c r="F702" s="50" t="s">
        <v>872</v>
      </c>
      <c r="G702" s="50" t="s">
        <v>516</v>
      </c>
      <c r="H702" s="50" t="s">
        <v>907</v>
      </c>
      <c r="I702" s="50" t="s">
        <v>355</v>
      </c>
      <c r="J702" s="50" t="s">
        <v>518</v>
      </c>
      <c r="K702" s="50" t="s">
        <v>518</v>
      </c>
      <c r="L702" s="50" t="s">
        <v>544</v>
      </c>
      <c r="M702" s="50" t="s">
        <v>368</v>
      </c>
      <c r="N702" s="51">
        <v>-116.61</v>
      </c>
    </row>
    <row r="703" spans="1:14" x14ac:dyDescent="0.3">
      <c r="A703" s="50" t="s">
        <v>846</v>
      </c>
      <c r="B703" s="50" t="s">
        <v>846</v>
      </c>
      <c r="C703" s="50" t="s">
        <v>908</v>
      </c>
      <c r="D703" s="50" t="s">
        <v>870</v>
      </c>
      <c r="E703" s="50" t="s">
        <v>518</v>
      </c>
      <c r="F703" s="50" t="s">
        <v>872</v>
      </c>
      <c r="G703" s="50" t="s">
        <v>516</v>
      </c>
      <c r="H703" s="50" t="s">
        <v>544</v>
      </c>
      <c r="I703" s="50" t="s">
        <v>368</v>
      </c>
      <c r="J703" s="50" t="s">
        <v>518</v>
      </c>
      <c r="K703" s="50" t="s">
        <v>518</v>
      </c>
      <c r="L703" s="50" t="s">
        <v>907</v>
      </c>
      <c r="M703" s="50" t="s">
        <v>355</v>
      </c>
      <c r="N703" s="51">
        <v>116.61</v>
      </c>
    </row>
    <row r="704" spans="1:14" x14ac:dyDescent="0.3">
      <c r="A704" s="50" t="s">
        <v>846</v>
      </c>
      <c r="B704" s="50" t="s">
        <v>846</v>
      </c>
      <c r="C704" s="50" t="s">
        <v>910</v>
      </c>
      <c r="D704" s="50" t="s">
        <v>870</v>
      </c>
      <c r="E704" s="50" t="s">
        <v>911</v>
      </c>
      <c r="F704" s="50" t="s">
        <v>872</v>
      </c>
      <c r="G704" s="50" t="s">
        <v>516</v>
      </c>
      <c r="H704" s="50" t="s">
        <v>517</v>
      </c>
      <c r="I704" s="50" t="s">
        <v>27</v>
      </c>
      <c r="J704" s="50" t="s">
        <v>518</v>
      </c>
      <c r="K704" s="50" t="s">
        <v>518</v>
      </c>
      <c r="L704" s="50" t="s">
        <v>544</v>
      </c>
      <c r="M704" s="50" t="s">
        <v>368</v>
      </c>
      <c r="N704" s="51">
        <v>6.52</v>
      </c>
    </row>
    <row r="705" spans="1:14" x14ac:dyDescent="0.3">
      <c r="A705" s="50" t="s">
        <v>846</v>
      </c>
      <c r="B705" s="50" t="s">
        <v>846</v>
      </c>
      <c r="C705" s="50" t="s">
        <v>910</v>
      </c>
      <c r="D705" s="50" t="s">
        <v>870</v>
      </c>
      <c r="E705" s="50" t="s">
        <v>518</v>
      </c>
      <c r="F705" s="50" t="s">
        <v>872</v>
      </c>
      <c r="G705" s="50" t="s">
        <v>516</v>
      </c>
      <c r="H705" s="50" t="s">
        <v>544</v>
      </c>
      <c r="I705" s="50" t="s">
        <v>368</v>
      </c>
      <c r="J705" s="50" t="s">
        <v>518</v>
      </c>
      <c r="K705" s="50" t="s">
        <v>518</v>
      </c>
      <c r="L705" s="50" t="s">
        <v>517</v>
      </c>
      <c r="M705" s="50" t="s">
        <v>27</v>
      </c>
      <c r="N705" s="51">
        <v>-6.52</v>
      </c>
    </row>
    <row r="706" spans="1:14" x14ac:dyDescent="0.3">
      <c r="A706" s="50" t="s">
        <v>846</v>
      </c>
      <c r="B706" s="50" t="s">
        <v>846</v>
      </c>
      <c r="C706" s="50" t="s">
        <v>912</v>
      </c>
      <c r="D706" s="50" t="s">
        <v>870</v>
      </c>
      <c r="E706" s="50" t="s">
        <v>913</v>
      </c>
      <c r="F706" s="50" t="s">
        <v>872</v>
      </c>
      <c r="G706" s="50" t="s">
        <v>516</v>
      </c>
      <c r="H706" s="50" t="s">
        <v>914</v>
      </c>
      <c r="I706" s="50" t="s">
        <v>340</v>
      </c>
      <c r="J706" s="50" t="s">
        <v>518</v>
      </c>
      <c r="K706" s="50" t="s">
        <v>518</v>
      </c>
      <c r="L706" s="50" t="s">
        <v>544</v>
      </c>
      <c r="M706" s="50" t="s">
        <v>368</v>
      </c>
      <c r="N706" s="51">
        <v>7.86</v>
      </c>
    </row>
    <row r="707" spans="1:14" x14ac:dyDescent="0.3">
      <c r="A707" s="50" t="s">
        <v>846</v>
      </c>
      <c r="B707" s="50" t="s">
        <v>846</v>
      </c>
      <c r="C707" s="50" t="s">
        <v>912</v>
      </c>
      <c r="D707" s="50" t="s">
        <v>870</v>
      </c>
      <c r="E707" s="50" t="s">
        <v>518</v>
      </c>
      <c r="F707" s="50" t="s">
        <v>872</v>
      </c>
      <c r="G707" s="50" t="s">
        <v>516</v>
      </c>
      <c r="H707" s="50" t="s">
        <v>544</v>
      </c>
      <c r="I707" s="50" t="s">
        <v>368</v>
      </c>
      <c r="J707" s="50" t="s">
        <v>518</v>
      </c>
      <c r="K707" s="50" t="s">
        <v>518</v>
      </c>
      <c r="L707" s="50" t="s">
        <v>914</v>
      </c>
      <c r="M707" s="50" t="s">
        <v>340</v>
      </c>
      <c r="N707" s="51">
        <v>-7.86</v>
      </c>
    </row>
    <row r="708" spans="1:14" x14ac:dyDescent="0.3">
      <c r="A708" s="50" t="s">
        <v>846</v>
      </c>
      <c r="B708" s="50" t="s">
        <v>846</v>
      </c>
      <c r="C708" s="50" t="s">
        <v>915</v>
      </c>
      <c r="D708" s="50" t="s">
        <v>870</v>
      </c>
      <c r="E708" s="50" t="s">
        <v>916</v>
      </c>
      <c r="F708" s="50" t="s">
        <v>872</v>
      </c>
      <c r="G708" s="50" t="s">
        <v>516</v>
      </c>
      <c r="H708" s="50" t="s">
        <v>917</v>
      </c>
      <c r="I708" s="50" t="s">
        <v>339</v>
      </c>
      <c r="J708" s="50" t="s">
        <v>518</v>
      </c>
      <c r="K708" s="50" t="s">
        <v>518</v>
      </c>
      <c r="L708" s="50" t="s">
        <v>544</v>
      </c>
      <c r="M708" s="50" t="s">
        <v>368</v>
      </c>
      <c r="N708" s="51">
        <v>12.96</v>
      </c>
    </row>
    <row r="709" spans="1:14" x14ac:dyDescent="0.3">
      <c r="A709" s="50" t="s">
        <v>846</v>
      </c>
      <c r="B709" s="50" t="s">
        <v>846</v>
      </c>
      <c r="C709" s="50" t="s">
        <v>915</v>
      </c>
      <c r="D709" s="50" t="s">
        <v>870</v>
      </c>
      <c r="E709" s="50" t="s">
        <v>518</v>
      </c>
      <c r="F709" s="50" t="s">
        <v>872</v>
      </c>
      <c r="G709" s="50" t="s">
        <v>516</v>
      </c>
      <c r="H709" s="50" t="s">
        <v>544</v>
      </c>
      <c r="I709" s="50" t="s">
        <v>368</v>
      </c>
      <c r="J709" s="50" t="s">
        <v>518</v>
      </c>
      <c r="K709" s="50" t="s">
        <v>518</v>
      </c>
      <c r="L709" s="50" t="s">
        <v>917</v>
      </c>
      <c r="M709" s="50" t="s">
        <v>339</v>
      </c>
      <c r="N709" s="51">
        <v>-12.96</v>
      </c>
    </row>
    <row r="710" spans="1:14" x14ac:dyDescent="0.3">
      <c r="A710" s="50" t="s">
        <v>918</v>
      </c>
      <c r="B710" s="50" t="s">
        <v>918</v>
      </c>
      <c r="C710" s="50" t="s">
        <v>919</v>
      </c>
      <c r="D710" s="50" t="s">
        <v>920</v>
      </c>
      <c r="E710" s="50" t="s">
        <v>921</v>
      </c>
      <c r="F710" s="50" t="s">
        <v>922</v>
      </c>
      <c r="G710" s="50" t="s">
        <v>391</v>
      </c>
      <c r="H710" s="50" t="s">
        <v>923</v>
      </c>
      <c r="I710" s="50" t="s">
        <v>398</v>
      </c>
      <c r="J710" s="50" t="s">
        <v>518</v>
      </c>
      <c r="K710" s="50" t="s">
        <v>518</v>
      </c>
      <c r="L710" s="50" t="s">
        <v>544</v>
      </c>
      <c r="M710" s="50" t="s">
        <v>368</v>
      </c>
      <c r="N710" s="51">
        <v>1.46</v>
      </c>
    </row>
    <row r="711" spans="1:14" x14ac:dyDescent="0.3">
      <c r="A711" s="50" t="s">
        <v>918</v>
      </c>
      <c r="B711" s="50" t="s">
        <v>918</v>
      </c>
      <c r="C711" s="50" t="s">
        <v>919</v>
      </c>
      <c r="D711" s="50" t="s">
        <v>920</v>
      </c>
      <c r="E711" s="50" t="s">
        <v>924</v>
      </c>
      <c r="F711" s="50" t="s">
        <v>922</v>
      </c>
      <c r="G711" s="50" t="s">
        <v>516</v>
      </c>
      <c r="H711" s="50" t="s">
        <v>925</v>
      </c>
      <c r="I711" s="50" t="s">
        <v>347</v>
      </c>
      <c r="J711" s="50" t="s">
        <v>518</v>
      </c>
      <c r="K711" s="50" t="s">
        <v>518</v>
      </c>
      <c r="L711" s="50" t="s">
        <v>544</v>
      </c>
      <c r="M711" s="50" t="s">
        <v>368</v>
      </c>
      <c r="N711" s="51">
        <v>206.99</v>
      </c>
    </row>
    <row r="712" spans="1:14" x14ac:dyDescent="0.3">
      <c r="A712" s="50" t="s">
        <v>918</v>
      </c>
      <c r="B712" s="50" t="s">
        <v>918</v>
      </c>
      <c r="C712" s="50" t="s">
        <v>919</v>
      </c>
      <c r="D712" s="50" t="s">
        <v>920</v>
      </c>
      <c r="E712" s="50" t="s">
        <v>926</v>
      </c>
      <c r="F712" s="50" t="s">
        <v>922</v>
      </c>
      <c r="G712" s="50" t="s">
        <v>391</v>
      </c>
      <c r="H712" s="50" t="s">
        <v>923</v>
      </c>
      <c r="I712" s="50" t="s">
        <v>398</v>
      </c>
      <c r="J712" s="50" t="s">
        <v>518</v>
      </c>
      <c r="K712" s="50" t="s">
        <v>518</v>
      </c>
      <c r="L712" s="50" t="s">
        <v>544</v>
      </c>
      <c r="M712" s="50" t="s">
        <v>368</v>
      </c>
      <c r="N712" s="51">
        <v>0.77</v>
      </c>
    </row>
    <row r="713" spans="1:14" x14ac:dyDescent="0.3">
      <c r="A713" s="50" t="s">
        <v>918</v>
      </c>
      <c r="B713" s="50" t="s">
        <v>918</v>
      </c>
      <c r="C713" s="50" t="s">
        <v>919</v>
      </c>
      <c r="D713" s="50" t="s">
        <v>920</v>
      </c>
      <c r="E713" s="50" t="s">
        <v>927</v>
      </c>
      <c r="F713" s="50" t="s">
        <v>922</v>
      </c>
      <c r="G713" s="50" t="s">
        <v>516</v>
      </c>
      <c r="H713" s="50" t="s">
        <v>925</v>
      </c>
      <c r="I713" s="50" t="s">
        <v>347</v>
      </c>
      <c r="J713" s="50" t="s">
        <v>518</v>
      </c>
      <c r="K713" s="50" t="s">
        <v>518</v>
      </c>
      <c r="L713" s="50" t="s">
        <v>544</v>
      </c>
      <c r="M713" s="50" t="s">
        <v>368</v>
      </c>
      <c r="N713" s="51">
        <v>17.559999999999999</v>
      </c>
    </row>
    <row r="714" spans="1:14" x14ac:dyDescent="0.3">
      <c r="A714" s="50" t="s">
        <v>918</v>
      </c>
      <c r="B714" s="50" t="s">
        <v>918</v>
      </c>
      <c r="C714" s="50" t="s">
        <v>919</v>
      </c>
      <c r="D714" s="50" t="s">
        <v>920</v>
      </c>
      <c r="E714" s="50" t="s">
        <v>928</v>
      </c>
      <c r="F714" s="50" t="s">
        <v>922</v>
      </c>
      <c r="G714" s="50" t="s">
        <v>391</v>
      </c>
      <c r="H714" s="50" t="s">
        <v>923</v>
      </c>
      <c r="I714" s="50" t="s">
        <v>398</v>
      </c>
      <c r="J714" s="50" t="s">
        <v>518</v>
      </c>
      <c r="K714" s="50" t="s">
        <v>518</v>
      </c>
      <c r="L714" s="50" t="s">
        <v>544</v>
      </c>
      <c r="M714" s="50" t="s">
        <v>368</v>
      </c>
      <c r="N714" s="51">
        <v>0.74</v>
      </c>
    </row>
    <row r="715" spans="1:14" x14ac:dyDescent="0.3">
      <c r="A715" s="50" t="s">
        <v>918</v>
      </c>
      <c r="B715" s="50" t="s">
        <v>918</v>
      </c>
      <c r="C715" s="50" t="s">
        <v>919</v>
      </c>
      <c r="D715" s="50" t="s">
        <v>920</v>
      </c>
      <c r="E715" s="50" t="s">
        <v>929</v>
      </c>
      <c r="F715" s="50" t="s">
        <v>922</v>
      </c>
      <c r="G715" s="50" t="s">
        <v>516</v>
      </c>
      <c r="H715" s="50" t="s">
        <v>925</v>
      </c>
      <c r="I715" s="50" t="s">
        <v>347</v>
      </c>
      <c r="J715" s="50" t="s">
        <v>518</v>
      </c>
      <c r="K715" s="50" t="s">
        <v>518</v>
      </c>
      <c r="L715" s="50" t="s">
        <v>544</v>
      </c>
      <c r="M715" s="50" t="s">
        <v>368</v>
      </c>
      <c r="N715" s="51">
        <v>219.92</v>
      </c>
    </row>
    <row r="716" spans="1:14" x14ac:dyDescent="0.3">
      <c r="A716" s="50" t="s">
        <v>918</v>
      </c>
      <c r="B716" s="50" t="s">
        <v>918</v>
      </c>
      <c r="C716" s="50" t="s">
        <v>919</v>
      </c>
      <c r="D716" s="50" t="s">
        <v>920</v>
      </c>
      <c r="E716" s="50" t="s">
        <v>930</v>
      </c>
      <c r="F716" s="50" t="s">
        <v>922</v>
      </c>
      <c r="G716" s="50" t="s">
        <v>391</v>
      </c>
      <c r="H716" s="50" t="s">
        <v>923</v>
      </c>
      <c r="I716" s="50" t="s">
        <v>398</v>
      </c>
      <c r="J716" s="50" t="s">
        <v>518</v>
      </c>
      <c r="K716" s="50" t="s">
        <v>518</v>
      </c>
      <c r="L716" s="50" t="s">
        <v>544</v>
      </c>
      <c r="M716" s="50" t="s">
        <v>368</v>
      </c>
      <c r="N716" s="51">
        <v>11.73</v>
      </c>
    </row>
    <row r="717" spans="1:14" x14ac:dyDescent="0.3">
      <c r="A717" s="50" t="s">
        <v>918</v>
      </c>
      <c r="B717" s="50" t="s">
        <v>918</v>
      </c>
      <c r="C717" s="50" t="s">
        <v>919</v>
      </c>
      <c r="D717" s="50" t="s">
        <v>920</v>
      </c>
      <c r="E717" s="50" t="s">
        <v>931</v>
      </c>
      <c r="F717" s="50" t="s">
        <v>922</v>
      </c>
      <c r="G717" s="50" t="s">
        <v>516</v>
      </c>
      <c r="H717" s="50" t="s">
        <v>925</v>
      </c>
      <c r="I717" s="50" t="s">
        <v>347</v>
      </c>
      <c r="J717" s="50" t="s">
        <v>518</v>
      </c>
      <c r="K717" s="50" t="s">
        <v>518</v>
      </c>
      <c r="L717" s="50" t="s">
        <v>544</v>
      </c>
      <c r="M717" s="50" t="s">
        <v>368</v>
      </c>
      <c r="N717" s="51">
        <v>1025.42</v>
      </c>
    </row>
    <row r="718" spans="1:14" x14ac:dyDescent="0.3">
      <c r="A718" s="50" t="s">
        <v>918</v>
      </c>
      <c r="B718" s="50" t="s">
        <v>918</v>
      </c>
      <c r="C718" s="50" t="s">
        <v>919</v>
      </c>
      <c r="D718" s="50" t="s">
        <v>920</v>
      </c>
      <c r="E718" s="50" t="s">
        <v>518</v>
      </c>
      <c r="F718" s="50" t="s">
        <v>922</v>
      </c>
      <c r="G718" s="50" t="s">
        <v>516</v>
      </c>
      <c r="H718" s="50" t="s">
        <v>544</v>
      </c>
      <c r="I718" s="50" t="s">
        <v>368</v>
      </c>
      <c r="J718" s="50" t="s">
        <v>518</v>
      </c>
      <c r="K718" s="50" t="s">
        <v>518</v>
      </c>
      <c r="L718" s="50" t="s">
        <v>925</v>
      </c>
      <c r="M718" s="50" t="s">
        <v>347</v>
      </c>
      <c r="N718" s="51">
        <v>-1469.89</v>
      </c>
    </row>
    <row r="719" spans="1:14" x14ac:dyDescent="0.3">
      <c r="A719" s="50" t="s">
        <v>918</v>
      </c>
      <c r="B719" s="50" t="s">
        <v>918</v>
      </c>
      <c r="C719" s="50" t="s">
        <v>919</v>
      </c>
      <c r="D719" s="50" t="s">
        <v>920</v>
      </c>
      <c r="E719" s="50" t="s">
        <v>518</v>
      </c>
      <c r="F719" s="50" t="s">
        <v>922</v>
      </c>
      <c r="G719" s="50" t="s">
        <v>391</v>
      </c>
      <c r="H719" s="50" t="s">
        <v>544</v>
      </c>
      <c r="I719" s="50" t="s">
        <v>368</v>
      </c>
      <c r="J719" s="50" t="s">
        <v>518</v>
      </c>
      <c r="K719" s="50" t="s">
        <v>518</v>
      </c>
      <c r="L719" s="50" t="s">
        <v>925</v>
      </c>
      <c r="M719" s="50" t="s">
        <v>347</v>
      </c>
      <c r="N719" s="51">
        <v>-14.7</v>
      </c>
    </row>
    <row r="720" spans="1:14" x14ac:dyDescent="0.3">
      <c r="A720" s="50" t="s">
        <v>918</v>
      </c>
      <c r="B720" s="50" t="s">
        <v>918</v>
      </c>
      <c r="C720" s="50" t="s">
        <v>932</v>
      </c>
      <c r="D720" s="50" t="s">
        <v>526</v>
      </c>
      <c r="E720" s="50" t="s">
        <v>527</v>
      </c>
      <c r="F720" s="50" t="s">
        <v>528</v>
      </c>
      <c r="G720" s="50" t="s">
        <v>516</v>
      </c>
      <c r="H720" s="50" t="s">
        <v>529</v>
      </c>
      <c r="I720" s="50" t="s">
        <v>363</v>
      </c>
      <c r="J720" s="50" t="s">
        <v>518</v>
      </c>
      <c r="K720" s="50" t="s">
        <v>518</v>
      </c>
      <c r="L720" s="50" t="s">
        <v>535</v>
      </c>
      <c r="M720" s="50" t="s">
        <v>371</v>
      </c>
      <c r="N720" s="51">
        <v>83</v>
      </c>
    </row>
    <row r="721" spans="1:14" x14ac:dyDescent="0.3">
      <c r="A721" s="50" t="s">
        <v>918</v>
      </c>
      <c r="B721" s="50" t="s">
        <v>918</v>
      </c>
      <c r="C721" s="50" t="s">
        <v>932</v>
      </c>
      <c r="D721" s="50" t="s">
        <v>526</v>
      </c>
      <c r="E721" s="50" t="s">
        <v>534</v>
      </c>
      <c r="F721" s="50" t="s">
        <v>528</v>
      </c>
      <c r="G721" s="50" t="s">
        <v>516</v>
      </c>
      <c r="H721" s="50" t="s">
        <v>535</v>
      </c>
      <c r="I721" s="50" t="s">
        <v>371</v>
      </c>
      <c r="J721" s="50" t="s">
        <v>518</v>
      </c>
      <c r="K721" s="50" t="s">
        <v>518</v>
      </c>
      <c r="L721" s="50" t="s">
        <v>529</v>
      </c>
      <c r="M721" s="50" t="s">
        <v>363</v>
      </c>
      <c r="N721" s="51">
        <v>-714</v>
      </c>
    </row>
    <row r="722" spans="1:14" x14ac:dyDescent="0.3">
      <c r="A722" s="50" t="s">
        <v>918</v>
      </c>
      <c r="B722" s="50" t="s">
        <v>918</v>
      </c>
      <c r="C722" s="50" t="s">
        <v>932</v>
      </c>
      <c r="D722" s="50" t="s">
        <v>526</v>
      </c>
      <c r="E722" s="50" t="s">
        <v>933</v>
      </c>
      <c r="F722" s="50" t="s">
        <v>528</v>
      </c>
      <c r="G722" s="50" t="s">
        <v>391</v>
      </c>
      <c r="H722" s="50" t="s">
        <v>563</v>
      </c>
      <c r="I722" s="50" t="s">
        <v>264</v>
      </c>
      <c r="J722" s="50" t="s">
        <v>518</v>
      </c>
      <c r="K722" s="50" t="s">
        <v>518</v>
      </c>
      <c r="L722" s="50" t="s">
        <v>529</v>
      </c>
      <c r="M722" s="50" t="s">
        <v>363</v>
      </c>
      <c r="N722" s="51">
        <v>-83.69</v>
      </c>
    </row>
    <row r="723" spans="1:14" x14ac:dyDescent="0.3">
      <c r="A723" s="50" t="s">
        <v>918</v>
      </c>
      <c r="B723" s="50" t="s">
        <v>918</v>
      </c>
      <c r="C723" s="50" t="s">
        <v>932</v>
      </c>
      <c r="D723" s="50" t="s">
        <v>526</v>
      </c>
      <c r="E723" s="50" t="s">
        <v>536</v>
      </c>
      <c r="F723" s="50" t="s">
        <v>528</v>
      </c>
      <c r="G723" s="50" t="s">
        <v>516</v>
      </c>
      <c r="H723" s="50" t="s">
        <v>537</v>
      </c>
      <c r="I723" s="50" t="s">
        <v>385</v>
      </c>
      <c r="J723" s="50" t="s">
        <v>518</v>
      </c>
      <c r="K723" s="50" t="s">
        <v>518</v>
      </c>
      <c r="L723" s="50" t="s">
        <v>529</v>
      </c>
      <c r="M723" s="50" t="s">
        <v>363</v>
      </c>
      <c r="N723" s="51">
        <v>-27.15</v>
      </c>
    </row>
    <row r="724" spans="1:14" x14ac:dyDescent="0.3">
      <c r="A724" s="50" t="s">
        <v>918</v>
      </c>
      <c r="B724" s="50" t="s">
        <v>918</v>
      </c>
      <c r="C724" s="50" t="s">
        <v>932</v>
      </c>
      <c r="D724" s="50" t="s">
        <v>526</v>
      </c>
      <c r="E724" s="50" t="s">
        <v>934</v>
      </c>
      <c r="F724" s="50" t="s">
        <v>528</v>
      </c>
      <c r="G724" s="50" t="s">
        <v>516</v>
      </c>
      <c r="H724" s="50" t="s">
        <v>935</v>
      </c>
      <c r="I724" s="50" t="s">
        <v>384</v>
      </c>
      <c r="J724" s="50" t="s">
        <v>518</v>
      </c>
      <c r="K724" s="50" t="s">
        <v>518</v>
      </c>
      <c r="L724" s="50" t="s">
        <v>529</v>
      </c>
      <c r="M724" s="50" t="s">
        <v>363</v>
      </c>
      <c r="N724" s="51">
        <v>-130</v>
      </c>
    </row>
    <row r="725" spans="1:14" x14ac:dyDescent="0.3">
      <c r="A725" s="50" t="s">
        <v>918</v>
      </c>
      <c r="B725" s="50" t="s">
        <v>918</v>
      </c>
      <c r="C725" s="50" t="s">
        <v>932</v>
      </c>
      <c r="D725" s="50" t="s">
        <v>526</v>
      </c>
      <c r="E725" s="50" t="s">
        <v>539</v>
      </c>
      <c r="F725" s="50" t="s">
        <v>528</v>
      </c>
      <c r="G725" s="50" t="s">
        <v>516</v>
      </c>
      <c r="H725" s="50" t="s">
        <v>529</v>
      </c>
      <c r="I725" s="50" t="s">
        <v>363</v>
      </c>
      <c r="J725" s="50" t="s">
        <v>518</v>
      </c>
      <c r="K725" s="50" t="s">
        <v>518</v>
      </c>
      <c r="L725" s="50" t="s">
        <v>535</v>
      </c>
      <c r="M725" s="50" t="s">
        <v>371</v>
      </c>
      <c r="N725" s="51">
        <v>199.37</v>
      </c>
    </row>
    <row r="726" spans="1:14" x14ac:dyDescent="0.3">
      <c r="A726" s="50" t="s">
        <v>918</v>
      </c>
      <c r="B726" s="50" t="s">
        <v>918</v>
      </c>
      <c r="C726" s="50" t="s">
        <v>932</v>
      </c>
      <c r="D726" s="50" t="s">
        <v>526</v>
      </c>
      <c r="E726" s="50" t="s">
        <v>420</v>
      </c>
      <c r="F726" s="50" t="s">
        <v>528</v>
      </c>
      <c r="G726" s="50" t="s">
        <v>391</v>
      </c>
      <c r="H726" s="50" t="s">
        <v>561</v>
      </c>
      <c r="I726" s="50" t="s">
        <v>269</v>
      </c>
      <c r="J726" s="50" t="s">
        <v>518</v>
      </c>
      <c r="K726" s="50" t="s">
        <v>518</v>
      </c>
      <c r="L726" s="50" t="s">
        <v>535</v>
      </c>
      <c r="M726" s="50" t="s">
        <v>371</v>
      </c>
      <c r="N726" s="51">
        <v>21.99</v>
      </c>
    </row>
    <row r="727" spans="1:14" x14ac:dyDescent="0.3">
      <c r="A727" s="50" t="s">
        <v>918</v>
      </c>
      <c r="B727" s="50" t="s">
        <v>918</v>
      </c>
      <c r="C727" s="50" t="s">
        <v>932</v>
      </c>
      <c r="D727" s="50" t="s">
        <v>526</v>
      </c>
      <c r="E727" s="50" t="s">
        <v>540</v>
      </c>
      <c r="F727" s="50" t="s">
        <v>528</v>
      </c>
      <c r="G727" s="50" t="s">
        <v>516</v>
      </c>
      <c r="H727" s="50" t="s">
        <v>533</v>
      </c>
      <c r="I727" s="50" t="s">
        <v>364</v>
      </c>
      <c r="J727" s="50" t="s">
        <v>518</v>
      </c>
      <c r="K727" s="50" t="s">
        <v>518</v>
      </c>
      <c r="L727" s="50" t="s">
        <v>529</v>
      </c>
      <c r="M727" s="50" t="s">
        <v>363</v>
      </c>
      <c r="N727" s="51">
        <v>-471</v>
      </c>
    </row>
    <row r="728" spans="1:14" x14ac:dyDescent="0.3">
      <c r="A728" s="50" t="s">
        <v>918</v>
      </c>
      <c r="B728" s="50" t="s">
        <v>918</v>
      </c>
      <c r="C728" s="50" t="s">
        <v>932</v>
      </c>
      <c r="D728" s="50" t="s">
        <v>526</v>
      </c>
      <c r="E728" s="50" t="s">
        <v>540</v>
      </c>
      <c r="F728" s="50" t="s">
        <v>528</v>
      </c>
      <c r="G728" s="50" t="s">
        <v>516</v>
      </c>
      <c r="H728" s="50" t="s">
        <v>530</v>
      </c>
      <c r="I728" s="50" t="s">
        <v>382</v>
      </c>
      <c r="J728" s="50" t="s">
        <v>518</v>
      </c>
      <c r="K728" s="50" t="s">
        <v>518</v>
      </c>
      <c r="L728" s="50" t="s">
        <v>535</v>
      </c>
      <c r="M728" s="50" t="s">
        <v>371</v>
      </c>
      <c r="N728" s="51">
        <v>471</v>
      </c>
    </row>
    <row r="729" spans="1:14" x14ac:dyDescent="0.3">
      <c r="A729" s="50" t="s">
        <v>918</v>
      </c>
      <c r="B729" s="50" t="s">
        <v>918</v>
      </c>
      <c r="C729" s="50" t="s">
        <v>932</v>
      </c>
      <c r="D729" s="50" t="s">
        <v>526</v>
      </c>
      <c r="E729" s="50" t="s">
        <v>541</v>
      </c>
      <c r="F729" s="50" t="s">
        <v>528</v>
      </c>
      <c r="G729" s="50" t="s">
        <v>516</v>
      </c>
      <c r="H729" s="50" t="s">
        <v>542</v>
      </c>
      <c r="I729" s="50" t="s">
        <v>369</v>
      </c>
      <c r="J729" s="50" t="s">
        <v>518</v>
      </c>
      <c r="K729" s="50" t="s">
        <v>518</v>
      </c>
      <c r="L729" s="50" t="s">
        <v>529</v>
      </c>
      <c r="M729" s="50" t="s">
        <v>363</v>
      </c>
      <c r="N729" s="51">
        <v>-226.16</v>
      </c>
    </row>
    <row r="730" spans="1:14" x14ac:dyDescent="0.3">
      <c r="A730" s="50" t="s">
        <v>918</v>
      </c>
      <c r="B730" s="50" t="s">
        <v>918</v>
      </c>
      <c r="C730" s="50" t="s">
        <v>932</v>
      </c>
      <c r="D730" s="50" t="s">
        <v>526</v>
      </c>
      <c r="E730" s="50" t="s">
        <v>541</v>
      </c>
      <c r="F730" s="50" t="s">
        <v>528</v>
      </c>
      <c r="G730" s="50" t="s">
        <v>516</v>
      </c>
      <c r="H730" s="50" t="s">
        <v>530</v>
      </c>
      <c r="I730" s="50" t="s">
        <v>382</v>
      </c>
      <c r="J730" s="50" t="s">
        <v>518</v>
      </c>
      <c r="K730" s="50" t="s">
        <v>518</v>
      </c>
      <c r="L730" s="50" t="s">
        <v>535</v>
      </c>
      <c r="M730" s="50" t="s">
        <v>371</v>
      </c>
      <c r="N730" s="51">
        <v>226.16</v>
      </c>
    </row>
    <row r="731" spans="1:14" x14ac:dyDescent="0.3">
      <c r="A731" s="50" t="s">
        <v>918</v>
      </c>
      <c r="B731" s="50" t="s">
        <v>918</v>
      </c>
      <c r="C731" s="50" t="s">
        <v>932</v>
      </c>
      <c r="D731" s="50" t="s">
        <v>526</v>
      </c>
      <c r="E731" s="50" t="s">
        <v>605</v>
      </c>
      <c r="F731" s="50" t="s">
        <v>528</v>
      </c>
      <c r="G731" s="50" t="s">
        <v>516</v>
      </c>
      <c r="H731" s="50" t="s">
        <v>606</v>
      </c>
      <c r="I731" s="50" t="s">
        <v>377</v>
      </c>
      <c r="J731" s="50" t="s">
        <v>518</v>
      </c>
      <c r="K731" s="50" t="s">
        <v>518</v>
      </c>
      <c r="L731" s="50" t="s">
        <v>535</v>
      </c>
      <c r="M731" s="50" t="s">
        <v>371</v>
      </c>
      <c r="N731" s="51">
        <v>130</v>
      </c>
    </row>
    <row r="732" spans="1:14" x14ac:dyDescent="0.3">
      <c r="A732" s="50" t="s">
        <v>918</v>
      </c>
      <c r="B732" s="50" t="s">
        <v>918</v>
      </c>
      <c r="C732" s="50" t="s">
        <v>932</v>
      </c>
      <c r="D732" s="50" t="s">
        <v>526</v>
      </c>
      <c r="E732" s="50" t="s">
        <v>671</v>
      </c>
      <c r="F732" s="50" t="s">
        <v>528</v>
      </c>
      <c r="G732" s="50" t="s">
        <v>516</v>
      </c>
      <c r="H732" s="50" t="s">
        <v>586</v>
      </c>
      <c r="I732" s="50" t="s">
        <v>365</v>
      </c>
      <c r="J732" s="50" t="s">
        <v>518</v>
      </c>
      <c r="K732" s="50" t="s">
        <v>518</v>
      </c>
      <c r="L732" s="50" t="s">
        <v>529</v>
      </c>
      <c r="M732" s="50" t="s">
        <v>363</v>
      </c>
      <c r="N732" s="51">
        <v>-15</v>
      </c>
    </row>
    <row r="733" spans="1:14" x14ac:dyDescent="0.3">
      <c r="A733" s="50" t="s">
        <v>918</v>
      </c>
      <c r="B733" s="50" t="s">
        <v>918</v>
      </c>
      <c r="C733" s="50" t="s">
        <v>932</v>
      </c>
      <c r="D733" s="50" t="s">
        <v>526</v>
      </c>
      <c r="E733" s="50" t="s">
        <v>562</v>
      </c>
      <c r="F733" s="50" t="s">
        <v>528</v>
      </c>
      <c r="G733" s="50" t="s">
        <v>391</v>
      </c>
      <c r="H733" s="50" t="s">
        <v>563</v>
      </c>
      <c r="I733" s="50" t="s">
        <v>264</v>
      </c>
      <c r="J733" s="50" t="s">
        <v>518</v>
      </c>
      <c r="K733" s="50" t="s">
        <v>518</v>
      </c>
      <c r="L733" s="50" t="s">
        <v>535</v>
      </c>
      <c r="M733" s="50" t="s">
        <v>371</v>
      </c>
      <c r="N733" s="51">
        <v>1.79</v>
      </c>
    </row>
    <row r="734" spans="1:14" x14ac:dyDescent="0.3">
      <c r="A734" s="50" t="s">
        <v>918</v>
      </c>
      <c r="B734" s="50" t="s">
        <v>918</v>
      </c>
      <c r="C734" s="50" t="s">
        <v>932</v>
      </c>
      <c r="D734" s="50" t="s">
        <v>526</v>
      </c>
      <c r="E734" s="50" t="s">
        <v>936</v>
      </c>
      <c r="F734" s="50" t="s">
        <v>528</v>
      </c>
      <c r="G734" s="50" t="s">
        <v>516</v>
      </c>
      <c r="H734" s="50" t="s">
        <v>937</v>
      </c>
      <c r="I734" s="50" t="s">
        <v>376</v>
      </c>
      <c r="J734" s="50" t="s">
        <v>518</v>
      </c>
      <c r="K734" s="50" t="s">
        <v>518</v>
      </c>
      <c r="L734" s="50" t="s">
        <v>529</v>
      </c>
      <c r="M734" s="50" t="s">
        <v>363</v>
      </c>
      <c r="N734" s="51">
        <v>-556.85</v>
      </c>
    </row>
    <row r="735" spans="1:14" x14ac:dyDescent="0.3">
      <c r="A735" s="50" t="s">
        <v>918</v>
      </c>
      <c r="B735" s="50" t="s">
        <v>918</v>
      </c>
      <c r="C735" s="50" t="s">
        <v>932</v>
      </c>
      <c r="D735" s="50" t="s">
        <v>526</v>
      </c>
      <c r="E735" s="50" t="s">
        <v>938</v>
      </c>
      <c r="F735" s="50" t="s">
        <v>528</v>
      </c>
      <c r="G735" s="50" t="s">
        <v>391</v>
      </c>
      <c r="H735" s="50" t="s">
        <v>939</v>
      </c>
      <c r="I735" s="50" t="s">
        <v>405</v>
      </c>
      <c r="J735" s="50" t="s">
        <v>518</v>
      </c>
      <c r="K735" s="50" t="s">
        <v>518</v>
      </c>
      <c r="L735" s="50" t="s">
        <v>529</v>
      </c>
      <c r="M735" s="50" t="s">
        <v>363</v>
      </c>
      <c r="N735" s="51">
        <v>-473.15</v>
      </c>
    </row>
    <row r="736" spans="1:14" x14ac:dyDescent="0.3">
      <c r="A736" s="50" t="s">
        <v>918</v>
      </c>
      <c r="B736" s="50" t="s">
        <v>918</v>
      </c>
      <c r="C736" s="50" t="s">
        <v>932</v>
      </c>
      <c r="D736" s="50" t="s">
        <v>526</v>
      </c>
      <c r="E736" s="50" t="s">
        <v>940</v>
      </c>
      <c r="F736" s="50" t="s">
        <v>528</v>
      </c>
      <c r="G736" s="50" t="s">
        <v>516</v>
      </c>
      <c r="H736" s="50" t="s">
        <v>780</v>
      </c>
      <c r="I736" s="50" t="s">
        <v>267</v>
      </c>
      <c r="J736" s="50" t="s">
        <v>518</v>
      </c>
      <c r="K736" s="50" t="s">
        <v>518</v>
      </c>
      <c r="L736" s="50" t="s">
        <v>535</v>
      </c>
      <c r="M736" s="50" t="s">
        <v>371</v>
      </c>
      <c r="N736" s="51">
        <v>15</v>
      </c>
    </row>
    <row r="737" spans="1:14" x14ac:dyDescent="0.3">
      <c r="A737" s="50" t="s">
        <v>918</v>
      </c>
      <c r="B737" s="50" t="s">
        <v>918</v>
      </c>
      <c r="C737" s="50" t="s">
        <v>932</v>
      </c>
      <c r="D737" s="50" t="s">
        <v>526</v>
      </c>
      <c r="E737" s="50" t="s">
        <v>543</v>
      </c>
      <c r="F737" s="50" t="s">
        <v>528</v>
      </c>
      <c r="G737" s="50" t="s">
        <v>516</v>
      </c>
      <c r="H737" s="50" t="s">
        <v>529</v>
      </c>
      <c r="I737" s="50" t="s">
        <v>363</v>
      </c>
      <c r="J737" s="50" t="s">
        <v>518</v>
      </c>
      <c r="K737" s="50" t="s">
        <v>518</v>
      </c>
      <c r="L737" s="50" t="s">
        <v>535</v>
      </c>
      <c r="M737" s="50" t="s">
        <v>371</v>
      </c>
      <c r="N737" s="51">
        <v>1593.69</v>
      </c>
    </row>
    <row r="738" spans="1:14" x14ac:dyDescent="0.3">
      <c r="A738" s="50" t="s">
        <v>918</v>
      </c>
      <c r="B738" s="50" t="s">
        <v>918</v>
      </c>
      <c r="C738" s="50" t="s">
        <v>932</v>
      </c>
      <c r="D738" s="50" t="s">
        <v>526</v>
      </c>
      <c r="E738" s="50" t="s">
        <v>518</v>
      </c>
      <c r="F738" s="50" t="s">
        <v>528</v>
      </c>
      <c r="G738" s="50" t="s">
        <v>516</v>
      </c>
      <c r="H738" s="50" t="s">
        <v>544</v>
      </c>
      <c r="I738" s="50" t="s">
        <v>368</v>
      </c>
      <c r="J738" s="50" t="s">
        <v>518</v>
      </c>
      <c r="K738" s="50" t="s">
        <v>518</v>
      </c>
      <c r="L738" s="50" t="s">
        <v>529</v>
      </c>
      <c r="M738" s="50" t="s">
        <v>363</v>
      </c>
      <c r="N738" s="51">
        <v>-578.05999999999995</v>
      </c>
    </row>
    <row r="739" spans="1:14" x14ac:dyDescent="0.3">
      <c r="A739" s="50" t="s">
        <v>918</v>
      </c>
      <c r="B739" s="50" t="s">
        <v>918</v>
      </c>
      <c r="C739" s="50" t="s">
        <v>932</v>
      </c>
      <c r="D739" s="50" t="s">
        <v>526</v>
      </c>
      <c r="E739" s="50" t="s">
        <v>518</v>
      </c>
      <c r="F739" s="50" t="s">
        <v>528</v>
      </c>
      <c r="G739" s="50" t="s">
        <v>391</v>
      </c>
      <c r="H739" s="50" t="s">
        <v>544</v>
      </c>
      <c r="I739" s="50" t="s">
        <v>368</v>
      </c>
      <c r="J739" s="50" t="s">
        <v>518</v>
      </c>
      <c r="K739" s="50" t="s">
        <v>518</v>
      </c>
      <c r="L739" s="50" t="s">
        <v>529</v>
      </c>
      <c r="M739" s="50" t="s">
        <v>363</v>
      </c>
      <c r="N739" s="51">
        <v>533.05999999999995</v>
      </c>
    </row>
    <row r="740" spans="1:14" x14ac:dyDescent="0.3">
      <c r="A740" s="50" t="s">
        <v>918</v>
      </c>
      <c r="B740" s="50" t="s">
        <v>918</v>
      </c>
      <c r="C740" s="50" t="s">
        <v>941</v>
      </c>
      <c r="D740" s="50" t="s">
        <v>565</v>
      </c>
      <c r="E740" s="50" t="s">
        <v>518</v>
      </c>
      <c r="F740" s="50" t="s">
        <v>566</v>
      </c>
      <c r="G740" s="50" t="s">
        <v>391</v>
      </c>
      <c r="H740" s="50" t="s">
        <v>567</v>
      </c>
      <c r="I740" s="50" t="s">
        <v>395</v>
      </c>
      <c r="J740" s="50" t="s">
        <v>518</v>
      </c>
      <c r="K740" s="50" t="s">
        <v>518</v>
      </c>
      <c r="L740" s="50" t="s">
        <v>568</v>
      </c>
      <c r="M740" s="50" t="s">
        <v>401</v>
      </c>
      <c r="N740" s="51">
        <v>-5.08</v>
      </c>
    </row>
    <row r="741" spans="1:14" x14ac:dyDescent="0.3">
      <c r="A741" s="50" t="s">
        <v>918</v>
      </c>
      <c r="B741" s="50" t="s">
        <v>918</v>
      </c>
      <c r="C741" s="50" t="s">
        <v>941</v>
      </c>
      <c r="D741" s="50" t="s">
        <v>565</v>
      </c>
      <c r="E741" s="50" t="s">
        <v>518</v>
      </c>
      <c r="F741" s="50" t="s">
        <v>566</v>
      </c>
      <c r="G741" s="50" t="s">
        <v>391</v>
      </c>
      <c r="H741" s="50" t="s">
        <v>568</v>
      </c>
      <c r="I741" s="50" t="s">
        <v>401</v>
      </c>
      <c r="J741" s="50" t="s">
        <v>518</v>
      </c>
      <c r="K741" s="50" t="s">
        <v>518</v>
      </c>
      <c r="L741" s="50" t="s">
        <v>567</v>
      </c>
      <c r="M741" s="50" t="s">
        <v>395</v>
      </c>
      <c r="N741" s="51">
        <v>5.08</v>
      </c>
    </row>
    <row r="742" spans="1:14" x14ac:dyDescent="0.3">
      <c r="A742" s="50" t="s">
        <v>918</v>
      </c>
      <c r="B742" s="50" t="s">
        <v>918</v>
      </c>
      <c r="C742" s="50" t="s">
        <v>942</v>
      </c>
      <c r="D742" s="50" t="s">
        <v>565</v>
      </c>
      <c r="E742" s="50" t="s">
        <v>518</v>
      </c>
      <c r="F742" s="50" t="s">
        <v>566</v>
      </c>
      <c r="G742" s="50" t="s">
        <v>391</v>
      </c>
      <c r="H742" s="50" t="s">
        <v>574</v>
      </c>
      <c r="I742" s="50" t="s">
        <v>392</v>
      </c>
      <c r="J742" s="50" t="s">
        <v>518</v>
      </c>
      <c r="K742" s="50" t="s">
        <v>518</v>
      </c>
      <c r="L742" s="50" t="s">
        <v>568</v>
      </c>
      <c r="M742" s="50" t="s">
        <v>401</v>
      </c>
      <c r="N742" s="51">
        <v>-5.08</v>
      </c>
    </row>
    <row r="743" spans="1:14" x14ac:dyDescent="0.3">
      <c r="A743" s="50" t="s">
        <v>918</v>
      </c>
      <c r="B743" s="50" t="s">
        <v>918</v>
      </c>
      <c r="C743" s="50" t="s">
        <v>942</v>
      </c>
      <c r="D743" s="50" t="s">
        <v>565</v>
      </c>
      <c r="E743" s="50" t="s">
        <v>518</v>
      </c>
      <c r="F743" s="50" t="s">
        <v>566</v>
      </c>
      <c r="G743" s="50" t="s">
        <v>391</v>
      </c>
      <c r="H743" s="50" t="s">
        <v>568</v>
      </c>
      <c r="I743" s="50" t="s">
        <v>401</v>
      </c>
      <c r="J743" s="50" t="s">
        <v>518</v>
      </c>
      <c r="K743" s="50" t="s">
        <v>518</v>
      </c>
      <c r="L743" s="50" t="s">
        <v>574</v>
      </c>
      <c r="M743" s="50" t="s">
        <v>392</v>
      </c>
      <c r="N743" s="51">
        <v>5.08</v>
      </c>
    </row>
    <row r="744" spans="1:14" x14ac:dyDescent="0.3">
      <c r="A744" s="50" t="s">
        <v>918</v>
      </c>
      <c r="B744" s="50" t="s">
        <v>918</v>
      </c>
      <c r="C744" s="50" t="s">
        <v>943</v>
      </c>
      <c r="D744" s="50" t="s">
        <v>565</v>
      </c>
      <c r="E744" s="50" t="s">
        <v>518</v>
      </c>
      <c r="F744" s="50" t="s">
        <v>566</v>
      </c>
      <c r="G744" s="50" t="s">
        <v>391</v>
      </c>
      <c r="H744" s="50" t="s">
        <v>567</v>
      </c>
      <c r="I744" s="50" t="s">
        <v>395</v>
      </c>
      <c r="J744" s="50" t="s">
        <v>518</v>
      </c>
      <c r="K744" s="50" t="s">
        <v>518</v>
      </c>
      <c r="L744" s="50" t="s">
        <v>568</v>
      </c>
      <c r="M744" s="50" t="s">
        <v>401</v>
      </c>
      <c r="N744" s="51">
        <v>5.08</v>
      </c>
    </row>
    <row r="745" spans="1:14" x14ac:dyDescent="0.3">
      <c r="A745" s="50" t="s">
        <v>918</v>
      </c>
      <c r="B745" s="50" t="s">
        <v>918</v>
      </c>
      <c r="C745" s="50" t="s">
        <v>943</v>
      </c>
      <c r="D745" s="50" t="s">
        <v>565</v>
      </c>
      <c r="E745" s="50" t="s">
        <v>518</v>
      </c>
      <c r="F745" s="50" t="s">
        <v>566</v>
      </c>
      <c r="G745" s="50" t="s">
        <v>391</v>
      </c>
      <c r="H745" s="50" t="s">
        <v>568</v>
      </c>
      <c r="I745" s="50" t="s">
        <v>401</v>
      </c>
      <c r="J745" s="50" t="s">
        <v>518</v>
      </c>
      <c r="K745" s="50" t="s">
        <v>518</v>
      </c>
      <c r="L745" s="50" t="s">
        <v>567</v>
      </c>
      <c r="M745" s="50" t="s">
        <v>395</v>
      </c>
      <c r="N745" s="51">
        <v>-5.08</v>
      </c>
    </row>
    <row r="746" spans="1:14" x14ac:dyDescent="0.3">
      <c r="A746" s="50" t="s">
        <v>918</v>
      </c>
      <c r="B746" s="50" t="s">
        <v>944</v>
      </c>
      <c r="C746" s="50" t="s">
        <v>945</v>
      </c>
      <c r="D746" s="50" t="s">
        <v>946</v>
      </c>
      <c r="E746" s="50" t="s">
        <v>947</v>
      </c>
      <c r="F746" s="50" t="s">
        <v>948</v>
      </c>
      <c r="G746" s="50" t="s">
        <v>516</v>
      </c>
      <c r="H746" s="50" t="s">
        <v>949</v>
      </c>
      <c r="I746" s="50" t="s">
        <v>15</v>
      </c>
      <c r="J746" s="50" t="s">
        <v>518</v>
      </c>
      <c r="K746" s="50" t="s">
        <v>518</v>
      </c>
      <c r="L746" s="50" t="s">
        <v>544</v>
      </c>
      <c r="M746" s="50" t="s">
        <v>368</v>
      </c>
      <c r="N746" s="51">
        <v>3727.71</v>
      </c>
    </row>
    <row r="747" spans="1:14" x14ac:dyDescent="0.3">
      <c r="A747" s="50" t="s">
        <v>918</v>
      </c>
      <c r="B747" s="50" t="s">
        <v>944</v>
      </c>
      <c r="C747" s="50" t="s">
        <v>945</v>
      </c>
      <c r="D747" s="50" t="s">
        <v>946</v>
      </c>
      <c r="E747" s="50" t="s">
        <v>518</v>
      </c>
      <c r="F747" s="50" t="s">
        <v>948</v>
      </c>
      <c r="G747" s="50" t="s">
        <v>516</v>
      </c>
      <c r="H747" s="50" t="s">
        <v>544</v>
      </c>
      <c r="I747" s="50" t="s">
        <v>368</v>
      </c>
      <c r="J747" s="50" t="s">
        <v>518</v>
      </c>
      <c r="K747" s="50" t="s">
        <v>518</v>
      </c>
      <c r="L747" s="50" t="s">
        <v>949</v>
      </c>
      <c r="M747" s="50" t="s">
        <v>15</v>
      </c>
      <c r="N747" s="51">
        <v>-3727.71</v>
      </c>
    </row>
    <row r="748" spans="1:14" x14ac:dyDescent="0.3">
      <c r="A748" s="50" t="s">
        <v>918</v>
      </c>
      <c r="B748" s="50" t="s">
        <v>944</v>
      </c>
      <c r="C748" s="50" t="s">
        <v>950</v>
      </c>
      <c r="D748" s="50" t="s">
        <v>870</v>
      </c>
      <c r="E748" s="50" t="s">
        <v>951</v>
      </c>
      <c r="F748" s="50" t="s">
        <v>872</v>
      </c>
      <c r="G748" s="50" t="s">
        <v>516</v>
      </c>
      <c r="H748" s="50" t="s">
        <v>661</v>
      </c>
      <c r="I748" s="50" t="s">
        <v>343</v>
      </c>
      <c r="J748" s="50" t="s">
        <v>518</v>
      </c>
      <c r="K748" s="50" t="s">
        <v>518</v>
      </c>
      <c r="L748" s="50" t="s">
        <v>544</v>
      </c>
      <c r="M748" s="50" t="s">
        <v>368</v>
      </c>
      <c r="N748" s="51">
        <v>120.66</v>
      </c>
    </row>
    <row r="749" spans="1:14" x14ac:dyDescent="0.3">
      <c r="A749" s="50" t="s">
        <v>918</v>
      </c>
      <c r="B749" s="50" t="s">
        <v>944</v>
      </c>
      <c r="C749" s="50" t="s">
        <v>950</v>
      </c>
      <c r="D749" s="50" t="s">
        <v>870</v>
      </c>
      <c r="E749" s="50" t="s">
        <v>518</v>
      </c>
      <c r="F749" s="50" t="s">
        <v>872</v>
      </c>
      <c r="G749" s="50" t="s">
        <v>516</v>
      </c>
      <c r="H749" s="50" t="s">
        <v>544</v>
      </c>
      <c r="I749" s="50" t="s">
        <v>368</v>
      </c>
      <c r="J749" s="50" t="s">
        <v>518</v>
      </c>
      <c r="K749" s="50" t="s">
        <v>518</v>
      </c>
      <c r="L749" s="50" t="s">
        <v>661</v>
      </c>
      <c r="M749" s="50" t="s">
        <v>343</v>
      </c>
      <c r="N749" s="51">
        <v>-120.66</v>
      </c>
    </row>
    <row r="750" spans="1:14" x14ac:dyDescent="0.3">
      <c r="A750" s="50" t="s">
        <v>918</v>
      </c>
      <c r="B750" s="50" t="s">
        <v>944</v>
      </c>
      <c r="C750" s="50" t="s">
        <v>952</v>
      </c>
      <c r="D750" s="50" t="s">
        <v>870</v>
      </c>
      <c r="E750" s="50" t="s">
        <v>875</v>
      </c>
      <c r="F750" s="50" t="s">
        <v>872</v>
      </c>
      <c r="G750" s="50" t="s">
        <v>516</v>
      </c>
      <c r="H750" s="50" t="s">
        <v>638</v>
      </c>
      <c r="I750" s="50" t="s">
        <v>272</v>
      </c>
      <c r="J750" s="50" t="s">
        <v>518</v>
      </c>
      <c r="K750" s="50" t="s">
        <v>518</v>
      </c>
      <c r="L750" s="50" t="s">
        <v>544</v>
      </c>
      <c r="M750" s="50" t="s">
        <v>368</v>
      </c>
      <c r="N750" s="51">
        <v>5.78</v>
      </c>
    </row>
    <row r="751" spans="1:14" x14ac:dyDescent="0.3">
      <c r="A751" s="50" t="s">
        <v>918</v>
      </c>
      <c r="B751" s="50" t="s">
        <v>944</v>
      </c>
      <c r="C751" s="50" t="s">
        <v>952</v>
      </c>
      <c r="D751" s="50" t="s">
        <v>870</v>
      </c>
      <c r="E751" s="50" t="s">
        <v>518</v>
      </c>
      <c r="F751" s="50" t="s">
        <v>872</v>
      </c>
      <c r="G751" s="50" t="s">
        <v>516</v>
      </c>
      <c r="H751" s="50" t="s">
        <v>544</v>
      </c>
      <c r="I751" s="50" t="s">
        <v>368</v>
      </c>
      <c r="J751" s="50" t="s">
        <v>518</v>
      </c>
      <c r="K751" s="50" t="s">
        <v>518</v>
      </c>
      <c r="L751" s="50" t="s">
        <v>638</v>
      </c>
      <c r="M751" s="50" t="s">
        <v>272</v>
      </c>
      <c r="N751" s="51">
        <v>-5.78</v>
      </c>
    </row>
    <row r="752" spans="1:14" x14ac:dyDescent="0.3">
      <c r="A752" s="50" t="s">
        <v>918</v>
      </c>
      <c r="B752" s="50" t="s">
        <v>944</v>
      </c>
      <c r="C752" s="50" t="s">
        <v>953</v>
      </c>
      <c r="D752" s="50" t="s">
        <v>870</v>
      </c>
      <c r="E752" s="50" t="s">
        <v>875</v>
      </c>
      <c r="F752" s="50" t="s">
        <v>872</v>
      </c>
      <c r="G752" s="50" t="s">
        <v>516</v>
      </c>
      <c r="H752" s="50" t="s">
        <v>880</v>
      </c>
      <c r="I752" s="50" t="s">
        <v>276</v>
      </c>
      <c r="J752" s="50" t="s">
        <v>518</v>
      </c>
      <c r="K752" s="50" t="s">
        <v>518</v>
      </c>
      <c r="L752" s="50" t="s">
        <v>544</v>
      </c>
      <c r="M752" s="50" t="s">
        <v>368</v>
      </c>
      <c r="N752" s="51">
        <v>0.47</v>
      </c>
    </row>
    <row r="753" spans="1:14" x14ac:dyDescent="0.3">
      <c r="A753" s="50" t="s">
        <v>918</v>
      </c>
      <c r="B753" s="50" t="s">
        <v>944</v>
      </c>
      <c r="C753" s="50" t="s">
        <v>953</v>
      </c>
      <c r="D753" s="50" t="s">
        <v>870</v>
      </c>
      <c r="E753" s="50" t="s">
        <v>518</v>
      </c>
      <c r="F753" s="50" t="s">
        <v>872</v>
      </c>
      <c r="G753" s="50" t="s">
        <v>516</v>
      </c>
      <c r="H753" s="50" t="s">
        <v>544</v>
      </c>
      <c r="I753" s="50" t="s">
        <v>368</v>
      </c>
      <c r="J753" s="50" t="s">
        <v>518</v>
      </c>
      <c r="K753" s="50" t="s">
        <v>518</v>
      </c>
      <c r="L753" s="50" t="s">
        <v>880</v>
      </c>
      <c r="M753" s="50" t="s">
        <v>276</v>
      </c>
      <c r="N753" s="51">
        <v>-0.47</v>
      </c>
    </row>
    <row r="754" spans="1:14" x14ac:dyDescent="0.3">
      <c r="A754" s="50" t="s">
        <v>918</v>
      </c>
      <c r="B754" s="50" t="s">
        <v>944</v>
      </c>
      <c r="C754" s="50" t="s">
        <v>954</v>
      </c>
      <c r="D754" s="50" t="s">
        <v>870</v>
      </c>
      <c r="E754" s="50" t="s">
        <v>875</v>
      </c>
      <c r="F754" s="50" t="s">
        <v>872</v>
      </c>
      <c r="G754" s="50" t="s">
        <v>516</v>
      </c>
      <c r="H754" s="50" t="s">
        <v>955</v>
      </c>
      <c r="I754" s="50" t="s">
        <v>279</v>
      </c>
      <c r="J754" s="50" t="s">
        <v>518</v>
      </c>
      <c r="K754" s="50" t="s">
        <v>518</v>
      </c>
      <c r="L754" s="50" t="s">
        <v>544</v>
      </c>
      <c r="M754" s="50" t="s">
        <v>368</v>
      </c>
      <c r="N754" s="51">
        <v>6.5</v>
      </c>
    </row>
    <row r="755" spans="1:14" x14ac:dyDescent="0.3">
      <c r="A755" s="50" t="s">
        <v>918</v>
      </c>
      <c r="B755" s="50" t="s">
        <v>944</v>
      </c>
      <c r="C755" s="50" t="s">
        <v>954</v>
      </c>
      <c r="D755" s="50" t="s">
        <v>870</v>
      </c>
      <c r="E755" s="50" t="s">
        <v>518</v>
      </c>
      <c r="F755" s="50" t="s">
        <v>872</v>
      </c>
      <c r="G755" s="50" t="s">
        <v>516</v>
      </c>
      <c r="H755" s="50" t="s">
        <v>544</v>
      </c>
      <c r="I755" s="50" t="s">
        <v>368</v>
      </c>
      <c r="J755" s="50" t="s">
        <v>518</v>
      </c>
      <c r="K755" s="50" t="s">
        <v>518</v>
      </c>
      <c r="L755" s="50" t="s">
        <v>955</v>
      </c>
      <c r="M755" s="50" t="s">
        <v>279</v>
      </c>
      <c r="N755" s="51">
        <v>-6.5</v>
      </c>
    </row>
    <row r="756" spans="1:14" x14ac:dyDescent="0.3">
      <c r="A756" s="50" t="s">
        <v>918</v>
      </c>
      <c r="B756" s="50" t="s">
        <v>944</v>
      </c>
      <c r="C756" s="50" t="s">
        <v>956</v>
      </c>
      <c r="D756" s="50" t="s">
        <v>870</v>
      </c>
      <c r="E756" s="50" t="s">
        <v>875</v>
      </c>
      <c r="F756" s="50" t="s">
        <v>872</v>
      </c>
      <c r="G756" s="50" t="s">
        <v>516</v>
      </c>
      <c r="H756" s="50" t="s">
        <v>648</v>
      </c>
      <c r="I756" s="50" t="s">
        <v>283</v>
      </c>
      <c r="J756" s="50" t="s">
        <v>518</v>
      </c>
      <c r="K756" s="50" t="s">
        <v>518</v>
      </c>
      <c r="L756" s="50" t="s">
        <v>544</v>
      </c>
      <c r="M756" s="50" t="s">
        <v>368</v>
      </c>
      <c r="N756" s="51">
        <v>0.79</v>
      </c>
    </row>
    <row r="757" spans="1:14" x14ac:dyDescent="0.3">
      <c r="A757" s="50" t="s">
        <v>918</v>
      </c>
      <c r="B757" s="50" t="s">
        <v>944</v>
      </c>
      <c r="C757" s="50" t="s">
        <v>956</v>
      </c>
      <c r="D757" s="50" t="s">
        <v>870</v>
      </c>
      <c r="E757" s="50" t="s">
        <v>518</v>
      </c>
      <c r="F757" s="50" t="s">
        <v>872</v>
      </c>
      <c r="G757" s="50" t="s">
        <v>516</v>
      </c>
      <c r="H757" s="50" t="s">
        <v>544</v>
      </c>
      <c r="I757" s="50" t="s">
        <v>368</v>
      </c>
      <c r="J757" s="50" t="s">
        <v>518</v>
      </c>
      <c r="K757" s="50" t="s">
        <v>518</v>
      </c>
      <c r="L757" s="50" t="s">
        <v>648</v>
      </c>
      <c r="M757" s="50" t="s">
        <v>283</v>
      </c>
      <c r="N757" s="51">
        <v>-0.79</v>
      </c>
    </row>
    <row r="758" spans="1:14" x14ac:dyDescent="0.3">
      <c r="A758" s="50" t="s">
        <v>918</v>
      </c>
      <c r="B758" s="50" t="s">
        <v>944</v>
      </c>
      <c r="C758" s="50" t="s">
        <v>957</v>
      </c>
      <c r="D758" s="50" t="s">
        <v>870</v>
      </c>
      <c r="E758" s="50" t="s">
        <v>875</v>
      </c>
      <c r="F758" s="50" t="s">
        <v>872</v>
      </c>
      <c r="G758" s="50" t="s">
        <v>516</v>
      </c>
      <c r="H758" s="50" t="s">
        <v>646</v>
      </c>
      <c r="I758" s="50" t="s">
        <v>284</v>
      </c>
      <c r="J758" s="50" t="s">
        <v>518</v>
      </c>
      <c r="K758" s="50" t="s">
        <v>518</v>
      </c>
      <c r="L758" s="50" t="s">
        <v>544</v>
      </c>
      <c r="M758" s="50" t="s">
        <v>368</v>
      </c>
      <c r="N758" s="51">
        <v>0.19</v>
      </c>
    </row>
    <row r="759" spans="1:14" x14ac:dyDescent="0.3">
      <c r="A759" s="50" t="s">
        <v>918</v>
      </c>
      <c r="B759" s="50" t="s">
        <v>944</v>
      </c>
      <c r="C759" s="50" t="s">
        <v>957</v>
      </c>
      <c r="D759" s="50" t="s">
        <v>870</v>
      </c>
      <c r="E759" s="50" t="s">
        <v>518</v>
      </c>
      <c r="F759" s="50" t="s">
        <v>872</v>
      </c>
      <c r="G759" s="50" t="s">
        <v>516</v>
      </c>
      <c r="H759" s="50" t="s">
        <v>544</v>
      </c>
      <c r="I759" s="50" t="s">
        <v>368</v>
      </c>
      <c r="J759" s="50" t="s">
        <v>518</v>
      </c>
      <c r="K759" s="50" t="s">
        <v>518</v>
      </c>
      <c r="L759" s="50" t="s">
        <v>646</v>
      </c>
      <c r="M759" s="50" t="s">
        <v>284</v>
      </c>
      <c r="N759" s="51">
        <v>-0.19</v>
      </c>
    </row>
    <row r="760" spans="1:14" x14ac:dyDescent="0.3">
      <c r="A760" s="50" t="s">
        <v>918</v>
      </c>
      <c r="B760" s="50" t="s">
        <v>944</v>
      </c>
      <c r="C760" s="50" t="s">
        <v>958</v>
      </c>
      <c r="D760" s="50" t="s">
        <v>870</v>
      </c>
      <c r="E760" s="50" t="s">
        <v>875</v>
      </c>
      <c r="F760" s="50" t="s">
        <v>872</v>
      </c>
      <c r="G760" s="50" t="s">
        <v>516</v>
      </c>
      <c r="H760" s="50" t="s">
        <v>650</v>
      </c>
      <c r="I760" s="50" t="s">
        <v>285</v>
      </c>
      <c r="J760" s="50" t="s">
        <v>518</v>
      </c>
      <c r="K760" s="50" t="s">
        <v>518</v>
      </c>
      <c r="L760" s="50" t="s">
        <v>544</v>
      </c>
      <c r="M760" s="50" t="s">
        <v>368</v>
      </c>
      <c r="N760" s="51">
        <v>0.4</v>
      </c>
    </row>
    <row r="761" spans="1:14" x14ac:dyDescent="0.3">
      <c r="A761" s="50" t="s">
        <v>918</v>
      </c>
      <c r="B761" s="50" t="s">
        <v>944</v>
      </c>
      <c r="C761" s="50" t="s">
        <v>958</v>
      </c>
      <c r="D761" s="50" t="s">
        <v>870</v>
      </c>
      <c r="E761" s="50" t="s">
        <v>518</v>
      </c>
      <c r="F761" s="50" t="s">
        <v>872</v>
      </c>
      <c r="G761" s="50" t="s">
        <v>516</v>
      </c>
      <c r="H761" s="50" t="s">
        <v>544</v>
      </c>
      <c r="I761" s="50" t="s">
        <v>368</v>
      </c>
      <c r="J761" s="50" t="s">
        <v>518</v>
      </c>
      <c r="K761" s="50" t="s">
        <v>518</v>
      </c>
      <c r="L761" s="50" t="s">
        <v>650</v>
      </c>
      <c r="M761" s="50" t="s">
        <v>285</v>
      </c>
      <c r="N761" s="51">
        <v>-0.4</v>
      </c>
    </row>
    <row r="762" spans="1:14" x14ac:dyDescent="0.3">
      <c r="A762" s="50" t="s">
        <v>918</v>
      </c>
      <c r="B762" s="50" t="s">
        <v>944</v>
      </c>
      <c r="C762" s="50" t="s">
        <v>959</v>
      </c>
      <c r="D762" s="50" t="s">
        <v>870</v>
      </c>
      <c r="E762" s="50" t="s">
        <v>875</v>
      </c>
      <c r="F762" s="50" t="s">
        <v>872</v>
      </c>
      <c r="G762" s="50" t="s">
        <v>516</v>
      </c>
      <c r="H762" s="50" t="s">
        <v>640</v>
      </c>
      <c r="I762" s="50" t="s">
        <v>287</v>
      </c>
      <c r="J762" s="50" t="s">
        <v>518</v>
      </c>
      <c r="K762" s="50" t="s">
        <v>518</v>
      </c>
      <c r="L762" s="50" t="s">
        <v>544</v>
      </c>
      <c r="M762" s="50" t="s">
        <v>368</v>
      </c>
      <c r="N762" s="51">
        <v>1.48</v>
      </c>
    </row>
    <row r="763" spans="1:14" x14ac:dyDescent="0.3">
      <c r="A763" s="50" t="s">
        <v>918</v>
      </c>
      <c r="B763" s="50" t="s">
        <v>944</v>
      </c>
      <c r="C763" s="50" t="s">
        <v>959</v>
      </c>
      <c r="D763" s="50" t="s">
        <v>870</v>
      </c>
      <c r="E763" s="50" t="s">
        <v>518</v>
      </c>
      <c r="F763" s="50" t="s">
        <v>872</v>
      </c>
      <c r="G763" s="50" t="s">
        <v>516</v>
      </c>
      <c r="H763" s="50" t="s">
        <v>544</v>
      </c>
      <c r="I763" s="50" t="s">
        <v>368</v>
      </c>
      <c r="J763" s="50" t="s">
        <v>518</v>
      </c>
      <c r="K763" s="50" t="s">
        <v>518</v>
      </c>
      <c r="L763" s="50" t="s">
        <v>640</v>
      </c>
      <c r="M763" s="50" t="s">
        <v>287</v>
      </c>
      <c r="N763" s="51">
        <v>-1.48</v>
      </c>
    </row>
    <row r="764" spans="1:14" x14ac:dyDescent="0.3">
      <c r="A764" s="50" t="s">
        <v>918</v>
      </c>
      <c r="B764" s="50" t="s">
        <v>944</v>
      </c>
      <c r="C764" s="50" t="s">
        <v>960</v>
      </c>
      <c r="D764" s="50" t="s">
        <v>870</v>
      </c>
      <c r="E764" s="50" t="s">
        <v>875</v>
      </c>
      <c r="F764" s="50" t="s">
        <v>872</v>
      </c>
      <c r="G764" s="50" t="s">
        <v>516</v>
      </c>
      <c r="H764" s="50" t="s">
        <v>644</v>
      </c>
      <c r="I764" s="50" t="s">
        <v>288</v>
      </c>
      <c r="J764" s="50" t="s">
        <v>518</v>
      </c>
      <c r="K764" s="50" t="s">
        <v>518</v>
      </c>
      <c r="L764" s="50" t="s">
        <v>544</v>
      </c>
      <c r="M764" s="50" t="s">
        <v>368</v>
      </c>
      <c r="N764" s="51">
        <v>0.08</v>
      </c>
    </row>
    <row r="765" spans="1:14" x14ac:dyDescent="0.3">
      <c r="A765" s="50" t="s">
        <v>918</v>
      </c>
      <c r="B765" s="50" t="s">
        <v>944</v>
      </c>
      <c r="C765" s="50" t="s">
        <v>960</v>
      </c>
      <c r="D765" s="50" t="s">
        <v>870</v>
      </c>
      <c r="E765" s="50" t="s">
        <v>518</v>
      </c>
      <c r="F765" s="50" t="s">
        <v>872</v>
      </c>
      <c r="G765" s="50" t="s">
        <v>516</v>
      </c>
      <c r="H765" s="50" t="s">
        <v>544</v>
      </c>
      <c r="I765" s="50" t="s">
        <v>368</v>
      </c>
      <c r="J765" s="50" t="s">
        <v>518</v>
      </c>
      <c r="K765" s="50" t="s">
        <v>518</v>
      </c>
      <c r="L765" s="50" t="s">
        <v>644</v>
      </c>
      <c r="M765" s="50" t="s">
        <v>288</v>
      </c>
      <c r="N765" s="51">
        <v>-0.08</v>
      </c>
    </row>
    <row r="766" spans="1:14" x14ac:dyDescent="0.3">
      <c r="A766" s="50" t="s">
        <v>918</v>
      </c>
      <c r="B766" s="50" t="s">
        <v>944</v>
      </c>
      <c r="C766" s="50" t="s">
        <v>961</v>
      </c>
      <c r="D766" s="50" t="s">
        <v>870</v>
      </c>
      <c r="E766" s="50" t="s">
        <v>962</v>
      </c>
      <c r="F766" s="50" t="s">
        <v>872</v>
      </c>
      <c r="G766" s="50" t="s">
        <v>516</v>
      </c>
      <c r="H766" s="50" t="s">
        <v>963</v>
      </c>
      <c r="I766" s="50" t="s">
        <v>327</v>
      </c>
      <c r="J766" s="50" t="s">
        <v>518</v>
      </c>
      <c r="K766" s="50" t="s">
        <v>518</v>
      </c>
      <c r="L766" s="50" t="s">
        <v>544</v>
      </c>
      <c r="M766" s="50" t="s">
        <v>368</v>
      </c>
      <c r="N766" s="51">
        <v>2238.33</v>
      </c>
    </row>
    <row r="767" spans="1:14" x14ac:dyDescent="0.3">
      <c r="A767" s="50" t="s">
        <v>918</v>
      </c>
      <c r="B767" s="50" t="s">
        <v>944</v>
      </c>
      <c r="C767" s="50" t="s">
        <v>961</v>
      </c>
      <c r="D767" s="50" t="s">
        <v>870</v>
      </c>
      <c r="E767" s="50" t="s">
        <v>518</v>
      </c>
      <c r="F767" s="50" t="s">
        <v>872</v>
      </c>
      <c r="G767" s="50" t="s">
        <v>516</v>
      </c>
      <c r="H767" s="50" t="s">
        <v>544</v>
      </c>
      <c r="I767" s="50" t="s">
        <v>368</v>
      </c>
      <c r="J767" s="50" t="s">
        <v>518</v>
      </c>
      <c r="K767" s="50" t="s">
        <v>518</v>
      </c>
      <c r="L767" s="50" t="s">
        <v>963</v>
      </c>
      <c r="M767" s="50" t="s">
        <v>327</v>
      </c>
      <c r="N767" s="51">
        <v>-2238.33</v>
      </c>
    </row>
    <row r="768" spans="1:14" x14ac:dyDescent="0.3">
      <c r="A768" s="50" t="s">
        <v>918</v>
      </c>
      <c r="B768" s="50" t="s">
        <v>944</v>
      </c>
      <c r="C768" s="50" t="s">
        <v>964</v>
      </c>
      <c r="D768" s="50" t="s">
        <v>870</v>
      </c>
      <c r="E768" s="50" t="s">
        <v>962</v>
      </c>
      <c r="F768" s="50" t="s">
        <v>872</v>
      </c>
      <c r="G768" s="50" t="s">
        <v>516</v>
      </c>
      <c r="H768" s="50" t="s">
        <v>963</v>
      </c>
      <c r="I768" s="50" t="s">
        <v>327</v>
      </c>
      <c r="J768" s="50" t="s">
        <v>518</v>
      </c>
      <c r="K768" s="50" t="s">
        <v>518</v>
      </c>
      <c r="L768" s="50" t="s">
        <v>544</v>
      </c>
      <c r="M768" s="50" t="s">
        <v>368</v>
      </c>
      <c r="N768" s="51">
        <v>-3.88</v>
      </c>
    </row>
    <row r="769" spans="1:14" x14ac:dyDescent="0.3">
      <c r="A769" s="50" t="s">
        <v>918</v>
      </c>
      <c r="B769" s="50" t="s">
        <v>944</v>
      </c>
      <c r="C769" s="50" t="s">
        <v>964</v>
      </c>
      <c r="D769" s="50" t="s">
        <v>870</v>
      </c>
      <c r="E769" s="50" t="s">
        <v>518</v>
      </c>
      <c r="F769" s="50" t="s">
        <v>872</v>
      </c>
      <c r="G769" s="50" t="s">
        <v>516</v>
      </c>
      <c r="H769" s="50" t="s">
        <v>544</v>
      </c>
      <c r="I769" s="50" t="s">
        <v>368</v>
      </c>
      <c r="J769" s="50" t="s">
        <v>518</v>
      </c>
      <c r="K769" s="50" t="s">
        <v>518</v>
      </c>
      <c r="L769" s="50" t="s">
        <v>963</v>
      </c>
      <c r="M769" s="50" t="s">
        <v>327</v>
      </c>
      <c r="N769" s="51">
        <v>3.88</v>
      </c>
    </row>
    <row r="770" spans="1:14" x14ac:dyDescent="0.3">
      <c r="A770" s="50" t="s">
        <v>918</v>
      </c>
      <c r="B770" s="50" t="s">
        <v>944</v>
      </c>
      <c r="C770" s="50" t="s">
        <v>965</v>
      </c>
      <c r="D770" s="50" t="s">
        <v>870</v>
      </c>
      <c r="E770" s="50" t="s">
        <v>904</v>
      </c>
      <c r="F770" s="50" t="s">
        <v>872</v>
      </c>
      <c r="G770" s="50" t="s">
        <v>516</v>
      </c>
      <c r="H770" s="50" t="s">
        <v>900</v>
      </c>
      <c r="I770" s="50" t="s">
        <v>357</v>
      </c>
      <c r="J770" s="50" t="s">
        <v>518</v>
      </c>
      <c r="K770" s="50" t="s">
        <v>518</v>
      </c>
      <c r="L770" s="50" t="s">
        <v>544</v>
      </c>
      <c r="M770" s="50" t="s">
        <v>368</v>
      </c>
      <c r="N770" s="51">
        <v>0.21</v>
      </c>
    </row>
    <row r="771" spans="1:14" x14ac:dyDescent="0.3">
      <c r="A771" s="50" t="s">
        <v>918</v>
      </c>
      <c r="B771" s="50" t="s">
        <v>944</v>
      </c>
      <c r="C771" s="50" t="s">
        <v>965</v>
      </c>
      <c r="D771" s="50" t="s">
        <v>870</v>
      </c>
      <c r="E771" s="50" t="s">
        <v>518</v>
      </c>
      <c r="F771" s="50" t="s">
        <v>872</v>
      </c>
      <c r="G771" s="50" t="s">
        <v>516</v>
      </c>
      <c r="H771" s="50" t="s">
        <v>544</v>
      </c>
      <c r="I771" s="50" t="s">
        <v>368</v>
      </c>
      <c r="J771" s="50" t="s">
        <v>518</v>
      </c>
      <c r="K771" s="50" t="s">
        <v>518</v>
      </c>
      <c r="L771" s="50" t="s">
        <v>900</v>
      </c>
      <c r="M771" s="50" t="s">
        <v>357</v>
      </c>
      <c r="N771" s="51">
        <v>-0.21</v>
      </c>
    </row>
    <row r="772" spans="1:14" x14ac:dyDescent="0.3">
      <c r="A772" s="50" t="s">
        <v>918</v>
      </c>
      <c r="B772" s="50" t="s">
        <v>944</v>
      </c>
      <c r="C772" s="50" t="s">
        <v>966</v>
      </c>
      <c r="D772" s="50" t="s">
        <v>870</v>
      </c>
      <c r="E772" s="50" t="s">
        <v>899</v>
      </c>
      <c r="F772" s="50" t="s">
        <v>872</v>
      </c>
      <c r="G772" s="50" t="s">
        <v>516</v>
      </c>
      <c r="H772" s="50" t="s">
        <v>900</v>
      </c>
      <c r="I772" s="50" t="s">
        <v>357</v>
      </c>
      <c r="J772" s="50" t="s">
        <v>518</v>
      </c>
      <c r="K772" s="50" t="s">
        <v>518</v>
      </c>
      <c r="L772" s="50" t="s">
        <v>544</v>
      </c>
      <c r="M772" s="50" t="s">
        <v>368</v>
      </c>
      <c r="N772" s="51">
        <v>0.06</v>
      </c>
    </row>
    <row r="773" spans="1:14" x14ac:dyDescent="0.3">
      <c r="A773" s="50" t="s">
        <v>918</v>
      </c>
      <c r="B773" s="50" t="s">
        <v>944</v>
      </c>
      <c r="C773" s="50" t="s">
        <v>966</v>
      </c>
      <c r="D773" s="50" t="s">
        <v>870</v>
      </c>
      <c r="E773" s="50" t="s">
        <v>518</v>
      </c>
      <c r="F773" s="50" t="s">
        <v>872</v>
      </c>
      <c r="G773" s="50" t="s">
        <v>516</v>
      </c>
      <c r="H773" s="50" t="s">
        <v>544</v>
      </c>
      <c r="I773" s="50" t="s">
        <v>368</v>
      </c>
      <c r="J773" s="50" t="s">
        <v>518</v>
      </c>
      <c r="K773" s="50" t="s">
        <v>518</v>
      </c>
      <c r="L773" s="50" t="s">
        <v>900</v>
      </c>
      <c r="M773" s="50" t="s">
        <v>357</v>
      </c>
      <c r="N773" s="51">
        <v>-0.06</v>
      </c>
    </row>
    <row r="774" spans="1:14" x14ac:dyDescent="0.3">
      <c r="A774" s="50" t="s">
        <v>918</v>
      </c>
      <c r="B774" s="50" t="s">
        <v>944</v>
      </c>
      <c r="C774" s="50" t="s">
        <v>967</v>
      </c>
      <c r="D774" s="50" t="s">
        <v>870</v>
      </c>
      <c r="E774" s="50" t="s">
        <v>902</v>
      </c>
      <c r="F774" s="50" t="s">
        <v>872</v>
      </c>
      <c r="G774" s="50" t="s">
        <v>516</v>
      </c>
      <c r="H774" s="50" t="s">
        <v>900</v>
      </c>
      <c r="I774" s="50" t="s">
        <v>357</v>
      </c>
      <c r="J774" s="50" t="s">
        <v>518</v>
      </c>
      <c r="K774" s="50" t="s">
        <v>518</v>
      </c>
      <c r="L774" s="50" t="s">
        <v>544</v>
      </c>
      <c r="M774" s="50" t="s">
        <v>368</v>
      </c>
      <c r="N774" s="51">
        <v>1.76</v>
      </c>
    </row>
    <row r="775" spans="1:14" x14ac:dyDescent="0.3">
      <c r="A775" s="50" t="s">
        <v>918</v>
      </c>
      <c r="B775" s="50" t="s">
        <v>944</v>
      </c>
      <c r="C775" s="50" t="s">
        <v>967</v>
      </c>
      <c r="D775" s="50" t="s">
        <v>870</v>
      </c>
      <c r="E775" s="50" t="s">
        <v>518</v>
      </c>
      <c r="F775" s="50" t="s">
        <v>872</v>
      </c>
      <c r="G775" s="50" t="s">
        <v>516</v>
      </c>
      <c r="H775" s="50" t="s">
        <v>544</v>
      </c>
      <c r="I775" s="50" t="s">
        <v>368</v>
      </c>
      <c r="J775" s="50" t="s">
        <v>518</v>
      </c>
      <c r="K775" s="50" t="s">
        <v>518</v>
      </c>
      <c r="L775" s="50" t="s">
        <v>900</v>
      </c>
      <c r="M775" s="50" t="s">
        <v>357</v>
      </c>
      <c r="N775" s="51">
        <v>-1.76</v>
      </c>
    </row>
    <row r="776" spans="1:14" x14ac:dyDescent="0.3">
      <c r="A776" s="50" t="s">
        <v>918</v>
      </c>
      <c r="B776" s="50" t="s">
        <v>944</v>
      </c>
      <c r="C776" s="50" t="s">
        <v>968</v>
      </c>
      <c r="D776" s="50" t="s">
        <v>870</v>
      </c>
      <c r="E776" s="50" t="s">
        <v>916</v>
      </c>
      <c r="F776" s="50" t="s">
        <v>872</v>
      </c>
      <c r="G776" s="50" t="s">
        <v>516</v>
      </c>
      <c r="H776" s="50" t="s">
        <v>917</v>
      </c>
      <c r="I776" s="50" t="s">
        <v>339</v>
      </c>
      <c r="J776" s="50" t="s">
        <v>518</v>
      </c>
      <c r="K776" s="50" t="s">
        <v>518</v>
      </c>
      <c r="L776" s="50" t="s">
        <v>544</v>
      </c>
      <c r="M776" s="50" t="s">
        <v>368</v>
      </c>
      <c r="N776" s="51">
        <v>3.76</v>
      </c>
    </row>
    <row r="777" spans="1:14" x14ac:dyDescent="0.3">
      <c r="A777" s="50" t="s">
        <v>918</v>
      </c>
      <c r="B777" s="50" t="s">
        <v>944</v>
      </c>
      <c r="C777" s="50" t="s">
        <v>968</v>
      </c>
      <c r="D777" s="50" t="s">
        <v>870</v>
      </c>
      <c r="E777" s="50" t="s">
        <v>518</v>
      </c>
      <c r="F777" s="50" t="s">
        <v>872</v>
      </c>
      <c r="G777" s="50" t="s">
        <v>516</v>
      </c>
      <c r="H777" s="50" t="s">
        <v>544</v>
      </c>
      <c r="I777" s="50" t="s">
        <v>368</v>
      </c>
      <c r="J777" s="50" t="s">
        <v>518</v>
      </c>
      <c r="K777" s="50" t="s">
        <v>518</v>
      </c>
      <c r="L777" s="50" t="s">
        <v>917</v>
      </c>
      <c r="M777" s="50" t="s">
        <v>339</v>
      </c>
      <c r="N777" s="51">
        <v>-3.76</v>
      </c>
    </row>
    <row r="778" spans="1:14" x14ac:dyDescent="0.3">
      <c r="A778" s="50" t="s">
        <v>918</v>
      </c>
      <c r="B778" s="50" t="s">
        <v>944</v>
      </c>
      <c r="C778" s="50" t="s">
        <v>969</v>
      </c>
      <c r="D778" s="50" t="s">
        <v>870</v>
      </c>
      <c r="E778" s="50" t="s">
        <v>970</v>
      </c>
      <c r="F778" s="50" t="s">
        <v>872</v>
      </c>
      <c r="G778" s="50" t="s">
        <v>516</v>
      </c>
      <c r="H778" s="50" t="s">
        <v>971</v>
      </c>
      <c r="I778" s="50" t="s">
        <v>328</v>
      </c>
      <c r="J778" s="50" t="s">
        <v>518</v>
      </c>
      <c r="K778" s="50" t="s">
        <v>518</v>
      </c>
      <c r="L778" s="50" t="s">
        <v>544</v>
      </c>
      <c r="M778" s="50" t="s">
        <v>368</v>
      </c>
      <c r="N778" s="51">
        <v>1</v>
      </c>
    </row>
    <row r="779" spans="1:14" x14ac:dyDescent="0.3">
      <c r="A779" s="50" t="s">
        <v>918</v>
      </c>
      <c r="B779" s="50" t="s">
        <v>944</v>
      </c>
      <c r="C779" s="50" t="s">
        <v>969</v>
      </c>
      <c r="D779" s="50" t="s">
        <v>870</v>
      </c>
      <c r="E779" s="50" t="s">
        <v>518</v>
      </c>
      <c r="F779" s="50" t="s">
        <v>872</v>
      </c>
      <c r="G779" s="50" t="s">
        <v>516</v>
      </c>
      <c r="H779" s="50" t="s">
        <v>544</v>
      </c>
      <c r="I779" s="50" t="s">
        <v>368</v>
      </c>
      <c r="J779" s="50" t="s">
        <v>518</v>
      </c>
      <c r="K779" s="50" t="s">
        <v>518</v>
      </c>
      <c r="L779" s="50" t="s">
        <v>971</v>
      </c>
      <c r="M779" s="50" t="s">
        <v>328</v>
      </c>
      <c r="N779" s="51">
        <v>-1</v>
      </c>
    </row>
    <row r="780" spans="1:14" x14ac:dyDescent="0.3">
      <c r="A780" s="50" t="s">
        <v>918</v>
      </c>
      <c r="B780" s="50" t="s">
        <v>972</v>
      </c>
      <c r="C780" s="50" t="s">
        <v>973</v>
      </c>
      <c r="D780" s="50" t="s">
        <v>946</v>
      </c>
      <c r="E780" s="50" t="s">
        <v>463</v>
      </c>
      <c r="F780" s="50" t="s">
        <v>948</v>
      </c>
      <c r="G780" s="50" t="s">
        <v>516</v>
      </c>
      <c r="H780" s="50" t="s">
        <v>974</v>
      </c>
      <c r="I780" s="50" t="s">
        <v>362</v>
      </c>
      <c r="J780" s="50" t="s">
        <v>518</v>
      </c>
      <c r="K780" s="50" t="s">
        <v>518</v>
      </c>
      <c r="L780" s="50" t="s">
        <v>544</v>
      </c>
      <c r="M780" s="50" t="s">
        <v>368</v>
      </c>
      <c r="N780" s="51">
        <v>299</v>
      </c>
    </row>
    <row r="781" spans="1:14" x14ac:dyDescent="0.3">
      <c r="A781" s="50" t="s">
        <v>918</v>
      </c>
      <c r="B781" s="50" t="s">
        <v>972</v>
      </c>
      <c r="C781" s="50" t="s">
        <v>973</v>
      </c>
      <c r="D781" s="50" t="s">
        <v>946</v>
      </c>
      <c r="E781" s="50" t="s">
        <v>975</v>
      </c>
      <c r="F781" s="50" t="s">
        <v>948</v>
      </c>
      <c r="G781" s="50" t="s">
        <v>516</v>
      </c>
      <c r="H781" s="50" t="s">
        <v>976</v>
      </c>
      <c r="I781" s="50" t="s">
        <v>361</v>
      </c>
      <c r="J781" s="50" t="s">
        <v>518</v>
      </c>
      <c r="K781" s="50" t="s">
        <v>518</v>
      </c>
      <c r="L781" s="50" t="s">
        <v>544</v>
      </c>
      <c r="M781" s="50" t="s">
        <v>368</v>
      </c>
      <c r="N781" s="51">
        <v>549</v>
      </c>
    </row>
    <row r="782" spans="1:14" x14ac:dyDescent="0.3">
      <c r="A782" s="50" t="s">
        <v>918</v>
      </c>
      <c r="B782" s="50" t="s">
        <v>972</v>
      </c>
      <c r="C782" s="50" t="s">
        <v>973</v>
      </c>
      <c r="D782" s="50" t="s">
        <v>946</v>
      </c>
      <c r="E782" s="50" t="s">
        <v>518</v>
      </c>
      <c r="F782" s="50" t="s">
        <v>948</v>
      </c>
      <c r="G782" s="50" t="s">
        <v>516</v>
      </c>
      <c r="H782" s="50" t="s">
        <v>544</v>
      </c>
      <c r="I782" s="50" t="s">
        <v>368</v>
      </c>
      <c r="J782" s="50" t="s">
        <v>518</v>
      </c>
      <c r="K782" s="50" t="s">
        <v>518</v>
      </c>
      <c r="L782" s="50" t="s">
        <v>976</v>
      </c>
      <c r="M782" s="50" t="s">
        <v>361</v>
      </c>
      <c r="N782" s="51">
        <v>-848</v>
      </c>
    </row>
    <row r="783" spans="1:14" x14ac:dyDescent="0.3">
      <c r="A783" s="50" t="s">
        <v>918</v>
      </c>
      <c r="B783" s="50" t="s">
        <v>972</v>
      </c>
      <c r="C783" s="50" t="s">
        <v>977</v>
      </c>
      <c r="D783" s="50" t="s">
        <v>946</v>
      </c>
      <c r="E783" s="50" t="s">
        <v>978</v>
      </c>
      <c r="F783" s="50" t="s">
        <v>948</v>
      </c>
      <c r="G783" s="50" t="s">
        <v>391</v>
      </c>
      <c r="H783" s="50" t="s">
        <v>979</v>
      </c>
      <c r="I783" s="50" t="s">
        <v>412</v>
      </c>
      <c r="J783" s="50" t="s">
        <v>518</v>
      </c>
      <c r="K783" s="50" t="s">
        <v>518</v>
      </c>
      <c r="L783" s="50" t="s">
        <v>544</v>
      </c>
      <c r="M783" s="50" t="s">
        <v>368</v>
      </c>
      <c r="N783" s="51">
        <v>-3258</v>
      </c>
    </row>
    <row r="784" spans="1:14" x14ac:dyDescent="0.3">
      <c r="A784" s="50" t="s">
        <v>918</v>
      </c>
      <c r="B784" s="50" t="s">
        <v>972</v>
      </c>
      <c r="C784" s="50" t="s">
        <v>977</v>
      </c>
      <c r="D784" s="50" t="s">
        <v>946</v>
      </c>
      <c r="E784" s="50" t="s">
        <v>518</v>
      </c>
      <c r="F784" s="50" t="s">
        <v>948</v>
      </c>
      <c r="G784" s="50" t="s">
        <v>391</v>
      </c>
      <c r="H784" s="50" t="s">
        <v>544</v>
      </c>
      <c r="I784" s="50" t="s">
        <v>368</v>
      </c>
      <c r="J784" s="50" t="s">
        <v>518</v>
      </c>
      <c r="K784" s="50" t="s">
        <v>518</v>
      </c>
      <c r="L784" s="50" t="s">
        <v>979</v>
      </c>
      <c r="M784" s="50" t="s">
        <v>412</v>
      </c>
      <c r="N784" s="51">
        <v>3258</v>
      </c>
    </row>
  </sheetData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59D-EC8E-471A-9776-9BDCE37E20EE}">
  <dimension ref="B1:AC2000"/>
  <sheetViews>
    <sheetView showGridLines="0" workbookViewId="0">
      <selection activeCell="F4" sqref="F4:F5"/>
    </sheetView>
  </sheetViews>
  <sheetFormatPr defaultRowHeight="14.4" x14ac:dyDescent="0.3"/>
  <cols>
    <col min="1" max="1" width="1.6640625" customWidth="1"/>
    <col min="2" max="2" width="0.88671875" customWidth="1"/>
    <col min="3" max="3" width="6.88671875" customWidth="1"/>
    <col min="4" max="5" width="0.88671875" customWidth="1"/>
    <col min="6" max="6" width="13.6640625" customWidth="1"/>
    <col min="7" max="7" width="0.88671875" customWidth="1"/>
    <col min="8" max="8" width="1.6640625" customWidth="1"/>
    <col min="9" max="9" width="11.109375" customWidth="1"/>
    <col min="10" max="10" width="2.5546875" customWidth="1"/>
    <col min="11" max="11" width="21.44140625" customWidth="1"/>
    <col min="12" max="12" width="0.88671875" customWidth="1"/>
    <col min="13" max="13" width="6.88671875" customWidth="1"/>
    <col min="14" max="14" width="4.33203125" customWidth="1"/>
    <col min="15" max="15" width="0.88671875" customWidth="1"/>
    <col min="16" max="16" width="10.33203125" customWidth="1"/>
    <col min="17" max="17" width="0.88671875" customWidth="1"/>
    <col min="18" max="18" width="11.109375" customWidth="1"/>
    <col min="19" max="20" width="0.88671875" customWidth="1"/>
    <col min="21" max="21" width="1.6640625" customWidth="1"/>
    <col min="22" max="22" width="10.33203125" customWidth="1"/>
    <col min="23" max="23" width="0.88671875" customWidth="1"/>
    <col min="24" max="24" width="12" customWidth="1"/>
    <col min="25" max="25" width="0.88671875" customWidth="1"/>
    <col min="26" max="26" width="7.6640625" customWidth="1"/>
    <col min="27" max="27" width="5.109375" customWidth="1"/>
    <col min="28" max="28" width="0.88671875" customWidth="1"/>
    <col min="29" max="29" width="13.6640625" customWidth="1"/>
  </cols>
  <sheetData>
    <row r="1" spans="2:29" ht="4.5" customHeight="1" x14ac:dyDescent="0.3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2:29" x14ac:dyDescent="0.3">
      <c r="B2" s="53"/>
      <c r="C2" s="74" t="s">
        <v>980</v>
      </c>
      <c r="D2" s="75"/>
      <c r="E2" s="75"/>
      <c r="F2" s="75"/>
      <c r="G2" s="75"/>
      <c r="H2" s="75"/>
      <c r="I2" s="75"/>
      <c r="J2" s="75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2:29" x14ac:dyDescent="0.3">
      <c r="B3" s="53"/>
      <c r="C3" s="75"/>
      <c r="D3" s="75"/>
      <c r="E3" s="75"/>
      <c r="F3" s="75"/>
      <c r="G3" s="75"/>
      <c r="H3" s="75"/>
      <c r="I3" s="75"/>
      <c r="J3" s="75"/>
      <c r="K3" s="53"/>
      <c r="L3" s="53"/>
      <c r="M3" s="53"/>
      <c r="N3" s="53"/>
      <c r="O3" s="76" t="s">
        <v>981</v>
      </c>
      <c r="P3" s="75"/>
      <c r="Q3" s="75"/>
      <c r="R3" s="75"/>
      <c r="S3" s="75"/>
      <c r="T3" s="75"/>
      <c r="U3" s="53"/>
      <c r="V3" s="77" t="s">
        <v>982</v>
      </c>
      <c r="W3" s="75"/>
      <c r="X3" s="75"/>
      <c r="Y3" s="75"/>
      <c r="Z3" s="75"/>
      <c r="AA3" s="53"/>
      <c r="AB3" s="53"/>
      <c r="AC3" s="53"/>
    </row>
    <row r="4" spans="2:29" x14ac:dyDescent="0.3">
      <c r="B4" s="53"/>
      <c r="C4" s="76" t="s">
        <v>983</v>
      </c>
      <c r="D4" s="75"/>
      <c r="E4" s="75"/>
      <c r="F4" s="77" t="s">
        <v>516</v>
      </c>
      <c r="G4" s="53"/>
      <c r="H4" s="53"/>
      <c r="I4" s="76" t="s">
        <v>984</v>
      </c>
      <c r="J4" s="77" t="s">
        <v>918</v>
      </c>
      <c r="K4" s="75"/>
      <c r="L4" s="75"/>
      <c r="M4" s="75"/>
      <c r="N4" s="53"/>
      <c r="O4" s="75"/>
      <c r="P4" s="75"/>
      <c r="Q4" s="75"/>
      <c r="R4" s="75"/>
      <c r="S4" s="75"/>
      <c r="T4" s="75"/>
      <c r="U4" s="53"/>
      <c r="V4" s="75"/>
      <c r="W4" s="75"/>
      <c r="X4" s="75"/>
      <c r="Y4" s="75"/>
      <c r="Z4" s="75"/>
      <c r="AA4" s="53"/>
      <c r="AB4" s="53"/>
      <c r="AC4" s="53"/>
    </row>
    <row r="5" spans="2:29" x14ac:dyDescent="0.3">
      <c r="B5" s="53"/>
      <c r="C5" s="75"/>
      <c r="D5" s="75"/>
      <c r="E5" s="75"/>
      <c r="F5" s="75"/>
      <c r="G5" s="53"/>
      <c r="H5" s="53"/>
      <c r="I5" s="75"/>
      <c r="J5" s="75"/>
      <c r="K5" s="75"/>
      <c r="L5" s="75"/>
      <c r="M5" s="75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2:29" ht="4.5" customHeight="1" x14ac:dyDescent="0.3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 spans="2:29" ht="24" x14ac:dyDescent="0.3">
      <c r="B7" s="72" t="s">
        <v>985</v>
      </c>
      <c r="C7" s="73"/>
      <c r="D7" s="55" t="s">
        <v>263</v>
      </c>
      <c r="E7" s="72" t="s">
        <v>986</v>
      </c>
      <c r="F7" s="73"/>
      <c r="G7" s="55" t="s">
        <v>263</v>
      </c>
      <c r="H7" s="72" t="s">
        <v>987</v>
      </c>
      <c r="I7" s="73"/>
      <c r="J7" s="73"/>
      <c r="K7" s="73"/>
      <c r="L7" s="55" t="s">
        <v>263</v>
      </c>
      <c r="M7" s="72" t="s">
        <v>988</v>
      </c>
      <c r="N7" s="73"/>
      <c r="O7" s="55" t="s">
        <v>263</v>
      </c>
      <c r="P7" s="54" t="s">
        <v>989</v>
      </c>
      <c r="Q7" s="55" t="s">
        <v>263</v>
      </c>
      <c r="R7" s="54" t="s">
        <v>990</v>
      </c>
      <c r="S7" s="55" t="s">
        <v>263</v>
      </c>
      <c r="T7" s="72" t="s">
        <v>991</v>
      </c>
      <c r="U7" s="73"/>
      <c r="V7" s="73"/>
      <c r="W7" s="55" t="s">
        <v>263</v>
      </c>
      <c r="X7" s="54" t="s">
        <v>992</v>
      </c>
      <c r="Y7" s="56" t="s">
        <v>263</v>
      </c>
      <c r="Z7" s="72" t="s">
        <v>993</v>
      </c>
      <c r="AA7" s="73"/>
      <c r="AB7" s="57" t="s">
        <v>263</v>
      </c>
      <c r="AC7" s="54" t="s">
        <v>994</v>
      </c>
    </row>
    <row r="8" spans="2:29" x14ac:dyDescent="0.3">
      <c r="B8" s="71" t="s">
        <v>995</v>
      </c>
      <c r="C8" s="65"/>
      <c r="D8" s="58" t="s">
        <v>263</v>
      </c>
      <c r="E8" s="71" t="s">
        <v>996</v>
      </c>
      <c r="F8" s="65"/>
      <c r="G8" s="58" t="s">
        <v>263</v>
      </c>
      <c r="H8" s="71" t="s">
        <v>997</v>
      </c>
      <c r="I8" s="65"/>
      <c r="J8" s="65"/>
      <c r="K8" s="65"/>
      <c r="L8" s="58" t="s">
        <v>263</v>
      </c>
      <c r="M8" s="71" t="s">
        <v>663</v>
      </c>
      <c r="N8" s="65"/>
      <c r="O8" s="58" t="s">
        <v>263</v>
      </c>
      <c r="P8" s="59">
        <v>322</v>
      </c>
      <c r="Q8" s="58" t="s">
        <v>263</v>
      </c>
      <c r="R8" s="58" t="s">
        <v>918</v>
      </c>
      <c r="S8" s="58" t="s">
        <v>263</v>
      </c>
      <c r="T8" s="66">
        <v>0</v>
      </c>
      <c r="U8" s="65"/>
      <c r="V8" s="65"/>
      <c r="W8" s="58" t="s">
        <v>263</v>
      </c>
      <c r="X8" s="59">
        <v>-187.62</v>
      </c>
      <c r="Y8" s="60" t="s">
        <v>263</v>
      </c>
      <c r="Z8" s="66">
        <v>0</v>
      </c>
      <c r="AA8" s="65"/>
      <c r="AB8" s="60" t="s">
        <v>263</v>
      </c>
      <c r="AC8" s="59">
        <v>0</v>
      </c>
    </row>
    <row r="9" spans="2:29" x14ac:dyDescent="0.3">
      <c r="B9" s="71" t="s">
        <v>998</v>
      </c>
      <c r="C9" s="65"/>
      <c r="D9" s="58" t="s">
        <v>263</v>
      </c>
      <c r="E9" s="71" t="s">
        <v>999</v>
      </c>
      <c r="F9" s="65"/>
      <c r="G9" s="58" t="s">
        <v>263</v>
      </c>
      <c r="H9" s="71" t="s">
        <v>1000</v>
      </c>
      <c r="I9" s="65"/>
      <c r="J9" s="65"/>
      <c r="K9" s="65"/>
      <c r="L9" s="58" t="s">
        <v>263</v>
      </c>
      <c r="M9" s="71" t="s">
        <v>1001</v>
      </c>
      <c r="N9" s="65"/>
      <c r="O9" s="58" t="s">
        <v>263</v>
      </c>
      <c r="P9" s="59">
        <v>224</v>
      </c>
      <c r="Q9" s="58" t="s">
        <v>263</v>
      </c>
      <c r="R9" s="58" t="s">
        <v>918</v>
      </c>
      <c r="S9" s="58" t="s">
        <v>263</v>
      </c>
      <c r="T9" s="66">
        <v>0</v>
      </c>
      <c r="U9" s="65"/>
      <c r="V9" s="65"/>
      <c r="W9" s="58" t="s">
        <v>263</v>
      </c>
      <c r="X9" s="59">
        <v>0</v>
      </c>
      <c r="Y9" s="60" t="s">
        <v>263</v>
      </c>
      <c r="Z9" s="66">
        <v>0</v>
      </c>
      <c r="AA9" s="65"/>
      <c r="AB9" s="60" t="s">
        <v>263</v>
      </c>
      <c r="AC9" s="59">
        <v>0</v>
      </c>
    </row>
    <row r="10" spans="2:29" x14ac:dyDescent="0.3">
      <c r="B10" s="71" t="s">
        <v>1002</v>
      </c>
      <c r="C10" s="65"/>
      <c r="D10" s="58" t="s">
        <v>263</v>
      </c>
      <c r="E10" s="71" t="s">
        <v>1003</v>
      </c>
      <c r="F10" s="65"/>
      <c r="G10" s="58" t="s">
        <v>263</v>
      </c>
      <c r="H10" s="71" t="s">
        <v>1004</v>
      </c>
      <c r="I10" s="65"/>
      <c r="J10" s="65"/>
      <c r="K10" s="65"/>
      <c r="L10" s="58" t="s">
        <v>263</v>
      </c>
      <c r="M10" s="71" t="s">
        <v>1005</v>
      </c>
      <c r="N10" s="65"/>
      <c r="O10" s="58" t="s">
        <v>263</v>
      </c>
      <c r="P10" s="59">
        <v>209</v>
      </c>
      <c r="Q10" s="58" t="s">
        <v>263</v>
      </c>
      <c r="R10" s="58" t="s">
        <v>918</v>
      </c>
      <c r="S10" s="58" t="s">
        <v>263</v>
      </c>
      <c r="T10" s="66">
        <v>0</v>
      </c>
      <c r="U10" s="65"/>
      <c r="V10" s="65"/>
      <c r="W10" s="58" t="s">
        <v>263</v>
      </c>
      <c r="X10" s="59">
        <v>0</v>
      </c>
      <c r="Y10" s="60" t="s">
        <v>263</v>
      </c>
      <c r="Z10" s="66">
        <v>0</v>
      </c>
      <c r="AA10" s="65"/>
      <c r="AB10" s="60" t="s">
        <v>263</v>
      </c>
      <c r="AC10" s="59">
        <v>0</v>
      </c>
    </row>
    <row r="11" spans="2:29" x14ac:dyDescent="0.3">
      <c r="B11" s="71" t="s">
        <v>1006</v>
      </c>
      <c r="C11" s="65"/>
      <c r="D11" s="58" t="s">
        <v>263</v>
      </c>
      <c r="E11" s="71" t="s">
        <v>1007</v>
      </c>
      <c r="F11" s="65"/>
      <c r="G11" s="58" t="s">
        <v>263</v>
      </c>
      <c r="H11" s="71" t="s">
        <v>1008</v>
      </c>
      <c r="I11" s="65"/>
      <c r="J11" s="65"/>
      <c r="K11" s="65"/>
      <c r="L11" s="58" t="s">
        <v>263</v>
      </c>
      <c r="M11" s="71" t="s">
        <v>1009</v>
      </c>
      <c r="N11" s="65"/>
      <c r="O11" s="58" t="s">
        <v>263</v>
      </c>
      <c r="P11" s="59">
        <v>137</v>
      </c>
      <c r="Q11" s="58" t="s">
        <v>263</v>
      </c>
      <c r="R11" s="58" t="s">
        <v>918</v>
      </c>
      <c r="S11" s="58" t="s">
        <v>263</v>
      </c>
      <c r="T11" s="66">
        <v>0</v>
      </c>
      <c r="U11" s="65"/>
      <c r="V11" s="65"/>
      <c r="W11" s="58" t="s">
        <v>263</v>
      </c>
      <c r="X11" s="59">
        <v>0</v>
      </c>
      <c r="Y11" s="60" t="s">
        <v>263</v>
      </c>
      <c r="Z11" s="66">
        <v>0</v>
      </c>
      <c r="AA11" s="65"/>
      <c r="AB11" s="60" t="s">
        <v>263</v>
      </c>
      <c r="AC11" s="59">
        <v>0</v>
      </c>
    </row>
    <row r="12" spans="2:29" x14ac:dyDescent="0.3">
      <c r="B12" s="71" t="s">
        <v>1010</v>
      </c>
      <c r="C12" s="65"/>
      <c r="D12" s="58" t="s">
        <v>263</v>
      </c>
      <c r="E12" s="71" t="s">
        <v>1011</v>
      </c>
      <c r="F12" s="65"/>
      <c r="G12" s="58" t="s">
        <v>263</v>
      </c>
      <c r="H12" s="71" t="s">
        <v>1012</v>
      </c>
      <c r="I12" s="65"/>
      <c r="J12" s="65"/>
      <c r="K12" s="65"/>
      <c r="L12" s="58" t="s">
        <v>263</v>
      </c>
      <c r="M12" s="71" t="s">
        <v>1013</v>
      </c>
      <c r="N12" s="65"/>
      <c r="O12" s="58" t="s">
        <v>263</v>
      </c>
      <c r="P12" s="59">
        <v>178</v>
      </c>
      <c r="Q12" s="58" t="s">
        <v>263</v>
      </c>
      <c r="R12" s="58" t="s">
        <v>918</v>
      </c>
      <c r="S12" s="58" t="s">
        <v>263</v>
      </c>
      <c r="T12" s="66">
        <v>0</v>
      </c>
      <c r="U12" s="65"/>
      <c r="V12" s="65"/>
      <c r="W12" s="58" t="s">
        <v>263</v>
      </c>
      <c r="X12" s="59">
        <v>0</v>
      </c>
      <c r="Y12" s="60" t="s">
        <v>263</v>
      </c>
      <c r="Z12" s="66">
        <v>0</v>
      </c>
      <c r="AA12" s="65"/>
      <c r="AB12" s="60" t="s">
        <v>263</v>
      </c>
      <c r="AC12" s="59">
        <v>0</v>
      </c>
    </row>
    <row r="13" spans="2:29" x14ac:dyDescent="0.3">
      <c r="B13" s="71" t="s">
        <v>1014</v>
      </c>
      <c r="C13" s="65"/>
      <c r="D13" s="58" t="s">
        <v>263</v>
      </c>
      <c r="E13" s="71" t="s">
        <v>1015</v>
      </c>
      <c r="F13" s="65"/>
      <c r="G13" s="58" t="s">
        <v>263</v>
      </c>
      <c r="H13" s="71" t="s">
        <v>1016</v>
      </c>
      <c r="I13" s="65"/>
      <c r="J13" s="65"/>
      <c r="K13" s="65"/>
      <c r="L13" s="58" t="s">
        <v>263</v>
      </c>
      <c r="M13" s="71" t="s">
        <v>1017</v>
      </c>
      <c r="N13" s="65"/>
      <c r="O13" s="58" t="s">
        <v>263</v>
      </c>
      <c r="P13" s="59">
        <v>216</v>
      </c>
      <c r="Q13" s="58" t="s">
        <v>263</v>
      </c>
      <c r="R13" s="58" t="s">
        <v>918</v>
      </c>
      <c r="S13" s="58" t="s">
        <v>263</v>
      </c>
      <c r="T13" s="66">
        <v>0</v>
      </c>
      <c r="U13" s="65"/>
      <c r="V13" s="65"/>
      <c r="W13" s="58" t="s">
        <v>263</v>
      </c>
      <c r="X13" s="59">
        <v>0</v>
      </c>
      <c r="Y13" s="60" t="s">
        <v>263</v>
      </c>
      <c r="Z13" s="66">
        <v>0</v>
      </c>
      <c r="AA13" s="65"/>
      <c r="AB13" s="60" t="s">
        <v>263</v>
      </c>
      <c r="AC13" s="59">
        <v>0</v>
      </c>
    </row>
    <row r="14" spans="2:29" x14ac:dyDescent="0.3">
      <c r="B14" s="71" t="s">
        <v>1018</v>
      </c>
      <c r="C14" s="65"/>
      <c r="D14" s="58" t="s">
        <v>263</v>
      </c>
      <c r="E14" s="71" t="s">
        <v>1019</v>
      </c>
      <c r="F14" s="65"/>
      <c r="G14" s="58" t="s">
        <v>263</v>
      </c>
      <c r="H14" s="71" t="s">
        <v>1020</v>
      </c>
      <c r="I14" s="65"/>
      <c r="J14" s="65"/>
      <c r="K14" s="65"/>
      <c r="L14" s="58" t="s">
        <v>263</v>
      </c>
      <c r="M14" s="71" t="s">
        <v>1021</v>
      </c>
      <c r="N14" s="65"/>
      <c r="O14" s="58" t="s">
        <v>263</v>
      </c>
      <c r="P14" s="59">
        <v>137</v>
      </c>
      <c r="Q14" s="58" t="s">
        <v>263</v>
      </c>
      <c r="R14" s="58" t="s">
        <v>918</v>
      </c>
      <c r="S14" s="58" t="s">
        <v>263</v>
      </c>
      <c r="T14" s="66">
        <v>0</v>
      </c>
      <c r="U14" s="65"/>
      <c r="V14" s="65"/>
      <c r="W14" s="58" t="s">
        <v>263</v>
      </c>
      <c r="X14" s="59">
        <v>0</v>
      </c>
      <c r="Y14" s="60" t="s">
        <v>263</v>
      </c>
      <c r="Z14" s="66">
        <v>0</v>
      </c>
      <c r="AA14" s="65"/>
      <c r="AB14" s="60" t="s">
        <v>263</v>
      </c>
      <c r="AC14" s="59">
        <v>0</v>
      </c>
    </row>
    <row r="15" spans="2:29" x14ac:dyDescent="0.3">
      <c r="B15" s="71" t="s">
        <v>1022</v>
      </c>
      <c r="C15" s="65"/>
      <c r="D15" s="58" t="s">
        <v>263</v>
      </c>
      <c r="E15" s="71" t="s">
        <v>1023</v>
      </c>
      <c r="F15" s="65"/>
      <c r="G15" s="58" t="s">
        <v>263</v>
      </c>
      <c r="H15" s="71" t="s">
        <v>1024</v>
      </c>
      <c r="I15" s="65"/>
      <c r="J15" s="65"/>
      <c r="K15" s="65"/>
      <c r="L15" s="58" t="s">
        <v>263</v>
      </c>
      <c r="M15" s="71" t="s">
        <v>1025</v>
      </c>
      <c r="N15" s="65"/>
      <c r="O15" s="58" t="s">
        <v>263</v>
      </c>
      <c r="P15" s="59">
        <v>194</v>
      </c>
      <c r="Q15" s="58" t="s">
        <v>263</v>
      </c>
      <c r="R15" s="58" t="s">
        <v>918</v>
      </c>
      <c r="S15" s="58" t="s">
        <v>263</v>
      </c>
      <c r="T15" s="66">
        <v>0</v>
      </c>
      <c r="U15" s="65"/>
      <c r="V15" s="65"/>
      <c r="W15" s="58" t="s">
        <v>263</v>
      </c>
      <c r="X15" s="59">
        <v>0</v>
      </c>
      <c r="Y15" s="60" t="s">
        <v>263</v>
      </c>
      <c r="Z15" s="66">
        <v>0</v>
      </c>
      <c r="AA15" s="65"/>
      <c r="AB15" s="60" t="s">
        <v>263</v>
      </c>
      <c r="AC15" s="59">
        <v>0</v>
      </c>
    </row>
    <row r="16" spans="2:29" x14ac:dyDescent="0.3">
      <c r="B16" s="71" t="s">
        <v>1026</v>
      </c>
      <c r="C16" s="65"/>
      <c r="D16" s="58" t="s">
        <v>263</v>
      </c>
      <c r="E16" s="71" t="s">
        <v>1027</v>
      </c>
      <c r="F16" s="65"/>
      <c r="G16" s="58" t="s">
        <v>263</v>
      </c>
      <c r="H16" s="71" t="s">
        <v>1028</v>
      </c>
      <c r="I16" s="65"/>
      <c r="J16" s="65"/>
      <c r="K16" s="65"/>
      <c r="L16" s="58" t="s">
        <v>263</v>
      </c>
      <c r="M16" s="71" t="s">
        <v>1029</v>
      </c>
      <c r="N16" s="65"/>
      <c r="O16" s="58" t="s">
        <v>263</v>
      </c>
      <c r="P16" s="59">
        <v>417</v>
      </c>
      <c r="Q16" s="58" t="s">
        <v>263</v>
      </c>
      <c r="R16" s="58" t="s">
        <v>918</v>
      </c>
      <c r="S16" s="58" t="s">
        <v>263</v>
      </c>
      <c r="T16" s="66">
        <v>0</v>
      </c>
      <c r="U16" s="65"/>
      <c r="V16" s="65"/>
      <c r="W16" s="58" t="s">
        <v>263</v>
      </c>
      <c r="X16" s="59">
        <v>0</v>
      </c>
      <c r="Y16" s="60" t="s">
        <v>263</v>
      </c>
      <c r="Z16" s="66">
        <v>0</v>
      </c>
      <c r="AA16" s="65"/>
      <c r="AB16" s="60" t="s">
        <v>263</v>
      </c>
      <c r="AC16" s="59">
        <v>0</v>
      </c>
    </row>
    <row r="17" spans="2:29" x14ac:dyDescent="0.3">
      <c r="B17" s="71" t="s">
        <v>1030</v>
      </c>
      <c r="C17" s="65"/>
      <c r="D17" s="58" t="s">
        <v>263</v>
      </c>
      <c r="E17" s="71" t="s">
        <v>1031</v>
      </c>
      <c r="F17" s="65"/>
      <c r="G17" s="58" t="s">
        <v>263</v>
      </c>
      <c r="H17" s="71" t="s">
        <v>1032</v>
      </c>
      <c r="I17" s="65"/>
      <c r="J17" s="65"/>
      <c r="K17" s="65"/>
      <c r="L17" s="58" t="s">
        <v>263</v>
      </c>
      <c r="M17" s="71" t="s">
        <v>1033</v>
      </c>
      <c r="N17" s="65"/>
      <c r="O17" s="58" t="s">
        <v>263</v>
      </c>
      <c r="P17" s="59">
        <v>271</v>
      </c>
      <c r="Q17" s="58" t="s">
        <v>263</v>
      </c>
      <c r="R17" s="58" t="s">
        <v>918</v>
      </c>
      <c r="S17" s="58" t="s">
        <v>263</v>
      </c>
      <c r="T17" s="66">
        <v>0</v>
      </c>
      <c r="U17" s="65"/>
      <c r="V17" s="65"/>
      <c r="W17" s="58" t="s">
        <v>263</v>
      </c>
      <c r="X17" s="59">
        <v>0</v>
      </c>
      <c r="Y17" s="60" t="s">
        <v>263</v>
      </c>
      <c r="Z17" s="66">
        <v>0</v>
      </c>
      <c r="AA17" s="65"/>
      <c r="AB17" s="60" t="s">
        <v>263</v>
      </c>
      <c r="AC17" s="59">
        <v>0</v>
      </c>
    </row>
    <row r="18" spans="2:29" x14ac:dyDescent="0.3">
      <c r="B18" s="71" t="s">
        <v>1034</v>
      </c>
      <c r="C18" s="65"/>
      <c r="D18" s="58" t="s">
        <v>263</v>
      </c>
      <c r="E18" s="71" t="s">
        <v>1035</v>
      </c>
      <c r="F18" s="65"/>
      <c r="G18" s="58" t="s">
        <v>263</v>
      </c>
      <c r="H18" s="71" t="s">
        <v>1036</v>
      </c>
      <c r="I18" s="65"/>
      <c r="J18" s="65"/>
      <c r="K18" s="65"/>
      <c r="L18" s="58" t="s">
        <v>263</v>
      </c>
      <c r="M18" s="71" t="s">
        <v>1037</v>
      </c>
      <c r="N18" s="65"/>
      <c r="O18" s="58" t="s">
        <v>263</v>
      </c>
      <c r="P18" s="59">
        <v>96</v>
      </c>
      <c r="Q18" s="58" t="s">
        <v>263</v>
      </c>
      <c r="R18" s="58" t="s">
        <v>918</v>
      </c>
      <c r="S18" s="58" t="s">
        <v>263</v>
      </c>
      <c r="T18" s="66">
        <v>0</v>
      </c>
      <c r="U18" s="65"/>
      <c r="V18" s="65"/>
      <c r="W18" s="58" t="s">
        <v>263</v>
      </c>
      <c r="X18" s="59">
        <v>0</v>
      </c>
      <c r="Y18" s="60" t="s">
        <v>263</v>
      </c>
      <c r="Z18" s="66">
        <v>0</v>
      </c>
      <c r="AA18" s="65"/>
      <c r="AB18" s="60" t="s">
        <v>263</v>
      </c>
      <c r="AC18" s="59">
        <v>0</v>
      </c>
    </row>
    <row r="19" spans="2:29" x14ac:dyDescent="0.3">
      <c r="B19" s="71" t="s">
        <v>1038</v>
      </c>
      <c r="C19" s="65"/>
      <c r="D19" s="58" t="s">
        <v>263</v>
      </c>
      <c r="E19" s="71" t="s">
        <v>1039</v>
      </c>
      <c r="F19" s="65"/>
      <c r="G19" s="58" t="s">
        <v>263</v>
      </c>
      <c r="H19" s="71" t="s">
        <v>1040</v>
      </c>
      <c r="I19" s="65"/>
      <c r="J19" s="65"/>
      <c r="K19" s="65"/>
      <c r="L19" s="58" t="s">
        <v>263</v>
      </c>
      <c r="M19" s="71" t="s">
        <v>664</v>
      </c>
      <c r="N19" s="65"/>
      <c r="O19" s="58" t="s">
        <v>263</v>
      </c>
      <c r="P19" s="59">
        <v>98</v>
      </c>
      <c r="Q19" s="58" t="s">
        <v>263</v>
      </c>
      <c r="R19" s="58" t="s">
        <v>918</v>
      </c>
      <c r="S19" s="58" t="s">
        <v>263</v>
      </c>
      <c r="T19" s="66">
        <v>0</v>
      </c>
      <c r="U19" s="65"/>
      <c r="V19" s="65"/>
      <c r="W19" s="58" t="s">
        <v>263</v>
      </c>
      <c r="X19" s="59">
        <v>0</v>
      </c>
      <c r="Y19" s="60" t="s">
        <v>263</v>
      </c>
      <c r="Z19" s="66">
        <v>0</v>
      </c>
      <c r="AA19" s="65"/>
      <c r="AB19" s="60" t="s">
        <v>263</v>
      </c>
      <c r="AC19" s="59">
        <v>0</v>
      </c>
    </row>
    <row r="20" spans="2:29" x14ac:dyDescent="0.3">
      <c r="B20" s="71" t="s">
        <v>1041</v>
      </c>
      <c r="C20" s="65"/>
      <c r="D20" s="58" t="s">
        <v>263</v>
      </c>
      <c r="E20" s="71" t="s">
        <v>1042</v>
      </c>
      <c r="F20" s="65"/>
      <c r="G20" s="58" t="s">
        <v>263</v>
      </c>
      <c r="H20" s="71" t="s">
        <v>1043</v>
      </c>
      <c r="I20" s="65"/>
      <c r="J20" s="65"/>
      <c r="K20" s="65"/>
      <c r="L20" s="58" t="s">
        <v>263</v>
      </c>
      <c r="M20" s="71" t="s">
        <v>1044</v>
      </c>
      <c r="N20" s="65"/>
      <c r="O20" s="58" t="s">
        <v>263</v>
      </c>
      <c r="P20" s="59">
        <v>197</v>
      </c>
      <c r="Q20" s="58" t="s">
        <v>263</v>
      </c>
      <c r="R20" s="58" t="s">
        <v>918</v>
      </c>
      <c r="S20" s="58" t="s">
        <v>263</v>
      </c>
      <c r="T20" s="66">
        <v>0</v>
      </c>
      <c r="U20" s="65"/>
      <c r="V20" s="65"/>
      <c r="W20" s="58" t="s">
        <v>263</v>
      </c>
      <c r="X20" s="59">
        <v>0</v>
      </c>
      <c r="Y20" s="60" t="s">
        <v>263</v>
      </c>
      <c r="Z20" s="66">
        <v>0</v>
      </c>
      <c r="AA20" s="65"/>
      <c r="AB20" s="60" t="s">
        <v>263</v>
      </c>
      <c r="AC20" s="59">
        <v>0</v>
      </c>
    </row>
    <row r="21" spans="2:29" x14ac:dyDescent="0.3">
      <c r="B21" s="71" t="s">
        <v>1045</v>
      </c>
      <c r="C21" s="65"/>
      <c r="D21" s="58" t="s">
        <v>263</v>
      </c>
      <c r="E21" s="71" t="s">
        <v>1042</v>
      </c>
      <c r="F21" s="65"/>
      <c r="G21" s="58" t="s">
        <v>263</v>
      </c>
      <c r="H21" s="71" t="s">
        <v>1043</v>
      </c>
      <c r="I21" s="65"/>
      <c r="J21" s="65"/>
      <c r="K21" s="65"/>
      <c r="L21" s="58" t="s">
        <v>263</v>
      </c>
      <c r="M21" s="71" t="s">
        <v>1046</v>
      </c>
      <c r="N21" s="65"/>
      <c r="O21" s="58" t="s">
        <v>263</v>
      </c>
      <c r="P21" s="59">
        <v>297</v>
      </c>
      <c r="Q21" s="58" t="s">
        <v>263</v>
      </c>
      <c r="R21" s="58" t="s">
        <v>918</v>
      </c>
      <c r="S21" s="58" t="s">
        <v>263</v>
      </c>
      <c r="T21" s="66">
        <v>0</v>
      </c>
      <c r="U21" s="65"/>
      <c r="V21" s="65"/>
      <c r="W21" s="58" t="s">
        <v>263</v>
      </c>
      <c r="X21" s="59">
        <v>0</v>
      </c>
      <c r="Y21" s="60" t="s">
        <v>263</v>
      </c>
      <c r="Z21" s="66">
        <v>0</v>
      </c>
      <c r="AA21" s="65"/>
      <c r="AB21" s="60" t="s">
        <v>263</v>
      </c>
      <c r="AC21" s="59">
        <v>0</v>
      </c>
    </row>
    <row r="22" spans="2:29" x14ac:dyDescent="0.3">
      <c r="B22" s="71" t="s">
        <v>1047</v>
      </c>
      <c r="C22" s="65"/>
      <c r="D22" s="58" t="s">
        <v>263</v>
      </c>
      <c r="E22" s="71" t="s">
        <v>1048</v>
      </c>
      <c r="F22" s="65"/>
      <c r="G22" s="58" t="s">
        <v>263</v>
      </c>
      <c r="H22" s="71" t="s">
        <v>1049</v>
      </c>
      <c r="I22" s="65"/>
      <c r="J22" s="65"/>
      <c r="K22" s="65"/>
      <c r="L22" s="58" t="s">
        <v>263</v>
      </c>
      <c r="M22" s="71" t="s">
        <v>1050</v>
      </c>
      <c r="N22" s="65"/>
      <c r="O22" s="58" t="s">
        <v>263</v>
      </c>
      <c r="P22" s="59">
        <v>198</v>
      </c>
      <c r="Q22" s="58" t="s">
        <v>263</v>
      </c>
      <c r="R22" s="58" t="s">
        <v>918</v>
      </c>
      <c r="S22" s="58" t="s">
        <v>263</v>
      </c>
      <c r="T22" s="66">
        <v>0</v>
      </c>
      <c r="U22" s="65"/>
      <c r="V22" s="65"/>
      <c r="W22" s="58" t="s">
        <v>263</v>
      </c>
      <c r="X22" s="59">
        <v>0</v>
      </c>
      <c r="Y22" s="60" t="s">
        <v>263</v>
      </c>
      <c r="Z22" s="66">
        <v>0</v>
      </c>
      <c r="AA22" s="65"/>
      <c r="AB22" s="60" t="s">
        <v>263</v>
      </c>
      <c r="AC22" s="59">
        <v>0</v>
      </c>
    </row>
    <row r="23" spans="2:29" x14ac:dyDescent="0.3">
      <c r="B23" s="71" t="s">
        <v>1051</v>
      </c>
      <c r="C23" s="65"/>
      <c r="D23" s="58" t="s">
        <v>263</v>
      </c>
      <c r="E23" s="71" t="s">
        <v>1052</v>
      </c>
      <c r="F23" s="65"/>
      <c r="G23" s="58" t="s">
        <v>263</v>
      </c>
      <c r="H23" s="71" t="s">
        <v>1053</v>
      </c>
      <c r="I23" s="65"/>
      <c r="J23" s="65"/>
      <c r="K23" s="65"/>
      <c r="L23" s="58" t="s">
        <v>263</v>
      </c>
      <c r="M23" s="71" t="s">
        <v>1050</v>
      </c>
      <c r="N23" s="65"/>
      <c r="O23" s="58" t="s">
        <v>263</v>
      </c>
      <c r="P23" s="59">
        <v>323</v>
      </c>
      <c r="Q23" s="58" t="s">
        <v>263</v>
      </c>
      <c r="R23" s="58" t="s">
        <v>918</v>
      </c>
      <c r="S23" s="58" t="s">
        <v>263</v>
      </c>
      <c r="T23" s="66">
        <v>0</v>
      </c>
      <c r="U23" s="65"/>
      <c r="V23" s="65"/>
      <c r="W23" s="58" t="s">
        <v>263</v>
      </c>
      <c r="X23" s="59">
        <v>0</v>
      </c>
      <c r="Y23" s="60" t="s">
        <v>263</v>
      </c>
      <c r="Z23" s="66">
        <v>0</v>
      </c>
      <c r="AA23" s="65"/>
      <c r="AB23" s="60" t="s">
        <v>263</v>
      </c>
      <c r="AC23" s="59">
        <v>0</v>
      </c>
    </row>
    <row r="24" spans="2:29" x14ac:dyDescent="0.3">
      <c r="B24" s="71" t="s">
        <v>1054</v>
      </c>
      <c r="C24" s="65"/>
      <c r="D24" s="58" t="s">
        <v>263</v>
      </c>
      <c r="E24" s="71" t="s">
        <v>1055</v>
      </c>
      <c r="F24" s="65"/>
      <c r="G24" s="58" t="s">
        <v>263</v>
      </c>
      <c r="H24" s="71" t="s">
        <v>1056</v>
      </c>
      <c r="I24" s="65"/>
      <c r="J24" s="65"/>
      <c r="K24" s="65"/>
      <c r="L24" s="58" t="s">
        <v>263</v>
      </c>
      <c r="M24" s="71" t="s">
        <v>1057</v>
      </c>
      <c r="N24" s="65"/>
      <c r="O24" s="58" t="s">
        <v>263</v>
      </c>
      <c r="P24" s="59">
        <v>171</v>
      </c>
      <c r="Q24" s="58" t="s">
        <v>263</v>
      </c>
      <c r="R24" s="58" t="s">
        <v>918</v>
      </c>
      <c r="S24" s="58" t="s">
        <v>263</v>
      </c>
      <c r="T24" s="66">
        <v>0</v>
      </c>
      <c r="U24" s="65"/>
      <c r="V24" s="65"/>
      <c r="W24" s="58" t="s">
        <v>263</v>
      </c>
      <c r="X24" s="59">
        <v>0</v>
      </c>
      <c r="Y24" s="60" t="s">
        <v>263</v>
      </c>
      <c r="Z24" s="66">
        <v>0</v>
      </c>
      <c r="AA24" s="65"/>
      <c r="AB24" s="60" t="s">
        <v>263</v>
      </c>
      <c r="AC24" s="59">
        <v>0</v>
      </c>
    </row>
    <row r="25" spans="2:29" x14ac:dyDescent="0.3">
      <c r="B25" s="71" t="s">
        <v>1058</v>
      </c>
      <c r="C25" s="65"/>
      <c r="D25" s="58" t="s">
        <v>263</v>
      </c>
      <c r="E25" s="71" t="s">
        <v>1059</v>
      </c>
      <c r="F25" s="65"/>
      <c r="G25" s="58" t="s">
        <v>263</v>
      </c>
      <c r="H25" s="71" t="s">
        <v>1060</v>
      </c>
      <c r="I25" s="65"/>
      <c r="J25" s="65"/>
      <c r="K25" s="65"/>
      <c r="L25" s="58" t="s">
        <v>263</v>
      </c>
      <c r="M25" s="71" t="s">
        <v>1057</v>
      </c>
      <c r="N25" s="65"/>
      <c r="O25" s="58" t="s">
        <v>263</v>
      </c>
      <c r="P25" s="59">
        <v>251</v>
      </c>
      <c r="Q25" s="58" t="s">
        <v>263</v>
      </c>
      <c r="R25" s="58" t="s">
        <v>918</v>
      </c>
      <c r="S25" s="58" t="s">
        <v>263</v>
      </c>
      <c r="T25" s="66">
        <v>0</v>
      </c>
      <c r="U25" s="65"/>
      <c r="V25" s="65"/>
      <c r="W25" s="58" t="s">
        <v>263</v>
      </c>
      <c r="X25" s="59">
        <v>0</v>
      </c>
      <c r="Y25" s="60" t="s">
        <v>263</v>
      </c>
      <c r="Z25" s="66">
        <v>0</v>
      </c>
      <c r="AA25" s="65"/>
      <c r="AB25" s="60" t="s">
        <v>263</v>
      </c>
      <c r="AC25" s="59">
        <v>0</v>
      </c>
    </row>
    <row r="26" spans="2:29" x14ac:dyDescent="0.3">
      <c r="B26" s="71" t="s">
        <v>1061</v>
      </c>
      <c r="C26" s="65"/>
      <c r="D26" s="58" t="s">
        <v>263</v>
      </c>
      <c r="E26" s="71" t="s">
        <v>1062</v>
      </c>
      <c r="F26" s="65"/>
      <c r="G26" s="58" t="s">
        <v>263</v>
      </c>
      <c r="H26" s="71" t="s">
        <v>1063</v>
      </c>
      <c r="I26" s="65"/>
      <c r="J26" s="65"/>
      <c r="K26" s="65"/>
      <c r="L26" s="58" t="s">
        <v>263</v>
      </c>
      <c r="M26" s="71" t="s">
        <v>1064</v>
      </c>
      <c r="N26" s="65"/>
      <c r="O26" s="58" t="s">
        <v>263</v>
      </c>
      <c r="P26" s="59">
        <v>286</v>
      </c>
      <c r="Q26" s="58" t="s">
        <v>263</v>
      </c>
      <c r="R26" s="58" t="s">
        <v>918</v>
      </c>
      <c r="S26" s="58" t="s">
        <v>263</v>
      </c>
      <c r="T26" s="66">
        <v>0</v>
      </c>
      <c r="U26" s="65"/>
      <c r="V26" s="65"/>
      <c r="W26" s="58" t="s">
        <v>263</v>
      </c>
      <c r="X26" s="59">
        <v>0</v>
      </c>
      <c r="Y26" s="60" t="s">
        <v>263</v>
      </c>
      <c r="Z26" s="66">
        <v>0</v>
      </c>
      <c r="AA26" s="65"/>
      <c r="AB26" s="60" t="s">
        <v>263</v>
      </c>
      <c r="AC26" s="59">
        <v>0</v>
      </c>
    </row>
    <row r="27" spans="2:29" x14ac:dyDescent="0.3">
      <c r="B27" s="71" t="s">
        <v>1065</v>
      </c>
      <c r="C27" s="65"/>
      <c r="D27" s="58" t="s">
        <v>263</v>
      </c>
      <c r="E27" s="71" t="s">
        <v>1066</v>
      </c>
      <c r="F27" s="65"/>
      <c r="G27" s="58" t="s">
        <v>263</v>
      </c>
      <c r="H27" s="71" t="s">
        <v>1067</v>
      </c>
      <c r="I27" s="65"/>
      <c r="J27" s="65"/>
      <c r="K27" s="65"/>
      <c r="L27" s="58" t="s">
        <v>263</v>
      </c>
      <c r="M27" s="71" t="s">
        <v>1068</v>
      </c>
      <c r="N27" s="65"/>
      <c r="O27" s="58" t="s">
        <v>263</v>
      </c>
      <c r="P27" s="59">
        <v>611</v>
      </c>
      <c r="Q27" s="58" t="s">
        <v>263</v>
      </c>
      <c r="R27" s="58" t="s">
        <v>918</v>
      </c>
      <c r="S27" s="58" t="s">
        <v>263</v>
      </c>
      <c r="T27" s="66">
        <v>0</v>
      </c>
      <c r="U27" s="65"/>
      <c r="V27" s="65"/>
      <c r="W27" s="58" t="s">
        <v>263</v>
      </c>
      <c r="X27" s="59">
        <v>0</v>
      </c>
      <c r="Y27" s="60" t="s">
        <v>263</v>
      </c>
      <c r="Z27" s="66">
        <v>0</v>
      </c>
      <c r="AA27" s="65"/>
      <c r="AB27" s="60" t="s">
        <v>263</v>
      </c>
      <c r="AC27" s="59">
        <v>0</v>
      </c>
    </row>
    <row r="28" spans="2:29" x14ac:dyDescent="0.3">
      <c r="B28" s="71" t="s">
        <v>1069</v>
      </c>
      <c r="C28" s="65"/>
      <c r="D28" s="58" t="s">
        <v>263</v>
      </c>
      <c r="E28" s="71" t="s">
        <v>1070</v>
      </c>
      <c r="F28" s="65"/>
      <c r="G28" s="58" t="s">
        <v>263</v>
      </c>
      <c r="H28" s="71" t="s">
        <v>1071</v>
      </c>
      <c r="I28" s="65"/>
      <c r="J28" s="65"/>
      <c r="K28" s="65"/>
      <c r="L28" s="58" t="s">
        <v>263</v>
      </c>
      <c r="M28" s="71" t="s">
        <v>1072</v>
      </c>
      <c r="N28" s="65"/>
      <c r="O28" s="58" t="s">
        <v>263</v>
      </c>
      <c r="P28" s="59">
        <v>175</v>
      </c>
      <c r="Q28" s="58" t="s">
        <v>263</v>
      </c>
      <c r="R28" s="58" t="s">
        <v>918</v>
      </c>
      <c r="S28" s="58" t="s">
        <v>263</v>
      </c>
      <c r="T28" s="66">
        <v>0</v>
      </c>
      <c r="U28" s="65"/>
      <c r="V28" s="65"/>
      <c r="W28" s="58" t="s">
        <v>263</v>
      </c>
      <c r="X28" s="59">
        <v>0</v>
      </c>
      <c r="Y28" s="60" t="s">
        <v>263</v>
      </c>
      <c r="Z28" s="66">
        <v>0</v>
      </c>
      <c r="AA28" s="65"/>
      <c r="AB28" s="60" t="s">
        <v>263</v>
      </c>
      <c r="AC28" s="59">
        <v>0</v>
      </c>
    </row>
    <row r="29" spans="2:29" x14ac:dyDescent="0.3">
      <c r="B29" s="71" t="s">
        <v>1073</v>
      </c>
      <c r="C29" s="65"/>
      <c r="D29" s="58" t="s">
        <v>263</v>
      </c>
      <c r="E29" s="71" t="s">
        <v>1074</v>
      </c>
      <c r="F29" s="65"/>
      <c r="G29" s="58" t="s">
        <v>263</v>
      </c>
      <c r="H29" s="71" t="s">
        <v>1075</v>
      </c>
      <c r="I29" s="65"/>
      <c r="J29" s="65"/>
      <c r="K29" s="65"/>
      <c r="L29" s="58" t="s">
        <v>263</v>
      </c>
      <c r="M29" s="71" t="s">
        <v>1076</v>
      </c>
      <c r="N29" s="65"/>
      <c r="O29" s="58" t="s">
        <v>263</v>
      </c>
      <c r="P29" s="59">
        <v>316</v>
      </c>
      <c r="Q29" s="58" t="s">
        <v>263</v>
      </c>
      <c r="R29" s="58" t="s">
        <v>918</v>
      </c>
      <c r="S29" s="58" t="s">
        <v>263</v>
      </c>
      <c r="T29" s="66">
        <v>0</v>
      </c>
      <c r="U29" s="65"/>
      <c r="V29" s="65"/>
      <c r="W29" s="58" t="s">
        <v>263</v>
      </c>
      <c r="X29" s="59">
        <v>0</v>
      </c>
      <c r="Y29" s="60" t="s">
        <v>263</v>
      </c>
      <c r="Z29" s="66">
        <v>0</v>
      </c>
      <c r="AA29" s="65"/>
      <c r="AB29" s="60" t="s">
        <v>263</v>
      </c>
      <c r="AC29" s="59">
        <v>0</v>
      </c>
    </row>
    <row r="30" spans="2:29" x14ac:dyDescent="0.3">
      <c r="B30" s="71" t="s">
        <v>1077</v>
      </c>
      <c r="C30" s="65"/>
      <c r="D30" s="58" t="s">
        <v>263</v>
      </c>
      <c r="E30" s="71" t="s">
        <v>1078</v>
      </c>
      <c r="F30" s="65"/>
      <c r="G30" s="58" t="s">
        <v>263</v>
      </c>
      <c r="H30" s="71" t="s">
        <v>1079</v>
      </c>
      <c r="I30" s="65"/>
      <c r="J30" s="65"/>
      <c r="K30" s="65"/>
      <c r="L30" s="58" t="s">
        <v>263</v>
      </c>
      <c r="M30" s="71" t="s">
        <v>1080</v>
      </c>
      <c r="N30" s="65"/>
      <c r="O30" s="58" t="s">
        <v>263</v>
      </c>
      <c r="P30" s="59">
        <v>311</v>
      </c>
      <c r="Q30" s="58" t="s">
        <v>263</v>
      </c>
      <c r="R30" s="58" t="s">
        <v>918</v>
      </c>
      <c r="S30" s="58" t="s">
        <v>263</v>
      </c>
      <c r="T30" s="66">
        <v>0</v>
      </c>
      <c r="U30" s="65"/>
      <c r="V30" s="65"/>
      <c r="W30" s="58" t="s">
        <v>263</v>
      </c>
      <c r="X30" s="59">
        <v>0</v>
      </c>
      <c r="Y30" s="60" t="s">
        <v>263</v>
      </c>
      <c r="Z30" s="66">
        <v>0</v>
      </c>
      <c r="AA30" s="65"/>
      <c r="AB30" s="60" t="s">
        <v>263</v>
      </c>
      <c r="AC30" s="59">
        <v>0</v>
      </c>
    </row>
    <row r="31" spans="2:29" x14ac:dyDescent="0.3">
      <c r="B31" s="71" t="s">
        <v>1081</v>
      </c>
      <c r="C31" s="65"/>
      <c r="D31" s="58" t="s">
        <v>263</v>
      </c>
      <c r="E31" s="71" t="s">
        <v>1082</v>
      </c>
      <c r="F31" s="65"/>
      <c r="G31" s="58" t="s">
        <v>263</v>
      </c>
      <c r="H31" s="71" t="s">
        <v>1083</v>
      </c>
      <c r="I31" s="65"/>
      <c r="J31" s="65"/>
      <c r="K31" s="65"/>
      <c r="L31" s="58" t="s">
        <v>263</v>
      </c>
      <c r="M31" s="71" t="s">
        <v>1084</v>
      </c>
      <c r="N31" s="65"/>
      <c r="O31" s="58" t="s">
        <v>263</v>
      </c>
      <c r="P31" s="59">
        <v>131</v>
      </c>
      <c r="Q31" s="58" t="s">
        <v>263</v>
      </c>
      <c r="R31" s="58" t="s">
        <v>918</v>
      </c>
      <c r="S31" s="58" t="s">
        <v>263</v>
      </c>
      <c r="T31" s="66">
        <v>0</v>
      </c>
      <c r="U31" s="65"/>
      <c r="V31" s="65"/>
      <c r="W31" s="58" t="s">
        <v>263</v>
      </c>
      <c r="X31" s="59">
        <v>0</v>
      </c>
      <c r="Y31" s="60" t="s">
        <v>263</v>
      </c>
      <c r="Z31" s="66">
        <v>0</v>
      </c>
      <c r="AA31" s="65"/>
      <c r="AB31" s="60" t="s">
        <v>263</v>
      </c>
      <c r="AC31" s="59">
        <v>0</v>
      </c>
    </row>
    <row r="32" spans="2:29" x14ac:dyDescent="0.3">
      <c r="B32" s="71" t="s">
        <v>1085</v>
      </c>
      <c r="C32" s="65"/>
      <c r="D32" s="58" t="s">
        <v>263</v>
      </c>
      <c r="E32" s="71" t="s">
        <v>1086</v>
      </c>
      <c r="F32" s="65"/>
      <c r="G32" s="58" t="s">
        <v>263</v>
      </c>
      <c r="H32" s="71" t="s">
        <v>1087</v>
      </c>
      <c r="I32" s="65"/>
      <c r="J32" s="65"/>
      <c r="K32" s="65"/>
      <c r="L32" s="58" t="s">
        <v>263</v>
      </c>
      <c r="M32" s="71" t="s">
        <v>1088</v>
      </c>
      <c r="N32" s="65"/>
      <c r="O32" s="58" t="s">
        <v>263</v>
      </c>
      <c r="P32" s="59">
        <v>145</v>
      </c>
      <c r="Q32" s="58" t="s">
        <v>263</v>
      </c>
      <c r="R32" s="58" t="s">
        <v>918</v>
      </c>
      <c r="S32" s="58" t="s">
        <v>263</v>
      </c>
      <c r="T32" s="66">
        <v>0</v>
      </c>
      <c r="U32" s="65"/>
      <c r="V32" s="65"/>
      <c r="W32" s="58" t="s">
        <v>263</v>
      </c>
      <c r="X32" s="59">
        <v>0</v>
      </c>
      <c r="Y32" s="60" t="s">
        <v>263</v>
      </c>
      <c r="Z32" s="66">
        <v>0</v>
      </c>
      <c r="AA32" s="65"/>
      <c r="AB32" s="60" t="s">
        <v>263</v>
      </c>
      <c r="AC32" s="59">
        <v>0</v>
      </c>
    </row>
    <row r="33" spans="2:29" x14ac:dyDescent="0.3">
      <c r="B33" s="71" t="s">
        <v>1089</v>
      </c>
      <c r="C33" s="65"/>
      <c r="D33" s="58" t="s">
        <v>263</v>
      </c>
      <c r="E33" s="71" t="s">
        <v>1090</v>
      </c>
      <c r="F33" s="65"/>
      <c r="G33" s="58" t="s">
        <v>263</v>
      </c>
      <c r="H33" s="71" t="s">
        <v>1091</v>
      </c>
      <c r="I33" s="65"/>
      <c r="J33" s="65"/>
      <c r="K33" s="65"/>
      <c r="L33" s="58" t="s">
        <v>263</v>
      </c>
      <c r="M33" s="71" t="s">
        <v>1092</v>
      </c>
      <c r="N33" s="65"/>
      <c r="O33" s="58" t="s">
        <v>263</v>
      </c>
      <c r="P33" s="59">
        <v>317</v>
      </c>
      <c r="Q33" s="58" t="s">
        <v>263</v>
      </c>
      <c r="R33" s="58" t="s">
        <v>918</v>
      </c>
      <c r="S33" s="58" t="s">
        <v>263</v>
      </c>
      <c r="T33" s="66">
        <v>0</v>
      </c>
      <c r="U33" s="65"/>
      <c r="V33" s="65"/>
      <c r="W33" s="58" t="s">
        <v>263</v>
      </c>
      <c r="X33" s="59">
        <v>0</v>
      </c>
      <c r="Y33" s="60" t="s">
        <v>263</v>
      </c>
      <c r="Z33" s="66">
        <v>0</v>
      </c>
      <c r="AA33" s="65"/>
      <c r="AB33" s="60" t="s">
        <v>263</v>
      </c>
      <c r="AC33" s="59">
        <v>0</v>
      </c>
    </row>
    <row r="34" spans="2:29" x14ac:dyDescent="0.3">
      <c r="B34" s="71" t="s">
        <v>1093</v>
      </c>
      <c r="C34" s="65"/>
      <c r="D34" s="58" t="s">
        <v>263</v>
      </c>
      <c r="E34" s="71" t="s">
        <v>1094</v>
      </c>
      <c r="F34" s="65"/>
      <c r="G34" s="58" t="s">
        <v>263</v>
      </c>
      <c r="H34" s="71" t="s">
        <v>1095</v>
      </c>
      <c r="I34" s="65"/>
      <c r="J34" s="65"/>
      <c r="K34" s="65"/>
      <c r="L34" s="58" t="s">
        <v>263</v>
      </c>
      <c r="M34" s="71" t="s">
        <v>1096</v>
      </c>
      <c r="N34" s="65"/>
      <c r="O34" s="58" t="s">
        <v>263</v>
      </c>
      <c r="P34" s="59">
        <v>209</v>
      </c>
      <c r="Q34" s="58" t="s">
        <v>263</v>
      </c>
      <c r="R34" s="58" t="s">
        <v>918</v>
      </c>
      <c r="S34" s="58" t="s">
        <v>263</v>
      </c>
      <c r="T34" s="66">
        <v>0</v>
      </c>
      <c r="U34" s="65"/>
      <c r="V34" s="65"/>
      <c r="W34" s="58" t="s">
        <v>263</v>
      </c>
      <c r="X34" s="59">
        <v>0</v>
      </c>
      <c r="Y34" s="60" t="s">
        <v>263</v>
      </c>
      <c r="Z34" s="66">
        <v>0</v>
      </c>
      <c r="AA34" s="65"/>
      <c r="AB34" s="60" t="s">
        <v>263</v>
      </c>
      <c r="AC34" s="59">
        <v>0</v>
      </c>
    </row>
    <row r="35" spans="2:29" x14ac:dyDescent="0.3">
      <c r="B35" s="71" t="s">
        <v>1097</v>
      </c>
      <c r="C35" s="65"/>
      <c r="D35" s="58" t="s">
        <v>263</v>
      </c>
      <c r="E35" s="71" t="s">
        <v>1098</v>
      </c>
      <c r="F35" s="65"/>
      <c r="G35" s="58" t="s">
        <v>263</v>
      </c>
      <c r="H35" s="71" t="s">
        <v>1099</v>
      </c>
      <c r="I35" s="65"/>
      <c r="J35" s="65"/>
      <c r="K35" s="65"/>
      <c r="L35" s="58" t="s">
        <v>263</v>
      </c>
      <c r="M35" s="71" t="s">
        <v>1100</v>
      </c>
      <c r="N35" s="65"/>
      <c r="O35" s="58" t="s">
        <v>263</v>
      </c>
      <c r="P35" s="59">
        <v>280</v>
      </c>
      <c r="Q35" s="58" t="s">
        <v>263</v>
      </c>
      <c r="R35" s="58" t="s">
        <v>918</v>
      </c>
      <c r="S35" s="58" t="s">
        <v>263</v>
      </c>
      <c r="T35" s="66">
        <v>0</v>
      </c>
      <c r="U35" s="65"/>
      <c r="V35" s="65"/>
      <c r="W35" s="58" t="s">
        <v>263</v>
      </c>
      <c r="X35" s="59">
        <v>0</v>
      </c>
      <c r="Y35" s="60" t="s">
        <v>263</v>
      </c>
      <c r="Z35" s="66">
        <v>0</v>
      </c>
      <c r="AA35" s="65"/>
      <c r="AB35" s="60" t="s">
        <v>263</v>
      </c>
      <c r="AC35" s="59">
        <v>0</v>
      </c>
    </row>
    <row r="36" spans="2:29" x14ac:dyDescent="0.3">
      <c r="B36" s="71" t="s">
        <v>1101</v>
      </c>
      <c r="C36" s="65"/>
      <c r="D36" s="58" t="s">
        <v>263</v>
      </c>
      <c r="E36" s="71" t="s">
        <v>1102</v>
      </c>
      <c r="F36" s="65"/>
      <c r="G36" s="58" t="s">
        <v>263</v>
      </c>
      <c r="H36" s="71" t="s">
        <v>1103</v>
      </c>
      <c r="I36" s="65"/>
      <c r="J36" s="65"/>
      <c r="K36" s="65"/>
      <c r="L36" s="58" t="s">
        <v>263</v>
      </c>
      <c r="M36" s="71" t="s">
        <v>1104</v>
      </c>
      <c r="N36" s="65"/>
      <c r="O36" s="58" t="s">
        <v>263</v>
      </c>
      <c r="P36" s="59">
        <v>221</v>
      </c>
      <c r="Q36" s="58" t="s">
        <v>263</v>
      </c>
      <c r="R36" s="58" t="s">
        <v>918</v>
      </c>
      <c r="S36" s="58" t="s">
        <v>263</v>
      </c>
      <c r="T36" s="66">
        <v>0</v>
      </c>
      <c r="U36" s="65"/>
      <c r="V36" s="65"/>
      <c r="W36" s="58" t="s">
        <v>263</v>
      </c>
      <c r="X36" s="59">
        <v>0</v>
      </c>
      <c r="Y36" s="60" t="s">
        <v>263</v>
      </c>
      <c r="Z36" s="66">
        <v>0</v>
      </c>
      <c r="AA36" s="65"/>
      <c r="AB36" s="60" t="s">
        <v>263</v>
      </c>
      <c r="AC36" s="59">
        <v>0</v>
      </c>
    </row>
    <row r="37" spans="2:29" x14ac:dyDescent="0.3">
      <c r="B37" s="71" t="s">
        <v>1105</v>
      </c>
      <c r="C37" s="65"/>
      <c r="D37" s="58" t="s">
        <v>263</v>
      </c>
      <c r="E37" s="71" t="s">
        <v>1106</v>
      </c>
      <c r="F37" s="65"/>
      <c r="G37" s="58" t="s">
        <v>263</v>
      </c>
      <c r="H37" s="71" t="s">
        <v>1107</v>
      </c>
      <c r="I37" s="65"/>
      <c r="J37" s="65"/>
      <c r="K37" s="65"/>
      <c r="L37" s="58" t="s">
        <v>263</v>
      </c>
      <c r="M37" s="71" t="s">
        <v>1108</v>
      </c>
      <c r="N37" s="65"/>
      <c r="O37" s="58" t="s">
        <v>263</v>
      </c>
      <c r="P37" s="59">
        <v>221</v>
      </c>
      <c r="Q37" s="58" t="s">
        <v>263</v>
      </c>
      <c r="R37" s="58" t="s">
        <v>918</v>
      </c>
      <c r="S37" s="58" t="s">
        <v>263</v>
      </c>
      <c r="T37" s="66">
        <v>0</v>
      </c>
      <c r="U37" s="65"/>
      <c r="V37" s="65"/>
      <c r="W37" s="58" t="s">
        <v>263</v>
      </c>
      <c r="X37" s="59">
        <v>0</v>
      </c>
      <c r="Y37" s="60" t="s">
        <v>263</v>
      </c>
      <c r="Z37" s="66">
        <v>0</v>
      </c>
      <c r="AA37" s="65"/>
      <c r="AB37" s="60" t="s">
        <v>263</v>
      </c>
      <c r="AC37" s="59">
        <v>0</v>
      </c>
    </row>
    <row r="38" spans="2:29" x14ac:dyDescent="0.3">
      <c r="B38" s="71" t="s">
        <v>1109</v>
      </c>
      <c r="C38" s="65"/>
      <c r="D38" s="58" t="s">
        <v>263</v>
      </c>
      <c r="E38" s="71" t="s">
        <v>1110</v>
      </c>
      <c r="F38" s="65"/>
      <c r="G38" s="58" t="s">
        <v>263</v>
      </c>
      <c r="H38" s="71" t="s">
        <v>1111</v>
      </c>
      <c r="I38" s="65"/>
      <c r="J38" s="65"/>
      <c r="K38" s="65"/>
      <c r="L38" s="58" t="s">
        <v>263</v>
      </c>
      <c r="M38" s="71" t="s">
        <v>1112</v>
      </c>
      <c r="N38" s="65"/>
      <c r="O38" s="58" t="s">
        <v>263</v>
      </c>
      <c r="P38" s="59">
        <v>216</v>
      </c>
      <c r="Q38" s="58" t="s">
        <v>263</v>
      </c>
      <c r="R38" s="58" t="s">
        <v>918</v>
      </c>
      <c r="S38" s="58" t="s">
        <v>263</v>
      </c>
      <c r="T38" s="66">
        <v>0</v>
      </c>
      <c r="U38" s="65"/>
      <c r="V38" s="65"/>
      <c r="W38" s="58" t="s">
        <v>263</v>
      </c>
      <c r="X38" s="59">
        <v>0</v>
      </c>
      <c r="Y38" s="60" t="s">
        <v>263</v>
      </c>
      <c r="Z38" s="66">
        <v>0</v>
      </c>
      <c r="AA38" s="65"/>
      <c r="AB38" s="60" t="s">
        <v>263</v>
      </c>
      <c r="AC38" s="59">
        <v>0</v>
      </c>
    </row>
    <row r="39" spans="2:29" x14ac:dyDescent="0.3">
      <c r="B39" s="71" t="s">
        <v>1113</v>
      </c>
      <c r="C39" s="65"/>
      <c r="D39" s="58" t="s">
        <v>263</v>
      </c>
      <c r="E39" s="71" t="s">
        <v>1114</v>
      </c>
      <c r="F39" s="65"/>
      <c r="G39" s="58" t="s">
        <v>263</v>
      </c>
      <c r="H39" s="71" t="s">
        <v>1115</v>
      </c>
      <c r="I39" s="65"/>
      <c r="J39" s="65"/>
      <c r="K39" s="65"/>
      <c r="L39" s="58" t="s">
        <v>263</v>
      </c>
      <c r="M39" s="71" t="s">
        <v>1116</v>
      </c>
      <c r="N39" s="65"/>
      <c r="O39" s="58" t="s">
        <v>263</v>
      </c>
      <c r="P39" s="59">
        <v>252</v>
      </c>
      <c r="Q39" s="58" t="s">
        <v>263</v>
      </c>
      <c r="R39" s="58" t="s">
        <v>918</v>
      </c>
      <c r="S39" s="58" t="s">
        <v>263</v>
      </c>
      <c r="T39" s="66">
        <v>0</v>
      </c>
      <c r="U39" s="65"/>
      <c r="V39" s="65"/>
      <c r="W39" s="58" t="s">
        <v>263</v>
      </c>
      <c r="X39" s="59">
        <v>0</v>
      </c>
      <c r="Y39" s="60" t="s">
        <v>263</v>
      </c>
      <c r="Z39" s="66">
        <v>0</v>
      </c>
      <c r="AA39" s="65"/>
      <c r="AB39" s="60" t="s">
        <v>263</v>
      </c>
      <c r="AC39" s="59">
        <v>0</v>
      </c>
    </row>
    <row r="40" spans="2:29" x14ac:dyDescent="0.3">
      <c r="B40" s="71" t="s">
        <v>1117</v>
      </c>
      <c r="C40" s="65"/>
      <c r="D40" s="58" t="s">
        <v>263</v>
      </c>
      <c r="E40" s="71" t="s">
        <v>1118</v>
      </c>
      <c r="F40" s="65"/>
      <c r="G40" s="58" t="s">
        <v>263</v>
      </c>
      <c r="H40" s="71" t="s">
        <v>1119</v>
      </c>
      <c r="I40" s="65"/>
      <c r="J40" s="65"/>
      <c r="K40" s="65"/>
      <c r="L40" s="58" t="s">
        <v>263</v>
      </c>
      <c r="M40" s="71" t="s">
        <v>1120</v>
      </c>
      <c r="N40" s="65"/>
      <c r="O40" s="58" t="s">
        <v>263</v>
      </c>
      <c r="P40" s="59">
        <v>186</v>
      </c>
      <c r="Q40" s="58" t="s">
        <v>263</v>
      </c>
      <c r="R40" s="58" t="s">
        <v>918</v>
      </c>
      <c r="S40" s="58" t="s">
        <v>263</v>
      </c>
      <c r="T40" s="66">
        <v>0</v>
      </c>
      <c r="U40" s="65"/>
      <c r="V40" s="65"/>
      <c r="W40" s="58" t="s">
        <v>263</v>
      </c>
      <c r="X40" s="59">
        <v>0</v>
      </c>
      <c r="Y40" s="60" t="s">
        <v>263</v>
      </c>
      <c r="Z40" s="66">
        <v>0</v>
      </c>
      <c r="AA40" s="65"/>
      <c r="AB40" s="60" t="s">
        <v>263</v>
      </c>
      <c r="AC40" s="59">
        <v>0</v>
      </c>
    </row>
    <row r="41" spans="2:29" x14ac:dyDescent="0.3">
      <c r="B41" s="71" t="s">
        <v>1121</v>
      </c>
      <c r="C41" s="65"/>
      <c r="D41" s="58" t="s">
        <v>263</v>
      </c>
      <c r="E41" s="71" t="s">
        <v>1122</v>
      </c>
      <c r="F41" s="65"/>
      <c r="G41" s="58" t="s">
        <v>263</v>
      </c>
      <c r="H41" s="71" t="s">
        <v>1123</v>
      </c>
      <c r="I41" s="65"/>
      <c r="J41" s="65"/>
      <c r="K41" s="65"/>
      <c r="L41" s="58" t="s">
        <v>263</v>
      </c>
      <c r="M41" s="71" t="s">
        <v>1124</v>
      </c>
      <c r="N41" s="65"/>
      <c r="O41" s="58" t="s">
        <v>263</v>
      </c>
      <c r="P41" s="59">
        <v>103</v>
      </c>
      <c r="Q41" s="58" t="s">
        <v>263</v>
      </c>
      <c r="R41" s="58" t="s">
        <v>918</v>
      </c>
      <c r="S41" s="58" t="s">
        <v>263</v>
      </c>
      <c r="T41" s="66">
        <v>0</v>
      </c>
      <c r="U41" s="65"/>
      <c r="V41" s="65"/>
      <c r="W41" s="58" t="s">
        <v>263</v>
      </c>
      <c r="X41" s="59">
        <v>0</v>
      </c>
      <c r="Y41" s="60" t="s">
        <v>263</v>
      </c>
      <c r="Z41" s="66">
        <v>0</v>
      </c>
      <c r="AA41" s="65"/>
      <c r="AB41" s="60" t="s">
        <v>263</v>
      </c>
      <c r="AC41" s="59">
        <v>0</v>
      </c>
    </row>
    <row r="42" spans="2:29" x14ac:dyDescent="0.3">
      <c r="B42" s="71" t="s">
        <v>1125</v>
      </c>
      <c r="C42" s="65"/>
      <c r="D42" s="58" t="s">
        <v>263</v>
      </c>
      <c r="E42" s="71" t="s">
        <v>1126</v>
      </c>
      <c r="F42" s="65"/>
      <c r="G42" s="58" t="s">
        <v>263</v>
      </c>
      <c r="H42" s="71" t="s">
        <v>1127</v>
      </c>
      <c r="I42" s="65"/>
      <c r="J42" s="65"/>
      <c r="K42" s="65"/>
      <c r="L42" s="58" t="s">
        <v>263</v>
      </c>
      <c r="M42" s="71" t="s">
        <v>1128</v>
      </c>
      <c r="N42" s="65"/>
      <c r="O42" s="58" t="s">
        <v>263</v>
      </c>
      <c r="P42" s="59">
        <v>158</v>
      </c>
      <c r="Q42" s="58" t="s">
        <v>263</v>
      </c>
      <c r="R42" s="58" t="s">
        <v>918</v>
      </c>
      <c r="S42" s="58" t="s">
        <v>263</v>
      </c>
      <c r="T42" s="66">
        <v>0</v>
      </c>
      <c r="U42" s="65"/>
      <c r="V42" s="65"/>
      <c r="W42" s="58" t="s">
        <v>263</v>
      </c>
      <c r="X42" s="59">
        <v>0</v>
      </c>
      <c r="Y42" s="60" t="s">
        <v>263</v>
      </c>
      <c r="Z42" s="66">
        <v>0</v>
      </c>
      <c r="AA42" s="65"/>
      <c r="AB42" s="60" t="s">
        <v>263</v>
      </c>
      <c r="AC42" s="59">
        <v>0</v>
      </c>
    </row>
    <row r="43" spans="2:29" x14ac:dyDescent="0.3">
      <c r="B43" s="71" t="s">
        <v>1129</v>
      </c>
      <c r="C43" s="65"/>
      <c r="D43" s="58" t="s">
        <v>263</v>
      </c>
      <c r="E43" s="71" t="s">
        <v>1130</v>
      </c>
      <c r="F43" s="65"/>
      <c r="G43" s="58" t="s">
        <v>263</v>
      </c>
      <c r="H43" s="71" t="s">
        <v>1131</v>
      </c>
      <c r="I43" s="65"/>
      <c r="J43" s="65"/>
      <c r="K43" s="65"/>
      <c r="L43" s="58" t="s">
        <v>263</v>
      </c>
      <c r="M43" s="71" t="s">
        <v>1132</v>
      </c>
      <c r="N43" s="65"/>
      <c r="O43" s="58" t="s">
        <v>263</v>
      </c>
      <c r="P43" s="59">
        <v>129</v>
      </c>
      <c r="Q43" s="58" t="s">
        <v>263</v>
      </c>
      <c r="R43" s="58" t="s">
        <v>918</v>
      </c>
      <c r="S43" s="58" t="s">
        <v>263</v>
      </c>
      <c r="T43" s="66">
        <v>0</v>
      </c>
      <c r="U43" s="65"/>
      <c r="V43" s="65"/>
      <c r="W43" s="58" t="s">
        <v>263</v>
      </c>
      <c r="X43" s="59">
        <v>0</v>
      </c>
      <c r="Y43" s="60" t="s">
        <v>263</v>
      </c>
      <c r="Z43" s="66">
        <v>0</v>
      </c>
      <c r="AA43" s="65"/>
      <c r="AB43" s="60" t="s">
        <v>263</v>
      </c>
      <c r="AC43" s="59">
        <v>0</v>
      </c>
    </row>
    <row r="44" spans="2:29" x14ac:dyDescent="0.3">
      <c r="B44" s="71" t="s">
        <v>1133</v>
      </c>
      <c r="C44" s="65"/>
      <c r="D44" s="58" t="s">
        <v>263</v>
      </c>
      <c r="E44" s="71" t="s">
        <v>1134</v>
      </c>
      <c r="F44" s="65"/>
      <c r="G44" s="58" t="s">
        <v>263</v>
      </c>
      <c r="H44" s="71" t="s">
        <v>1135</v>
      </c>
      <c r="I44" s="65"/>
      <c r="J44" s="65"/>
      <c r="K44" s="65"/>
      <c r="L44" s="58" t="s">
        <v>263</v>
      </c>
      <c r="M44" s="71" t="s">
        <v>1136</v>
      </c>
      <c r="N44" s="65"/>
      <c r="O44" s="58" t="s">
        <v>263</v>
      </c>
      <c r="P44" s="59">
        <v>179</v>
      </c>
      <c r="Q44" s="58" t="s">
        <v>263</v>
      </c>
      <c r="R44" s="58" t="s">
        <v>918</v>
      </c>
      <c r="S44" s="58" t="s">
        <v>263</v>
      </c>
      <c r="T44" s="66">
        <v>0</v>
      </c>
      <c r="U44" s="65"/>
      <c r="V44" s="65"/>
      <c r="W44" s="58" t="s">
        <v>263</v>
      </c>
      <c r="X44" s="59">
        <v>0</v>
      </c>
      <c r="Y44" s="60" t="s">
        <v>263</v>
      </c>
      <c r="Z44" s="66">
        <v>0</v>
      </c>
      <c r="AA44" s="65"/>
      <c r="AB44" s="60" t="s">
        <v>263</v>
      </c>
      <c r="AC44" s="59">
        <v>0</v>
      </c>
    </row>
    <row r="45" spans="2:29" x14ac:dyDescent="0.3">
      <c r="B45" s="71" t="s">
        <v>1137</v>
      </c>
      <c r="C45" s="65"/>
      <c r="D45" s="58" t="s">
        <v>263</v>
      </c>
      <c r="E45" s="71" t="s">
        <v>1138</v>
      </c>
      <c r="F45" s="65"/>
      <c r="G45" s="58" t="s">
        <v>263</v>
      </c>
      <c r="H45" s="71" t="s">
        <v>1139</v>
      </c>
      <c r="I45" s="65"/>
      <c r="J45" s="65"/>
      <c r="K45" s="65"/>
      <c r="L45" s="58" t="s">
        <v>263</v>
      </c>
      <c r="M45" s="71" t="s">
        <v>1140</v>
      </c>
      <c r="N45" s="65"/>
      <c r="O45" s="58" t="s">
        <v>263</v>
      </c>
      <c r="P45" s="59">
        <v>168</v>
      </c>
      <c r="Q45" s="58" t="s">
        <v>263</v>
      </c>
      <c r="R45" s="58" t="s">
        <v>918</v>
      </c>
      <c r="S45" s="58" t="s">
        <v>263</v>
      </c>
      <c r="T45" s="66">
        <v>0</v>
      </c>
      <c r="U45" s="65"/>
      <c r="V45" s="65"/>
      <c r="W45" s="58" t="s">
        <v>263</v>
      </c>
      <c r="X45" s="59">
        <v>0</v>
      </c>
      <c r="Y45" s="60" t="s">
        <v>263</v>
      </c>
      <c r="Z45" s="66">
        <v>0</v>
      </c>
      <c r="AA45" s="65"/>
      <c r="AB45" s="60" t="s">
        <v>263</v>
      </c>
      <c r="AC45" s="59">
        <v>0</v>
      </c>
    </row>
    <row r="46" spans="2:29" x14ac:dyDescent="0.3">
      <c r="B46" s="71" t="s">
        <v>1141</v>
      </c>
      <c r="C46" s="65"/>
      <c r="D46" s="58" t="s">
        <v>263</v>
      </c>
      <c r="E46" s="71" t="s">
        <v>1142</v>
      </c>
      <c r="F46" s="65"/>
      <c r="G46" s="58" t="s">
        <v>263</v>
      </c>
      <c r="H46" s="71" t="s">
        <v>1143</v>
      </c>
      <c r="I46" s="65"/>
      <c r="J46" s="65"/>
      <c r="K46" s="65"/>
      <c r="L46" s="58" t="s">
        <v>263</v>
      </c>
      <c r="M46" s="71" t="s">
        <v>1072</v>
      </c>
      <c r="N46" s="65"/>
      <c r="O46" s="58" t="s">
        <v>263</v>
      </c>
      <c r="P46" s="59">
        <v>174</v>
      </c>
      <c r="Q46" s="58" t="s">
        <v>263</v>
      </c>
      <c r="R46" s="58" t="s">
        <v>918</v>
      </c>
      <c r="S46" s="58" t="s">
        <v>263</v>
      </c>
      <c r="T46" s="66">
        <v>0</v>
      </c>
      <c r="U46" s="65"/>
      <c r="V46" s="65"/>
      <c r="W46" s="58" t="s">
        <v>263</v>
      </c>
      <c r="X46" s="59">
        <v>0</v>
      </c>
      <c r="Y46" s="60" t="s">
        <v>263</v>
      </c>
      <c r="Z46" s="66">
        <v>0</v>
      </c>
      <c r="AA46" s="65"/>
      <c r="AB46" s="60" t="s">
        <v>263</v>
      </c>
      <c r="AC46" s="59">
        <v>0</v>
      </c>
    </row>
    <row r="47" spans="2:29" x14ac:dyDescent="0.3">
      <c r="B47" s="71" t="s">
        <v>1144</v>
      </c>
      <c r="C47" s="65"/>
      <c r="D47" s="58" t="s">
        <v>263</v>
      </c>
      <c r="E47" s="71" t="s">
        <v>1145</v>
      </c>
      <c r="F47" s="65"/>
      <c r="G47" s="58" t="s">
        <v>263</v>
      </c>
      <c r="H47" s="71" t="s">
        <v>1146</v>
      </c>
      <c r="I47" s="65"/>
      <c r="J47" s="65"/>
      <c r="K47" s="65"/>
      <c r="L47" s="58" t="s">
        <v>263</v>
      </c>
      <c r="M47" s="71" t="s">
        <v>1147</v>
      </c>
      <c r="N47" s="65"/>
      <c r="O47" s="58" t="s">
        <v>263</v>
      </c>
      <c r="P47" s="59">
        <v>173</v>
      </c>
      <c r="Q47" s="58" t="s">
        <v>263</v>
      </c>
      <c r="R47" s="58" t="s">
        <v>918</v>
      </c>
      <c r="S47" s="58" t="s">
        <v>263</v>
      </c>
      <c r="T47" s="66">
        <v>0</v>
      </c>
      <c r="U47" s="65"/>
      <c r="V47" s="65"/>
      <c r="W47" s="58" t="s">
        <v>263</v>
      </c>
      <c r="X47" s="59">
        <v>0</v>
      </c>
      <c r="Y47" s="60" t="s">
        <v>263</v>
      </c>
      <c r="Z47" s="66">
        <v>0</v>
      </c>
      <c r="AA47" s="65"/>
      <c r="AB47" s="60" t="s">
        <v>263</v>
      </c>
      <c r="AC47" s="59">
        <v>0</v>
      </c>
    </row>
    <row r="48" spans="2:29" x14ac:dyDescent="0.3">
      <c r="B48" s="71" t="s">
        <v>1148</v>
      </c>
      <c r="C48" s="65"/>
      <c r="D48" s="58" t="s">
        <v>263</v>
      </c>
      <c r="E48" s="71" t="s">
        <v>1149</v>
      </c>
      <c r="F48" s="65"/>
      <c r="G48" s="58" t="s">
        <v>263</v>
      </c>
      <c r="H48" s="71" t="s">
        <v>1150</v>
      </c>
      <c r="I48" s="65"/>
      <c r="J48" s="65"/>
      <c r="K48" s="65"/>
      <c r="L48" s="58" t="s">
        <v>263</v>
      </c>
      <c r="M48" s="71" t="s">
        <v>1147</v>
      </c>
      <c r="N48" s="65"/>
      <c r="O48" s="58" t="s">
        <v>263</v>
      </c>
      <c r="P48" s="59">
        <v>93</v>
      </c>
      <c r="Q48" s="58" t="s">
        <v>263</v>
      </c>
      <c r="R48" s="58" t="s">
        <v>918</v>
      </c>
      <c r="S48" s="58" t="s">
        <v>263</v>
      </c>
      <c r="T48" s="66">
        <v>0</v>
      </c>
      <c r="U48" s="65"/>
      <c r="V48" s="65"/>
      <c r="W48" s="58" t="s">
        <v>263</v>
      </c>
      <c r="X48" s="59">
        <v>0</v>
      </c>
      <c r="Y48" s="60" t="s">
        <v>263</v>
      </c>
      <c r="Z48" s="66">
        <v>0</v>
      </c>
      <c r="AA48" s="65"/>
      <c r="AB48" s="60" t="s">
        <v>263</v>
      </c>
      <c r="AC48" s="59">
        <v>0</v>
      </c>
    </row>
    <row r="49" spans="2:29" x14ac:dyDescent="0.3">
      <c r="B49" s="71" t="s">
        <v>1151</v>
      </c>
      <c r="C49" s="65"/>
      <c r="D49" s="58" t="s">
        <v>263</v>
      </c>
      <c r="E49" s="71" t="s">
        <v>1152</v>
      </c>
      <c r="F49" s="65"/>
      <c r="G49" s="58" t="s">
        <v>263</v>
      </c>
      <c r="H49" s="71" t="s">
        <v>1153</v>
      </c>
      <c r="I49" s="65"/>
      <c r="J49" s="65"/>
      <c r="K49" s="65"/>
      <c r="L49" s="58" t="s">
        <v>263</v>
      </c>
      <c r="M49" s="71" t="s">
        <v>1154</v>
      </c>
      <c r="N49" s="65"/>
      <c r="O49" s="58" t="s">
        <v>263</v>
      </c>
      <c r="P49" s="59">
        <v>210</v>
      </c>
      <c r="Q49" s="58" t="s">
        <v>263</v>
      </c>
      <c r="R49" s="58" t="s">
        <v>918</v>
      </c>
      <c r="S49" s="58" t="s">
        <v>263</v>
      </c>
      <c r="T49" s="66">
        <v>0</v>
      </c>
      <c r="U49" s="65"/>
      <c r="V49" s="65"/>
      <c r="W49" s="58" t="s">
        <v>263</v>
      </c>
      <c r="X49" s="59">
        <v>0</v>
      </c>
      <c r="Y49" s="60" t="s">
        <v>263</v>
      </c>
      <c r="Z49" s="66">
        <v>0</v>
      </c>
      <c r="AA49" s="65"/>
      <c r="AB49" s="60" t="s">
        <v>263</v>
      </c>
      <c r="AC49" s="59">
        <v>0</v>
      </c>
    </row>
    <row r="50" spans="2:29" x14ac:dyDescent="0.3">
      <c r="B50" s="71" t="s">
        <v>1155</v>
      </c>
      <c r="C50" s="65"/>
      <c r="D50" s="58" t="s">
        <v>263</v>
      </c>
      <c r="E50" s="71" t="s">
        <v>1156</v>
      </c>
      <c r="F50" s="65"/>
      <c r="G50" s="58" t="s">
        <v>263</v>
      </c>
      <c r="H50" s="71" t="s">
        <v>1157</v>
      </c>
      <c r="I50" s="65"/>
      <c r="J50" s="65"/>
      <c r="K50" s="65"/>
      <c r="L50" s="58" t="s">
        <v>263</v>
      </c>
      <c r="M50" s="71" t="s">
        <v>1158</v>
      </c>
      <c r="N50" s="65"/>
      <c r="O50" s="58" t="s">
        <v>263</v>
      </c>
      <c r="P50" s="59">
        <v>233</v>
      </c>
      <c r="Q50" s="58" t="s">
        <v>263</v>
      </c>
      <c r="R50" s="58" t="s">
        <v>1159</v>
      </c>
      <c r="S50" s="58" t="s">
        <v>263</v>
      </c>
      <c r="T50" s="66">
        <v>0</v>
      </c>
      <c r="U50" s="65"/>
      <c r="V50" s="65"/>
      <c r="W50" s="58" t="s">
        <v>263</v>
      </c>
      <c r="X50" s="59">
        <v>-233</v>
      </c>
      <c r="Y50" s="60" t="s">
        <v>263</v>
      </c>
      <c r="Z50" s="66">
        <v>0</v>
      </c>
      <c r="AA50" s="65"/>
      <c r="AB50" s="60" t="s">
        <v>263</v>
      </c>
      <c r="AC50" s="59">
        <v>0</v>
      </c>
    </row>
    <row r="51" spans="2:29" x14ac:dyDescent="0.3">
      <c r="B51" s="71" t="s">
        <v>1160</v>
      </c>
      <c r="C51" s="65"/>
      <c r="D51" s="58" t="s">
        <v>263</v>
      </c>
      <c r="E51" s="71" t="s">
        <v>1161</v>
      </c>
      <c r="F51" s="65"/>
      <c r="G51" s="58" t="s">
        <v>263</v>
      </c>
      <c r="H51" s="71" t="s">
        <v>1162</v>
      </c>
      <c r="I51" s="65"/>
      <c r="J51" s="65"/>
      <c r="K51" s="65"/>
      <c r="L51" s="58" t="s">
        <v>263</v>
      </c>
      <c r="M51" s="71" t="s">
        <v>1009</v>
      </c>
      <c r="N51" s="65"/>
      <c r="O51" s="58" t="s">
        <v>263</v>
      </c>
      <c r="P51" s="59">
        <v>156</v>
      </c>
      <c r="Q51" s="58" t="s">
        <v>263</v>
      </c>
      <c r="R51" s="58" t="s">
        <v>918</v>
      </c>
      <c r="S51" s="58" t="s">
        <v>263</v>
      </c>
      <c r="T51" s="66">
        <v>0</v>
      </c>
      <c r="U51" s="65"/>
      <c r="V51" s="65"/>
      <c r="W51" s="58" t="s">
        <v>263</v>
      </c>
      <c r="X51" s="59">
        <v>0</v>
      </c>
      <c r="Y51" s="60" t="s">
        <v>263</v>
      </c>
      <c r="Z51" s="66">
        <v>0</v>
      </c>
      <c r="AA51" s="65"/>
      <c r="AB51" s="60" t="s">
        <v>263</v>
      </c>
      <c r="AC51" s="59">
        <v>0</v>
      </c>
    </row>
    <row r="52" spans="2:29" x14ac:dyDescent="0.3">
      <c r="B52" s="71" t="s">
        <v>1163</v>
      </c>
      <c r="C52" s="65"/>
      <c r="D52" s="58" t="s">
        <v>263</v>
      </c>
      <c r="E52" s="71" t="s">
        <v>1164</v>
      </c>
      <c r="F52" s="65"/>
      <c r="G52" s="58" t="s">
        <v>263</v>
      </c>
      <c r="H52" s="71" t="s">
        <v>1165</v>
      </c>
      <c r="I52" s="65"/>
      <c r="J52" s="65"/>
      <c r="K52" s="65"/>
      <c r="L52" s="58" t="s">
        <v>263</v>
      </c>
      <c r="M52" s="71" t="s">
        <v>1166</v>
      </c>
      <c r="N52" s="65"/>
      <c r="O52" s="58" t="s">
        <v>263</v>
      </c>
      <c r="P52" s="59">
        <v>117</v>
      </c>
      <c r="Q52" s="58" t="s">
        <v>263</v>
      </c>
      <c r="R52" s="58" t="s">
        <v>918</v>
      </c>
      <c r="S52" s="58" t="s">
        <v>263</v>
      </c>
      <c r="T52" s="66">
        <v>0</v>
      </c>
      <c r="U52" s="65"/>
      <c r="V52" s="65"/>
      <c r="W52" s="58" t="s">
        <v>263</v>
      </c>
      <c r="X52" s="59">
        <v>0</v>
      </c>
      <c r="Y52" s="60" t="s">
        <v>263</v>
      </c>
      <c r="Z52" s="66">
        <v>0</v>
      </c>
      <c r="AA52" s="65"/>
      <c r="AB52" s="60" t="s">
        <v>263</v>
      </c>
      <c r="AC52" s="59">
        <v>0</v>
      </c>
    </row>
    <row r="53" spans="2:29" x14ac:dyDescent="0.3">
      <c r="B53" s="71" t="s">
        <v>1167</v>
      </c>
      <c r="C53" s="65"/>
      <c r="D53" s="58" t="s">
        <v>263</v>
      </c>
      <c r="E53" s="71" t="s">
        <v>1168</v>
      </c>
      <c r="F53" s="65"/>
      <c r="G53" s="58" t="s">
        <v>263</v>
      </c>
      <c r="H53" s="71" t="s">
        <v>1169</v>
      </c>
      <c r="I53" s="65"/>
      <c r="J53" s="65"/>
      <c r="K53" s="65"/>
      <c r="L53" s="58" t="s">
        <v>263</v>
      </c>
      <c r="M53" s="71" t="s">
        <v>1170</v>
      </c>
      <c r="N53" s="65"/>
      <c r="O53" s="58" t="s">
        <v>263</v>
      </c>
      <c r="P53" s="59">
        <v>245</v>
      </c>
      <c r="Q53" s="58" t="s">
        <v>263</v>
      </c>
      <c r="R53" s="58" t="s">
        <v>918</v>
      </c>
      <c r="S53" s="58" t="s">
        <v>263</v>
      </c>
      <c r="T53" s="66">
        <v>0</v>
      </c>
      <c r="U53" s="65"/>
      <c r="V53" s="65"/>
      <c r="W53" s="58" t="s">
        <v>263</v>
      </c>
      <c r="X53" s="59">
        <v>0</v>
      </c>
      <c r="Y53" s="60" t="s">
        <v>263</v>
      </c>
      <c r="Z53" s="66">
        <v>0</v>
      </c>
      <c r="AA53" s="65"/>
      <c r="AB53" s="60" t="s">
        <v>263</v>
      </c>
      <c r="AC53" s="59">
        <v>0</v>
      </c>
    </row>
    <row r="54" spans="2:29" x14ac:dyDescent="0.3">
      <c r="B54" s="71" t="s">
        <v>1171</v>
      </c>
      <c r="C54" s="65"/>
      <c r="D54" s="58" t="s">
        <v>263</v>
      </c>
      <c r="E54" s="71" t="s">
        <v>1172</v>
      </c>
      <c r="F54" s="65"/>
      <c r="G54" s="58" t="s">
        <v>263</v>
      </c>
      <c r="H54" s="71" t="s">
        <v>1173</v>
      </c>
      <c r="I54" s="65"/>
      <c r="J54" s="65"/>
      <c r="K54" s="65"/>
      <c r="L54" s="58" t="s">
        <v>263</v>
      </c>
      <c r="M54" s="71" t="s">
        <v>1046</v>
      </c>
      <c r="N54" s="65"/>
      <c r="O54" s="58" t="s">
        <v>263</v>
      </c>
      <c r="P54" s="59">
        <v>188</v>
      </c>
      <c r="Q54" s="58" t="s">
        <v>263</v>
      </c>
      <c r="R54" s="58" t="s">
        <v>918</v>
      </c>
      <c r="S54" s="58" t="s">
        <v>263</v>
      </c>
      <c r="T54" s="66">
        <v>0</v>
      </c>
      <c r="U54" s="65"/>
      <c r="V54" s="65"/>
      <c r="W54" s="58" t="s">
        <v>263</v>
      </c>
      <c r="X54" s="59">
        <v>0</v>
      </c>
      <c r="Y54" s="60" t="s">
        <v>263</v>
      </c>
      <c r="Z54" s="66">
        <v>0</v>
      </c>
      <c r="AA54" s="65"/>
      <c r="AB54" s="60" t="s">
        <v>263</v>
      </c>
      <c r="AC54" s="59">
        <v>0</v>
      </c>
    </row>
    <row r="55" spans="2:29" x14ac:dyDescent="0.3">
      <c r="B55" s="71" t="s">
        <v>1174</v>
      </c>
      <c r="C55" s="65"/>
      <c r="D55" s="58" t="s">
        <v>263</v>
      </c>
      <c r="E55" s="71" t="s">
        <v>1175</v>
      </c>
      <c r="F55" s="65"/>
      <c r="G55" s="58" t="s">
        <v>263</v>
      </c>
      <c r="H55" s="71" t="s">
        <v>1176</v>
      </c>
      <c r="I55" s="65"/>
      <c r="J55" s="65"/>
      <c r="K55" s="65"/>
      <c r="L55" s="58" t="s">
        <v>263</v>
      </c>
      <c r="M55" s="71" t="s">
        <v>1177</v>
      </c>
      <c r="N55" s="65"/>
      <c r="O55" s="58" t="s">
        <v>263</v>
      </c>
      <c r="P55" s="59">
        <v>257</v>
      </c>
      <c r="Q55" s="58" t="s">
        <v>263</v>
      </c>
      <c r="R55" s="58" t="s">
        <v>918</v>
      </c>
      <c r="S55" s="58" t="s">
        <v>263</v>
      </c>
      <c r="T55" s="66">
        <v>0</v>
      </c>
      <c r="U55" s="65"/>
      <c r="V55" s="65"/>
      <c r="W55" s="58" t="s">
        <v>263</v>
      </c>
      <c r="X55" s="59">
        <v>0</v>
      </c>
      <c r="Y55" s="60" t="s">
        <v>263</v>
      </c>
      <c r="Z55" s="66">
        <v>0</v>
      </c>
      <c r="AA55" s="65"/>
      <c r="AB55" s="60" t="s">
        <v>263</v>
      </c>
      <c r="AC55" s="59">
        <v>0</v>
      </c>
    </row>
    <row r="56" spans="2:29" x14ac:dyDescent="0.3">
      <c r="B56" s="71" t="s">
        <v>1178</v>
      </c>
      <c r="C56" s="65"/>
      <c r="D56" s="58" t="s">
        <v>263</v>
      </c>
      <c r="E56" s="71" t="s">
        <v>1175</v>
      </c>
      <c r="F56" s="65"/>
      <c r="G56" s="58" t="s">
        <v>263</v>
      </c>
      <c r="H56" s="71" t="s">
        <v>1176</v>
      </c>
      <c r="I56" s="65"/>
      <c r="J56" s="65"/>
      <c r="K56" s="65"/>
      <c r="L56" s="58" t="s">
        <v>263</v>
      </c>
      <c r="M56" s="71" t="s">
        <v>1179</v>
      </c>
      <c r="N56" s="65"/>
      <c r="O56" s="58" t="s">
        <v>263</v>
      </c>
      <c r="P56" s="59">
        <v>276</v>
      </c>
      <c r="Q56" s="58" t="s">
        <v>263</v>
      </c>
      <c r="R56" s="58" t="s">
        <v>918</v>
      </c>
      <c r="S56" s="58" t="s">
        <v>263</v>
      </c>
      <c r="T56" s="66">
        <v>0</v>
      </c>
      <c r="U56" s="65"/>
      <c r="V56" s="65"/>
      <c r="W56" s="58" t="s">
        <v>263</v>
      </c>
      <c r="X56" s="59">
        <v>0</v>
      </c>
      <c r="Y56" s="60" t="s">
        <v>263</v>
      </c>
      <c r="Z56" s="66">
        <v>0</v>
      </c>
      <c r="AA56" s="65"/>
      <c r="AB56" s="60" t="s">
        <v>263</v>
      </c>
      <c r="AC56" s="59">
        <v>0</v>
      </c>
    </row>
    <row r="57" spans="2:29" x14ac:dyDescent="0.3">
      <c r="B57" s="71" t="s">
        <v>1180</v>
      </c>
      <c r="C57" s="65"/>
      <c r="D57" s="58" t="s">
        <v>263</v>
      </c>
      <c r="E57" s="71" t="s">
        <v>1181</v>
      </c>
      <c r="F57" s="65"/>
      <c r="G57" s="58" t="s">
        <v>263</v>
      </c>
      <c r="H57" s="71" t="s">
        <v>1182</v>
      </c>
      <c r="I57" s="65"/>
      <c r="J57" s="65"/>
      <c r="K57" s="65"/>
      <c r="L57" s="58" t="s">
        <v>263</v>
      </c>
      <c r="M57" s="71" t="s">
        <v>1183</v>
      </c>
      <c r="N57" s="65"/>
      <c r="O57" s="58" t="s">
        <v>263</v>
      </c>
      <c r="P57" s="59">
        <v>142</v>
      </c>
      <c r="Q57" s="58" t="s">
        <v>263</v>
      </c>
      <c r="R57" s="58" t="s">
        <v>918</v>
      </c>
      <c r="S57" s="58" t="s">
        <v>263</v>
      </c>
      <c r="T57" s="66">
        <v>0</v>
      </c>
      <c r="U57" s="65"/>
      <c r="V57" s="65"/>
      <c r="W57" s="58" t="s">
        <v>263</v>
      </c>
      <c r="X57" s="59">
        <v>0</v>
      </c>
      <c r="Y57" s="60" t="s">
        <v>263</v>
      </c>
      <c r="Z57" s="66">
        <v>0</v>
      </c>
      <c r="AA57" s="65"/>
      <c r="AB57" s="60" t="s">
        <v>263</v>
      </c>
      <c r="AC57" s="59">
        <v>0</v>
      </c>
    </row>
    <row r="58" spans="2:29" x14ac:dyDescent="0.3">
      <c r="B58" s="71" t="s">
        <v>1184</v>
      </c>
      <c r="C58" s="65"/>
      <c r="D58" s="58" t="s">
        <v>263</v>
      </c>
      <c r="E58" s="71" t="s">
        <v>1185</v>
      </c>
      <c r="F58" s="65"/>
      <c r="G58" s="58" t="s">
        <v>263</v>
      </c>
      <c r="H58" s="71" t="s">
        <v>1186</v>
      </c>
      <c r="I58" s="65"/>
      <c r="J58" s="65"/>
      <c r="K58" s="65"/>
      <c r="L58" s="58" t="s">
        <v>263</v>
      </c>
      <c r="M58" s="71" t="s">
        <v>1187</v>
      </c>
      <c r="N58" s="65"/>
      <c r="O58" s="58" t="s">
        <v>263</v>
      </c>
      <c r="P58" s="59">
        <v>214</v>
      </c>
      <c r="Q58" s="58" t="s">
        <v>263</v>
      </c>
      <c r="R58" s="58" t="s">
        <v>1159</v>
      </c>
      <c r="S58" s="58" t="s">
        <v>263</v>
      </c>
      <c r="T58" s="66">
        <v>0</v>
      </c>
      <c r="U58" s="65"/>
      <c r="V58" s="65"/>
      <c r="W58" s="58" t="s">
        <v>263</v>
      </c>
      <c r="X58" s="59">
        <v>-214</v>
      </c>
      <c r="Y58" s="60" t="s">
        <v>263</v>
      </c>
      <c r="Z58" s="66">
        <v>0</v>
      </c>
      <c r="AA58" s="65"/>
      <c r="AB58" s="60" t="s">
        <v>263</v>
      </c>
      <c r="AC58" s="59">
        <v>0</v>
      </c>
    </row>
    <row r="59" spans="2:29" x14ac:dyDescent="0.3">
      <c r="B59" s="71" t="s">
        <v>1188</v>
      </c>
      <c r="C59" s="65"/>
      <c r="D59" s="58" t="s">
        <v>263</v>
      </c>
      <c r="E59" s="71" t="s">
        <v>1189</v>
      </c>
      <c r="F59" s="65"/>
      <c r="G59" s="58" t="s">
        <v>263</v>
      </c>
      <c r="H59" s="71" t="s">
        <v>1190</v>
      </c>
      <c r="I59" s="65"/>
      <c r="J59" s="65"/>
      <c r="K59" s="65"/>
      <c r="L59" s="58" t="s">
        <v>263</v>
      </c>
      <c r="M59" s="71" t="s">
        <v>1187</v>
      </c>
      <c r="N59" s="65"/>
      <c r="O59" s="58" t="s">
        <v>263</v>
      </c>
      <c r="P59" s="59">
        <v>245</v>
      </c>
      <c r="Q59" s="58" t="s">
        <v>263</v>
      </c>
      <c r="R59" s="58" t="s">
        <v>918</v>
      </c>
      <c r="S59" s="58" t="s">
        <v>263</v>
      </c>
      <c r="T59" s="66">
        <v>0</v>
      </c>
      <c r="U59" s="65"/>
      <c r="V59" s="65"/>
      <c r="W59" s="58" t="s">
        <v>263</v>
      </c>
      <c r="X59" s="59">
        <v>0</v>
      </c>
      <c r="Y59" s="60" t="s">
        <v>263</v>
      </c>
      <c r="Z59" s="66">
        <v>0</v>
      </c>
      <c r="AA59" s="65"/>
      <c r="AB59" s="60" t="s">
        <v>263</v>
      </c>
      <c r="AC59" s="59">
        <v>0</v>
      </c>
    </row>
    <row r="60" spans="2:29" x14ac:dyDescent="0.3">
      <c r="B60" s="71" t="s">
        <v>1191</v>
      </c>
      <c r="C60" s="65"/>
      <c r="D60" s="58" t="s">
        <v>263</v>
      </c>
      <c r="E60" s="71" t="s">
        <v>1192</v>
      </c>
      <c r="F60" s="65"/>
      <c r="G60" s="58" t="s">
        <v>263</v>
      </c>
      <c r="H60" s="71" t="s">
        <v>1193</v>
      </c>
      <c r="I60" s="65"/>
      <c r="J60" s="65"/>
      <c r="K60" s="65"/>
      <c r="L60" s="58" t="s">
        <v>263</v>
      </c>
      <c r="M60" s="71" t="s">
        <v>1187</v>
      </c>
      <c r="N60" s="65"/>
      <c r="O60" s="58" t="s">
        <v>263</v>
      </c>
      <c r="P60" s="59">
        <v>203</v>
      </c>
      <c r="Q60" s="58" t="s">
        <v>263</v>
      </c>
      <c r="R60" s="58" t="s">
        <v>918</v>
      </c>
      <c r="S60" s="58" t="s">
        <v>263</v>
      </c>
      <c r="T60" s="66">
        <v>0</v>
      </c>
      <c r="U60" s="65"/>
      <c r="V60" s="65"/>
      <c r="W60" s="58" t="s">
        <v>263</v>
      </c>
      <c r="X60" s="59">
        <v>0</v>
      </c>
      <c r="Y60" s="60" t="s">
        <v>263</v>
      </c>
      <c r="Z60" s="66">
        <v>0</v>
      </c>
      <c r="AA60" s="65"/>
      <c r="AB60" s="60" t="s">
        <v>263</v>
      </c>
      <c r="AC60" s="59">
        <v>0</v>
      </c>
    </row>
    <row r="61" spans="2:29" x14ac:dyDescent="0.3">
      <c r="B61" s="71" t="s">
        <v>1194</v>
      </c>
      <c r="C61" s="65"/>
      <c r="D61" s="58" t="s">
        <v>263</v>
      </c>
      <c r="E61" s="71" t="s">
        <v>1195</v>
      </c>
      <c r="F61" s="65"/>
      <c r="G61" s="58" t="s">
        <v>263</v>
      </c>
      <c r="H61" s="71" t="s">
        <v>1196</v>
      </c>
      <c r="I61" s="65"/>
      <c r="J61" s="65"/>
      <c r="K61" s="65"/>
      <c r="L61" s="58" t="s">
        <v>263</v>
      </c>
      <c r="M61" s="71" t="s">
        <v>1021</v>
      </c>
      <c r="N61" s="65"/>
      <c r="O61" s="58" t="s">
        <v>263</v>
      </c>
      <c r="P61" s="59">
        <v>131</v>
      </c>
      <c r="Q61" s="58" t="s">
        <v>263</v>
      </c>
      <c r="R61" s="58" t="s">
        <v>918</v>
      </c>
      <c r="S61" s="58" t="s">
        <v>263</v>
      </c>
      <c r="T61" s="66">
        <v>0</v>
      </c>
      <c r="U61" s="65"/>
      <c r="V61" s="65"/>
      <c r="W61" s="58" t="s">
        <v>263</v>
      </c>
      <c r="X61" s="59">
        <v>0</v>
      </c>
      <c r="Y61" s="60" t="s">
        <v>263</v>
      </c>
      <c r="Z61" s="66">
        <v>0</v>
      </c>
      <c r="AA61" s="65"/>
      <c r="AB61" s="60" t="s">
        <v>263</v>
      </c>
      <c r="AC61" s="59">
        <v>0</v>
      </c>
    </row>
    <row r="62" spans="2:29" x14ac:dyDescent="0.3">
      <c r="B62" s="71" t="s">
        <v>1197</v>
      </c>
      <c r="C62" s="65"/>
      <c r="D62" s="58" t="s">
        <v>263</v>
      </c>
      <c r="E62" s="71" t="s">
        <v>1198</v>
      </c>
      <c r="F62" s="65"/>
      <c r="G62" s="58" t="s">
        <v>263</v>
      </c>
      <c r="H62" s="71" t="s">
        <v>1199</v>
      </c>
      <c r="I62" s="65"/>
      <c r="J62" s="65"/>
      <c r="K62" s="65"/>
      <c r="L62" s="58" t="s">
        <v>263</v>
      </c>
      <c r="M62" s="71" t="s">
        <v>1021</v>
      </c>
      <c r="N62" s="65"/>
      <c r="O62" s="58" t="s">
        <v>263</v>
      </c>
      <c r="P62" s="59">
        <v>161</v>
      </c>
      <c r="Q62" s="58" t="s">
        <v>263</v>
      </c>
      <c r="R62" s="58" t="s">
        <v>918</v>
      </c>
      <c r="S62" s="58" t="s">
        <v>263</v>
      </c>
      <c r="T62" s="66">
        <v>0</v>
      </c>
      <c r="U62" s="65"/>
      <c r="V62" s="65"/>
      <c r="W62" s="58" t="s">
        <v>263</v>
      </c>
      <c r="X62" s="59">
        <v>0</v>
      </c>
      <c r="Y62" s="60" t="s">
        <v>263</v>
      </c>
      <c r="Z62" s="66">
        <v>0</v>
      </c>
      <c r="AA62" s="65"/>
      <c r="AB62" s="60" t="s">
        <v>263</v>
      </c>
      <c r="AC62" s="59">
        <v>0</v>
      </c>
    </row>
    <row r="63" spans="2:29" x14ac:dyDescent="0.3">
      <c r="B63" s="71" t="s">
        <v>1200</v>
      </c>
      <c r="C63" s="65"/>
      <c r="D63" s="58" t="s">
        <v>263</v>
      </c>
      <c r="E63" s="71" t="s">
        <v>1201</v>
      </c>
      <c r="F63" s="65"/>
      <c r="G63" s="58" t="s">
        <v>263</v>
      </c>
      <c r="H63" s="71" t="s">
        <v>1202</v>
      </c>
      <c r="I63" s="65"/>
      <c r="J63" s="65"/>
      <c r="K63" s="65"/>
      <c r="L63" s="58" t="s">
        <v>263</v>
      </c>
      <c r="M63" s="71" t="s">
        <v>1187</v>
      </c>
      <c r="N63" s="65"/>
      <c r="O63" s="58" t="s">
        <v>263</v>
      </c>
      <c r="P63" s="59">
        <v>104</v>
      </c>
      <c r="Q63" s="58" t="s">
        <v>263</v>
      </c>
      <c r="R63" s="58" t="s">
        <v>918</v>
      </c>
      <c r="S63" s="58" t="s">
        <v>263</v>
      </c>
      <c r="T63" s="66">
        <v>0</v>
      </c>
      <c r="U63" s="65"/>
      <c r="V63" s="65"/>
      <c r="W63" s="58" t="s">
        <v>263</v>
      </c>
      <c r="X63" s="59">
        <v>0</v>
      </c>
      <c r="Y63" s="60" t="s">
        <v>263</v>
      </c>
      <c r="Z63" s="66">
        <v>0</v>
      </c>
      <c r="AA63" s="65"/>
      <c r="AB63" s="60" t="s">
        <v>263</v>
      </c>
      <c r="AC63" s="59">
        <v>0</v>
      </c>
    </row>
    <row r="64" spans="2:29" x14ac:dyDescent="0.3">
      <c r="B64" s="71" t="s">
        <v>1203</v>
      </c>
      <c r="C64" s="65"/>
      <c r="D64" s="58" t="s">
        <v>263</v>
      </c>
      <c r="E64" s="71" t="s">
        <v>1204</v>
      </c>
      <c r="F64" s="65"/>
      <c r="G64" s="58" t="s">
        <v>263</v>
      </c>
      <c r="H64" s="71" t="s">
        <v>1205</v>
      </c>
      <c r="I64" s="65"/>
      <c r="J64" s="65"/>
      <c r="K64" s="65"/>
      <c r="L64" s="58" t="s">
        <v>263</v>
      </c>
      <c r="M64" s="71" t="s">
        <v>1021</v>
      </c>
      <c r="N64" s="65"/>
      <c r="O64" s="58" t="s">
        <v>263</v>
      </c>
      <c r="P64" s="59">
        <v>139</v>
      </c>
      <c r="Q64" s="58" t="s">
        <v>263</v>
      </c>
      <c r="R64" s="58" t="s">
        <v>918</v>
      </c>
      <c r="S64" s="58" t="s">
        <v>263</v>
      </c>
      <c r="T64" s="66">
        <v>0</v>
      </c>
      <c r="U64" s="65"/>
      <c r="V64" s="65"/>
      <c r="W64" s="58" t="s">
        <v>263</v>
      </c>
      <c r="X64" s="59">
        <v>0</v>
      </c>
      <c r="Y64" s="60" t="s">
        <v>263</v>
      </c>
      <c r="Z64" s="66">
        <v>0</v>
      </c>
      <c r="AA64" s="65"/>
      <c r="AB64" s="60" t="s">
        <v>263</v>
      </c>
      <c r="AC64" s="59">
        <v>0</v>
      </c>
    </row>
    <row r="65" spans="2:29" x14ac:dyDescent="0.3">
      <c r="B65" s="71" t="s">
        <v>1206</v>
      </c>
      <c r="C65" s="65"/>
      <c r="D65" s="58" t="s">
        <v>263</v>
      </c>
      <c r="E65" s="71" t="s">
        <v>1207</v>
      </c>
      <c r="F65" s="65"/>
      <c r="G65" s="58" t="s">
        <v>263</v>
      </c>
      <c r="H65" s="71" t="s">
        <v>1208</v>
      </c>
      <c r="I65" s="65"/>
      <c r="J65" s="65"/>
      <c r="K65" s="65"/>
      <c r="L65" s="58" t="s">
        <v>263</v>
      </c>
      <c r="M65" s="71" t="s">
        <v>1154</v>
      </c>
      <c r="N65" s="65"/>
      <c r="O65" s="58" t="s">
        <v>263</v>
      </c>
      <c r="P65" s="59">
        <v>132</v>
      </c>
      <c r="Q65" s="58" t="s">
        <v>263</v>
      </c>
      <c r="R65" s="58" t="s">
        <v>918</v>
      </c>
      <c r="S65" s="58" t="s">
        <v>263</v>
      </c>
      <c r="T65" s="66">
        <v>0</v>
      </c>
      <c r="U65" s="65"/>
      <c r="V65" s="65"/>
      <c r="W65" s="58" t="s">
        <v>263</v>
      </c>
      <c r="X65" s="59">
        <v>0</v>
      </c>
      <c r="Y65" s="60" t="s">
        <v>263</v>
      </c>
      <c r="Z65" s="66">
        <v>0</v>
      </c>
      <c r="AA65" s="65"/>
      <c r="AB65" s="60" t="s">
        <v>263</v>
      </c>
      <c r="AC65" s="59">
        <v>0</v>
      </c>
    </row>
    <row r="66" spans="2:29" x14ac:dyDescent="0.3">
      <c r="B66" s="71" t="s">
        <v>1209</v>
      </c>
      <c r="C66" s="65"/>
      <c r="D66" s="58" t="s">
        <v>263</v>
      </c>
      <c r="E66" s="71" t="s">
        <v>1210</v>
      </c>
      <c r="F66" s="65"/>
      <c r="G66" s="58" t="s">
        <v>263</v>
      </c>
      <c r="H66" s="71" t="s">
        <v>1211</v>
      </c>
      <c r="I66" s="65"/>
      <c r="J66" s="65"/>
      <c r="K66" s="65"/>
      <c r="L66" s="58" t="s">
        <v>263</v>
      </c>
      <c r="M66" s="71" t="s">
        <v>1187</v>
      </c>
      <c r="N66" s="65"/>
      <c r="O66" s="58" t="s">
        <v>263</v>
      </c>
      <c r="P66" s="59">
        <v>131</v>
      </c>
      <c r="Q66" s="58" t="s">
        <v>263</v>
      </c>
      <c r="R66" s="58" t="s">
        <v>918</v>
      </c>
      <c r="S66" s="58" t="s">
        <v>263</v>
      </c>
      <c r="T66" s="66">
        <v>0</v>
      </c>
      <c r="U66" s="65"/>
      <c r="V66" s="65"/>
      <c r="W66" s="58" t="s">
        <v>263</v>
      </c>
      <c r="X66" s="59">
        <v>0</v>
      </c>
      <c r="Y66" s="60" t="s">
        <v>263</v>
      </c>
      <c r="Z66" s="66">
        <v>0</v>
      </c>
      <c r="AA66" s="65"/>
      <c r="AB66" s="60" t="s">
        <v>263</v>
      </c>
      <c r="AC66" s="59">
        <v>0</v>
      </c>
    </row>
    <row r="67" spans="2:29" x14ac:dyDescent="0.3">
      <c r="B67" s="71" t="s">
        <v>1212</v>
      </c>
      <c r="C67" s="65"/>
      <c r="D67" s="58" t="s">
        <v>263</v>
      </c>
      <c r="E67" s="71" t="s">
        <v>1213</v>
      </c>
      <c r="F67" s="65"/>
      <c r="G67" s="58" t="s">
        <v>263</v>
      </c>
      <c r="H67" s="71" t="s">
        <v>1214</v>
      </c>
      <c r="I67" s="65"/>
      <c r="J67" s="65"/>
      <c r="K67" s="65"/>
      <c r="L67" s="58" t="s">
        <v>263</v>
      </c>
      <c r="M67" s="71" t="s">
        <v>1187</v>
      </c>
      <c r="N67" s="65"/>
      <c r="O67" s="58" t="s">
        <v>263</v>
      </c>
      <c r="P67" s="59">
        <v>152</v>
      </c>
      <c r="Q67" s="58" t="s">
        <v>263</v>
      </c>
      <c r="R67" s="58" t="s">
        <v>1159</v>
      </c>
      <c r="S67" s="58" t="s">
        <v>263</v>
      </c>
      <c r="T67" s="66">
        <v>0</v>
      </c>
      <c r="U67" s="65"/>
      <c r="V67" s="65"/>
      <c r="W67" s="58" t="s">
        <v>263</v>
      </c>
      <c r="X67" s="59">
        <v>-152</v>
      </c>
      <c r="Y67" s="60" t="s">
        <v>263</v>
      </c>
      <c r="Z67" s="66">
        <v>0</v>
      </c>
      <c r="AA67" s="65"/>
      <c r="AB67" s="60" t="s">
        <v>263</v>
      </c>
      <c r="AC67" s="59">
        <v>0</v>
      </c>
    </row>
    <row r="68" spans="2:29" x14ac:dyDescent="0.3">
      <c r="B68" s="71" t="s">
        <v>1215</v>
      </c>
      <c r="C68" s="65"/>
      <c r="D68" s="58" t="s">
        <v>263</v>
      </c>
      <c r="E68" s="71" t="s">
        <v>1216</v>
      </c>
      <c r="F68" s="65"/>
      <c r="G68" s="58" t="s">
        <v>263</v>
      </c>
      <c r="H68" s="71" t="s">
        <v>1217</v>
      </c>
      <c r="I68" s="65"/>
      <c r="J68" s="65"/>
      <c r="K68" s="65"/>
      <c r="L68" s="58" t="s">
        <v>263</v>
      </c>
      <c r="M68" s="71" t="s">
        <v>1218</v>
      </c>
      <c r="N68" s="65"/>
      <c r="O68" s="58" t="s">
        <v>263</v>
      </c>
      <c r="P68" s="59">
        <v>136</v>
      </c>
      <c r="Q68" s="58" t="s">
        <v>263</v>
      </c>
      <c r="R68" s="58" t="s">
        <v>918</v>
      </c>
      <c r="S68" s="58" t="s">
        <v>263</v>
      </c>
      <c r="T68" s="66">
        <v>0</v>
      </c>
      <c r="U68" s="65"/>
      <c r="V68" s="65"/>
      <c r="W68" s="58" t="s">
        <v>263</v>
      </c>
      <c r="X68" s="59">
        <v>0</v>
      </c>
      <c r="Y68" s="60" t="s">
        <v>263</v>
      </c>
      <c r="Z68" s="66">
        <v>0</v>
      </c>
      <c r="AA68" s="65"/>
      <c r="AB68" s="60" t="s">
        <v>263</v>
      </c>
      <c r="AC68" s="59">
        <v>0</v>
      </c>
    </row>
    <row r="69" spans="2:29" x14ac:dyDescent="0.3">
      <c r="B69" s="71" t="s">
        <v>1219</v>
      </c>
      <c r="C69" s="65"/>
      <c r="D69" s="58" t="s">
        <v>263</v>
      </c>
      <c r="E69" s="71" t="s">
        <v>1220</v>
      </c>
      <c r="F69" s="65"/>
      <c r="G69" s="58" t="s">
        <v>263</v>
      </c>
      <c r="H69" s="71" t="s">
        <v>1221</v>
      </c>
      <c r="I69" s="65"/>
      <c r="J69" s="65"/>
      <c r="K69" s="65"/>
      <c r="L69" s="58" t="s">
        <v>263</v>
      </c>
      <c r="M69" s="71" t="s">
        <v>1154</v>
      </c>
      <c r="N69" s="65"/>
      <c r="O69" s="58" t="s">
        <v>263</v>
      </c>
      <c r="P69" s="59">
        <v>129</v>
      </c>
      <c r="Q69" s="58" t="s">
        <v>263</v>
      </c>
      <c r="R69" s="58" t="s">
        <v>1159</v>
      </c>
      <c r="S69" s="58" t="s">
        <v>263</v>
      </c>
      <c r="T69" s="66">
        <v>0</v>
      </c>
      <c r="U69" s="65"/>
      <c r="V69" s="65"/>
      <c r="W69" s="58" t="s">
        <v>263</v>
      </c>
      <c r="X69" s="59">
        <v>-117</v>
      </c>
      <c r="Y69" s="60" t="s">
        <v>263</v>
      </c>
      <c r="Z69" s="66">
        <v>0</v>
      </c>
      <c r="AA69" s="65"/>
      <c r="AB69" s="60" t="s">
        <v>263</v>
      </c>
      <c r="AC69" s="59">
        <v>0</v>
      </c>
    </row>
    <row r="70" spans="2:29" x14ac:dyDescent="0.3">
      <c r="B70" s="71" t="s">
        <v>1222</v>
      </c>
      <c r="C70" s="65"/>
      <c r="D70" s="58" t="s">
        <v>263</v>
      </c>
      <c r="E70" s="71" t="s">
        <v>1223</v>
      </c>
      <c r="F70" s="65"/>
      <c r="G70" s="58" t="s">
        <v>263</v>
      </c>
      <c r="H70" s="71" t="s">
        <v>1224</v>
      </c>
      <c r="I70" s="65"/>
      <c r="J70" s="65"/>
      <c r="K70" s="65"/>
      <c r="L70" s="58" t="s">
        <v>263</v>
      </c>
      <c r="M70" s="71" t="s">
        <v>1225</v>
      </c>
      <c r="N70" s="65"/>
      <c r="O70" s="58" t="s">
        <v>263</v>
      </c>
      <c r="P70" s="59">
        <v>151</v>
      </c>
      <c r="Q70" s="58" t="s">
        <v>263</v>
      </c>
      <c r="R70" s="58" t="s">
        <v>918</v>
      </c>
      <c r="S70" s="58" t="s">
        <v>263</v>
      </c>
      <c r="T70" s="66">
        <v>0</v>
      </c>
      <c r="U70" s="65"/>
      <c r="V70" s="65"/>
      <c r="W70" s="58" t="s">
        <v>263</v>
      </c>
      <c r="X70" s="59">
        <v>0</v>
      </c>
      <c r="Y70" s="60" t="s">
        <v>263</v>
      </c>
      <c r="Z70" s="66">
        <v>0</v>
      </c>
      <c r="AA70" s="65"/>
      <c r="AB70" s="60" t="s">
        <v>263</v>
      </c>
      <c r="AC70" s="59">
        <v>0</v>
      </c>
    </row>
    <row r="71" spans="2:29" x14ac:dyDescent="0.3">
      <c r="B71" s="71" t="s">
        <v>1226</v>
      </c>
      <c r="C71" s="65"/>
      <c r="D71" s="58" t="s">
        <v>263</v>
      </c>
      <c r="E71" s="71" t="s">
        <v>1227</v>
      </c>
      <c r="F71" s="65"/>
      <c r="G71" s="58" t="s">
        <v>263</v>
      </c>
      <c r="H71" s="71" t="s">
        <v>1228</v>
      </c>
      <c r="I71" s="65"/>
      <c r="J71" s="65"/>
      <c r="K71" s="65"/>
      <c r="L71" s="58" t="s">
        <v>263</v>
      </c>
      <c r="M71" s="71" t="s">
        <v>1229</v>
      </c>
      <c r="N71" s="65"/>
      <c r="O71" s="58" t="s">
        <v>263</v>
      </c>
      <c r="P71" s="59">
        <v>119</v>
      </c>
      <c r="Q71" s="58" t="s">
        <v>263</v>
      </c>
      <c r="R71" s="58" t="s">
        <v>918</v>
      </c>
      <c r="S71" s="58" t="s">
        <v>263</v>
      </c>
      <c r="T71" s="66">
        <v>0</v>
      </c>
      <c r="U71" s="65"/>
      <c r="V71" s="65"/>
      <c r="W71" s="58" t="s">
        <v>263</v>
      </c>
      <c r="X71" s="59">
        <v>0</v>
      </c>
      <c r="Y71" s="60" t="s">
        <v>263</v>
      </c>
      <c r="Z71" s="66">
        <v>0</v>
      </c>
      <c r="AA71" s="65"/>
      <c r="AB71" s="60" t="s">
        <v>263</v>
      </c>
      <c r="AC71" s="59">
        <v>0</v>
      </c>
    </row>
    <row r="72" spans="2:29" x14ac:dyDescent="0.3">
      <c r="B72" s="71" t="s">
        <v>1230</v>
      </c>
      <c r="C72" s="65"/>
      <c r="D72" s="58" t="s">
        <v>263</v>
      </c>
      <c r="E72" s="71" t="s">
        <v>1231</v>
      </c>
      <c r="F72" s="65"/>
      <c r="G72" s="58" t="s">
        <v>263</v>
      </c>
      <c r="H72" s="71" t="s">
        <v>1232</v>
      </c>
      <c r="I72" s="65"/>
      <c r="J72" s="65"/>
      <c r="K72" s="65"/>
      <c r="L72" s="58" t="s">
        <v>263</v>
      </c>
      <c r="M72" s="71" t="s">
        <v>1154</v>
      </c>
      <c r="N72" s="65"/>
      <c r="O72" s="58" t="s">
        <v>263</v>
      </c>
      <c r="P72" s="59">
        <v>224</v>
      </c>
      <c r="Q72" s="58" t="s">
        <v>263</v>
      </c>
      <c r="R72" s="58" t="s">
        <v>918</v>
      </c>
      <c r="S72" s="58" t="s">
        <v>263</v>
      </c>
      <c r="T72" s="66">
        <v>0</v>
      </c>
      <c r="U72" s="65"/>
      <c r="V72" s="65"/>
      <c r="W72" s="58" t="s">
        <v>263</v>
      </c>
      <c r="X72" s="59">
        <v>0</v>
      </c>
      <c r="Y72" s="60" t="s">
        <v>263</v>
      </c>
      <c r="Z72" s="66">
        <v>0</v>
      </c>
      <c r="AA72" s="65"/>
      <c r="AB72" s="60" t="s">
        <v>263</v>
      </c>
      <c r="AC72" s="59">
        <v>0</v>
      </c>
    </row>
    <row r="73" spans="2:29" x14ac:dyDescent="0.3">
      <c r="B73" s="71" t="s">
        <v>1233</v>
      </c>
      <c r="C73" s="65"/>
      <c r="D73" s="58" t="s">
        <v>263</v>
      </c>
      <c r="E73" s="71" t="s">
        <v>1234</v>
      </c>
      <c r="F73" s="65"/>
      <c r="G73" s="58" t="s">
        <v>263</v>
      </c>
      <c r="H73" s="71" t="s">
        <v>1235</v>
      </c>
      <c r="I73" s="65"/>
      <c r="J73" s="65"/>
      <c r="K73" s="65"/>
      <c r="L73" s="58" t="s">
        <v>263</v>
      </c>
      <c r="M73" s="71" t="s">
        <v>1236</v>
      </c>
      <c r="N73" s="65"/>
      <c r="O73" s="58" t="s">
        <v>263</v>
      </c>
      <c r="P73" s="59">
        <v>246</v>
      </c>
      <c r="Q73" s="58" t="s">
        <v>263</v>
      </c>
      <c r="R73" s="58" t="s">
        <v>1159</v>
      </c>
      <c r="S73" s="58" t="s">
        <v>263</v>
      </c>
      <c r="T73" s="66">
        <v>0</v>
      </c>
      <c r="U73" s="65"/>
      <c r="V73" s="65"/>
      <c r="W73" s="58" t="s">
        <v>263</v>
      </c>
      <c r="X73" s="59">
        <v>-246</v>
      </c>
      <c r="Y73" s="60" t="s">
        <v>263</v>
      </c>
      <c r="Z73" s="66">
        <v>0</v>
      </c>
      <c r="AA73" s="65"/>
      <c r="AB73" s="60" t="s">
        <v>263</v>
      </c>
      <c r="AC73" s="59">
        <v>0</v>
      </c>
    </row>
    <row r="74" spans="2:29" x14ac:dyDescent="0.3">
      <c r="B74" s="71" t="s">
        <v>1237</v>
      </c>
      <c r="C74" s="65"/>
      <c r="D74" s="58" t="s">
        <v>263</v>
      </c>
      <c r="E74" s="71" t="s">
        <v>1234</v>
      </c>
      <c r="F74" s="65"/>
      <c r="G74" s="58" t="s">
        <v>263</v>
      </c>
      <c r="H74" s="71" t="s">
        <v>1235</v>
      </c>
      <c r="I74" s="65"/>
      <c r="J74" s="65"/>
      <c r="K74" s="65"/>
      <c r="L74" s="58" t="s">
        <v>263</v>
      </c>
      <c r="M74" s="71" t="s">
        <v>1238</v>
      </c>
      <c r="N74" s="65"/>
      <c r="O74" s="58" t="s">
        <v>263</v>
      </c>
      <c r="P74" s="59">
        <v>449</v>
      </c>
      <c r="Q74" s="58" t="s">
        <v>263</v>
      </c>
      <c r="R74" s="58" t="s">
        <v>1159</v>
      </c>
      <c r="S74" s="58" t="s">
        <v>263</v>
      </c>
      <c r="T74" s="66">
        <v>0</v>
      </c>
      <c r="U74" s="65"/>
      <c r="V74" s="65"/>
      <c r="W74" s="58" t="s">
        <v>263</v>
      </c>
      <c r="X74" s="59">
        <v>-449</v>
      </c>
      <c r="Y74" s="60" t="s">
        <v>263</v>
      </c>
      <c r="Z74" s="66">
        <v>0</v>
      </c>
      <c r="AA74" s="65"/>
      <c r="AB74" s="60" t="s">
        <v>263</v>
      </c>
      <c r="AC74" s="59">
        <v>0</v>
      </c>
    </row>
    <row r="75" spans="2:29" x14ac:dyDescent="0.3">
      <c r="B75" s="71" t="s">
        <v>1239</v>
      </c>
      <c r="C75" s="65"/>
      <c r="D75" s="58" t="s">
        <v>263</v>
      </c>
      <c r="E75" s="71" t="s">
        <v>1240</v>
      </c>
      <c r="F75" s="65"/>
      <c r="G75" s="58" t="s">
        <v>263</v>
      </c>
      <c r="H75" s="71" t="s">
        <v>1241</v>
      </c>
      <c r="I75" s="65"/>
      <c r="J75" s="65"/>
      <c r="K75" s="65"/>
      <c r="L75" s="58" t="s">
        <v>263</v>
      </c>
      <c r="M75" s="71" t="s">
        <v>1242</v>
      </c>
      <c r="N75" s="65"/>
      <c r="O75" s="58" t="s">
        <v>263</v>
      </c>
      <c r="P75" s="59">
        <v>123</v>
      </c>
      <c r="Q75" s="58" t="s">
        <v>263</v>
      </c>
      <c r="R75" s="58" t="s">
        <v>918</v>
      </c>
      <c r="S75" s="58" t="s">
        <v>263</v>
      </c>
      <c r="T75" s="66">
        <v>0</v>
      </c>
      <c r="U75" s="65"/>
      <c r="V75" s="65"/>
      <c r="W75" s="58" t="s">
        <v>263</v>
      </c>
      <c r="X75" s="59">
        <v>0</v>
      </c>
      <c r="Y75" s="60" t="s">
        <v>263</v>
      </c>
      <c r="Z75" s="66">
        <v>0</v>
      </c>
      <c r="AA75" s="65"/>
      <c r="AB75" s="60" t="s">
        <v>263</v>
      </c>
      <c r="AC75" s="59">
        <v>0</v>
      </c>
    </row>
    <row r="76" spans="2:29" x14ac:dyDescent="0.3">
      <c r="B76" s="71" t="s">
        <v>1243</v>
      </c>
      <c r="C76" s="65"/>
      <c r="D76" s="58" t="s">
        <v>263</v>
      </c>
      <c r="E76" s="71" t="s">
        <v>1244</v>
      </c>
      <c r="F76" s="65"/>
      <c r="G76" s="58" t="s">
        <v>263</v>
      </c>
      <c r="H76" s="71" t="s">
        <v>1245</v>
      </c>
      <c r="I76" s="65"/>
      <c r="J76" s="65"/>
      <c r="K76" s="65"/>
      <c r="L76" s="58" t="s">
        <v>263</v>
      </c>
      <c r="M76" s="71" t="s">
        <v>1246</v>
      </c>
      <c r="N76" s="65"/>
      <c r="O76" s="58" t="s">
        <v>263</v>
      </c>
      <c r="P76" s="59">
        <v>164</v>
      </c>
      <c r="Q76" s="58" t="s">
        <v>263</v>
      </c>
      <c r="R76" s="58" t="s">
        <v>918</v>
      </c>
      <c r="S76" s="58" t="s">
        <v>263</v>
      </c>
      <c r="T76" s="66">
        <v>0</v>
      </c>
      <c r="U76" s="65"/>
      <c r="V76" s="65"/>
      <c r="W76" s="58" t="s">
        <v>263</v>
      </c>
      <c r="X76" s="59">
        <v>0</v>
      </c>
      <c r="Y76" s="60" t="s">
        <v>263</v>
      </c>
      <c r="Z76" s="66">
        <v>0</v>
      </c>
      <c r="AA76" s="65"/>
      <c r="AB76" s="60" t="s">
        <v>263</v>
      </c>
      <c r="AC76" s="59">
        <v>0</v>
      </c>
    </row>
    <row r="77" spans="2:29" x14ac:dyDescent="0.3">
      <c r="B77" s="71" t="s">
        <v>1247</v>
      </c>
      <c r="C77" s="65"/>
      <c r="D77" s="58" t="s">
        <v>263</v>
      </c>
      <c r="E77" s="71" t="s">
        <v>1248</v>
      </c>
      <c r="F77" s="65"/>
      <c r="G77" s="58" t="s">
        <v>263</v>
      </c>
      <c r="H77" s="71" t="s">
        <v>1249</v>
      </c>
      <c r="I77" s="65"/>
      <c r="J77" s="65"/>
      <c r="K77" s="65"/>
      <c r="L77" s="58" t="s">
        <v>263</v>
      </c>
      <c r="M77" s="71" t="s">
        <v>1242</v>
      </c>
      <c r="N77" s="65"/>
      <c r="O77" s="58" t="s">
        <v>263</v>
      </c>
      <c r="P77" s="59">
        <v>182</v>
      </c>
      <c r="Q77" s="58" t="s">
        <v>263</v>
      </c>
      <c r="R77" s="58" t="s">
        <v>918</v>
      </c>
      <c r="S77" s="58" t="s">
        <v>263</v>
      </c>
      <c r="T77" s="66">
        <v>0</v>
      </c>
      <c r="U77" s="65"/>
      <c r="V77" s="65"/>
      <c r="W77" s="58" t="s">
        <v>263</v>
      </c>
      <c r="X77" s="59">
        <v>0</v>
      </c>
      <c r="Y77" s="60" t="s">
        <v>263</v>
      </c>
      <c r="Z77" s="66">
        <v>0</v>
      </c>
      <c r="AA77" s="65"/>
      <c r="AB77" s="60" t="s">
        <v>263</v>
      </c>
      <c r="AC77" s="59">
        <v>0</v>
      </c>
    </row>
    <row r="78" spans="2:29" x14ac:dyDescent="0.3">
      <c r="B78" s="71" t="s">
        <v>1250</v>
      </c>
      <c r="C78" s="65"/>
      <c r="D78" s="58" t="s">
        <v>263</v>
      </c>
      <c r="E78" s="71" t="s">
        <v>1251</v>
      </c>
      <c r="F78" s="65"/>
      <c r="G78" s="58" t="s">
        <v>263</v>
      </c>
      <c r="H78" s="71" t="s">
        <v>1252</v>
      </c>
      <c r="I78" s="65"/>
      <c r="J78" s="65"/>
      <c r="K78" s="65"/>
      <c r="L78" s="58" t="s">
        <v>263</v>
      </c>
      <c r="M78" s="71" t="s">
        <v>1253</v>
      </c>
      <c r="N78" s="65"/>
      <c r="O78" s="58" t="s">
        <v>263</v>
      </c>
      <c r="P78" s="59">
        <v>73</v>
      </c>
      <c r="Q78" s="58" t="s">
        <v>263</v>
      </c>
      <c r="R78" s="58" t="s">
        <v>918</v>
      </c>
      <c r="S78" s="58" t="s">
        <v>263</v>
      </c>
      <c r="T78" s="66">
        <v>0</v>
      </c>
      <c r="U78" s="65"/>
      <c r="V78" s="65"/>
      <c r="W78" s="58" t="s">
        <v>263</v>
      </c>
      <c r="X78" s="59">
        <v>0</v>
      </c>
      <c r="Y78" s="60" t="s">
        <v>263</v>
      </c>
      <c r="Z78" s="66">
        <v>0</v>
      </c>
      <c r="AA78" s="65"/>
      <c r="AB78" s="60" t="s">
        <v>263</v>
      </c>
      <c r="AC78" s="59">
        <v>0</v>
      </c>
    </row>
    <row r="79" spans="2:29" x14ac:dyDescent="0.3">
      <c r="B79" s="71" t="s">
        <v>1254</v>
      </c>
      <c r="C79" s="65"/>
      <c r="D79" s="58" t="s">
        <v>263</v>
      </c>
      <c r="E79" s="71" t="s">
        <v>1255</v>
      </c>
      <c r="F79" s="65"/>
      <c r="G79" s="58" t="s">
        <v>263</v>
      </c>
      <c r="H79" s="71" t="s">
        <v>1256</v>
      </c>
      <c r="I79" s="65"/>
      <c r="J79" s="65"/>
      <c r="K79" s="65"/>
      <c r="L79" s="58" t="s">
        <v>263</v>
      </c>
      <c r="M79" s="71" t="s">
        <v>1253</v>
      </c>
      <c r="N79" s="65"/>
      <c r="O79" s="58" t="s">
        <v>263</v>
      </c>
      <c r="P79" s="59">
        <v>105</v>
      </c>
      <c r="Q79" s="58" t="s">
        <v>263</v>
      </c>
      <c r="R79" s="58" t="s">
        <v>918</v>
      </c>
      <c r="S79" s="58" t="s">
        <v>263</v>
      </c>
      <c r="T79" s="66">
        <v>0</v>
      </c>
      <c r="U79" s="65"/>
      <c r="V79" s="65"/>
      <c r="W79" s="58" t="s">
        <v>263</v>
      </c>
      <c r="X79" s="59">
        <v>0</v>
      </c>
      <c r="Y79" s="60" t="s">
        <v>263</v>
      </c>
      <c r="Z79" s="66">
        <v>0</v>
      </c>
      <c r="AA79" s="65"/>
      <c r="AB79" s="60" t="s">
        <v>263</v>
      </c>
      <c r="AC79" s="59">
        <v>0</v>
      </c>
    </row>
    <row r="80" spans="2:29" x14ac:dyDescent="0.3">
      <c r="B80" s="71" t="s">
        <v>1257</v>
      </c>
      <c r="C80" s="65"/>
      <c r="D80" s="58" t="s">
        <v>263</v>
      </c>
      <c r="E80" s="71" t="s">
        <v>1258</v>
      </c>
      <c r="F80" s="65"/>
      <c r="G80" s="58" t="s">
        <v>263</v>
      </c>
      <c r="H80" s="71" t="s">
        <v>1259</v>
      </c>
      <c r="I80" s="65"/>
      <c r="J80" s="65"/>
      <c r="K80" s="65"/>
      <c r="L80" s="58" t="s">
        <v>263</v>
      </c>
      <c r="M80" s="71" t="s">
        <v>1253</v>
      </c>
      <c r="N80" s="65"/>
      <c r="O80" s="58" t="s">
        <v>263</v>
      </c>
      <c r="P80" s="59">
        <v>138</v>
      </c>
      <c r="Q80" s="58" t="s">
        <v>263</v>
      </c>
      <c r="R80" s="58" t="s">
        <v>918</v>
      </c>
      <c r="S80" s="58" t="s">
        <v>263</v>
      </c>
      <c r="T80" s="66">
        <v>0</v>
      </c>
      <c r="U80" s="65"/>
      <c r="V80" s="65"/>
      <c r="W80" s="58" t="s">
        <v>263</v>
      </c>
      <c r="X80" s="59">
        <v>0</v>
      </c>
      <c r="Y80" s="60" t="s">
        <v>263</v>
      </c>
      <c r="Z80" s="66">
        <v>0</v>
      </c>
      <c r="AA80" s="65"/>
      <c r="AB80" s="60" t="s">
        <v>263</v>
      </c>
      <c r="AC80" s="59">
        <v>0</v>
      </c>
    </row>
    <row r="81" spans="2:29" x14ac:dyDescent="0.3">
      <c r="B81" s="71" t="s">
        <v>1260</v>
      </c>
      <c r="C81" s="65"/>
      <c r="D81" s="58" t="s">
        <v>263</v>
      </c>
      <c r="E81" s="71" t="s">
        <v>1258</v>
      </c>
      <c r="F81" s="65"/>
      <c r="G81" s="58" t="s">
        <v>263</v>
      </c>
      <c r="H81" s="71" t="s">
        <v>1259</v>
      </c>
      <c r="I81" s="65"/>
      <c r="J81" s="65"/>
      <c r="K81" s="65"/>
      <c r="L81" s="58" t="s">
        <v>263</v>
      </c>
      <c r="M81" s="71" t="s">
        <v>1253</v>
      </c>
      <c r="N81" s="65"/>
      <c r="O81" s="58" t="s">
        <v>263</v>
      </c>
      <c r="P81" s="59">
        <v>138</v>
      </c>
      <c r="Q81" s="58" t="s">
        <v>263</v>
      </c>
      <c r="R81" s="58" t="s">
        <v>918</v>
      </c>
      <c r="S81" s="58" t="s">
        <v>263</v>
      </c>
      <c r="T81" s="66">
        <v>0</v>
      </c>
      <c r="U81" s="65"/>
      <c r="V81" s="65"/>
      <c r="W81" s="58" t="s">
        <v>263</v>
      </c>
      <c r="X81" s="59">
        <v>0</v>
      </c>
      <c r="Y81" s="60" t="s">
        <v>263</v>
      </c>
      <c r="Z81" s="66">
        <v>0</v>
      </c>
      <c r="AA81" s="65"/>
      <c r="AB81" s="60" t="s">
        <v>263</v>
      </c>
      <c r="AC81" s="59">
        <v>0</v>
      </c>
    </row>
    <row r="82" spans="2:29" x14ac:dyDescent="0.3">
      <c r="B82" s="71" t="s">
        <v>1261</v>
      </c>
      <c r="C82" s="65"/>
      <c r="D82" s="58" t="s">
        <v>263</v>
      </c>
      <c r="E82" s="71" t="s">
        <v>1258</v>
      </c>
      <c r="F82" s="65"/>
      <c r="G82" s="58" t="s">
        <v>263</v>
      </c>
      <c r="H82" s="71" t="s">
        <v>1259</v>
      </c>
      <c r="I82" s="65"/>
      <c r="J82" s="65"/>
      <c r="K82" s="65"/>
      <c r="L82" s="58" t="s">
        <v>263</v>
      </c>
      <c r="M82" s="71" t="s">
        <v>1253</v>
      </c>
      <c r="N82" s="65"/>
      <c r="O82" s="58" t="s">
        <v>263</v>
      </c>
      <c r="P82" s="59">
        <v>138</v>
      </c>
      <c r="Q82" s="58" t="s">
        <v>263</v>
      </c>
      <c r="R82" s="58" t="s">
        <v>918</v>
      </c>
      <c r="S82" s="58" t="s">
        <v>263</v>
      </c>
      <c r="T82" s="66">
        <v>0</v>
      </c>
      <c r="U82" s="65"/>
      <c r="V82" s="65"/>
      <c r="W82" s="58" t="s">
        <v>263</v>
      </c>
      <c r="X82" s="59">
        <v>0</v>
      </c>
      <c r="Y82" s="60" t="s">
        <v>263</v>
      </c>
      <c r="Z82" s="66">
        <v>0</v>
      </c>
      <c r="AA82" s="65"/>
      <c r="AB82" s="60" t="s">
        <v>263</v>
      </c>
      <c r="AC82" s="59">
        <v>0</v>
      </c>
    </row>
    <row r="83" spans="2:29" x14ac:dyDescent="0.3">
      <c r="B83" s="71" t="s">
        <v>1262</v>
      </c>
      <c r="C83" s="65"/>
      <c r="D83" s="58" t="s">
        <v>263</v>
      </c>
      <c r="E83" s="71" t="s">
        <v>1263</v>
      </c>
      <c r="F83" s="65"/>
      <c r="G83" s="58" t="s">
        <v>263</v>
      </c>
      <c r="H83" s="71" t="s">
        <v>1264</v>
      </c>
      <c r="I83" s="65"/>
      <c r="J83" s="65"/>
      <c r="K83" s="65"/>
      <c r="L83" s="58" t="s">
        <v>263</v>
      </c>
      <c r="M83" s="71" t="s">
        <v>1265</v>
      </c>
      <c r="N83" s="65"/>
      <c r="O83" s="58" t="s">
        <v>263</v>
      </c>
      <c r="P83" s="59">
        <v>193</v>
      </c>
      <c r="Q83" s="58" t="s">
        <v>263</v>
      </c>
      <c r="R83" s="58" t="s">
        <v>918</v>
      </c>
      <c r="S83" s="58" t="s">
        <v>263</v>
      </c>
      <c r="T83" s="66">
        <v>0</v>
      </c>
      <c r="U83" s="65"/>
      <c r="V83" s="65"/>
      <c r="W83" s="58" t="s">
        <v>263</v>
      </c>
      <c r="X83" s="59">
        <v>0</v>
      </c>
      <c r="Y83" s="60" t="s">
        <v>263</v>
      </c>
      <c r="Z83" s="66">
        <v>0</v>
      </c>
      <c r="AA83" s="65"/>
      <c r="AB83" s="60" t="s">
        <v>263</v>
      </c>
      <c r="AC83" s="59">
        <v>0</v>
      </c>
    </row>
    <row r="84" spans="2:29" x14ac:dyDescent="0.3">
      <c r="B84" s="71" t="s">
        <v>1266</v>
      </c>
      <c r="C84" s="65"/>
      <c r="D84" s="58" t="s">
        <v>263</v>
      </c>
      <c r="E84" s="71" t="s">
        <v>1267</v>
      </c>
      <c r="F84" s="65"/>
      <c r="G84" s="58" t="s">
        <v>263</v>
      </c>
      <c r="H84" s="71" t="s">
        <v>1268</v>
      </c>
      <c r="I84" s="65"/>
      <c r="J84" s="65"/>
      <c r="K84" s="65"/>
      <c r="L84" s="58" t="s">
        <v>263</v>
      </c>
      <c r="M84" s="71" t="s">
        <v>1265</v>
      </c>
      <c r="N84" s="65"/>
      <c r="O84" s="58" t="s">
        <v>263</v>
      </c>
      <c r="P84" s="59">
        <v>105</v>
      </c>
      <c r="Q84" s="58" t="s">
        <v>263</v>
      </c>
      <c r="R84" s="58" t="s">
        <v>1159</v>
      </c>
      <c r="S84" s="58" t="s">
        <v>263</v>
      </c>
      <c r="T84" s="66">
        <v>0</v>
      </c>
      <c r="U84" s="65"/>
      <c r="V84" s="65"/>
      <c r="W84" s="58" t="s">
        <v>263</v>
      </c>
      <c r="X84" s="59">
        <v>-105</v>
      </c>
      <c r="Y84" s="60" t="s">
        <v>263</v>
      </c>
      <c r="Z84" s="66">
        <v>0</v>
      </c>
      <c r="AA84" s="65"/>
      <c r="AB84" s="60" t="s">
        <v>263</v>
      </c>
      <c r="AC84" s="59">
        <v>0</v>
      </c>
    </row>
    <row r="85" spans="2:29" x14ac:dyDescent="0.3">
      <c r="B85" s="71" t="s">
        <v>1269</v>
      </c>
      <c r="C85" s="65"/>
      <c r="D85" s="58" t="s">
        <v>263</v>
      </c>
      <c r="E85" s="71" t="s">
        <v>1270</v>
      </c>
      <c r="F85" s="65"/>
      <c r="G85" s="58" t="s">
        <v>263</v>
      </c>
      <c r="H85" s="71" t="s">
        <v>1271</v>
      </c>
      <c r="I85" s="65"/>
      <c r="J85" s="65"/>
      <c r="K85" s="65"/>
      <c r="L85" s="58" t="s">
        <v>263</v>
      </c>
      <c r="M85" s="71" t="s">
        <v>1272</v>
      </c>
      <c r="N85" s="65"/>
      <c r="O85" s="58" t="s">
        <v>263</v>
      </c>
      <c r="P85" s="59">
        <v>132</v>
      </c>
      <c r="Q85" s="58" t="s">
        <v>263</v>
      </c>
      <c r="R85" s="58" t="s">
        <v>918</v>
      </c>
      <c r="S85" s="58" t="s">
        <v>263</v>
      </c>
      <c r="T85" s="66">
        <v>0</v>
      </c>
      <c r="U85" s="65"/>
      <c r="V85" s="65"/>
      <c r="W85" s="58" t="s">
        <v>263</v>
      </c>
      <c r="X85" s="59">
        <v>0</v>
      </c>
      <c r="Y85" s="60" t="s">
        <v>263</v>
      </c>
      <c r="Z85" s="66">
        <v>0</v>
      </c>
      <c r="AA85" s="65"/>
      <c r="AB85" s="60" t="s">
        <v>263</v>
      </c>
      <c r="AC85" s="59">
        <v>0</v>
      </c>
    </row>
    <row r="86" spans="2:29" x14ac:dyDescent="0.3">
      <c r="B86" s="71" t="s">
        <v>1273</v>
      </c>
      <c r="C86" s="65"/>
      <c r="D86" s="58" t="s">
        <v>263</v>
      </c>
      <c r="E86" s="71" t="s">
        <v>1274</v>
      </c>
      <c r="F86" s="65"/>
      <c r="G86" s="58" t="s">
        <v>263</v>
      </c>
      <c r="H86" s="71" t="s">
        <v>1275</v>
      </c>
      <c r="I86" s="65"/>
      <c r="J86" s="65"/>
      <c r="K86" s="65"/>
      <c r="L86" s="58" t="s">
        <v>263</v>
      </c>
      <c r="M86" s="71" t="s">
        <v>1265</v>
      </c>
      <c r="N86" s="65"/>
      <c r="O86" s="58" t="s">
        <v>263</v>
      </c>
      <c r="P86" s="59">
        <v>114</v>
      </c>
      <c r="Q86" s="58" t="s">
        <v>263</v>
      </c>
      <c r="R86" s="58" t="s">
        <v>918</v>
      </c>
      <c r="S86" s="58" t="s">
        <v>263</v>
      </c>
      <c r="T86" s="66">
        <v>0</v>
      </c>
      <c r="U86" s="65"/>
      <c r="V86" s="65"/>
      <c r="W86" s="58" t="s">
        <v>263</v>
      </c>
      <c r="X86" s="59">
        <v>0</v>
      </c>
      <c r="Y86" s="60" t="s">
        <v>263</v>
      </c>
      <c r="Z86" s="66">
        <v>0</v>
      </c>
      <c r="AA86" s="65"/>
      <c r="AB86" s="60" t="s">
        <v>263</v>
      </c>
      <c r="AC86" s="59">
        <v>0</v>
      </c>
    </row>
    <row r="87" spans="2:29" x14ac:dyDescent="0.3">
      <c r="B87" s="71" t="s">
        <v>1276</v>
      </c>
      <c r="C87" s="65"/>
      <c r="D87" s="58" t="s">
        <v>263</v>
      </c>
      <c r="E87" s="71" t="s">
        <v>1277</v>
      </c>
      <c r="F87" s="65"/>
      <c r="G87" s="58" t="s">
        <v>263</v>
      </c>
      <c r="H87" s="71" t="s">
        <v>1278</v>
      </c>
      <c r="I87" s="65"/>
      <c r="J87" s="65"/>
      <c r="K87" s="65"/>
      <c r="L87" s="58" t="s">
        <v>263</v>
      </c>
      <c r="M87" s="71" t="s">
        <v>1279</v>
      </c>
      <c r="N87" s="65"/>
      <c r="O87" s="58" t="s">
        <v>263</v>
      </c>
      <c r="P87" s="59">
        <v>175</v>
      </c>
      <c r="Q87" s="58" t="s">
        <v>263</v>
      </c>
      <c r="R87" s="58" t="s">
        <v>918</v>
      </c>
      <c r="S87" s="58" t="s">
        <v>263</v>
      </c>
      <c r="T87" s="66">
        <v>0</v>
      </c>
      <c r="U87" s="65"/>
      <c r="V87" s="65"/>
      <c r="W87" s="58" t="s">
        <v>263</v>
      </c>
      <c r="X87" s="59">
        <v>0</v>
      </c>
      <c r="Y87" s="60" t="s">
        <v>263</v>
      </c>
      <c r="Z87" s="66">
        <v>0</v>
      </c>
      <c r="AA87" s="65"/>
      <c r="AB87" s="60" t="s">
        <v>263</v>
      </c>
      <c r="AC87" s="59">
        <v>0</v>
      </c>
    </row>
    <row r="88" spans="2:29" x14ac:dyDescent="0.3">
      <c r="B88" s="71" t="s">
        <v>1280</v>
      </c>
      <c r="C88" s="65"/>
      <c r="D88" s="58" t="s">
        <v>263</v>
      </c>
      <c r="E88" s="71" t="s">
        <v>1281</v>
      </c>
      <c r="F88" s="65"/>
      <c r="G88" s="58" t="s">
        <v>263</v>
      </c>
      <c r="H88" s="71" t="s">
        <v>1282</v>
      </c>
      <c r="I88" s="65"/>
      <c r="J88" s="65"/>
      <c r="K88" s="65"/>
      <c r="L88" s="58" t="s">
        <v>263</v>
      </c>
      <c r="M88" s="71" t="s">
        <v>1265</v>
      </c>
      <c r="N88" s="65"/>
      <c r="O88" s="58" t="s">
        <v>263</v>
      </c>
      <c r="P88" s="59">
        <v>132</v>
      </c>
      <c r="Q88" s="58" t="s">
        <v>263</v>
      </c>
      <c r="R88" s="58" t="s">
        <v>918</v>
      </c>
      <c r="S88" s="58" t="s">
        <v>263</v>
      </c>
      <c r="T88" s="66">
        <v>0</v>
      </c>
      <c r="U88" s="65"/>
      <c r="V88" s="65"/>
      <c r="W88" s="58" t="s">
        <v>263</v>
      </c>
      <c r="X88" s="59">
        <v>0</v>
      </c>
      <c r="Y88" s="60" t="s">
        <v>263</v>
      </c>
      <c r="Z88" s="66">
        <v>0</v>
      </c>
      <c r="AA88" s="65"/>
      <c r="AB88" s="60" t="s">
        <v>263</v>
      </c>
      <c r="AC88" s="59">
        <v>0</v>
      </c>
    </row>
    <row r="89" spans="2:29" x14ac:dyDescent="0.3">
      <c r="B89" s="71" t="s">
        <v>1283</v>
      </c>
      <c r="C89" s="65"/>
      <c r="D89" s="58" t="s">
        <v>263</v>
      </c>
      <c r="E89" s="71" t="s">
        <v>1284</v>
      </c>
      <c r="F89" s="65"/>
      <c r="G89" s="58" t="s">
        <v>263</v>
      </c>
      <c r="H89" s="71" t="s">
        <v>1285</v>
      </c>
      <c r="I89" s="65"/>
      <c r="J89" s="65"/>
      <c r="K89" s="65"/>
      <c r="L89" s="58" t="s">
        <v>263</v>
      </c>
      <c r="M89" s="71" t="s">
        <v>1286</v>
      </c>
      <c r="N89" s="65"/>
      <c r="O89" s="58" t="s">
        <v>263</v>
      </c>
      <c r="P89" s="59">
        <v>135</v>
      </c>
      <c r="Q89" s="58" t="s">
        <v>263</v>
      </c>
      <c r="R89" s="58" t="s">
        <v>918</v>
      </c>
      <c r="S89" s="58" t="s">
        <v>263</v>
      </c>
      <c r="T89" s="66">
        <v>0</v>
      </c>
      <c r="U89" s="65"/>
      <c r="V89" s="65"/>
      <c r="W89" s="58" t="s">
        <v>263</v>
      </c>
      <c r="X89" s="59">
        <v>0</v>
      </c>
      <c r="Y89" s="60" t="s">
        <v>263</v>
      </c>
      <c r="Z89" s="66">
        <v>0</v>
      </c>
      <c r="AA89" s="65"/>
      <c r="AB89" s="60" t="s">
        <v>263</v>
      </c>
      <c r="AC89" s="59">
        <v>0</v>
      </c>
    </row>
    <row r="90" spans="2:29" x14ac:dyDescent="0.3">
      <c r="B90" s="71" t="s">
        <v>1287</v>
      </c>
      <c r="C90" s="65"/>
      <c r="D90" s="58" t="s">
        <v>263</v>
      </c>
      <c r="E90" s="71" t="s">
        <v>1288</v>
      </c>
      <c r="F90" s="65"/>
      <c r="G90" s="58" t="s">
        <v>263</v>
      </c>
      <c r="H90" s="71" t="s">
        <v>1289</v>
      </c>
      <c r="I90" s="65"/>
      <c r="J90" s="65"/>
      <c r="K90" s="65"/>
      <c r="L90" s="58" t="s">
        <v>263</v>
      </c>
      <c r="M90" s="71" t="s">
        <v>1290</v>
      </c>
      <c r="N90" s="65"/>
      <c r="O90" s="58" t="s">
        <v>263</v>
      </c>
      <c r="P90" s="59">
        <v>110</v>
      </c>
      <c r="Q90" s="58" t="s">
        <v>263</v>
      </c>
      <c r="R90" s="58" t="s">
        <v>918</v>
      </c>
      <c r="S90" s="58" t="s">
        <v>263</v>
      </c>
      <c r="T90" s="66">
        <v>0</v>
      </c>
      <c r="U90" s="65"/>
      <c r="V90" s="65"/>
      <c r="W90" s="58" t="s">
        <v>263</v>
      </c>
      <c r="X90" s="59">
        <v>0</v>
      </c>
      <c r="Y90" s="60" t="s">
        <v>263</v>
      </c>
      <c r="Z90" s="66">
        <v>0</v>
      </c>
      <c r="AA90" s="65"/>
      <c r="AB90" s="60" t="s">
        <v>263</v>
      </c>
      <c r="AC90" s="59">
        <v>0</v>
      </c>
    </row>
    <row r="91" spans="2:29" x14ac:dyDescent="0.3">
      <c r="B91" s="71" t="s">
        <v>1291</v>
      </c>
      <c r="C91" s="65"/>
      <c r="D91" s="58" t="s">
        <v>263</v>
      </c>
      <c r="E91" s="71" t="s">
        <v>1292</v>
      </c>
      <c r="F91" s="65"/>
      <c r="G91" s="58" t="s">
        <v>263</v>
      </c>
      <c r="H91" s="71" t="s">
        <v>1293</v>
      </c>
      <c r="I91" s="65"/>
      <c r="J91" s="65"/>
      <c r="K91" s="65"/>
      <c r="L91" s="58" t="s">
        <v>263</v>
      </c>
      <c r="M91" s="71" t="s">
        <v>1294</v>
      </c>
      <c r="N91" s="65"/>
      <c r="O91" s="58" t="s">
        <v>263</v>
      </c>
      <c r="P91" s="59">
        <v>164</v>
      </c>
      <c r="Q91" s="58" t="s">
        <v>263</v>
      </c>
      <c r="R91" s="58" t="s">
        <v>918</v>
      </c>
      <c r="S91" s="58" t="s">
        <v>263</v>
      </c>
      <c r="T91" s="66">
        <v>0</v>
      </c>
      <c r="U91" s="65"/>
      <c r="V91" s="65"/>
      <c r="W91" s="58" t="s">
        <v>263</v>
      </c>
      <c r="X91" s="59">
        <v>0</v>
      </c>
      <c r="Y91" s="60" t="s">
        <v>263</v>
      </c>
      <c r="Z91" s="66">
        <v>0</v>
      </c>
      <c r="AA91" s="65"/>
      <c r="AB91" s="60" t="s">
        <v>263</v>
      </c>
      <c r="AC91" s="59">
        <v>0</v>
      </c>
    </row>
    <row r="92" spans="2:29" x14ac:dyDescent="0.3">
      <c r="B92" s="71" t="s">
        <v>1295</v>
      </c>
      <c r="C92" s="65"/>
      <c r="D92" s="58" t="s">
        <v>263</v>
      </c>
      <c r="E92" s="71" t="s">
        <v>1296</v>
      </c>
      <c r="F92" s="65"/>
      <c r="G92" s="58" t="s">
        <v>263</v>
      </c>
      <c r="H92" s="71" t="s">
        <v>1297</v>
      </c>
      <c r="I92" s="65"/>
      <c r="J92" s="65"/>
      <c r="K92" s="65"/>
      <c r="L92" s="58" t="s">
        <v>263</v>
      </c>
      <c r="M92" s="71" t="s">
        <v>1272</v>
      </c>
      <c r="N92" s="65"/>
      <c r="O92" s="58" t="s">
        <v>263</v>
      </c>
      <c r="P92" s="59">
        <v>132</v>
      </c>
      <c r="Q92" s="58" t="s">
        <v>263</v>
      </c>
      <c r="R92" s="58" t="s">
        <v>918</v>
      </c>
      <c r="S92" s="58" t="s">
        <v>263</v>
      </c>
      <c r="T92" s="66">
        <v>0</v>
      </c>
      <c r="U92" s="65"/>
      <c r="V92" s="65"/>
      <c r="W92" s="58" t="s">
        <v>263</v>
      </c>
      <c r="X92" s="59">
        <v>0</v>
      </c>
      <c r="Y92" s="60" t="s">
        <v>263</v>
      </c>
      <c r="Z92" s="66">
        <v>0</v>
      </c>
      <c r="AA92" s="65"/>
      <c r="AB92" s="60" t="s">
        <v>263</v>
      </c>
      <c r="AC92" s="59">
        <v>0</v>
      </c>
    </row>
    <row r="93" spans="2:29" x14ac:dyDescent="0.3">
      <c r="B93" s="71" t="s">
        <v>1298</v>
      </c>
      <c r="C93" s="65"/>
      <c r="D93" s="58" t="s">
        <v>263</v>
      </c>
      <c r="E93" s="71" t="s">
        <v>1299</v>
      </c>
      <c r="F93" s="65"/>
      <c r="G93" s="58" t="s">
        <v>263</v>
      </c>
      <c r="H93" s="71" t="s">
        <v>1300</v>
      </c>
      <c r="I93" s="65"/>
      <c r="J93" s="65"/>
      <c r="K93" s="65"/>
      <c r="L93" s="58" t="s">
        <v>263</v>
      </c>
      <c r="M93" s="71" t="s">
        <v>1301</v>
      </c>
      <c r="N93" s="65"/>
      <c r="O93" s="58" t="s">
        <v>263</v>
      </c>
      <c r="P93" s="59">
        <v>125</v>
      </c>
      <c r="Q93" s="58" t="s">
        <v>263</v>
      </c>
      <c r="R93" s="58" t="s">
        <v>918</v>
      </c>
      <c r="S93" s="58" t="s">
        <v>263</v>
      </c>
      <c r="T93" s="66">
        <v>0</v>
      </c>
      <c r="U93" s="65"/>
      <c r="V93" s="65"/>
      <c r="W93" s="58" t="s">
        <v>263</v>
      </c>
      <c r="X93" s="59">
        <v>0</v>
      </c>
      <c r="Y93" s="60" t="s">
        <v>263</v>
      </c>
      <c r="Z93" s="66">
        <v>0</v>
      </c>
      <c r="AA93" s="65"/>
      <c r="AB93" s="60" t="s">
        <v>263</v>
      </c>
      <c r="AC93" s="59">
        <v>0</v>
      </c>
    </row>
    <row r="94" spans="2:29" x14ac:dyDescent="0.3">
      <c r="B94" s="71" t="s">
        <v>1302</v>
      </c>
      <c r="C94" s="65"/>
      <c r="D94" s="58" t="s">
        <v>263</v>
      </c>
      <c r="E94" s="71" t="s">
        <v>1303</v>
      </c>
      <c r="F94" s="65"/>
      <c r="G94" s="58" t="s">
        <v>263</v>
      </c>
      <c r="H94" s="71" t="s">
        <v>1304</v>
      </c>
      <c r="I94" s="65"/>
      <c r="J94" s="65"/>
      <c r="K94" s="65"/>
      <c r="L94" s="58" t="s">
        <v>263</v>
      </c>
      <c r="M94" s="71" t="s">
        <v>1305</v>
      </c>
      <c r="N94" s="65"/>
      <c r="O94" s="58" t="s">
        <v>263</v>
      </c>
      <c r="P94" s="59">
        <v>130</v>
      </c>
      <c r="Q94" s="58" t="s">
        <v>263</v>
      </c>
      <c r="R94" s="58" t="s">
        <v>918</v>
      </c>
      <c r="S94" s="58" t="s">
        <v>263</v>
      </c>
      <c r="T94" s="66">
        <v>0</v>
      </c>
      <c r="U94" s="65"/>
      <c r="V94" s="65"/>
      <c r="W94" s="58" t="s">
        <v>263</v>
      </c>
      <c r="X94" s="59">
        <v>0</v>
      </c>
      <c r="Y94" s="60" t="s">
        <v>263</v>
      </c>
      <c r="Z94" s="66">
        <v>0</v>
      </c>
      <c r="AA94" s="65"/>
      <c r="AB94" s="60" t="s">
        <v>263</v>
      </c>
      <c r="AC94" s="59">
        <v>0</v>
      </c>
    </row>
    <row r="95" spans="2:29" x14ac:dyDescent="0.3">
      <c r="B95" s="71" t="s">
        <v>1306</v>
      </c>
      <c r="C95" s="65"/>
      <c r="D95" s="58" t="s">
        <v>263</v>
      </c>
      <c r="E95" s="71" t="s">
        <v>1307</v>
      </c>
      <c r="F95" s="65"/>
      <c r="G95" s="58" t="s">
        <v>263</v>
      </c>
      <c r="H95" s="71" t="s">
        <v>1308</v>
      </c>
      <c r="I95" s="65"/>
      <c r="J95" s="65"/>
      <c r="K95" s="65"/>
      <c r="L95" s="58" t="s">
        <v>263</v>
      </c>
      <c r="M95" s="71" t="s">
        <v>1290</v>
      </c>
      <c r="N95" s="65"/>
      <c r="O95" s="58" t="s">
        <v>263</v>
      </c>
      <c r="P95" s="59">
        <v>83</v>
      </c>
      <c r="Q95" s="58" t="s">
        <v>263</v>
      </c>
      <c r="R95" s="58" t="s">
        <v>1159</v>
      </c>
      <c r="S95" s="58" t="s">
        <v>263</v>
      </c>
      <c r="T95" s="66">
        <v>0</v>
      </c>
      <c r="U95" s="65"/>
      <c r="V95" s="65"/>
      <c r="W95" s="58" t="s">
        <v>263</v>
      </c>
      <c r="X95" s="59">
        <v>-83</v>
      </c>
      <c r="Y95" s="60" t="s">
        <v>263</v>
      </c>
      <c r="Z95" s="66">
        <v>0</v>
      </c>
      <c r="AA95" s="65"/>
      <c r="AB95" s="60" t="s">
        <v>263</v>
      </c>
      <c r="AC95" s="59">
        <v>0</v>
      </c>
    </row>
    <row r="96" spans="2:29" x14ac:dyDescent="0.3">
      <c r="B96" s="71" t="s">
        <v>1309</v>
      </c>
      <c r="C96" s="65"/>
      <c r="D96" s="58" t="s">
        <v>263</v>
      </c>
      <c r="E96" s="71" t="s">
        <v>1310</v>
      </c>
      <c r="F96" s="65"/>
      <c r="G96" s="58" t="s">
        <v>263</v>
      </c>
      <c r="H96" s="71" t="s">
        <v>1311</v>
      </c>
      <c r="I96" s="65"/>
      <c r="J96" s="65"/>
      <c r="K96" s="65"/>
      <c r="L96" s="58" t="s">
        <v>263</v>
      </c>
      <c r="M96" s="71" t="s">
        <v>1218</v>
      </c>
      <c r="N96" s="65"/>
      <c r="O96" s="58" t="s">
        <v>263</v>
      </c>
      <c r="P96" s="59">
        <v>126</v>
      </c>
      <c r="Q96" s="58" t="s">
        <v>263</v>
      </c>
      <c r="R96" s="58" t="s">
        <v>1159</v>
      </c>
      <c r="S96" s="58" t="s">
        <v>263</v>
      </c>
      <c r="T96" s="66">
        <v>0</v>
      </c>
      <c r="U96" s="65"/>
      <c r="V96" s="65"/>
      <c r="W96" s="58" t="s">
        <v>263</v>
      </c>
      <c r="X96" s="59">
        <v>-126</v>
      </c>
      <c r="Y96" s="60" t="s">
        <v>263</v>
      </c>
      <c r="Z96" s="66">
        <v>0</v>
      </c>
      <c r="AA96" s="65"/>
      <c r="AB96" s="60" t="s">
        <v>263</v>
      </c>
      <c r="AC96" s="59">
        <v>0</v>
      </c>
    </row>
    <row r="97" spans="2:29" x14ac:dyDescent="0.3">
      <c r="B97" s="71" t="s">
        <v>1312</v>
      </c>
      <c r="C97" s="65"/>
      <c r="D97" s="58" t="s">
        <v>263</v>
      </c>
      <c r="E97" s="71" t="s">
        <v>1313</v>
      </c>
      <c r="F97" s="65"/>
      <c r="G97" s="58" t="s">
        <v>263</v>
      </c>
      <c r="H97" s="71" t="s">
        <v>1314</v>
      </c>
      <c r="I97" s="65"/>
      <c r="J97" s="65"/>
      <c r="K97" s="65"/>
      <c r="L97" s="58" t="s">
        <v>263</v>
      </c>
      <c r="M97" s="71" t="s">
        <v>1315</v>
      </c>
      <c r="N97" s="65"/>
      <c r="O97" s="58" t="s">
        <v>263</v>
      </c>
      <c r="P97" s="59">
        <v>99</v>
      </c>
      <c r="Q97" s="58" t="s">
        <v>263</v>
      </c>
      <c r="R97" s="58" t="s">
        <v>918</v>
      </c>
      <c r="S97" s="58" t="s">
        <v>263</v>
      </c>
      <c r="T97" s="66">
        <v>0</v>
      </c>
      <c r="U97" s="65"/>
      <c r="V97" s="65"/>
      <c r="W97" s="58" t="s">
        <v>263</v>
      </c>
      <c r="X97" s="59">
        <v>0</v>
      </c>
      <c r="Y97" s="60" t="s">
        <v>263</v>
      </c>
      <c r="Z97" s="66">
        <v>0</v>
      </c>
      <c r="AA97" s="65"/>
      <c r="AB97" s="60" t="s">
        <v>263</v>
      </c>
      <c r="AC97" s="59">
        <v>0</v>
      </c>
    </row>
    <row r="98" spans="2:29" x14ac:dyDescent="0.3">
      <c r="B98" s="71" t="s">
        <v>1316</v>
      </c>
      <c r="C98" s="65"/>
      <c r="D98" s="58" t="s">
        <v>263</v>
      </c>
      <c r="E98" s="71" t="s">
        <v>1317</v>
      </c>
      <c r="F98" s="65"/>
      <c r="G98" s="58" t="s">
        <v>263</v>
      </c>
      <c r="H98" s="71" t="s">
        <v>1318</v>
      </c>
      <c r="I98" s="65"/>
      <c r="J98" s="65"/>
      <c r="K98" s="65"/>
      <c r="L98" s="58" t="s">
        <v>263</v>
      </c>
      <c r="M98" s="71" t="s">
        <v>1319</v>
      </c>
      <c r="N98" s="65"/>
      <c r="O98" s="58" t="s">
        <v>263</v>
      </c>
      <c r="P98" s="59">
        <v>117</v>
      </c>
      <c r="Q98" s="58" t="s">
        <v>263</v>
      </c>
      <c r="R98" s="58" t="s">
        <v>918</v>
      </c>
      <c r="S98" s="58" t="s">
        <v>263</v>
      </c>
      <c r="T98" s="66">
        <v>0</v>
      </c>
      <c r="U98" s="65"/>
      <c r="V98" s="65"/>
      <c r="W98" s="58" t="s">
        <v>263</v>
      </c>
      <c r="X98" s="59">
        <v>0</v>
      </c>
      <c r="Y98" s="60" t="s">
        <v>263</v>
      </c>
      <c r="Z98" s="66">
        <v>0</v>
      </c>
      <c r="AA98" s="65"/>
      <c r="AB98" s="60" t="s">
        <v>263</v>
      </c>
      <c r="AC98" s="59">
        <v>0</v>
      </c>
    </row>
    <row r="99" spans="2:29" x14ac:dyDescent="0.3">
      <c r="B99" s="71" t="s">
        <v>1320</v>
      </c>
      <c r="C99" s="65"/>
      <c r="D99" s="58" t="s">
        <v>263</v>
      </c>
      <c r="E99" s="71" t="s">
        <v>1321</v>
      </c>
      <c r="F99" s="65"/>
      <c r="G99" s="58" t="s">
        <v>263</v>
      </c>
      <c r="H99" s="71" t="s">
        <v>1322</v>
      </c>
      <c r="I99" s="65"/>
      <c r="J99" s="65"/>
      <c r="K99" s="65"/>
      <c r="L99" s="58" t="s">
        <v>263</v>
      </c>
      <c r="M99" s="71" t="s">
        <v>1323</v>
      </c>
      <c r="N99" s="65"/>
      <c r="O99" s="58" t="s">
        <v>263</v>
      </c>
      <c r="P99" s="59">
        <v>108</v>
      </c>
      <c r="Q99" s="58" t="s">
        <v>263</v>
      </c>
      <c r="R99" s="58" t="s">
        <v>918</v>
      </c>
      <c r="S99" s="58" t="s">
        <v>263</v>
      </c>
      <c r="T99" s="66">
        <v>0</v>
      </c>
      <c r="U99" s="65"/>
      <c r="V99" s="65"/>
      <c r="W99" s="58" t="s">
        <v>263</v>
      </c>
      <c r="X99" s="59">
        <v>0</v>
      </c>
      <c r="Y99" s="60" t="s">
        <v>263</v>
      </c>
      <c r="Z99" s="66">
        <v>0</v>
      </c>
      <c r="AA99" s="65"/>
      <c r="AB99" s="60" t="s">
        <v>263</v>
      </c>
      <c r="AC99" s="59">
        <v>0</v>
      </c>
    </row>
    <row r="100" spans="2:29" x14ac:dyDescent="0.3">
      <c r="B100" s="71" t="s">
        <v>1324</v>
      </c>
      <c r="C100" s="65"/>
      <c r="D100" s="58" t="s">
        <v>263</v>
      </c>
      <c r="E100" s="71" t="s">
        <v>1325</v>
      </c>
      <c r="F100" s="65"/>
      <c r="G100" s="58" t="s">
        <v>263</v>
      </c>
      <c r="H100" s="71" t="s">
        <v>1326</v>
      </c>
      <c r="I100" s="65"/>
      <c r="J100" s="65"/>
      <c r="K100" s="65"/>
      <c r="L100" s="58" t="s">
        <v>263</v>
      </c>
      <c r="M100" s="71" t="s">
        <v>1327</v>
      </c>
      <c r="N100" s="65"/>
      <c r="O100" s="58" t="s">
        <v>263</v>
      </c>
      <c r="P100" s="59">
        <v>126</v>
      </c>
      <c r="Q100" s="58" t="s">
        <v>263</v>
      </c>
      <c r="R100" s="58" t="s">
        <v>918</v>
      </c>
      <c r="S100" s="58" t="s">
        <v>263</v>
      </c>
      <c r="T100" s="66">
        <v>0</v>
      </c>
      <c r="U100" s="65"/>
      <c r="V100" s="65"/>
      <c r="W100" s="58" t="s">
        <v>263</v>
      </c>
      <c r="X100" s="59">
        <v>0</v>
      </c>
      <c r="Y100" s="60" t="s">
        <v>263</v>
      </c>
      <c r="Z100" s="66">
        <v>0</v>
      </c>
      <c r="AA100" s="65"/>
      <c r="AB100" s="60" t="s">
        <v>263</v>
      </c>
      <c r="AC100" s="59">
        <v>0</v>
      </c>
    </row>
    <row r="101" spans="2:29" x14ac:dyDescent="0.3">
      <c r="B101" s="71" t="s">
        <v>1328</v>
      </c>
      <c r="C101" s="65"/>
      <c r="D101" s="58" t="s">
        <v>263</v>
      </c>
      <c r="E101" s="71" t="s">
        <v>1329</v>
      </c>
      <c r="F101" s="65"/>
      <c r="G101" s="58" t="s">
        <v>263</v>
      </c>
      <c r="H101" s="71" t="s">
        <v>1330</v>
      </c>
      <c r="I101" s="65"/>
      <c r="J101" s="65"/>
      <c r="K101" s="65"/>
      <c r="L101" s="58" t="s">
        <v>263</v>
      </c>
      <c r="M101" s="71" t="s">
        <v>1327</v>
      </c>
      <c r="N101" s="65"/>
      <c r="O101" s="58" t="s">
        <v>263</v>
      </c>
      <c r="P101" s="59">
        <v>70</v>
      </c>
      <c r="Q101" s="58" t="s">
        <v>263</v>
      </c>
      <c r="R101" s="58" t="s">
        <v>918</v>
      </c>
      <c r="S101" s="58" t="s">
        <v>263</v>
      </c>
      <c r="T101" s="66">
        <v>0</v>
      </c>
      <c r="U101" s="65"/>
      <c r="V101" s="65"/>
      <c r="W101" s="58" t="s">
        <v>263</v>
      </c>
      <c r="X101" s="59">
        <v>0</v>
      </c>
      <c r="Y101" s="60" t="s">
        <v>263</v>
      </c>
      <c r="Z101" s="66">
        <v>0</v>
      </c>
      <c r="AA101" s="65"/>
      <c r="AB101" s="60" t="s">
        <v>263</v>
      </c>
      <c r="AC101" s="59">
        <v>0</v>
      </c>
    </row>
    <row r="102" spans="2:29" x14ac:dyDescent="0.3">
      <c r="B102" s="71" t="s">
        <v>1331</v>
      </c>
      <c r="C102" s="65"/>
      <c r="D102" s="58" t="s">
        <v>263</v>
      </c>
      <c r="E102" s="71" t="s">
        <v>1332</v>
      </c>
      <c r="F102" s="65"/>
      <c r="G102" s="58" t="s">
        <v>263</v>
      </c>
      <c r="H102" s="71" t="s">
        <v>1333</v>
      </c>
      <c r="I102" s="65"/>
      <c r="J102" s="65"/>
      <c r="K102" s="65"/>
      <c r="L102" s="58" t="s">
        <v>263</v>
      </c>
      <c r="M102" s="71" t="s">
        <v>1315</v>
      </c>
      <c r="N102" s="65"/>
      <c r="O102" s="58" t="s">
        <v>263</v>
      </c>
      <c r="P102" s="59">
        <v>120</v>
      </c>
      <c r="Q102" s="58" t="s">
        <v>263</v>
      </c>
      <c r="R102" s="58" t="s">
        <v>918</v>
      </c>
      <c r="S102" s="58" t="s">
        <v>263</v>
      </c>
      <c r="T102" s="66">
        <v>0</v>
      </c>
      <c r="U102" s="65"/>
      <c r="V102" s="65"/>
      <c r="W102" s="58" t="s">
        <v>263</v>
      </c>
      <c r="X102" s="59">
        <v>0</v>
      </c>
      <c r="Y102" s="60" t="s">
        <v>263</v>
      </c>
      <c r="Z102" s="66">
        <v>0</v>
      </c>
      <c r="AA102" s="65"/>
      <c r="AB102" s="60" t="s">
        <v>263</v>
      </c>
      <c r="AC102" s="59">
        <v>0</v>
      </c>
    </row>
    <row r="103" spans="2:29" x14ac:dyDescent="0.3">
      <c r="B103" s="71" t="s">
        <v>1334</v>
      </c>
      <c r="C103" s="65"/>
      <c r="D103" s="58" t="s">
        <v>263</v>
      </c>
      <c r="E103" s="71" t="s">
        <v>1335</v>
      </c>
      <c r="F103" s="65"/>
      <c r="G103" s="58" t="s">
        <v>263</v>
      </c>
      <c r="H103" s="71" t="s">
        <v>1336</v>
      </c>
      <c r="I103" s="65"/>
      <c r="J103" s="65"/>
      <c r="K103" s="65"/>
      <c r="L103" s="58" t="s">
        <v>263</v>
      </c>
      <c r="M103" s="71" t="s">
        <v>1337</v>
      </c>
      <c r="N103" s="65"/>
      <c r="O103" s="58" t="s">
        <v>263</v>
      </c>
      <c r="P103" s="59">
        <v>86</v>
      </c>
      <c r="Q103" s="58" t="s">
        <v>263</v>
      </c>
      <c r="R103" s="58" t="s">
        <v>918</v>
      </c>
      <c r="S103" s="58" t="s">
        <v>263</v>
      </c>
      <c r="T103" s="66">
        <v>0</v>
      </c>
      <c r="U103" s="65"/>
      <c r="V103" s="65"/>
      <c r="W103" s="58" t="s">
        <v>263</v>
      </c>
      <c r="X103" s="59">
        <v>0</v>
      </c>
      <c r="Y103" s="60" t="s">
        <v>263</v>
      </c>
      <c r="Z103" s="66">
        <v>0</v>
      </c>
      <c r="AA103" s="65"/>
      <c r="AB103" s="60" t="s">
        <v>263</v>
      </c>
      <c r="AC103" s="59">
        <v>0</v>
      </c>
    </row>
    <row r="104" spans="2:29" x14ac:dyDescent="0.3">
      <c r="B104" s="71" t="s">
        <v>1338</v>
      </c>
      <c r="C104" s="65"/>
      <c r="D104" s="58" t="s">
        <v>263</v>
      </c>
      <c r="E104" s="71" t="s">
        <v>1339</v>
      </c>
      <c r="F104" s="65"/>
      <c r="G104" s="58" t="s">
        <v>263</v>
      </c>
      <c r="H104" s="71" t="s">
        <v>1340</v>
      </c>
      <c r="I104" s="65"/>
      <c r="J104" s="65"/>
      <c r="K104" s="65"/>
      <c r="L104" s="58" t="s">
        <v>263</v>
      </c>
      <c r="M104" s="71" t="s">
        <v>1315</v>
      </c>
      <c r="N104" s="65"/>
      <c r="O104" s="58" t="s">
        <v>263</v>
      </c>
      <c r="P104" s="59">
        <v>97</v>
      </c>
      <c r="Q104" s="58" t="s">
        <v>263</v>
      </c>
      <c r="R104" s="58" t="s">
        <v>918</v>
      </c>
      <c r="S104" s="58" t="s">
        <v>263</v>
      </c>
      <c r="T104" s="66">
        <v>0</v>
      </c>
      <c r="U104" s="65"/>
      <c r="V104" s="65"/>
      <c r="W104" s="58" t="s">
        <v>263</v>
      </c>
      <c r="X104" s="59">
        <v>0</v>
      </c>
      <c r="Y104" s="60" t="s">
        <v>263</v>
      </c>
      <c r="Z104" s="66">
        <v>0</v>
      </c>
      <c r="AA104" s="65"/>
      <c r="AB104" s="60" t="s">
        <v>263</v>
      </c>
      <c r="AC104" s="59">
        <v>0</v>
      </c>
    </row>
    <row r="105" spans="2:29" x14ac:dyDescent="0.3">
      <c r="B105" s="71" t="s">
        <v>1341</v>
      </c>
      <c r="C105" s="65"/>
      <c r="D105" s="58" t="s">
        <v>263</v>
      </c>
      <c r="E105" s="71" t="s">
        <v>1342</v>
      </c>
      <c r="F105" s="65"/>
      <c r="G105" s="58" t="s">
        <v>263</v>
      </c>
      <c r="H105" s="71" t="s">
        <v>1343</v>
      </c>
      <c r="I105" s="65"/>
      <c r="J105" s="65"/>
      <c r="K105" s="65"/>
      <c r="L105" s="58" t="s">
        <v>263</v>
      </c>
      <c r="M105" s="71" t="s">
        <v>1344</v>
      </c>
      <c r="N105" s="65"/>
      <c r="O105" s="58" t="s">
        <v>263</v>
      </c>
      <c r="P105" s="59">
        <v>159</v>
      </c>
      <c r="Q105" s="58" t="s">
        <v>263</v>
      </c>
      <c r="R105" s="58" t="s">
        <v>918</v>
      </c>
      <c r="S105" s="58" t="s">
        <v>263</v>
      </c>
      <c r="T105" s="66">
        <v>0</v>
      </c>
      <c r="U105" s="65"/>
      <c r="V105" s="65"/>
      <c r="W105" s="58" t="s">
        <v>263</v>
      </c>
      <c r="X105" s="59">
        <v>0</v>
      </c>
      <c r="Y105" s="60" t="s">
        <v>263</v>
      </c>
      <c r="Z105" s="66">
        <v>0</v>
      </c>
      <c r="AA105" s="65"/>
      <c r="AB105" s="60" t="s">
        <v>263</v>
      </c>
      <c r="AC105" s="59">
        <v>0</v>
      </c>
    </row>
    <row r="106" spans="2:29" x14ac:dyDescent="0.3">
      <c r="B106" s="71" t="s">
        <v>1345</v>
      </c>
      <c r="C106" s="65"/>
      <c r="D106" s="58" t="s">
        <v>263</v>
      </c>
      <c r="E106" s="71" t="s">
        <v>1346</v>
      </c>
      <c r="F106" s="65"/>
      <c r="G106" s="58" t="s">
        <v>263</v>
      </c>
      <c r="H106" s="71" t="s">
        <v>1347</v>
      </c>
      <c r="I106" s="65"/>
      <c r="J106" s="65"/>
      <c r="K106" s="65"/>
      <c r="L106" s="58" t="s">
        <v>263</v>
      </c>
      <c r="M106" s="71" t="s">
        <v>1348</v>
      </c>
      <c r="N106" s="65"/>
      <c r="O106" s="58" t="s">
        <v>263</v>
      </c>
      <c r="P106" s="59">
        <v>57</v>
      </c>
      <c r="Q106" s="58" t="s">
        <v>263</v>
      </c>
      <c r="R106" s="58" t="s">
        <v>918</v>
      </c>
      <c r="S106" s="58" t="s">
        <v>263</v>
      </c>
      <c r="T106" s="66">
        <v>0</v>
      </c>
      <c r="U106" s="65"/>
      <c r="V106" s="65"/>
      <c r="W106" s="58" t="s">
        <v>263</v>
      </c>
      <c r="X106" s="59">
        <v>0</v>
      </c>
      <c r="Y106" s="60" t="s">
        <v>263</v>
      </c>
      <c r="Z106" s="66">
        <v>0</v>
      </c>
      <c r="AA106" s="65"/>
      <c r="AB106" s="60" t="s">
        <v>263</v>
      </c>
      <c r="AC106" s="59">
        <v>0</v>
      </c>
    </row>
    <row r="107" spans="2:29" x14ac:dyDescent="0.3">
      <c r="B107" s="71" t="s">
        <v>1349</v>
      </c>
      <c r="C107" s="65"/>
      <c r="D107" s="58" t="s">
        <v>263</v>
      </c>
      <c r="E107" s="71" t="s">
        <v>1350</v>
      </c>
      <c r="F107" s="65"/>
      <c r="G107" s="58" t="s">
        <v>263</v>
      </c>
      <c r="H107" s="71" t="s">
        <v>1351</v>
      </c>
      <c r="I107" s="65"/>
      <c r="J107" s="65"/>
      <c r="K107" s="65"/>
      <c r="L107" s="58" t="s">
        <v>263</v>
      </c>
      <c r="M107" s="71" t="s">
        <v>1348</v>
      </c>
      <c r="N107" s="65"/>
      <c r="O107" s="58" t="s">
        <v>263</v>
      </c>
      <c r="P107" s="59">
        <v>117</v>
      </c>
      <c r="Q107" s="58" t="s">
        <v>263</v>
      </c>
      <c r="R107" s="58" t="s">
        <v>1352</v>
      </c>
      <c r="S107" s="58" t="s">
        <v>263</v>
      </c>
      <c r="T107" s="66">
        <v>420</v>
      </c>
      <c r="U107" s="65"/>
      <c r="V107" s="65"/>
      <c r="W107" s="58" t="s">
        <v>263</v>
      </c>
      <c r="X107" s="59">
        <v>0</v>
      </c>
      <c r="Y107" s="60" t="s">
        <v>263</v>
      </c>
      <c r="Z107" s="66">
        <v>0</v>
      </c>
      <c r="AA107" s="65"/>
      <c r="AB107" s="60" t="s">
        <v>263</v>
      </c>
      <c r="AC107" s="59">
        <v>0</v>
      </c>
    </row>
    <row r="108" spans="2:29" x14ac:dyDescent="0.3">
      <c r="B108" s="71" t="s">
        <v>1353</v>
      </c>
      <c r="C108" s="65"/>
      <c r="D108" s="58" t="s">
        <v>263</v>
      </c>
      <c r="E108" s="71" t="s">
        <v>1354</v>
      </c>
      <c r="F108" s="65"/>
      <c r="G108" s="58" t="s">
        <v>263</v>
      </c>
      <c r="H108" s="71" t="s">
        <v>1355</v>
      </c>
      <c r="I108" s="65"/>
      <c r="J108" s="65"/>
      <c r="K108" s="65"/>
      <c r="L108" s="58" t="s">
        <v>263</v>
      </c>
      <c r="M108" s="71" t="s">
        <v>1319</v>
      </c>
      <c r="N108" s="65"/>
      <c r="O108" s="58" t="s">
        <v>263</v>
      </c>
      <c r="P108" s="59">
        <v>141</v>
      </c>
      <c r="Q108" s="58" t="s">
        <v>263</v>
      </c>
      <c r="R108" s="58" t="s">
        <v>918</v>
      </c>
      <c r="S108" s="58" t="s">
        <v>263</v>
      </c>
      <c r="T108" s="66">
        <v>0</v>
      </c>
      <c r="U108" s="65"/>
      <c r="V108" s="65"/>
      <c r="W108" s="58" t="s">
        <v>263</v>
      </c>
      <c r="X108" s="59">
        <v>0</v>
      </c>
      <c r="Y108" s="60" t="s">
        <v>263</v>
      </c>
      <c r="Z108" s="66">
        <v>0</v>
      </c>
      <c r="AA108" s="65"/>
      <c r="AB108" s="60" t="s">
        <v>263</v>
      </c>
      <c r="AC108" s="59">
        <v>0</v>
      </c>
    </row>
    <row r="109" spans="2:29" x14ac:dyDescent="0.3">
      <c r="B109" s="71" t="s">
        <v>1356</v>
      </c>
      <c r="C109" s="65"/>
      <c r="D109" s="58" t="s">
        <v>263</v>
      </c>
      <c r="E109" s="71" t="s">
        <v>1357</v>
      </c>
      <c r="F109" s="65"/>
      <c r="G109" s="58" t="s">
        <v>263</v>
      </c>
      <c r="H109" s="71" t="s">
        <v>1358</v>
      </c>
      <c r="I109" s="65"/>
      <c r="J109" s="65"/>
      <c r="K109" s="65"/>
      <c r="L109" s="58" t="s">
        <v>263</v>
      </c>
      <c r="M109" s="71" t="s">
        <v>1319</v>
      </c>
      <c r="N109" s="65"/>
      <c r="O109" s="58" t="s">
        <v>263</v>
      </c>
      <c r="P109" s="59">
        <v>122</v>
      </c>
      <c r="Q109" s="58" t="s">
        <v>263</v>
      </c>
      <c r="R109" s="58" t="s">
        <v>918</v>
      </c>
      <c r="S109" s="58" t="s">
        <v>263</v>
      </c>
      <c r="T109" s="66">
        <v>0</v>
      </c>
      <c r="U109" s="65"/>
      <c r="V109" s="65"/>
      <c r="W109" s="58" t="s">
        <v>263</v>
      </c>
      <c r="X109" s="59">
        <v>0</v>
      </c>
      <c r="Y109" s="60" t="s">
        <v>263</v>
      </c>
      <c r="Z109" s="66">
        <v>0</v>
      </c>
      <c r="AA109" s="65"/>
      <c r="AB109" s="60" t="s">
        <v>263</v>
      </c>
      <c r="AC109" s="59">
        <v>0</v>
      </c>
    </row>
    <row r="110" spans="2:29" x14ac:dyDescent="0.3">
      <c r="B110" s="71" t="s">
        <v>1359</v>
      </c>
      <c r="C110" s="65"/>
      <c r="D110" s="58" t="s">
        <v>263</v>
      </c>
      <c r="E110" s="71" t="s">
        <v>1360</v>
      </c>
      <c r="F110" s="65"/>
      <c r="G110" s="58" t="s">
        <v>263</v>
      </c>
      <c r="H110" s="71" t="s">
        <v>1361</v>
      </c>
      <c r="I110" s="65"/>
      <c r="J110" s="65"/>
      <c r="K110" s="65"/>
      <c r="L110" s="58" t="s">
        <v>263</v>
      </c>
      <c r="M110" s="71" t="s">
        <v>1286</v>
      </c>
      <c r="N110" s="65"/>
      <c r="O110" s="58" t="s">
        <v>263</v>
      </c>
      <c r="P110" s="59">
        <v>56</v>
      </c>
      <c r="Q110" s="58" t="s">
        <v>263</v>
      </c>
      <c r="R110" s="58" t="s">
        <v>918</v>
      </c>
      <c r="S110" s="58" t="s">
        <v>263</v>
      </c>
      <c r="T110" s="66">
        <v>0</v>
      </c>
      <c r="U110" s="65"/>
      <c r="V110" s="65"/>
      <c r="W110" s="58" t="s">
        <v>263</v>
      </c>
      <c r="X110" s="59">
        <v>0</v>
      </c>
      <c r="Y110" s="60" t="s">
        <v>263</v>
      </c>
      <c r="Z110" s="66">
        <v>0</v>
      </c>
      <c r="AA110" s="65"/>
      <c r="AB110" s="60" t="s">
        <v>263</v>
      </c>
      <c r="AC110" s="59">
        <v>0</v>
      </c>
    </row>
    <row r="111" spans="2:29" x14ac:dyDescent="0.3">
      <c r="B111" s="71" t="s">
        <v>1362</v>
      </c>
      <c r="C111" s="65"/>
      <c r="D111" s="58" t="s">
        <v>263</v>
      </c>
      <c r="E111" s="71" t="s">
        <v>1363</v>
      </c>
      <c r="F111" s="65"/>
      <c r="G111" s="58" t="s">
        <v>263</v>
      </c>
      <c r="H111" s="71" t="s">
        <v>1364</v>
      </c>
      <c r="I111" s="65"/>
      <c r="J111" s="65"/>
      <c r="K111" s="65"/>
      <c r="L111" s="58" t="s">
        <v>263</v>
      </c>
      <c r="M111" s="71" t="s">
        <v>1365</v>
      </c>
      <c r="N111" s="65"/>
      <c r="O111" s="58" t="s">
        <v>263</v>
      </c>
      <c r="P111" s="59">
        <v>93</v>
      </c>
      <c r="Q111" s="58" t="s">
        <v>263</v>
      </c>
      <c r="R111" s="58" t="s">
        <v>918</v>
      </c>
      <c r="S111" s="58" t="s">
        <v>263</v>
      </c>
      <c r="T111" s="66">
        <v>0</v>
      </c>
      <c r="U111" s="65"/>
      <c r="V111" s="65"/>
      <c r="W111" s="58" t="s">
        <v>263</v>
      </c>
      <c r="X111" s="59">
        <v>0</v>
      </c>
      <c r="Y111" s="60" t="s">
        <v>263</v>
      </c>
      <c r="Z111" s="66">
        <v>0</v>
      </c>
      <c r="AA111" s="65"/>
      <c r="AB111" s="60" t="s">
        <v>263</v>
      </c>
      <c r="AC111" s="59">
        <v>0</v>
      </c>
    </row>
    <row r="112" spans="2:29" x14ac:dyDescent="0.3">
      <c r="B112" s="71" t="s">
        <v>1366</v>
      </c>
      <c r="C112" s="65"/>
      <c r="D112" s="58" t="s">
        <v>263</v>
      </c>
      <c r="E112" s="71" t="s">
        <v>1367</v>
      </c>
      <c r="F112" s="65"/>
      <c r="G112" s="58" t="s">
        <v>263</v>
      </c>
      <c r="H112" s="71" t="s">
        <v>1368</v>
      </c>
      <c r="I112" s="65"/>
      <c r="J112" s="65"/>
      <c r="K112" s="65"/>
      <c r="L112" s="58" t="s">
        <v>263</v>
      </c>
      <c r="M112" s="71" t="s">
        <v>1369</v>
      </c>
      <c r="N112" s="65"/>
      <c r="O112" s="58" t="s">
        <v>263</v>
      </c>
      <c r="P112" s="59">
        <v>117</v>
      </c>
      <c r="Q112" s="58" t="s">
        <v>263</v>
      </c>
      <c r="R112" s="58" t="s">
        <v>918</v>
      </c>
      <c r="S112" s="58" t="s">
        <v>263</v>
      </c>
      <c r="T112" s="66">
        <v>0</v>
      </c>
      <c r="U112" s="65"/>
      <c r="V112" s="65"/>
      <c r="W112" s="58" t="s">
        <v>263</v>
      </c>
      <c r="X112" s="59">
        <v>0</v>
      </c>
      <c r="Y112" s="60" t="s">
        <v>263</v>
      </c>
      <c r="Z112" s="66">
        <v>0</v>
      </c>
      <c r="AA112" s="65"/>
      <c r="AB112" s="60" t="s">
        <v>263</v>
      </c>
      <c r="AC112" s="59">
        <v>0</v>
      </c>
    </row>
    <row r="113" spans="2:29" x14ac:dyDescent="0.3">
      <c r="B113" s="71" t="s">
        <v>1370</v>
      </c>
      <c r="C113" s="65"/>
      <c r="D113" s="58" t="s">
        <v>263</v>
      </c>
      <c r="E113" s="71" t="s">
        <v>1371</v>
      </c>
      <c r="F113" s="65"/>
      <c r="G113" s="58" t="s">
        <v>263</v>
      </c>
      <c r="H113" s="71" t="s">
        <v>1372</v>
      </c>
      <c r="I113" s="65"/>
      <c r="J113" s="65"/>
      <c r="K113" s="65"/>
      <c r="L113" s="58" t="s">
        <v>263</v>
      </c>
      <c r="M113" s="71" t="s">
        <v>1229</v>
      </c>
      <c r="N113" s="65"/>
      <c r="O113" s="58" t="s">
        <v>263</v>
      </c>
      <c r="P113" s="59">
        <v>129</v>
      </c>
      <c r="Q113" s="58" t="s">
        <v>263</v>
      </c>
      <c r="R113" s="58" t="s">
        <v>918</v>
      </c>
      <c r="S113" s="58" t="s">
        <v>263</v>
      </c>
      <c r="T113" s="66">
        <v>0</v>
      </c>
      <c r="U113" s="65"/>
      <c r="V113" s="65"/>
      <c r="W113" s="58" t="s">
        <v>263</v>
      </c>
      <c r="X113" s="59">
        <v>0</v>
      </c>
      <c r="Y113" s="60" t="s">
        <v>263</v>
      </c>
      <c r="Z113" s="66">
        <v>0</v>
      </c>
      <c r="AA113" s="65"/>
      <c r="AB113" s="60" t="s">
        <v>263</v>
      </c>
      <c r="AC113" s="59">
        <v>0</v>
      </c>
    </row>
    <row r="114" spans="2:29" x14ac:dyDescent="0.3">
      <c r="B114" s="71" t="s">
        <v>1373</v>
      </c>
      <c r="C114" s="65"/>
      <c r="D114" s="58" t="s">
        <v>263</v>
      </c>
      <c r="E114" s="71" t="s">
        <v>1374</v>
      </c>
      <c r="F114" s="65"/>
      <c r="G114" s="58" t="s">
        <v>263</v>
      </c>
      <c r="H114" s="71" t="s">
        <v>1375</v>
      </c>
      <c r="I114" s="65"/>
      <c r="J114" s="65"/>
      <c r="K114" s="65"/>
      <c r="L114" s="58" t="s">
        <v>263</v>
      </c>
      <c r="M114" s="71" t="s">
        <v>1344</v>
      </c>
      <c r="N114" s="65"/>
      <c r="O114" s="58" t="s">
        <v>263</v>
      </c>
      <c r="P114" s="59">
        <v>112</v>
      </c>
      <c r="Q114" s="58" t="s">
        <v>263</v>
      </c>
      <c r="R114" s="58" t="s">
        <v>918</v>
      </c>
      <c r="S114" s="58" t="s">
        <v>263</v>
      </c>
      <c r="T114" s="66">
        <v>0</v>
      </c>
      <c r="U114" s="65"/>
      <c r="V114" s="65"/>
      <c r="W114" s="58" t="s">
        <v>263</v>
      </c>
      <c r="X114" s="59">
        <v>0</v>
      </c>
      <c r="Y114" s="60" t="s">
        <v>263</v>
      </c>
      <c r="Z114" s="66">
        <v>0</v>
      </c>
      <c r="AA114" s="65"/>
      <c r="AB114" s="60" t="s">
        <v>263</v>
      </c>
      <c r="AC114" s="59">
        <v>0</v>
      </c>
    </row>
    <row r="115" spans="2:29" x14ac:dyDescent="0.3">
      <c r="B115" s="71" t="s">
        <v>1376</v>
      </c>
      <c r="C115" s="65"/>
      <c r="D115" s="58" t="s">
        <v>263</v>
      </c>
      <c r="E115" s="71" t="s">
        <v>1377</v>
      </c>
      <c r="F115" s="65"/>
      <c r="G115" s="58" t="s">
        <v>263</v>
      </c>
      <c r="H115" s="71" t="s">
        <v>1378</v>
      </c>
      <c r="I115" s="65"/>
      <c r="J115" s="65"/>
      <c r="K115" s="65"/>
      <c r="L115" s="58" t="s">
        <v>263</v>
      </c>
      <c r="M115" s="71" t="s">
        <v>1379</v>
      </c>
      <c r="N115" s="65"/>
      <c r="O115" s="58" t="s">
        <v>263</v>
      </c>
      <c r="P115" s="59">
        <v>167</v>
      </c>
      <c r="Q115" s="58" t="s">
        <v>263</v>
      </c>
      <c r="R115" s="58" t="s">
        <v>918</v>
      </c>
      <c r="S115" s="58" t="s">
        <v>263</v>
      </c>
      <c r="T115" s="66">
        <v>0</v>
      </c>
      <c r="U115" s="65"/>
      <c r="V115" s="65"/>
      <c r="W115" s="58" t="s">
        <v>263</v>
      </c>
      <c r="X115" s="59">
        <v>0</v>
      </c>
      <c r="Y115" s="60" t="s">
        <v>263</v>
      </c>
      <c r="Z115" s="66">
        <v>0</v>
      </c>
      <c r="AA115" s="65"/>
      <c r="AB115" s="60" t="s">
        <v>263</v>
      </c>
      <c r="AC115" s="59">
        <v>0</v>
      </c>
    </row>
    <row r="116" spans="2:29" x14ac:dyDescent="0.3">
      <c r="B116" s="71" t="s">
        <v>1380</v>
      </c>
      <c r="C116" s="65"/>
      <c r="D116" s="58" t="s">
        <v>263</v>
      </c>
      <c r="E116" s="71" t="s">
        <v>1381</v>
      </c>
      <c r="F116" s="65"/>
      <c r="G116" s="58" t="s">
        <v>263</v>
      </c>
      <c r="H116" s="71" t="s">
        <v>1382</v>
      </c>
      <c r="I116" s="65"/>
      <c r="J116" s="65"/>
      <c r="K116" s="65"/>
      <c r="L116" s="58" t="s">
        <v>263</v>
      </c>
      <c r="M116" s="71" t="s">
        <v>1344</v>
      </c>
      <c r="N116" s="65"/>
      <c r="O116" s="58" t="s">
        <v>263</v>
      </c>
      <c r="P116" s="59">
        <v>172</v>
      </c>
      <c r="Q116" s="58" t="s">
        <v>263</v>
      </c>
      <c r="R116" s="58" t="s">
        <v>918</v>
      </c>
      <c r="S116" s="58" t="s">
        <v>263</v>
      </c>
      <c r="T116" s="66">
        <v>0</v>
      </c>
      <c r="U116" s="65"/>
      <c r="V116" s="65"/>
      <c r="W116" s="58" t="s">
        <v>263</v>
      </c>
      <c r="X116" s="59">
        <v>0</v>
      </c>
      <c r="Y116" s="60" t="s">
        <v>263</v>
      </c>
      <c r="Z116" s="66">
        <v>0</v>
      </c>
      <c r="AA116" s="65"/>
      <c r="AB116" s="60" t="s">
        <v>263</v>
      </c>
      <c r="AC116" s="59">
        <v>0</v>
      </c>
    </row>
    <row r="117" spans="2:29" x14ac:dyDescent="0.3">
      <c r="B117" s="71" t="s">
        <v>1383</v>
      </c>
      <c r="C117" s="65"/>
      <c r="D117" s="58" t="s">
        <v>263</v>
      </c>
      <c r="E117" s="71" t="s">
        <v>1384</v>
      </c>
      <c r="F117" s="65"/>
      <c r="G117" s="58" t="s">
        <v>263</v>
      </c>
      <c r="H117" s="71" t="s">
        <v>1385</v>
      </c>
      <c r="I117" s="65"/>
      <c r="J117" s="65"/>
      <c r="K117" s="65"/>
      <c r="L117" s="58" t="s">
        <v>263</v>
      </c>
      <c r="M117" s="71" t="s">
        <v>1386</v>
      </c>
      <c r="N117" s="65"/>
      <c r="O117" s="58" t="s">
        <v>263</v>
      </c>
      <c r="P117" s="59">
        <v>182</v>
      </c>
      <c r="Q117" s="58" t="s">
        <v>263</v>
      </c>
      <c r="R117" s="58" t="s">
        <v>918</v>
      </c>
      <c r="S117" s="58" t="s">
        <v>263</v>
      </c>
      <c r="T117" s="66">
        <v>0</v>
      </c>
      <c r="U117" s="65"/>
      <c r="V117" s="65"/>
      <c r="W117" s="58" t="s">
        <v>263</v>
      </c>
      <c r="X117" s="59">
        <v>0</v>
      </c>
      <c r="Y117" s="60" t="s">
        <v>263</v>
      </c>
      <c r="Z117" s="66">
        <v>0</v>
      </c>
      <c r="AA117" s="65"/>
      <c r="AB117" s="60" t="s">
        <v>263</v>
      </c>
      <c r="AC117" s="59">
        <v>0</v>
      </c>
    </row>
    <row r="118" spans="2:29" x14ac:dyDescent="0.3">
      <c r="B118" s="71" t="s">
        <v>1387</v>
      </c>
      <c r="C118" s="65"/>
      <c r="D118" s="58" t="s">
        <v>263</v>
      </c>
      <c r="E118" s="71" t="s">
        <v>1388</v>
      </c>
      <c r="F118" s="65"/>
      <c r="G118" s="58" t="s">
        <v>263</v>
      </c>
      <c r="H118" s="71" t="s">
        <v>1351</v>
      </c>
      <c r="I118" s="65"/>
      <c r="J118" s="65"/>
      <c r="K118" s="65"/>
      <c r="L118" s="58" t="s">
        <v>263</v>
      </c>
      <c r="M118" s="71" t="s">
        <v>1389</v>
      </c>
      <c r="N118" s="65"/>
      <c r="O118" s="58" t="s">
        <v>263</v>
      </c>
      <c r="P118" s="59">
        <v>117</v>
      </c>
      <c r="Q118" s="58" t="s">
        <v>263</v>
      </c>
      <c r="R118" s="58" t="s">
        <v>918</v>
      </c>
      <c r="S118" s="58" t="s">
        <v>263</v>
      </c>
      <c r="T118" s="66">
        <v>0</v>
      </c>
      <c r="U118" s="65"/>
      <c r="V118" s="65"/>
      <c r="W118" s="58" t="s">
        <v>263</v>
      </c>
      <c r="X118" s="59">
        <v>0</v>
      </c>
      <c r="Y118" s="60" t="s">
        <v>263</v>
      </c>
      <c r="Z118" s="66">
        <v>0</v>
      </c>
      <c r="AA118" s="65"/>
      <c r="AB118" s="60" t="s">
        <v>263</v>
      </c>
      <c r="AC118" s="59">
        <v>0</v>
      </c>
    </row>
    <row r="119" spans="2:29" x14ac:dyDescent="0.3">
      <c r="B119" s="71" t="s">
        <v>1390</v>
      </c>
      <c r="C119" s="65"/>
      <c r="D119" s="58" t="s">
        <v>263</v>
      </c>
      <c r="E119" s="71" t="s">
        <v>1391</v>
      </c>
      <c r="F119" s="65"/>
      <c r="G119" s="58" t="s">
        <v>263</v>
      </c>
      <c r="H119" s="71" t="s">
        <v>1392</v>
      </c>
      <c r="I119" s="65"/>
      <c r="J119" s="65"/>
      <c r="K119" s="65"/>
      <c r="L119" s="58" t="s">
        <v>263</v>
      </c>
      <c r="M119" s="71" t="s">
        <v>1337</v>
      </c>
      <c r="N119" s="65"/>
      <c r="O119" s="58" t="s">
        <v>263</v>
      </c>
      <c r="P119" s="59">
        <v>136</v>
      </c>
      <c r="Q119" s="58" t="s">
        <v>263</v>
      </c>
      <c r="R119" s="58" t="s">
        <v>918</v>
      </c>
      <c r="S119" s="58" t="s">
        <v>263</v>
      </c>
      <c r="T119" s="66">
        <v>0</v>
      </c>
      <c r="U119" s="65"/>
      <c r="V119" s="65"/>
      <c r="W119" s="58" t="s">
        <v>263</v>
      </c>
      <c r="X119" s="59">
        <v>0</v>
      </c>
      <c r="Y119" s="60" t="s">
        <v>263</v>
      </c>
      <c r="Z119" s="66">
        <v>0</v>
      </c>
      <c r="AA119" s="65"/>
      <c r="AB119" s="60" t="s">
        <v>263</v>
      </c>
      <c r="AC119" s="59">
        <v>0</v>
      </c>
    </row>
    <row r="120" spans="2:29" x14ac:dyDescent="0.3">
      <c r="B120" s="71" t="s">
        <v>1393</v>
      </c>
      <c r="C120" s="65"/>
      <c r="D120" s="58" t="s">
        <v>263</v>
      </c>
      <c r="E120" s="71" t="s">
        <v>1394</v>
      </c>
      <c r="F120" s="65"/>
      <c r="G120" s="58" t="s">
        <v>263</v>
      </c>
      <c r="H120" s="71" t="s">
        <v>1395</v>
      </c>
      <c r="I120" s="65"/>
      <c r="J120" s="65"/>
      <c r="K120" s="65"/>
      <c r="L120" s="58" t="s">
        <v>263</v>
      </c>
      <c r="M120" s="71" t="s">
        <v>1396</v>
      </c>
      <c r="N120" s="65"/>
      <c r="O120" s="58" t="s">
        <v>263</v>
      </c>
      <c r="P120" s="59">
        <v>103</v>
      </c>
      <c r="Q120" s="58" t="s">
        <v>263</v>
      </c>
      <c r="R120" s="58" t="s">
        <v>918</v>
      </c>
      <c r="S120" s="58" t="s">
        <v>263</v>
      </c>
      <c r="T120" s="66">
        <v>0</v>
      </c>
      <c r="U120" s="65"/>
      <c r="V120" s="65"/>
      <c r="W120" s="58" t="s">
        <v>263</v>
      </c>
      <c r="X120" s="59">
        <v>0</v>
      </c>
      <c r="Y120" s="60" t="s">
        <v>263</v>
      </c>
      <c r="Z120" s="66">
        <v>0</v>
      </c>
      <c r="AA120" s="65"/>
      <c r="AB120" s="60" t="s">
        <v>263</v>
      </c>
      <c r="AC120" s="59">
        <v>0</v>
      </c>
    </row>
    <row r="121" spans="2:29" x14ac:dyDescent="0.3">
      <c r="B121" s="71" t="s">
        <v>1397</v>
      </c>
      <c r="C121" s="65"/>
      <c r="D121" s="58" t="s">
        <v>263</v>
      </c>
      <c r="E121" s="71" t="s">
        <v>1398</v>
      </c>
      <c r="F121" s="65"/>
      <c r="G121" s="58" t="s">
        <v>263</v>
      </c>
      <c r="H121" s="71" t="s">
        <v>1399</v>
      </c>
      <c r="I121" s="65"/>
      <c r="J121" s="65"/>
      <c r="K121" s="65"/>
      <c r="L121" s="58" t="s">
        <v>263</v>
      </c>
      <c r="M121" s="71" t="s">
        <v>1386</v>
      </c>
      <c r="N121" s="65"/>
      <c r="O121" s="58" t="s">
        <v>263</v>
      </c>
      <c r="P121" s="59">
        <v>107</v>
      </c>
      <c r="Q121" s="58" t="s">
        <v>263</v>
      </c>
      <c r="R121" s="58" t="s">
        <v>918</v>
      </c>
      <c r="S121" s="58" t="s">
        <v>263</v>
      </c>
      <c r="T121" s="66">
        <v>0</v>
      </c>
      <c r="U121" s="65"/>
      <c r="V121" s="65"/>
      <c r="W121" s="58" t="s">
        <v>263</v>
      </c>
      <c r="X121" s="59">
        <v>0</v>
      </c>
      <c r="Y121" s="60" t="s">
        <v>263</v>
      </c>
      <c r="Z121" s="66">
        <v>0</v>
      </c>
      <c r="AA121" s="65"/>
      <c r="AB121" s="60" t="s">
        <v>263</v>
      </c>
      <c r="AC121" s="59">
        <v>0</v>
      </c>
    </row>
    <row r="122" spans="2:29" x14ac:dyDescent="0.3">
      <c r="B122" s="71" t="s">
        <v>1400</v>
      </c>
      <c r="C122" s="65"/>
      <c r="D122" s="58" t="s">
        <v>263</v>
      </c>
      <c r="E122" s="71" t="s">
        <v>1401</v>
      </c>
      <c r="F122" s="65"/>
      <c r="G122" s="58" t="s">
        <v>263</v>
      </c>
      <c r="H122" s="71" t="s">
        <v>1402</v>
      </c>
      <c r="I122" s="65"/>
      <c r="J122" s="65"/>
      <c r="K122" s="65"/>
      <c r="L122" s="58" t="s">
        <v>263</v>
      </c>
      <c r="M122" s="71" t="s">
        <v>1386</v>
      </c>
      <c r="N122" s="65"/>
      <c r="O122" s="58" t="s">
        <v>263</v>
      </c>
      <c r="P122" s="59">
        <v>157</v>
      </c>
      <c r="Q122" s="58" t="s">
        <v>263</v>
      </c>
      <c r="R122" s="58" t="s">
        <v>918</v>
      </c>
      <c r="S122" s="58" t="s">
        <v>263</v>
      </c>
      <c r="T122" s="66">
        <v>0</v>
      </c>
      <c r="U122" s="65"/>
      <c r="V122" s="65"/>
      <c r="W122" s="58" t="s">
        <v>263</v>
      </c>
      <c r="X122" s="59">
        <v>0</v>
      </c>
      <c r="Y122" s="60" t="s">
        <v>263</v>
      </c>
      <c r="Z122" s="66">
        <v>0</v>
      </c>
      <c r="AA122" s="65"/>
      <c r="AB122" s="60" t="s">
        <v>263</v>
      </c>
      <c r="AC122" s="59">
        <v>0</v>
      </c>
    </row>
    <row r="123" spans="2:29" x14ac:dyDescent="0.3">
      <c r="B123" s="71" t="s">
        <v>1403</v>
      </c>
      <c r="C123" s="65"/>
      <c r="D123" s="58" t="s">
        <v>263</v>
      </c>
      <c r="E123" s="71" t="s">
        <v>1404</v>
      </c>
      <c r="F123" s="65"/>
      <c r="G123" s="58" t="s">
        <v>263</v>
      </c>
      <c r="H123" s="71" t="s">
        <v>1405</v>
      </c>
      <c r="I123" s="65"/>
      <c r="J123" s="65"/>
      <c r="K123" s="65"/>
      <c r="L123" s="58" t="s">
        <v>263</v>
      </c>
      <c r="M123" s="71" t="s">
        <v>1386</v>
      </c>
      <c r="N123" s="65"/>
      <c r="O123" s="58" t="s">
        <v>263</v>
      </c>
      <c r="P123" s="59">
        <v>150</v>
      </c>
      <c r="Q123" s="58" t="s">
        <v>263</v>
      </c>
      <c r="R123" s="58" t="s">
        <v>918</v>
      </c>
      <c r="S123" s="58" t="s">
        <v>263</v>
      </c>
      <c r="T123" s="66">
        <v>0</v>
      </c>
      <c r="U123" s="65"/>
      <c r="V123" s="65"/>
      <c r="W123" s="58" t="s">
        <v>263</v>
      </c>
      <c r="X123" s="59">
        <v>0</v>
      </c>
      <c r="Y123" s="60" t="s">
        <v>263</v>
      </c>
      <c r="Z123" s="66">
        <v>0</v>
      </c>
      <c r="AA123" s="65"/>
      <c r="AB123" s="60" t="s">
        <v>263</v>
      </c>
      <c r="AC123" s="59">
        <v>0</v>
      </c>
    </row>
    <row r="124" spans="2:29" x14ac:dyDescent="0.3">
      <c r="B124" s="71" t="s">
        <v>1406</v>
      </c>
      <c r="C124" s="65"/>
      <c r="D124" s="58" t="s">
        <v>263</v>
      </c>
      <c r="E124" s="71" t="s">
        <v>1407</v>
      </c>
      <c r="F124" s="65"/>
      <c r="G124" s="58" t="s">
        <v>263</v>
      </c>
      <c r="H124" s="71" t="s">
        <v>1408</v>
      </c>
      <c r="I124" s="65"/>
      <c r="J124" s="65"/>
      <c r="K124" s="65"/>
      <c r="L124" s="58" t="s">
        <v>263</v>
      </c>
      <c r="M124" s="71" t="s">
        <v>1386</v>
      </c>
      <c r="N124" s="65"/>
      <c r="O124" s="58" t="s">
        <v>263</v>
      </c>
      <c r="P124" s="59">
        <v>136</v>
      </c>
      <c r="Q124" s="58" t="s">
        <v>263</v>
      </c>
      <c r="R124" s="58" t="s">
        <v>918</v>
      </c>
      <c r="S124" s="58" t="s">
        <v>263</v>
      </c>
      <c r="T124" s="66">
        <v>0</v>
      </c>
      <c r="U124" s="65"/>
      <c r="V124" s="65"/>
      <c r="W124" s="58" t="s">
        <v>263</v>
      </c>
      <c r="X124" s="59">
        <v>0</v>
      </c>
      <c r="Y124" s="60" t="s">
        <v>263</v>
      </c>
      <c r="Z124" s="66">
        <v>0</v>
      </c>
      <c r="AA124" s="65"/>
      <c r="AB124" s="60" t="s">
        <v>263</v>
      </c>
      <c r="AC124" s="59">
        <v>0</v>
      </c>
    </row>
    <row r="125" spans="2:29" x14ac:dyDescent="0.3">
      <c r="B125" s="71" t="s">
        <v>1409</v>
      </c>
      <c r="C125" s="65"/>
      <c r="D125" s="58" t="s">
        <v>263</v>
      </c>
      <c r="E125" s="71" t="s">
        <v>1410</v>
      </c>
      <c r="F125" s="65"/>
      <c r="G125" s="58" t="s">
        <v>263</v>
      </c>
      <c r="H125" s="71" t="s">
        <v>1411</v>
      </c>
      <c r="I125" s="65"/>
      <c r="J125" s="65"/>
      <c r="K125" s="65"/>
      <c r="L125" s="58" t="s">
        <v>263</v>
      </c>
      <c r="M125" s="71" t="s">
        <v>1412</v>
      </c>
      <c r="N125" s="65"/>
      <c r="O125" s="58" t="s">
        <v>263</v>
      </c>
      <c r="P125" s="59">
        <v>175</v>
      </c>
      <c r="Q125" s="58" t="s">
        <v>263</v>
      </c>
      <c r="R125" s="58" t="s">
        <v>918</v>
      </c>
      <c r="S125" s="58" t="s">
        <v>263</v>
      </c>
      <c r="T125" s="66">
        <v>0</v>
      </c>
      <c r="U125" s="65"/>
      <c r="V125" s="65"/>
      <c r="W125" s="58" t="s">
        <v>263</v>
      </c>
      <c r="X125" s="59">
        <v>0</v>
      </c>
      <c r="Y125" s="60" t="s">
        <v>263</v>
      </c>
      <c r="Z125" s="66">
        <v>0</v>
      </c>
      <c r="AA125" s="65"/>
      <c r="AB125" s="60" t="s">
        <v>263</v>
      </c>
      <c r="AC125" s="59">
        <v>0</v>
      </c>
    </row>
    <row r="126" spans="2:29" x14ac:dyDescent="0.3">
      <c r="B126" s="71" t="s">
        <v>1413</v>
      </c>
      <c r="C126" s="65"/>
      <c r="D126" s="58" t="s">
        <v>263</v>
      </c>
      <c r="E126" s="71" t="s">
        <v>1414</v>
      </c>
      <c r="F126" s="65"/>
      <c r="G126" s="58" t="s">
        <v>263</v>
      </c>
      <c r="H126" s="71" t="s">
        <v>1415</v>
      </c>
      <c r="I126" s="65"/>
      <c r="J126" s="65"/>
      <c r="K126" s="65"/>
      <c r="L126" s="58" t="s">
        <v>263</v>
      </c>
      <c r="M126" s="71" t="s">
        <v>1396</v>
      </c>
      <c r="N126" s="65"/>
      <c r="O126" s="58" t="s">
        <v>263</v>
      </c>
      <c r="P126" s="59">
        <v>192</v>
      </c>
      <c r="Q126" s="58" t="s">
        <v>263</v>
      </c>
      <c r="R126" s="58" t="s">
        <v>918</v>
      </c>
      <c r="S126" s="58" t="s">
        <v>263</v>
      </c>
      <c r="T126" s="66">
        <v>0</v>
      </c>
      <c r="U126" s="65"/>
      <c r="V126" s="65"/>
      <c r="W126" s="58" t="s">
        <v>263</v>
      </c>
      <c r="X126" s="59">
        <v>0</v>
      </c>
      <c r="Y126" s="60" t="s">
        <v>263</v>
      </c>
      <c r="Z126" s="66">
        <v>0</v>
      </c>
      <c r="AA126" s="65"/>
      <c r="AB126" s="60" t="s">
        <v>263</v>
      </c>
      <c r="AC126" s="59">
        <v>0</v>
      </c>
    </row>
    <row r="127" spans="2:29" x14ac:dyDescent="0.3">
      <c r="B127" s="71" t="s">
        <v>1416</v>
      </c>
      <c r="C127" s="65"/>
      <c r="D127" s="58" t="s">
        <v>263</v>
      </c>
      <c r="E127" s="71" t="s">
        <v>1414</v>
      </c>
      <c r="F127" s="65"/>
      <c r="G127" s="58" t="s">
        <v>263</v>
      </c>
      <c r="H127" s="71" t="s">
        <v>1415</v>
      </c>
      <c r="I127" s="65"/>
      <c r="J127" s="65"/>
      <c r="K127" s="65"/>
      <c r="L127" s="58" t="s">
        <v>263</v>
      </c>
      <c r="M127" s="71" t="s">
        <v>1417</v>
      </c>
      <c r="N127" s="65"/>
      <c r="O127" s="58" t="s">
        <v>263</v>
      </c>
      <c r="P127" s="59">
        <v>224</v>
      </c>
      <c r="Q127" s="58" t="s">
        <v>263</v>
      </c>
      <c r="R127" s="58" t="s">
        <v>664</v>
      </c>
      <c r="S127" s="58" t="s">
        <v>263</v>
      </c>
      <c r="T127" s="66">
        <v>151.74</v>
      </c>
      <c r="U127" s="65"/>
      <c r="V127" s="65"/>
      <c r="W127" s="58" t="s">
        <v>263</v>
      </c>
      <c r="X127" s="59">
        <v>0</v>
      </c>
      <c r="Y127" s="60" t="s">
        <v>263</v>
      </c>
      <c r="Z127" s="66">
        <v>0</v>
      </c>
      <c r="AA127" s="65"/>
      <c r="AB127" s="60" t="s">
        <v>263</v>
      </c>
      <c r="AC127" s="59">
        <v>0</v>
      </c>
    </row>
    <row r="128" spans="2:29" x14ac:dyDescent="0.3">
      <c r="B128" s="71" t="s">
        <v>1418</v>
      </c>
      <c r="C128" s="65"/>
      <c r="D128" s="58" t="s">
        <v>263</v>
      </c>
      <c r="E128" s="71" t="s">
        <v>1414</v>
      </c>
      <c r="F128" s="65"/>
      <c r="G128" s="58" t="s">
        <v>263</v>
      </c>
      <c r="H128" s="71" t="s">
        <v>1415</v>
      </c>
      <c r="I128" s="65"/>
      <c r="J128" s="65"/>
      <c r="K128" s="65"/>
      <c r="L128" s="58" t="s">
        <v>263</v>
      </c>
      <c r="M128" s="71" t="s">
        <v>678</v>
      </c>
      <c r="N128" s="65"/>
      <c r="O128" s="58" t="s">
        <v>263</v>
      </c>
      <c r="P128" s="59">
        <v>114</v>
      </c>
      <c r="Q128" s="58" t="s">
        <v>263</v>
      </c>
      <c r="R128" s="58" t="s">
        <v>918</v>
      </c>
      <c r="S128" s="58" t="s">
        <v>263</v>
      </c>
      <c r="T128" s="66">
        <v>0</v>
      </c>
      <c r="U128" s="65"/>
      <c r="V128" s="65"/>
      <c r="W128" s="58" t="s">
        <v>263</v>
      </c>
      <c r="X128" s="59">
        <v>0</v>
      </c>
      <c r="Y128" s="60" t="s">
        <v>263</v>
      </c>
      <c r="Z128" s="66">
        <v>0</v>
      </c>
      <c r="AA128" s="65"/>
      <c r="AB128" s="60" t="s">
        <v>263</v>
      </c>
      <c r="AC128" s="59">
        <v>0</v>
      </c>
    </row>
    <row r="129" spans="2:29" x14ac:dyDescent="0.3">
      <c r="B129" s="71" t="s">
        <v>1419</v>
      </c>
      <c r="C129" s="65"/>
      <c r="D129" s="58" t="s">
        <v>263</v>
      </c>
      <c r="E129" s="71" t="s">
        <v>1420</v>
      </c>
      <c r="F129" s="65"/>
      <c r="G129" s="58" t="s">
        <v>263</v>
      </c>
      <c r="H129" s="71" t="s">
        <v>1421</v>
      </c>
      <c r="I129" s="65"/>
      <c r="J129" s="65"/>
      <c r="K129" s="65"/>
      <c r="L129" s="58" t="s">
        <v>263</v>
      </c>
      <c r="M129" s="71" t="s">
        <v>1379</v>
      </c>
      <c r="N129" s="65"/>
      <c r="O129" s="58" t="s">
        <v>263</v>
      </c>
      <c r="P129" s="59">
        <v>128</v>
      </c>
      <c r="Q129" s="58" t="s">
        <v>263</v>
      </c>
      <c r="R129" s="58" t="s">
        <v>918</v>
      </c>
      <c r="S129" s="58" t="s">
        <v>263</v>
      </c>
      <c r="T129" s="66">
        <v>0</v>
      </c>
      <c r="U129" s="65"/>
      <c r="V129" s="65"/>
      <c r="W129" s="58" t="s">
        <v>263</v>
      </c>
      <c r="X129" s="59">
        <v>0</v>
      </c>
      <c r="Y129" s="60" t="s">
        <v>263</v>
      </c>
      <c r="Z129" s="66">
        <v>0</v>
      </c>
      <c r="AA129" s="65"/>
      <c r="AB129" s="60" t="s">
        <v>263</v>
      </c>
      <c r="AC129" s="59">
        <v>0</v>
      </c>
    </row>
    <row r="130" spans="2:29" x14ac:dyDescent="0.3">
      <c r="B130" s="71" t="s">
        <v>1422</v>
      </c>
      <c r="C130" s="65"/>
      <c r="D130" s="58" t="s">
        <v>263</v>
      </c>
      <c r="E130" s="71" t="s">
        <v>1423</v>
      </c>
      <c r="F130" s="65"/>
      <c r="G130" s="58" t="s">
        <v>263</v>
      </c>
      <c r="H130" s="71" t="s">
        <v>1424</v>
      </c>
      <c r="I130" s="65"/>
      <c r="J130" s="65"/>
      <c r="K130" s="65"/>
      <c r="L130" s="58" t="s">
        <v>263</v>
      </c>
      <c r="M130" s="71" t="s">
        <v>1379</v>
      </c>
      <c r="N130" s="65"/>
      <c r="O130" s="58" t="s">
        <v>263</v>
      </c>
      <c r="P130" s="59">
        <v>209</v>
      </c>
      <c r="Q130" s="58" t="s">
        <v>263</v>
      </c>
      <c r="R130" s="58" t="s">
        <v>918</v>
      </c>
      <c r="S130" s="58" t="s">
        <v>263</v>
      </c>
      <c r="T130" s="66">
        <v>0</v>
      </c>
      <c r="U130" s="65"/>
      <c r="V130" s="65"/>
      <c r="W130" s="58" t="s">
        <v>263</v>
      </c>
      <c r="X130" s="59">
        <v>0</v>
      </c>
      <c r="Y130" s="60" t="s">
        <v>263</v>
      </c>
      <c r="Z130" s="66">
        <v>0</v>
      </c>
      <c r="AA130" s="65"/>
      <c r="AB130" s="60" t="s">
        <v>263</v>
      </c>
      <c r="AC130" s="59">
        <v>0</v>
      </c>
    </row>
    <row r="131" spans="2:29" x14ac:dyDescent="0.3">
      <c r="B131" s="71" t="s">
        <v>1425</v>
      </c>
      <c r="C131" s="65"/>
      <c r="D131" s="58" t="s">
        <v>263</v>
      </c>
      <c r="E131" s="71" t="s">
        <v>1426</v>
      </c>
      <c r="F131" s="65"/>
      <c r="G131" s="58" t="s">
        <v>263</v>
      </c>
      <c r="H131" s="71" t="s">
        <v>1427</v>
      </c>
      <c r="I131" s="65"/>
      <c r="J131" s="65"/>
      <c r="K131" s="65"/>
      <c r="L131" s="58" t="s">
        <v>263</v>
      </c>
      <c r="M131" s="71" t="s">
        <v>1379</v>
      </c>
      <c r="N131" s="65"/>
      <c r="O131" s="58" t="s">
        <v>263</v>
      </c>
      <c r="P131" s="59">
        <v>169</v>
      </c>
      <c r="Q131" s="58" t="s">
        <v>263</v>
      </c>
      <c r="R131" s="58" t="s">
        <v>664</v>
      </c>
      <c r="S131" s="58" t="s">
        <v>263</v>
      </c>
      <c r="T131" s="66">
        <v>169</v>
      </c>
      <c r="U131" s="65"/>
      <c r="V131" s="65"/>
      <c r="W131" s="58" t="s">
        <v>263</v>
      </c>
      <c r="X131" s="59">
        <v>0</v>
      </c>
      <c r="Y131" s="60" t="s">
        <v>263</v>
      </c>
      <c r="Z131" s="66">
        <v>0</v>
      </c>
      <c r="AA131" s="65"/>
      <c r="AB131" s="60" t="s">
        <v>263</v>
      </c>
      <c r="AC131" s="59">
        <v>0</v>
      </c>
    </row>
    <row r="132" spans="2:29" x14ac:dyDescent="0.3">
      <c r="B132" s="71" t="s">
        <v>1428</v>
      </c>
      <c r="C132" s="65"/>
      <c r="D132" s="58" t="s">
        <v>263</v>
      </c>
      <c r="E132" s="71" t="s">
        <v>1429</v>
      </c>
      <c r="F132" s="65"/>
      <c r="G132" s="58" t="s">
        <v>263</v>
      </c>
      <c r="H132" s="71" t="s">
        <v>1430</v>
      </c>
      <c r="I132" s="65"/>
      <c r="J132" s="65"/>
      <c r="K132" s="65"/>
      <c r="L132" s="58" t="s">
        <v>263</v>
      </c>
      <c r="M132" s="71" t="s">
        <v>1412</v>
      </c>
      <c r="N132" s="65"/>
      <c r="O132" s="58" t="s">
        <v>263</v>
      </c>
      <c r="P132" s="59">
        <v>137</v>
      </c>
      <c r="Q132" s="58" t="s">
        <v>263</v>
      </c>
      <c r="R132" s="58" t="s">
        <v>918</v>
      </c>
      <c r="S132" s="58" t="s">
        <v>263</v>
      </c>
      <c r="T132" s="66">
        <v>0</v>
      </c>
      <c r="U132" s="65"/>
      <c r="V132" s="65"/>
      <c r="W132" s="58" t="s">
        <v>263</v>
      </c>
      <c r="X132" s="59">
        <v>0</v>
      </c>
      <c r="Y132" s="60" t="s">
        <v>263</v>
      </c>
      <c r="Z132" s="66">
        <v>0</v>
      </c>
      <c r="AA132" s="65"/>
      <c r="AB132" s="60" t="s">
        <v>263</v>
      </c>
      <c r="AC132" s="59">
        <v>0</v>
      </c>
    </row>
    <row r="133" spans="2:29" x14ac:dyDescent="0.3">
      <c r="B133" s="71" t="s">
        <v>1431</v>
      </c>
      <c r="C133" s="65"/>
      <c r="D133" s="58" t="s">
        <v>263</v>
      </c>
      <c r="E133" s="71" t="s">
        <v>1432</v>
      </c>
      <c r="F133" s="65"/>
      <c r="G133" s="58" t="s">
        <v>263</v>
      </c>
      <c r="H133" s="71" t="s">
        <v>1433</v>
      </c>
      <c r="I133" s="65"/>
      <c r="J133" s="65"/>
      <c r="K133" s="65"/>
      <c r="L133" s="58" t="s">
        <v>263</v>
      </c>
      <c r="M133" s="71" t="s">
        <v>1434</v>
      </c>
      <c r="N133" s="65"/>
      <c r="O133" s="58" t="s">
        <v>263</v>
      </c>
      <c r="P133" s="59">
        <v>227</v>
      </c>
      <c r="Q133" s="58" t="s">
        <v>263</v>
      </c>
      <c r="R133" s="58" t="s">
        <v>918</v>
      </c>
      <c r="S133" s="58" t="s">
        <v>263</v>
      </c>
      <c r="T133" s="66">
        <v>0</v>
      </c>
      <c r="U133" s="65"/>
      <c r="V133" s="65"/>
      <c r="W133" s="58" t="s">
        <v>263</v>
      </c>
      <c r="X133" s="59">
        <v>0</v>
      </c>
      <c r="Y133" s="60" t="s">
        <v>263</v>
      </c>
      <c r="Z133" s="66">
        <v>0</v>
      </c>
      <c r="AA133" s="65"/>
      <c r="AB133" s="60" t="s">
        <v>263</v>
      </c>
      <c r="AC133" s="59">
        <v>0</v>
      </c>
    </row>
    <row r="134" spans="2:29" x14ac:dyDescent="0.3">
      <c r="B134" s="71" t="s">
        <v>1435</v>
      </c>
      <c r="C134" s="65"/>
      <c r="D134" s="58" t="s">
        <v>263</v>
      </c>
      <c r="E134" s="71" t="s">
        <v>1436</v>
      </c>
      <c r="F134" s="65"/>
      <c r="G134" s="58" t="s">
        <v>263</v>
      </c>
      <c r="H134" s="71" t="s">
        <v>1437</v>
      </c>
      <c r="I134" s="65"/>
      <c r="J134" s="65"/>
      <c r="K134" s="65"/>
      <c r="L134" s="58" t="s">
        <v>263</v>
      </c>
      <c r="M134" s="71" t="s">
        <v>1412</v>
      </c>
      <c r="N134" s="65"/>
      <c r="O134" s="58" t="s">
        <v>263</v>
      </c>
      <c r="P134" s="59">
        <v>144</v>
      </c>
      <c r="Q134" s="58" t="s">
        <v>263</v>
      </c>
      <c r="R134" s="58" t="s">
        <v>918</v>
      </c>
      <c r="S134" s="58" t="s">
        <v>263</v>
      </c>
      <c r="T134" s="66">
        <v>0</v>
      </c>
      <c r="U134" s="65"/>
      <c r="V134" s="65"/>
      <c r="W134" s="58" t="s">
        <v>263</v>
      </c>
      <c r="X134" s="59">
        <v>0</v>
      </c>
      <c r="Y134" s="60" t="s">
        <v>263</v>
      </c>
      <c r="Z134" s="66">
        <v>0</v>
      </c>
      <c r="AA134" s="65"/>
      <c r="AB134" s="60" t="s">
        <v>263</v>
      </c>
      <c r="AC134" s="59">
        <v>0</v>
      </c>
    </row>
    <row r="135" spans="2:29" x14ac:dyDescent="0.3">
      <c r="B135" s="71" t="s">
        <v>1438</v>
      </c>
      <c r="C135" s="65"/>
      <c r="D135" s="58" t="s">
        <v>263</v>
      </c>
      <c r="E135" s="71" t="s">
        <v>1439</v>
      </c>
      <c r="F135" s="65"/>
      <c r="G135" s="58" t="s">
        <v>263</v>
      </c>
      <c r="H135" s="71" t="s">
        <v>1440</v>
      </c>
      <c r="I135" s="65"/>
      <c r="J135" s="65"/>
      <c r="K135" s="65"/>
      <c r="L135" s="58" t="s">
        <v>263</v>
      </c>
      <c r="M135" s="71" t="s">
        <v>1017</v>
      </c>
      <c r="N135" s="65"/>
      <c r="O135" s="58" t="s">
        <v>263</v>
      </c>
      <c r="P135" s="59">
        <v>173</v>
      </c>
      <c r="Q135" s="58" t="s">
        <v>263</v>
      </c>
      <c r="R135" s="58" t="s">
        <v>918</v>
      </c>
      <c r="S135" s="58" t="s">
        <v>263</v>
      </c>
      <c r="T135" s="66">
        <v>0</v>
      </c>
      <c r="U135" s="65"/>
      <c r="V135" s="65"/>
      <c r="W135" s="58" t="s">
        <v>263</v>
      </c>
      <c r="X135" s="59">
        <v>0</v>
      </c>
      <c r="Y135" s="60" t="s">
        <v>263</v>
      </c>
      <c r="Z135" s="66">
        <v>0</v>
      </c>
      <c r="AA135" s="65"/>
      <c r="AB135" s="60" t="s">
        <v>263</v>
      </c>
      <c r="AC135" s="59">
        <v>0</v>
      </c>
    </row>
    <row r="136" spans="2:29" x14ac:dyDescent="0.3">
      <c r="B136" s="71" t="s">
        <v>1441</v>
      </c>
      <c r="C136" s="65"/>
      <c r="D136" s="58" t="s">
        <v>263</v>
      </c>
      <c r="E136" s="71" t="s">
        <v>1442</v>
      </c>
      <c r="F136" s="65"/>
      <c r="G136" s="58" t="s">
        <v>263</v>
      </c>
      <c r="H136" s="71" t="s">
        <v>1443</v>
      </c>
      <c r="I136" s="65"/>
      <c r="J136" s="65"/>
      <c r="K136" s="65"/>
      <c r="L136" s="58" t="s">
        <v>263</v>
      </c>
      <c r="M136" s="71" t="s">
        <v>1444</v>
      </c>
      <c r="N136" s="65"/>
      <c r="O136" s="58" t="s">
        <v>263</v>
      </c>
      <c r="P136" s="59">
        <v>115</v>
      </c>
      <c r="Q136" s="58" t="s">
        <v>263</v>
      </c>
      <c r="R136" s="58" t="s">
        <v>918</v>
      </c>
      <c r="S136" s="58" t="s">
        <v>263</v>
      </c>
      <c r="T136" s="66">
        <v>0</v>
      </c>
      <c r="U136" s="65"/>
      <c r="V136" s="65"/>
      <c r="W136" s="58" t="s">
        <v>263</v>
      </c>
      <c r="X136" s="59">
        <v>0</v>
      </c>
      <c r="Y136" s="60" t="s">
        <v>263</v>
      </c>
      <c r="Z136" s="66">
        <v>0</v>
      </c>
      <c r="AA136" s="65"/>
      <c r="AB136" s="60" t="s">
        <v>263</v>
      </c>
      <c r="AC136" s="59">
        <v>0</v>
      </c>
    </row>
    <row r="137" spans="2:29" x14ac:dyDescent="0.3">
      <c r="B137" s="71" t="s">
        <v>1445</v>
      </c>
      <c r="C137" s="65"/>
      <c r="D137" s="58" t="s">
        <v>263</v>
      </c>
      <c r="E137" s="71" t="s">
        <v>1446</v>
      </c>
      <c r="F137" s="65"/>
      <c r="G137" s="58" t="s">
        <v>263</v>
      </c>
      <c r="H137" s="71" t="s">
        <v>1447</v>
      </c>
      <c r="I137" s="65"/>
      <c r="J137" s="65"/>
      <c r="K137" s="65"/>
      <c r="L137" s="58" t="s">
        <v>263</v>
      </c>
      <c r="M137" s="71" t="s">
        <v>1444</v>
      </c>
      <c r="N137" s="65"/>
      <c r="O137" s="58" t="s">
        <v>263</v>
      </c>
      <c r="P137" s="59">
        <v>143</v>
      </c>
      <c r="Q137" s="58" t="s">
        <v>263</v>
      </c>
      <c r="R137" s="58" t="s">
        <v>918</v>
      </c>
      <c r="S137" s="58" t="s">
        <v>263</v>
      </c>
      <c r="T137" s="66">
        <v>0</v>
      </c>
      <c r="U137" s="65"/>
      <c r="V137" s="65"/>
      <c r="W137" s="58" t="s">
        <v>263</v>
      </c>
      <c r="X137" s="59">
        <v>0</v>
      </c>
      <c r="Y137" s="60" t="s">
        <v>263</v>
      </c>
      <c r="Z137" s="66">
        <v>0</v>
      </c>
      <c r="AA137" s="65"/>
      <c r="AB137" s="60" t="s">
        <v>263</v>
      </c>
      <c r="AC137" s="59">
        <v>0</v>
      </c>
    </row>
    <row r="138" spans="2:29" x14ac:dyDescent="0.3">
      <c r="B138" s="71" t="s">
        <v>1448</v>
      </c>
      <c r="C138" s="65"/>
      <c r="D138" s="58" t="s">
        <v>263</v>
      </c>
      <c r="E138" s="71" t="s">
        <v>1449</v>
      </c>
      <c r="F138" s="65"/>
      <c r="G138" s="58" t="s">
        <v>263</v>
      </c>
      <c r="H138" s="71" t="s">
        <v>1450</v>
      </c>
      <c r="I138" s="65"/>
      <c r="J138" s="65"/>
      <c r="K138" s="65"/>
      <c r="L138" s="58" t="s">
        <v>263</v>
      </c>
      <c r="M138" s="71" t="s">
        <v>1451</v>
      </c>
      <c r="N138" s="65"/>
      <c r="O138" s="58" t="s">
        <v>263</v>
      </c>
      <c r="P138" s="59">
        <v>129</v>
      </c>
      <c r="Q138" s="58" t="s">
        <v>263</v>
      </c>
      <c r="R138" s="58" t="s">
        <v>918</v>
      </c>
      <c r="S138" s="58" t="s">
        <v>263</v>
      </c>
      <c r="T138" s="66">
        <v>0</v>
      </c>
      <c r="U138" s="65"/>
      <c r="V138" s="65"/>
      <c r="W138" s="58" t="s">
        <v>263</v>
      </c>
      <c r="X138" s="59">
        <v>0</v>
      </c>
      <c r="Y138" s="60" t="s">
        <v>263</v>
      </c>
      <c r="Z138" s="66">
        <v>0</v>
      </c>
      <c r="AA138" s="65"/>
      <c r="AB138" s="60" t="s">
        <v>263</v>
      </c>
      <c r="AC138" s="59">
        <v>0</v>
      </c>
    </row>
    <row r="139" spans="2:29" x14ac:dyDescent="0.3">
      <c r="B139" s="71" t="s">
        <v>1452</v>
      </c>
      <c r="C139" s="65"/>
      <c r="D139" s="58" t="s">
        <v>263</v>
      </c>
      <c r="E139" s="71" t="s">
        <v>1453</v>
      </c>
      <c r="F139" s="65"/>
      <c r="G139" s="58" t="s">
        <v>263</v>
      </c>
      <c r="H139" s="71" t="s">
        <v>1454</v>
      </c>
      <c r="I139" s="65"/>
      <c r="J139" s="65"/>
      <c r="K139" s="65"/>
      <c r="L139" s="58" t="s">
        <v>263</v>
      </c>
      <c r="M139" s="71" t="s">
        <v>1444</v>
      </c>
      <c r="N139" s="65"/>
      <c r="O139" s="58" t="s">
        <v>263</v>
      </c>
      <c r="P139" s="59">
        <v>173</v>
      </c>
      <c r="Q139" s="58" t="s">
        <v>263</v>
      </c>
      <c r="R139" s="58" t="s">
        <v>918</v>
      </c>
      <c r="S139" s="58" t="s">
        <v>263</v>
      </c>
      <c r="T139" s="66">
        <v>0</v>
      </c>
      <c r="U139" s="65"/>
      <c r="V139" s="65"/>
      <c r="W139" s="58" t="s">
        <v>263</v>
      </c>
      <c r="X139" s="59">
        <v>0</v>
      </c>
      <c r="Y139" s="60" t="s">
        <v>263</v>
      </c>
      <c r="Z139" s="66">
        <v>0</v>
      </c>
      <c r="AA139" s="65"/>
      <c r="AB139" s="60" t="s">
        <v>263</v>
      </c>
      <c r="AC139" s="59">
        <v>0</v>
      </c>
    </row>
    <row r="140" spans="2:29" x14ac:dyDescent="0.3">
      <c r="B140" s="71" t="s">
        <v>1455</v>
      </c>
      <c r="C140" s="65"/>
      <c r="D140" s="58" t="s">
        <v>263</v>
      </c>
      <c r="E140" s="71" t="s">
        <v>1456</v>
      </c>
      <c r="F140" s="65"/>
      <c r="G140" s="58" t="s">
        <v>263</v>
      </c>
      <c r="H140" s="71" t="s">
        <v>1457</v>
      </c>
      <c r="I140" s="65"/>
      <c r="J140" s="65"/>
      <c r="K140" s="65"/>
      <c r="L140" s="58" t="s">
        <v>263</v>
      </c>
      <c r="M140" s="71" t="s">
        <v>1412</v>
      </c>
      <c r="N140" s="65"/>
      <c r="O140" s="58" t="s">
        <v>263</v>
      </c>
      <c r="P140" s="59">
        <v>108</v>
      </c>
      <c r="Q140" s="58" t="s">
        <v>263</v>
      </c>
      <c r="R140" s="58" t="s">
        <v>918</v>
      </c>
      <c r="S140" s="58" t="s">
        <v>263</v>
      </c>
      <c r="T140" s="66">
        <v>0</v>
      </c>
      <c r="U140" s="65"/>
      <c r="V140" s="65"/>
      <c r="W140" s="58" t="s">
        <v>263</v>
      </c>
      <c r="X140" s="59">
        <v>0</v>
      </c>
      <c r="Y140" s="60" t="s">
        <v>263</v>
      </c>
      <c r="Z140" s="66">
        <v>0</v>
      </c>
      <c r="AA140" s="65"/>
      <c r="AB140" s="60" t="s">
        <v>263</v>
      </c>
      <c r="AC140" s="59">
        <v>0</v>
      </c>
    </row>
    <row r="141" spans="2:29" x14ac:dyDescent="0.3">
      <c r="B141" s="71" t="s">
        <v>1458</v>
      </c>
      <c r="C141" s="65"/>
      <c r="D141" s="58" t="s">
        <v>263</v>
      </c>
      <c r="E141" s="71" t="s">
        <v>1459</v>
      </c>
      <c r="F141" s="65"/>
      <c r="G141" s="58" t="s">
        <v>263</v>
      </c>
      <c r="H141" s="71" t="s">
        <v>1460</v>
      </c>
      <c r="I141" s="65"/>
      <c r="J141" s="65"/>
      <c r="K141" s="65"/>
      <c r="L141" s="58" t="s">
        <v>263</v>
      </c>
      <c r="M141" s="71" t="s">
        <v>1279</v>
      </c>
      <c r="N141" s="65"/>
      <c r="O141" s="58" t="s">
        <v>263</v>
      </c>
      <c r="P141" s="59">
        <v>178</v>
      </c>
      <c r="Q141" s="58" t="s">
        <v>263</v>
      </c>
      <c r="R141" s="58" t="s">
        <v>918</v>
      </c>
      <c r="S141" s="58" t="s">
        <v>263</v>
      </c>
      <c r="T141" s="66">
        <v>0</v>
      </c>
      <c r="U141" s="65"/>
      <c r="V141" s="65"/>
      <c r="W141" s="58" t="s">
        <v>263</v>
      </c>
      <c r="X141" s="59">
        <v>0</v>
      </c>
      <c r="Y141" s="60" t="s">
        <v>263</v>
      </c>
      <c r="Z141" s="66">
        <v>0</v>
      </c>
      <c r="AA141" s="65"/>
      <c r="AB141" s="60" t="s">
        <v>263</v>
      </c>
      <c r="AC141" s="59">
        <v>0</v>
      </c>
    </row>
    <row r="142" spans="2:29" x14ac:dyDescent="0.3">
      <c r="B142" s="71" t="s">
        <v>1461</v>
      </c>
      <c r="C142" s="65"/>
      <c r="D142" s="58" t="s">
        <v>263</v>
      </c>
      <c r="E142" s="71" t="s">
        <v>1462</v>
      </c>
      <c r="F142" s="65"/>
      <c r="G142" s="58" t="s">
        <v>263</v>
      </c>
      <c r="H142" s="71" t="s">
        <v>1463</v>
      </c>
      <c r="I142" s="65"/>
      <c r="J142" s="65"/>
      <c r="K142" s="65"/>
      <c r="L142" s="58" t="s">
        <v>263</v>
      </c>
      <c r="M142" s="71" t="s">
        <v>1451</v>
      </c>
      <c r="N142" s="65"/>
      <c r="O142" s="58" t="s">
        <v>263</v>
      </c>
      <c r="P142" s="59">
        <v>110</v>
      </c>
      <c r="Q142" s="58" t="s">
        <v>263</v>
      </c>
      <c r="R142" s="58" t="s">
        <v>918</v>
      </c>
      <c r="S142" s="58" t="s">
        <v>263</v>
      </c>
      <c r="T142" s="66">
        <v>0</v>
      </c>
      <c r="U142" s="65"/>
      <c r="V142" s="65"/>
      <c r="W142" s="58" t="s">
        <v>263</v>
      </c>
      <c r="X142" s="59">
        <v>0</v>
      </c>
      <c r="Y142" s="60" t="s">
        <v>263</v>
      </c>
      <c r="Z142" s="66">
        <v>0</v>
      </c>
      <c r="AA142" s="65"/>
      <c r="AB142" s="60" t="s">
        <v>263</v>
      </c>
      <c r="AC142" s="59">
        <v>0</v>
      </c>
    </row>
    <row r="143" spans="2:29" x14ac:dyDescent="0.3">
      <c r="B143" s="71" t="s">
        <v>1464</v>
      </c>
      <c r="C143" s="65"/>
      <c r="D143" s="58" t="s">
        <v>263</v>
      </c>
      <c r="E143" s="71" t="s">
        <v>1465</v>
      </c>
      <c r="F143" s="65"/>
      <c r="G143" s="58" t="s">
        <v>263</v>
      </c>
      <c r="H143" s="71" t="s">
        <v>1466</v>
      </c>
      <c r="I143" s="65"/>
      <c r="J143" s="65"/>
      <c r="K143" s="65"/>
      <c r="L143" s="58" t="s">
        <v>263</v>
      </c>
      <c r="M143" s="71" t="s">
        <v>1467</v>
      </c>
      <c r="N143" s="65"/>
      <c r="O143" s="58" t="s">
        <v>263</v>
      </c>
      <c r="P143" s="59">
        <v>184</v>
      </c>
      <c r="Q143" s="58" t="s">
        <v>263</v>
      </c>
      <c r="R143" s="58" t="s">
        <v>918</v>
      </c>
      <c r="S143" s="58" t="s">
        <v>263</v>
      </c>
      <c r="T143" s="66">
        <v>0</v>
      </c>
      <c r="U143" s="65"/>
      <c r="V143" s="65"/>
      <c r="W143" s="58" t="s">
        <v>263</v>
      </c>
      <c r="X143" s="59">
        <v>0</v>
      </c>
      <c r="Y143" s="60" t="s">
        <v>263</v>
      </c>
      <c r="Z143" s="66">
        <v>0</v>
      </c>
      <c r="AA143" s="65"/>
      <c r="AB143" s="60" t="s">
        <v>263</v>
      </c>
      <c r="AC143" s="59">
        <v>0</v>
      </c>
    </row>
    <row r="144" spans="2:29" x14ac:dyDescent="0.3">
      <c r="B144" s="71" t="s">
        <v>1468</v>
      </c>
      <c r="C144" s="65"/>
      <c r="D144" s="58" t="s">
        <v>263</v>
      </c>
      <c r="E144" s="71" t="s">
        <v>1469</v>
      </c>
      <c r="F144" s="65"/>
      <c r="G144" s="58" t="s">
        <v>263</v>
      </c>
      <c r="H144" s="71" t="s">
        <v>1470</v>
      </c>
      <c r="I144" s="65"/>
      <c r="J144" s="65"/>
      <c r="K144" s="65"/>
      <c r="L144" s="58" t="s">
        <v>263</v>
      </c>
      <c r="M144" s="71" t="s">
        <v>1471</v>
      </c>
      <c r="N144" s="65"/>
      <c r="O144" s="58" t="s">
        <v>263</v>
      </c>
      <c r="P144" s="59">
        <v>184</v>
      </c>
      <c r="Q144" s="58" t="s">
        <v>263</v>
      </c>
      <c r="R144" s="58" t="s">
        <v>918</v>
      </c>
      <c r="S144" s="58" t="s">
        <v>263</v>
      </c>
      <c r="T144" s="66">
        <v>0</v>
      </c>
      <c r="U144" s="65"/>
      <c r="V144" s="65"/>
      <c r="W144" s="58" t="s">
        <v>263</v>
      </c>
      <c r="X144" s="59">
        <v>0</v>
      </c>
      <c r="Y144" s="60" t="s">
        <v>263</v>
      </c>
      <c r="Z144" s="66">
        <v>0</v>
      </c>
      <c r="AA144" s="65"/>
      <c r="AB144" s="60" t="s">
        <v>263</v>
      </c>
      <c r="AC144" s="59">
        <v>0</v>
      </c>
    </row>
    <row r="145" spans="2:29" x14ac:dyDescent="0.3">
      <c r="B145" s="71" t="s">
        <v>1472</v>
      </c>
      <c r="C145" s="65"/>
      <c r="D145" s="58" t="s">
        <v>263</v>
      </c>
      <c r="E145" s="71" t="s">
        <v>1473</v>
      </c>
      <c r="F145" s="65"/>
      <c r="G145" s="58" t="s">
        <v>263</v>
      </c>
      <c r="H145" s="71" t="s">
        <v>1474</v>
      </c>
      <c r="I145" s="65"/>
      <c r="J145" s="65"/>
      <c r="K145" s="65"/>
      <c r="L145" s="58" t="s">
        <v>263</v>
      </c>
      <c r="M145" s="71" t="s">
        <v>1475</v>
      </c>
      <c r="N145" s="65"/>
      <c r="O145" s="58" t="s">
        <v>263</v>
      </c>
      <c r="P145" s="59">
        <v>178</v>
      </c>
      <c r="Q145" s="58" t="s">
        <v>263</v>
      </c>
      <c r="R145" s="58" t="s">
        <v>918</v>
      </c>
      <c r="S145" s="58" t="s">
        <v>263</v>
      </c>
      <c r="T145" s="66">
        <v>0</v>
      </c>
      <c r="U145" s="65"/>
      <c r="V145" s="65"/>
      <c r="W145" s="58" t="s">
        <v>263</v>
      </c>
      <c r="X145" s="59">
        <v>0</v>
      </c>
      <c r="Y145" s="60" t="s">
        <v>263</v>
      </c>
      <c r="Z145" s="66">
        <v>0</v>
      </c>
      <c r="AA145" s="65"/>
      <c r="AB145" s="60" t="s">
        <v>263</v>
      </c>
      <c r="AC145" s="59">
        <v>0</v>
      </c>
    </row>
    <row r="146" spans="2:29" x14ac:dyDescent="0.3">
      <c r="B146" s="71" t="s">
        <v>1476</v>
      </c>
      <c r="C146" s="65"/>
      <c r="D146" s="58" t="s">
        <v>263</v>
      </c>
      <c r="E146" s="71" t="s">
        <v>1477</v>
      </c>
      <c r="F146" s="65"/>
      <c r="G146" s="58" t="s">
        <v>263</v>
      </c>
      <c r="H146" s="71" t="s">
        <v>1478</v>
      </c>
      <c r="I146" s="65"/>
      <c r="J146" s="65"/>
      <c r="K146" s="65"/>
      <c r="L146" s="58" t="s">
        <v>263</v>
      </c>
      <c r="M146" s="71" t="s">
        <v>1479</v>
      </c>
      <c r="N146" s="65"/>
      <c r="O146" s="58" t="s">
        <v>263</v>
      </c>
      <c r="P146" s="59">
        <v>176</v>
      </c>
      <c r="Q146" s="58" t="s">
        <v>263</v>
      </c>
      <c r="R146" s="58" t="s">
        <v>918</v>
      </c>
      <c r="S146" s="58" t="s">
        <v>263</v>
      </c>
      <c r="T146" s="66">
        <v>0</v>
      </c>
      <c r="U146" s="65"/>
      <c r="V146" s="65"/>
      <c r="W146" s="58" t="s">
        <v>263</v>
      </c>
      <c r="X146" s="59">
        <v>0</v>
      </c>
      <c r="Y146" s="60" t="s">
        <v>263</v>
      </c>
      <c r="Z146" s="66">
        <v>0</v>
      </c>
      <c r="AA146" s="65"/>
      <c r="AB146" s="60" t="s">
        <v>263</v>
      </c>
      <c r="AC146" s="59">
        <v>0</v>
      </c>
    </row>
    <row r="147" spans="2:29" x14ac:dyDescent="0.3">
      <c r="B147" s="71" t="s">
        <v>1480</v>
      </c>
      <c r="C147" s="65"/>
      <c r="D147" s="58" t="s">
        <v>263</v>
      </c>
      <c r="E147" s="71" t="s">
        <v>1481</v>
      </c>
      <c r="F147" s="65"/>
      <c r="G147" s="58" t="s">
        <v>263</v>
      </c>
      <c r="H147" s="71" t="s">
        <v>1482</v>
      </c>
      <c r="I147" s="65"/>
      <c r="J147" s="65"/>
      <c r="K147" s="65"/>
      <c r="L147" s="58" t="s">
        <v>263</v>
      </c>
      <c r="M147" s="71" t="s">
        <v>1483</v>
      </c>
      <c r="N147" s="65"/>
      <c r="O147" s="58" t="s">
        <v>263</v>
      </c>
      <c r="P147" s="59">
        <v>177</v>
      </c>
      <c r="Q147" s="58" t="s">
        <v>263</v>
      </c>
      <c r="R147" s="58" t="s">
        <v>918</v>
      </c>
      <c r="S147" s="58" t="s">
        <v>263</v>
      </c>
      <c r="T147" s="66">
        <v>0</v>
      </c>
      <c r="U147" s="65"/>
      <c r="V147" s="65"/>
      <c r="W147" s="58" t="s">
        <v>263</v>
      </c>
      <c r="X147" s="59">
        <v>0</v>
      </c>
      <c r="Y147" s="60" t="s">
        <v>263</v>
      </c>
      <c r="Z147" s="66">
        <v>0</v>
      </c>
      <c r="AA147" s="65"/>
      <c r="AB147" s="60" t="s">
        <v>263</v>
      </c>
      <c r="AC147" s="59">
        <v>0</v>
      </c>
    </row>
    <row r="148" spans="2:29" x14ac:dyDescent="0.3">
      <c r="B148" s="71" t="s">
        <v>1484</v>
      </c>
      <c r="C148" s="65"/>
      <c r="D148" s="58" t="s">
        <v>263</v>
      </c>
      <c r="E148" s="71" t="s">
        <v>1485</v>
      </c>
      <c r="F148" s="65"/>
      <c r="G148" s="58" t="s">
        <v>263</v>
      </c>
      <c r="H148" s="71" t="s">
        <v>1486</v>
      </c>
      <c r="I148" s="65"/>
      <c r="J148" s="65"/>
      <c r="K148" s="65"/>
      <c r="L148" s="58" t="s">
        <v>263</v>
      </c>
      <c r="M148" s="71" t="s">
        <v>1475</v>
      </c>
      <c r="N148" s="65"/>
      <c r="O148" s="58" t="s">
        <v>263</v>
      </c>
      <c r="P148" s="59">
        <v>124</v>
      </c>
      <c r="Q148" s="58" t="s">
        <v>263</v>
      </c>
      <c r="R148" s="58" t="s">
        <v>918</v>
      </c>
      <c r="S148" s="58" t="s">
        <v>263</v>
      </c>
      <c r="T148" s="66">
        <v>0</v>
      </c>
      <c r="U148" s="65"/>
      <c r="V148" s="65"/>
      <c r="W148" s="58" t="s">
        <v>263</v>
      </c>
      <c r="X148" s="59">
        <v>0</v>
      </c>
      <c r="Y148" s="60" t="s">
        <v>263</v>
      </c>
      <c r="Z148" s="66">
        <v>0</v>
      </c>
      <c r="AA148" s="65"/>
      <c r="AB148" s="60" t="s">
        <v>263</v>
      </c>
      <c r="AC148" s="59">
        <v>0</v>
      </c>
    </row>
    <row r="149" spans="2:29" x14ac:dyDescent="0.3">
      <c r="B149" s="71" t="s">
        <v>1487</v>
      </c>
      <c r="C149" s="65"/>
      <c r="D149" s="58" t="s">
        <v>263</v>
      </c>
      <c r="E149" s="71" t="s">
        <v>1488</v>
      </c>
      <c r="F149" s="65"/>
      <c r="G149" s="58" t="s">
        <v>263</v>
      </c>
      <c r="H149" s="71" t="s">
        <v>1489</v>
      </c>
      <c r="I149" s="65"/>
      <c r="J149" s="65"/>
      <c r="K149" s="65"/>
      <c r="L149" s="58" t="s">
        <v>263</v>
      </c>
      <c r="M149" s="71" t="s">
        <v>1490</v>
      </c>
      <c r="N149" s="65"/>
      <c r="O149" s="58" t="s">
        <v>263</v>
      </c>
      <c r="P149" s="59">
        <v>138</v>
      </c>
      <c r="Q149" s="58" t="s">
        <v>263</v>
      </c>
      <c r="R149" s="58" t="s">
        <v>918</v>
      </c>
      <c r="S149" s="58" t="s">
        <v>263</v>
      </c>
      <c r="T149" s="66">
        <v>0</v>
      </c>
      <c r="U149" s="65"/>
      <c r="V149" s="65"/>
      <c r="W149" s="58" t="s">
        <v>263</v>
      </c>
      <c r="X149" s="59">
        <v>0</v>
      </c>
      <c r="Y149" s="60" t="s">
        <v>263</v>
      </c>
      <c r="Z149" s="66">
        <v>0</v>
      </c>
      <c r="AA149" s="65"/>
      <c r="AB149" s="60" t="s">
        <v>263</v>
      </c>
      <c r="AC149" s="59">
        <v>0</v>
      </c>
    </row>
    <row r="150" spans="2:29" x14ac:dyDescent="0.3">
      <c r="B150" s="71" t="s">
        <v>1491</v>
      </c>
      <c r="C150" s="65"/>
      <c r="D150" s="58" t="s">
        <v>263</v>
      </c>
      <c r="E150" s="71" t="s">
        <v>1492</v>
      </c>
      <c r="F150" s="65"/>
      <c r="G150" s="58" t="s">
        <v>263</v>
      </c>
      <c r="H150" s="71" t="s">
        <v>1493</v>
      </c>
      <c r="I150" s="65"/>
      <c r="J150" s="65"/>
      <c r="K150" s="65"/>
      <c r="L150" s="58" t="s">
        <v>263</v>
      </c>
      <c r="M150" s="71" t="s">
        <v>1483</v>
      </c>
      <c r="N150" s="65"/>
      <c r="O150" s="58" t="s">
        <v>263</v>
      </c>
      <c r="P150" s="59">
        <v>143</v>
      </c>
      <c r="Q150" s="58" t="s">
        <v>263</v>
      </c>
      <c r="R150" s="58" t="s">
        <v>1159</v>
      </c>
      <c r="S150" s="58" t="s">
        <v>263</v>
      </c>
      <c r="T150" s="66">
        <v>0</v>
      </c>
      <c r="U150" s="65"/>
      <c r="V150" s="65"/>
      <c r="W150" s="58" t="s">
        <v>263</v>
      </c>
      <c r="X150" s="59">
        <v>-143</v>
      </c>
      <c r="Y150" s="60" t="s">
        <v>263</v>
      </c>
      <c r="Z150" s="66">
        <v>0</v>
      </c>
      <c r="AA150" s="65"/>
      <c r="AB150" s="60" t="s">
        <v>263</v>
      </c>
      <c r="AC150" s="59">
        <v>0</v>
      </c>
    </row>
    <row r="151" spans="2:29" x14ac:dyDescent="0.3">
      <c r="B151" s="71" t="s">
        <v>1494</v>
      </c>
      <c r="C151" s="65"/>
      <c r="D151" s="58" t="s">
        <v>263</v>
      </c>
      <c r="E151" s="71" t="s">
        <v>1495</v>
      </c>
      <c r="F151" s="65"/>
      <c r="G151" s="58" t="s">
        <v>263</v>
      </c>
      <c r="H151" s="71" t="s">
        <v>1496</v>
      </c>
      <c r="I151" s="65"/>
      <c r="J151" s="65"/>
      <c r="K151" s="65"/>
      <c r="L151" s="58" t="s">
        <v>263</v>
      </c>
      <c r="M151" s="71" t="s">
        <v>1483</v>
      </c>
      <c r="N151" s="65"/>
      <c r="O151" s="58" t="s">
        <v>263</v>
      </c>
      <c r="P151" s="59">
        <v>198</v>
      </c>
      <c r="Q151" s="58" t="s">
        <v>263</v>
      </c>
      <c r="R151" s="58" t="s">
        <v>918</v>
      </c>
      <c r="S151" s="58" t="s">
        <v>263</v>
      </c>
      <c r="T151" s="66">
        <v>0</v>
      </c>
      <c r="U151" s="65"/>
      <c r="V151" s="65"/>
      <c r="W151" s="58" t="s">
        <v>263</v>
      </c>
      <c r="X151" s="59">
        <v>0</v>
      </c>
      <c r="Y151" s="60" t="s">
        <v>263</v>
      </c>
      <c r="Z151" s="66">
        <v>0</v>
      </c>
      <c r="AA151" s="65"/>
      <c r="AB151" s="60" t="s">
        <v>263</v>
      </c>
      <c r="AC151" s="59">
        <v>0</v>
      </c>
    </row>
    <row r="152" spans="2:29" x14ac:dyDescent="0.3">
      <c r="B152" s="71" t="s">
        <v>1497</v>
      </c>
      <c r="C152" s="65"/>
      <c r="D152" s="58" t="s">
        <v>263</v>
      </c>
      <c r="E152" s="71" t="s">
        <v>1495</v>
      </c>
      <c r="F152" s="65"/>
      <c r="G152" s="58" t="s">
        <v>263</v>
      </c>
      <c r="H152" s="71" t="s">
        <v>1496</v>
      </c>
      <c r="I152" s="65"/>
      <c r="J152" s="65"/>
      <c r="K152" s="65"/>
      <c r="L152" s="58" t="s">
        <v>263</v>
      </c>
      <c r="M152" s="71" t="s">
        <v>1498</v>
      </c>
      <c r="N152" s="65"/>
      <c r="O152" s="58" t="s">
        <v>263</v>
      </c>
      <c r="P152" s="59">
        <v>136</v>
      </c>
      <c r="Q152" s="58" t="s">
        <v>263</v>
      </c>
      <c r="R152" s="58" t="s">
        <v>918</v>
      </c>
      <c r="S152" s="58" t="s">
        <v>263</v>
      </c>
      <c r="T152" s="66">
        <v>0</v>
      </c>
      <c r="U152" s="65"/>
      <c r="V152" s="65"/>
      <c r="W152" s="58" t="s">
        <v>263</v>
      </c>
      <c r="X152" s="59">
        <v>0</v>
      </c>
      <c r="Y152" s="60" t="s">
        <v>263</v>
      </c>
      <c r="Z152" s="66">
        <v>0</v>
      </c>
      <c r="AA152" s="65"/>
      <c r="AB152" s="60" t="s">
        <v>263</v>
      </c>
      <c r="AC152" s="59">
        <v>0</v>
      </c>
    </row>
    <row r="153" spans="2:29" x14ac:dyDescent="0.3">
      <c r="B153" s="71" t="s">
        <v>1499</v>
      </c>
      <c r="C153" s="65"/>
      <c r="D153" s="58" t="s">
        <v>263</v>
      </c>
      <c r="E153" s="71" t="s">
        <v>1500</v>
      </c>
      <c r="F153" s="65"/>
      <c r="G153" s="58" t="s">
        <v>263</v>
      </c>
      <c r="H153" s="71" t="s">
        <v>1501</v>
      </c>
      <c r="I153" s="65"/>
      <c r="J153" s="65"/>
      <c r="K153" s="65"/>
      <c r="L153" s="58" t="s">
        <v>263</v>
      </c>
      <c r="M153" s="71" t="s">
        <v>1502</v>
      </c>
      <c r="N153" s="65"/>
      <c r="O153" s="58" t="s">
        <v>263</v>
      </c>
      <c r="P153" s="59">
        <v>177</v>
      </c>
      <c r="Q153" s="58" t="s">
        <v>263</v>
      </c>
      <c r="R153" s="58" t="s">
        <v>918</v>
      </c>
      <c r="S153" s="58" t="s">
        <v>263</v>
      </c>
      <c r="T153" s="66">
        <v>0</v>
      </c>
      <c r="U153" s="65"/>
      <c r="V153" s="65"/>
      <c r="W153" s="58" t="s">
        <v>263</v>
      </c>
      <c r="X153" s="59">
        <v>0</v>
      </c>
      <c r="Y153" s="60" t="s">
        <v>263</v>
      </c>
      <c r="Z153" s="66">
        <v>0</v>
      </c>
      <c r="AA153" s="65"/>
      <c r="AB153" s="60" t="s">
        <v>263</v>
      </c>
      <c r="AC153" s="59">
        <v>0</v>
      </c>
    </row>
    <row r="154" spans="2:29" x14ac:dyDescent="0.3">
      <c r="B154" s="71" t="s">
        <v>1503</v>
      </c>
      <c r="C154" s="65"/>
      <c r="D154" s="58" t="s">
        <v>263</v>
      </c>
      <c r="E154" s="71" t="s">
        <v>1504</v>
      </c>
      <c r="F154" s="65"/>
      <c r="G154" s="58" t="s">
        <v>263</v>
      </c>
      <c r="H154" s="71" t="s">
        <v>1505</v>
      </c>
      <c r="I154" s="65"/>
      <c r="J154" s="65"/>
      <c r="K154" s="65"/>
      <c r="L154" s="58" t="s">
        <v>263</v>
      </c>
      <c r="M154" s="71" t="s">
        <v>1506</v>
      </c>
      <c r="N154" s="65"/>
      <c r="O154" s="58" t="s">
        <v>263</v>
      </c>
      <c r="P154" s="59">
        <v>162</v>
      </c>
      <c r="Q154" s="58" t="s">
        <v>263</v>
      </c>
      <c r="R154" s="58" t="s">
        <v>918</v>
      </c>
      <c r="S154" s="58" t="s">
        <v>263</v>
      </c>
      <c r="T154" s="66">
        <v>0</v>
      </c>
      <c r="U154" s="65"/>
      <c r="V154" s="65"/>
      <c r="W154" s="58" t="s">
        <v>263</v>
      </c>
      <c r="X154" s="59">
        <v>0</v>
      </c>
      <c r="Y154" s="60" t="s">
        <v>263</v>
      </c>
      <c r="Z154" s="66">
        <v>0</v>
      </c>
      <c r="AA154" s="65"/>
      <c r="AB154" s="60" t="s">
        <v>263</v>
      </c>
      <c r="AC154" s="59">
        <v>0</v>
      </c>
    </row>
    <row r="155" spans="2:29" x14ac:dyDescent="0.3">
      <c r="B155" s="71" t="s">
        <v>1507</v>
      </c>
      <c r="C155" s="65"/>
      <c r="D155" s="58" t="s">
        <v>263</v>
      </c>
      <c r="E155" s="71" t="s">
        <v>1508</v>
      </c>
      <c r="F155" s="65"/>
      <c r="G155" s="58" t="s">
        <v>263</v>
      </c>
      <c r="H155" s="71" t="s">
        <v>1509</v>
      </c>
      <c r="I155" s="65"/>
      <c r="J155" s="65"/>
      <c r="K155" s="65"/>
      <c r="L155" s="58" t="s">
        <v>263</v>
      </c>
      <c r="M155" s="71" t="s">
        <v>1510</v>
      </c>
      <c r="N155" s="65"/>
      <c r="O155" s="58" t="s">
        <v>263</v>
      </c>
      <c r="P155" s="59">
        <v>157</v>
      </c>
      <c r="Q155" s="58" t="s">
        <v>263</v>
      </c>
      <c r="R155" s="58" t="s">
        <v>918</v>
      </c>
      <c r="S155" s="58" t="s">
        <v>263</v>
      </c>
      <c r="T155" s="66">
        <v>0</v>
      </c>
      <c r="U155" s="65"/>
      <c r="V155" s="65"/>
      <c r="W155" s="58" t="s">
        <v>263</v>
      </c>
      <c r="X155" s="59">
        <v>0</v>
      </c>
      <c r="Y155" s="60" t="s">
        <v>263</v>
      </c>
      <c r="Z155" s="66">
        <v>0</v>
      </c>
      <c r="AA155" s="65"/>
      <c r="AB155" s="60" t="s">
        <v>263</v>
      </c>
      <c r="AC155" s="59">
        <v>0</v>
      </c>
    </row>
    <row r="156" spans="2:29" x14ac:dyDescent="0.3">
      <c r="B156" s="71" t="s">
        <v>1511</v>
      </c>
      <c r="C156" s="65"/>
      <c r="D156" s="58" t="s">
        <v>263</v>
      </c>
      <c r="E156" s="71" t="s">
        <v>1512</v>
      </c>
      <c r="F156" s="65"/>
      <c r="G156" s="58" t="s">
        <v>263</v>
      </c>
      <c r="H156" s="71" t="s">
        <v>1513</v>
      </c>
      <c r="I156" s="65"/>
      <c r="J156" s="65"/>
      <c r="K156" s="65"/>
      <c r="L156" s="58" t="s">
        <v>263</v>
      </c>
      <c r="M156" s="71" t="s">
        <v>575</v>
      </c>
      <c r="N156" s="65"/>
      <c r="O156" s="58" t="s">
        <v>263</v>
      </c>
      <c r="P156" s="59">
        <v>132</v>
      </c>
      <c r="Q156" s="58" t="s">
        <v>263</v>
      </c>
      <c r="R156" s="58" t="s">
        <v>918</v>
      </c>
      <c r="S156" s="58" t="s">
        <v>263</v>
      </c>
      <c r="T156" s="66">
        <v>0</v>
      </c>
      <c r="U156" s="65"/>
      <c r="V156" s="65"/>
      <c r="W156" s="58" t="s">
        <v>263</v>
      </c>
      <c r="X156" s="59">
        <v>0</v>
      </c>
      <c r="Y156" s="60" t="s">
        <v>263</v>
      </c>
      <c r="Z156" s="66">
        <v>0</v>
      </c>
      <c r="AA156" s="65"/>
      <c r="AB156" s="60" t="s">
        <v>263</v>
      </c>
      <c r="AC156" s="59">
        <v>0</v>
      </c>
    </row>
    <row r="157" spans="2:29" x14ac:dyDescent="0.3">
      <c r="B157" s="71" t="s">
        <v>1514</v>
      </c>
      <c r="C157" s="65"/>
      <c r="D157" s="58" t="s">
        <v>263</v>
      </c>
      <c r="E157" s="71" t="s">
        <v>1515</v>
      </c>
      <c r="F157" s="65"/>
      <c r="G157" s="58" t="s">
        <v>263</v>
      </c>
      <c r="H157" s="71" t="s">
        <v>1516</v>
      </c>
      <c r="I157" s="65"/>
      <c r="J157" s="65"/>
      <c r="K157" s="65"/>
      <c r="L157" s="58" t="s">
        <v>263</v>
      </c>
      <c r="M157" s="71" t="s">
        <v>1517</v>
      </c>
      <c r="N157" s="65"/>
      <c r="O157" s="58" t="s">
        <v>263</v>
      </c>
      <c r="P157" s="59">
        <v>157</v>
      </c>
      <c r="Q157" s="58" t="s">
        <v>263</v>
      </c>
      <c r="R157" s="58" t="s">
        <v>918</v>
      </c>
      <c r="S157" s="58" t="s">
        <v>263</v>
      </c>
      <c r="T157" s="66">
        <v>0</v>
      </c>
      <c r="U157" s="65"/>
      <c r="V157" s="65"/>
      <c r="W157" s="58" t="s">
        <v>263</v>
      </c>
      <c r="X157" s="59">
        <v>0</v>
      </c>
      <c r="Y157" s="60" t="s">
        <v>263</v>
      </c>
      <c r="Z157" s="66">
        <v>0</v>
      </c>
      <c r="AA157" s="65"/>
      <c r="AB157" s="60" t="s">
        <v>263</v>
      </c>
      <c r="AC157" s="59">
        <v>0</v>
      </c>
    </row>
    <row r="158" spans="2:29" x14ac:dyDescent="0.3">
      <c r="B158" s="71" t="s">
        <v>1518</v>
      </c>
      <c r="C158" s="65"/>
      <c r="D158" s="58" t="s">
        <v>263</v>
      </c>
      <c r="E158" s="71" t="s">
        <v>1519</v>
      </c>
      <c r="F158" s="65"/>
      <c r="G158" s="58" t="s">
        <v>263</v>
      </c>
      <c r="H158" s="71" t="s">
        <v>1520</v>
      </c>
      <c r="I158" s="65"/>
      <c r="J158" s="65"/>
      <c r="K158" s="65"/>
      <c r="L158" s="58" t="s">
        <v>263</v>
      </c>
      <c r="M158" s="71" t="s">
        <v>1502</v>
      </c>
      <c r="N158" s="65"/>
      <c r="O158" s="58" t="s">
        <v>263</v>
      </c>
      <c r="P158" s="59">
        <v>164</v>
      </c>
      <c r="Q158" s="58" t="s">
        <v>263</v>
      </c>
      <c r="R158" s="58" t="s">
        <v>918</v>
      </c>
      <c r="S158" s="58" t="s">
        <v>263</v>
      </c>
      <c r="T158" s="66">
        <v>0</v>
      </c>
      <c r="U158" s="65"/>
      <c r="V158" s="65"/>
      <c r="W158" s="58" t="s">
        <v>263</v>
      </c>
      <c r="X158" s="59">
        <v>0</v>
      </c>
      <c r="Y158" s="60" t="s">
        <v>263</v>
      </c>
      <c r="Z158" s="66">
        <v>0</v>
      </c>
      <c r="AA158" s="65"/>
      <c r="AB158" s="60" t="s">
        <v>263</v>
      </c>
      <c r="AC158" s="59">
        <v>0</v>
      </c>
    </row>
    <row r="159" spans="2:29" x14ac:dyDescent="0.3">
      <c r="B159" s="71" t="s">
        <v>1521</v>
      </c>
      <c r="C159" s="65"/>
      <c r="D159" s="58" t="s">
        <v>263</v>
      </c>
      <c r="E159" s="71" t="s">
        <v>1522</v>
      </c>
      <c r="F159" s="65"/>
      <c r="G159" s="58" t="s">
        <v>263</v>
      </c>
      <c r="H159" s="71" t="s">
        <v>1523</v>
      </c>
      <c r="I159" s="65"/>
      <c r="J159" s="65"/>
      <c r="K159" s="65"/>
      <c r="L159" s="58" t="s">
        <v>263</v>
      </c>
      <c r="M159" s="71" t="s">
        <v>1502</v>
      </c>
      <c r="N159" s="65"/>
      <c r="O159" s="58" t="s">
        <v>263</v>
      </c>
      <c r="P159" s="59">
        <v>164</v>
      </c>
      <c r="Q159" s="58" t="s">
        <v>263</v>
      </c>
      <c r="R159" s="58" t="s">
        <v>918</v>
      </c>
      <c r="S159" s="58" t="s">
        <v>263</v>
      </c>
      <c r="T159" s="66">
        <v>0</v>
      </c>
      <c r="U159" s="65"/>
      <c r="V159" s="65"/>
      <c r="W159" s="58" t="s">
        <v>263</v>
      </c>
      <c r="X159" s="59">
        <v>0</v>
      </c>
      <c r="Y159" s="60" t="s">
        <v>263</v>
      </c>
      <c r="Z159" s="66">
        <v>0</v>
      </c>
      <c r="AA159" s="65"/>
      <c r="AB159" s="60" t="s">
        <v>263</v>
      </c>
      <c r="AC159" s="59">
        <v>0</v>
      </c>
    </row>
    <row r="160" spans="2:29" x14ac:dyDescent="0.3">
      <c r="B160" s="71" t="s">
        <v>1524</v>
      </c>
      <c r="C160" s="65"/>
      <c r="D160" s="58" t="s">
        <v>263</v>
      </c>
      <c r="E160" s="71" t="s">
        <v>1522</v>
      </c>
      <c r="F160" s="65"/>
      <c r="G160" s="58" t="s">
        <v>263</v>
      </c>
      <c r="H160" s="71" t="s">
        <v>1523</v>
      </c>
      <c r="I160" s="65"/>
      <c r="J160" s="65"/>
      <c r="K160" s="65"/>
      <c r="L160" s="58" t="s">
        <v>263</v>
      </c>
      <c r="M160" s="71" t="s">
        <v>1525</v>
      </c>
      <c r="N160" s="65"/>
      <c r="O160" s="58" t="s">
        <v>263</v>
      </c>
      <c r="P160" s="59">
        <v>197</v>
      </c>
      <c r="Q160" s="58" t="s">
        <v>263</v>
      </c>
      <c r="R160" s="58" t="s">
        <v>918</v>
      </c>
      <c r="S160" s="58" t="s">
        <v>263</v>
      </c>
      <c r="T160" s="66">
        <v>0</v>
      </c>
      <c r="U160" s="65"/>
      <c r="V160" s="65"/>
      <c r="W160" s="58" t="s">
        <v>263</v>
      </c>
      <c r="X160" s="59">
        <v>0</v>
      </c>
      <c r="Y160" s="60" t="s">
        <v>263</v>
      </c>
      <c r="Z160" s="66">
        <v>0</v>
      </c>
      <c r="AA160" s="65"/>
      <c r="AB160" s="60" t="s">
        <v>263</v>
      </c>
      <c r="AC160" s="59">
        <v>0</v>
      </c>
    </row>
    <row r="161" spans="2:29" x14ac:dyDescent="0.3">
      <c r="B161" s="71" t="s">
        <v>1526</v>
      </c>
      <c r="C161" s="65"/>
      <c r="D161" s="58" t="s">
        <v>263</v>
      </c>
      <c r="E161" s="71" t="s">
        <v>1527</v>
      </c>
      <c r="F161" s="65"/>
      <c r="G161" s="58" t="s">
        <v>263</v>
      </c>
      <c r="H161" s="71" t="s">
        <v>1528</v>
      </c>
      <c r="I161" s="65"/>
      <c r="J161" s="65"/>
      <c r="K161" s="65"/>
      <c r="L161" s="58" t="s">
        <v>263</v>
      </c>
      <c r="M161" s="71" t="s">
        <v>1529</v>
      </c>
      <c r="N161" s="65"/>
      <c r="O161" s="58" t="s">
        <v>263</v>
      </c>
      <c r="P161" s="59">
        <v>173</v>
      </c>
      <c r="Q161" s="58" t="s">
        <v>263</v>
      </c>
      <c r="R161" s="58" t="s">
        <v>918</v>
      </c>
      <c r="S161" s="58" t="s">
        <v>263</v>
      </c>
      <c r="T161" s="66">
        <v>0</v>
      </c>
      <c r="U161" s="65"/>
      <c r="V161" s="65"/>
      <c r="W161" s="58" t="s">
        <v>263</v>
      </c>
      <c r="X161" s="59">
        <v>0</v>
      </c>
      <c r="Y161" s="60" t="s">
        <v>263</v>
      </c>
      <c r="Z161" s="66">
        <v>0</v>
      </c>
      <c r="AA161" s="65"/>
      <c r="AB161" s="60" t="s">
        <v>263</v>
      </c>
      <c r="AC161" s="59">
        <v>0</v>
      </c>
    </row>
    <row r="162" spans="2:29" x14ac:dyDescent="0.3">
      <c r="B162" s="71" t="s">
        <v>1530</v>
      </c>
      <c r="C162" s="65"/>
      <c r="D162" s="58" t="s">
        <v>263</v>
      </c>
      <c r="E162" s="71" t="s">
        <v>1531</v>
      </c>
      <c r="F162" s="65"/>
      <c r="G162" s="58" t="s">
        <v>263</v>
      </c>
      <c r="H162" s="71" t="s">
        <v>1532</v>
      </c>
      <c r="I162" s="65"/>
      <c r="J162" s="65"/>
      <c r="K162" s="65"/>
      <c r="L162" s="58" t="s">
        <v>263</v>
      </c>
      <c r="M162" s="71" t="s">
        <v>1533</v>
      </c>
      <c r="N162" s="65"/>
      <c r="O162" s="58" t="s">
        <v>263</v>
      </c>
      <c r="P162" s="59">
        <v>177</v>
      </c>
      <c r="Q162" s="58" t="s">
        <v>263</v>
      </c>
      <c r="R162" s="58" t="s">
        <v>918</v>
      </c>
      <c r="S162" s="58" t="s">
        <v>263</v>
      </c>
      <c r="T162" s="66">
        <v>0</v>
      </c>
      <c r="U162" s="65"/>
      <c r="V162" s="65"/>
      <c r="W162" s="58" t="s">
        <v>263</v>
      </c>
      <c r="X162" s="59">
        <v>0</v>
      </c>
      <c r="Y162" s="60" t="s">
        <v>263</v>
      </c>
      <c r="Z162" s="66">
        <v>0</v>
      </c>
      <c r="AA162" s="65"/>
      <c r="AB162" s="60" t="s">
        <v>263</v>
      </c>
      <c r="AC162" s="59">
        <v>0</v>
      </c>
    </row>
    <row r="163" spans="2:29" x14ac:dyDescent="0.3">
      <c r="B163" s="71" t="s">
        <v>1534</v>
      </c>
      <c r="C163" s="65"/>
      <c r="D163" s="58" t="s">
        <v>263</v>
      </c>
      <c r="E163" s="71" t="s">
        <v>1535</v>
      </c>
      <c r="F163" s="65"/>
      <c r="G163" s="58" t="s">
        <v>263</v>
      </c>
      <c r="H163" s="71" t="s">
        <v>1536</v>
      </c>
      <c r="I163" s="65"/>
      <c r="J163" s="65"/>
      <c r="K163" s="65"/>
      <c r="L163" s="58" t="s">
        <v>263</v>
      </c>
      <c r="M163" s="71" t="s">
        <v>1537</v>
      </c>
      <c r="N163" s="65"/>
      <c r="O163" s="58" t="s">
        <v>263</v>
      </c>
      <c r="P163" s="59">
        <v>186</v>
      </c>
      <c r="Q163" s="58" t="s">
        <v>263</v>
      </c>
      <c r="R163" s="58" t="s">
        <v>918</v>
      </c>
      <c r="S163" s="58" t="s">
        <v>263</v>
      </c>
      <c r="T163" s="66">
        <v>0</v>
      </c>
      <c r="U163" s="65"/>
      <c r="V163" s="65"/>
      <c r="W163" s="58" t="s">
        <v>263</v>
      </c>
      <c r="X163" s="59">
        <v>0</v>
      </c>
      <c r="Y163" s="60" t="s">
        <v>263</v>
      </c>
      <c r="Z163" s="66">
        <v>0</v>
      </c>
      <c r="AA163" s="65"/>
      <c r="AB163" s="60" t="s">
        <v>263</v>
      </c>
      <c r="AC163" s="59">
        <v>0</v>
      </c>
    </row>
    <row r="164" spans="2:29" x14ac:dyDescent="0.3">
      <c r="B164" s="71" t="s">
        <v>1538</v>
      </c>
      <c r="C164" s="65"/>
      <c r="D164" s="58" t="s">
        <v>263</v>
      </c>
      <c r="E164" s="71" t="s">
        <v>1539</v>
      </c>
      <c r="F164" s="65"/>
      <c r="G164" s="58" t="s">
        <v>263</v>
      </c>
      <c r="H164" s="71" t="s">
        <v>1540</v>
      </c>
      <c r="I164" s="65"/>
      <c r="J164" s="65"/>
      <c r="K164" s="65"/>
      <c r="L164" s="58" t="s">
        <v>263</v>
      </c>
      <c r="M164" s="71" t="s">
        <v>1529</v>
      </c>
      <c r="N164" s="65"/>
      <c r="O164" s="58" t="s">
        <v>263</v>
      </c>
      <c r="P164" s="59">
        <v>160</v>
      </c>
      <c r="Q164" s="58" t="s">
        <v>263</v>
      </c>
      <c r="R164" s="58" t="s">
        <v>918</v>
      </c>
      <c r="S164" s="58" t="s">
        <v>263</v>
      </c>
      <c r="T164" s="66">
        <v>0</v>
      </c>
      <c r="U164" s="65"/>
      <c r="V164" s="65"/>
      <c r="W164" s="58" t="s">
        <v>263</v>
      </c>
      <c r="X164" s="59">
        <v>0</v>
      </c>
      <c r="Y164" s="60" t="s">
        <v>263</v>
      </c>
      <c r="Z164" s="66">
        <v>0</v>
      </c>
      <c r="AA164" s="65"/>
      <c r="AB164" s="60" t="s">
        <v>263</v>
      </c>
      <c r="AC164" s="59">
        <v>0</v>
      </c>
    </row>
    <row r="165" spans="2:29" x14ac:dyDescent="0.3">
      <c r="B165" s="71" t="s">
        <v>1541</v>
      </c>
      <c r="C165" s="65"/>
      <c r="D165" s="58" t="s">
        <v>263</v>
      </c>
      <c r="E165" s="71" t="s">
        <v>1542</v>
      </c>
      <c r="F165" s="65"/>
      <c r="G165" s="58" t="s">
        <v>263</v>
      </c>
      <c r="H165" s="71" t="s">
        <v>1543</v>
      </c>
      <c r="I165" s="65"/>
      <c r="J165" s="65"/>
      <c r="K165" s="65"/>
      <c r="L165" s="58" t="s">
        <v>263</v>
      </c>
      <c r="M165" s="71" t="s">
        <v>1529</v>
      </c>
      <c r="N165" s="65"/>
      <c r="O165" s="58" t="s">
        <v>263</v>
      </c>
      <c r="P165" s="59">
        <v>227</v>
      </c>
      <c r="Q165" s="58" t="s">
        <v>263</v>
      </c>
      <c r="R165" s="58" t="s">
        <v>918</v>
      </c>
      <c r="S165" s="58" t="s">
        <v>263</v>
      </c>
      <c r="T165" s="66">
        <v>0</v>
      </c>
      <c r="U165" s="65"/>
      <c r="V165" s="65"/>
      <c r="W165" s="58" t="s">
        <v>263</v>
      </c>
      <c r="X165" s="59">
        <v>0</v>
      </c>
      <c r="Y165" s="60" t="s">
        <v>263</v>
      </c>
      <c r="Z165" s="66">
        <v>0</v>
      </c>
      <c r="AA165" s="65"/>
      <c r="AB165" s="60" t="s">
        <v>263</v>
      </c>
      <c r="AC165" s="59">
        <v>0</v>
      </c>
    </row>
    <row r="166" spans="2:29" x14ac:dyDescent="0.3">
      <c r="B166" s="71" t="s">
        <v>1544</v>
      </c>
      <c r="C166" s="65"/>
      <c r="D166" s="58" t="s">
        <v>263</v>
      </c>
      <c r="E166" s="71" t="s">
        <v>1545</v>
      </c>
      <c r="F166" s="65"/>
      <c r="G166" s="58" t="s">
        <v>263</v>
      </c>
      <c r="H166" s="71" t="s">
        <v>1546</v>
      </c>
      <c r="I166" s="65"/>
      <c r="J166" s="65"/>
      <c r="K166" s="65"/>
      <c r="L166" s="58" t="s">
        <v>263</v>
      </c>
      <c r="M166" s="71" t="s">
        <v>1529</v>
      </c>
      <c r="N166" s="65"/>
      <c r="O166" s="58" t="s">
        <v>263</v>
      </c>
      <c r="P166" s="59">
        <v>104</v>
      </c>
      <c r="Q166" s="58" t="s">
        <v>263</v>
      </c>
      <c r="R166" s="58" t="s">
        <v>918</v>
      </c>
      <c r="S166" s="58" t="s">
        <v>263</v>
      </c>
      <c r="T166" s="66">
        <v>0</v>
      </c>
      <c r="U166" s="65"/>
      <c r="V166" s="65"/>
      <c r="W166" s="58" t="s">
        <v>263</v>
      </c>
      <c r="X166" s="59">
        <v>0</v>
      </c>
      <c r="Y166" s="60" t="s">
        <v>263</v>
      </c>
      <c r="Z166" s="66">
        <v>0</v>
      </c>
      <c r="AA166" s="65"/>
      <c r="AB166" s="60" t="s">
        <v>263</v>
      </c>
      <c r="AC166" s="59">
        <v>0</v>
      </c>
    </row>
    <row r="167" spans="2:29" x14ac:dyDescent="0.3">
      <c r="B167" s="71" t="s">
        <v>1547</v>
      </c>
      <c r="C167" s="65"/>
      <c r="D167" s="58" t="s">
        <v>263</v>
      </c>
      <c r="E167" s="71" t="s">
        <v>1548</v>
      </c>
      <c r="F167" s="65"/>
      <c r="G167" s="58" t="s">
        <v>263</v>
      </c>
      <c r="H167" s="71" t="s">
        <v>1549</v>
      </c>
      <c r="I167" s="65"/>
      <c r="J167" s="65"/>
      <c r="K167" s="65"/>
      <c r="L167" s="58" t="s">
        <v>263</v>
      </c>
      <c r="M167" s="71" t="s">
        <v>1533</v>
      </c>
      <c r="N167" s="65"/>
      <c r="O167" s="58" t="s">
        <v>263</v>
      </c>
      <c r="P167" s="59">
        <v>157</v>
      </c>
      <c r="Q167" s="58" t="s">
        <v>263</v>
      </c>
      <c r="R167" s="58" t="s">
        <v>918</v>
      </c>
      <c r="S167" s="58" t="s">
        <v>263</v>
      </c>
      <c r="T167" s="66">
        <v>0</v>
      </c>
      <c r="U167" s="65"/>
      <c r="V167" s="65"/>
      <c r="W167" s="58" t="s">
        <v>263</v>
      </c>
      <c r="X167" s="59">
        <v>0</v>
      </c>
      <c r="Y167" s="60" t="s">
        <v>263</v>
      </c>
      <c r="Z167" s="66">
        <v>0</v>
      </c>
      <c r="AA167" s="65"/>
      <c r="AB167" s="60" t="s">
        <v>263</v>
      </c>
      <c r="AC167" s="59">
        <v>0</v>
      </c>
    </row>
    <row r="168" spans="2:29" x14ac:dyDescent="0.3">
      <c r="B168" s="71" t="s">
        <v>1550</v>
      </c>
      <c r="C168" s="65"/>
      <c r="D168" s="58" t="s">
        <v>263</v>
      </c>
      <c r="E168" s="71" t="s">
        <v>1551</v>
      </c>
      <c r="F168" s="65"/>
      <c r="G168" s="58" t="s">
        <v>263</v>
      </c>
      <c r="H168" s="71" t="s">
        <v>1552</v>
      </c>
      <c r="I168" s="65"/>
      <c r="J168" s="65"/>
      <c r="K168" s="65"/>
      <c r="L168" s="58" t="s">
        <v>263</v>
      </c>
      <c r="M168" s="71" t="s">
        <v>1553</v>
      </c>
      <c r="N168" s="65"/>
      <c r="O168" s="58" t="s">
        <v>263</v>
      </c>
      <c r="P168" s="59">
        <v>101</v>
      </c>
      <c r="Q168" s="58" t="s">
        <v>263</v>
      </c>
      <c r="R168" s="58" t="s">
        <v>918</v>
      </c>
      <c r="S168" s="58" t="s">
        <v>263</v>
      </c>
      <c r="T168" s="66">
        <v>0</v>
      </c>
      <c r="U168" s="65"/>
      <c r="V168" s="65"/>
      <c r="W168" s="58" t="s">
        <v>263</v>
      </c>
      <c r="X168" s="59">
        <v>0</v>
      </c>
      <c r="Y168" s="60" t="s">
        <v>263</v>
      </c>
      <c r="Z168" s="66">
        <v>0</v>
      </c>
      <c r="AA168" s="65"/>
      <c r="AB168" s="60" t="s">
        <v>263</v>
      </c>
      <c r="AC168" s="59">
        <v>0</v>
      </c>
    </row>
    <row r="169" spans="2:29" x14ac:dyDescent="0.3">
      <c r="B169" s="71" t="s">
        <v>1554</v>
      </c>
      <c r="C169" s="65"/>
      <c r="D169" s="58" t="s">
        <v>263</v>
      </c>
      <c r="E169" s="71" t="s">
        <v>1555</v>
      </c>
      <c r="F169" s="65"/>
      <c r="G169" s="58" t="s">
        <v>263</v>
      </c>
      <c r="H169" s="71" t="s">
        <v>1556</v>
      </c>
      <c r="I169" s="65"/>
      <c r="J169" s="65"/>
      <c r="K169" s="65"/>
      <c r="L169" s="58" t="s">
        <v>263</v>
      </c>
      <c r="M169" s="71" t="s">
        <v>1557</v>
      </c>
      <c r="N169" s="65"/>
      <c r="O169" s="58" t="s">
        <v>263</v>
      </c>
      <c r="P169" s="59">
        <v>177</v>
      </c>
      <c r="Q169" s="58" t="s">
        <v>263</v>
      </c>
      <c r="R169" s="58" t="s">
        <v>918</v>
      </c>
      <c r="S169" s="58" t="s">
        <v>263</v>
      </c>
      <c r="T169" s="66">
        <v>0</v>
      </c>
      <c r="U169" s="65"/>
      <c r="V169" s="65"/>
      <c r="W169" s="58" t="s">
        <v>263</v>
      </c>
      <c r="X169" s="59">
        <v>0</v>
      </c>
      <c r="Y169" s="60" t="s">
        <v>263</v>
      </c>
      <c r="Z169" s="66">
        <v>0</v>
      </c>
      <c r="AA169" s="65"/>
      <c r="AB169" s="60" t="s">
        <v>263</v>
      </c>
      <c r="AC169" s="59">
        <v>0</v>
      </c>
    </row>
    <row r="170" spans="2:29" x14ac:dyDescent="0.3">
      <c r="B170" s="71" t="s">
        <v>1558</v>
      </c>
      <c r="C170" s="65"/>
      <c r="D170" s="58" t="s">
        <v>263</v>
      </c>
      <c r="E170" s="71" t="s">
        <v>1559</v>
      </c>
      <c r="F170" s="65"/>
      <c r="G170" s="58" t="s">
        <v>263</v>
      </c>
      <c r="H170" s="71" t="s">
        <v>1560</v>
      </c>
      <c r="I170" s="65"/>
      <c r="J170" s="65"/>
      <c r="K170" s="65"/>
      <c r="L170" s="58" t="s">
        <v>263</v>
      </c>
      <c r="M170" s="71" t="s">
        <v>1177</v>
      </c>
      <c r="N170" s="65"/>
      <c r="O170" s="58" t="s">
        <v>263</v>
      </c>
      <c r="P170" s="59">
        <v>168</v>
      </c>
      <c r="Q170" s="58" t="s">
        <v>263</v>
      </c>
      <c r="R170" s="58" t="s">
        <v>918</v>
      </c>
      <c r="S170" s="58" t="s">
        <v>263</v>
      </c>
      <c r="T170" s="66">
        <v>0</v>
      </c>
      <c r="U170" s="65"/>
      <c r="V170" s="65"/>
      <c r="W170" s="58" t="s">
        <v>263</v>
      </c>
      <c r="X170" s="59">
        <v>0</v>
      </c>
      <c r="Y170" s="60" t="s">
        <v>263</v>
      </c>
      <c r="Z170" s="66">
        <v>0</v>
      </c>
      <c r="AA170" s="65"/>
      <c r="AB170" s="60" t="s">
        <v>263</v>
      </c>
      <c r="AC170" s="59">
        <v>0</v>
      </c>
    </row>
    <row r="171" spans="2:29" x14ac:dyDescent="0.3">
      <c r="B171" s="71" t="s">
        <v>1561</v>
      </c>
      <c r="C171" s="65"/>
      <c r="D171" s="58" t="s">
        <v>263</v>
      </c>
      <c r="E171" s="71" t="s">
        <v>1562</v>
      </c>
      <c r="F171" s="65"/>
      <c r="G171" s="58" t="s">
        <v>263</v>
      </c>
      <c r="H171" s="71" t="s">
        <v>1563</v>
      </c>
      <c r="I171" s="65"/>
      <c r="J171" s="65"/>
      <c r="K171" s="65"/>
      <c r="L171" s="58" t="s">
        <v>263</v>
      </c>
      <c r="M171" s="71" t="s">
        <v>1177</v>
      </c>
      <c r="N171" s="65"/>
      <c r="O171" s="58" t="s">
        <v>263</v>
      </c>
      <c r="P171" s="59">
        <v>119</v>
      </c>
      <c r="Q171" s="58" t="s">
        <v>263</v>
      </c>
      <c r="R171" s="58" t="s">
        <v>918</v>
      </c>
      <c r="S171" s="58" t="s">
        <v>263</v>
      </c>
      <c r="T171" s="66">
        <v>0</v>
      </c>
      <c r="U171" s="65"/>
      <c r="V171" s="65"/>
      <c r="W171" s="58" t="s">
        <v>263</v>
      </c>
      <c r="X171" s="59">
        <v>0</v>
      </c>
      <c r="Y171" s="60" t="s">
        <v>263</v>
      </c>
      <c r="Z171" s="66">
        <v>0</v>
      </c>
      <c r="AA171" s="65"/>
      <c r="AB171" s="60" t="s">
        <v>263</v>
      </c>
      <c r="AC171" s="59">
        <v>0</v>
      </c>
    </row>
    <row r="172" spans="2:29" x14ac:dyDescent="0.3">
      <c r="B172" s="71" t="s">
        <v>1564</v>
      </c>
      <c r="C172" s="65"/>
      <c r="D172" s="58" t="s">
        <v>263</v>
      </c>
      <c r="E172" s="71" t="s">
        <v>1565</v>
      </c>
      <c r="F172" s="65"/>
      <c r="G172" s="58" t="s">
        <v>263</v>
      </c>
      <c r="H172" s="71" t="s">
        <v>1566</v>
      </c>
      <c r="I172" s="65"/>
      <c r="J172" s="65"/>
      <c r="K172" s="65"/>
      <c r="L172" s="58" t="s">
        <v>263</v>
      </c>
      <c r="M172" s="71" t="s">
        <v>1567</v>
      </c>
      <c r="N172" s="65"/>
      <c r="O172" s="58" t="s">
        <v>263</v>
      </c>
      <c r="P172" s="59">
        <v>272</v>
      </c>
      <c r="Q172" s="58" t="s">
        <v>263</v>
      </c>
      <c r="R172" s="58" t="s">
        <v>918</v>
      </c>
      <c r="S172" s="58" t="s">
        <v>263</v>
      </c>
      <c r="T172" s="66">
        <v>0</v>
      </c>
      <c r="U172" s="65"/>
      <c r="V172" s="65"/>
      <c r="W172" s="58" t="s">
        <v>263</v>
      </c>
      <c r="X172" s="59">
        <v>0</v>
      </c>
      <c r="Y172" s="60" t="s">
        <v>263</v>
      </c>
      <c r="Z172" s="66">
        <v>0</v>
      </c>
      <c r="AA172" s="65"/>
      <c r="AB172" s="60" t="s">
        <v>263</v>
      </c>
      <c r="AC172" s="59">
        <v>0</v>
      </c>
    </row>
    <row r="173" spans="2:29" x14ac:dyDescent="0.3">
      <c r="B173" s="71" t="s">
        <v>1568</v>
      </c>
      <c r="C173" s="65"/>
      <c r="D173" s="58" t="s">
        <v>263</v>
      </c>
      <c r="E173" s="71" t="s">
        <v>1569</v>
      </c>
      <c r="F173" s="65"/>
      <c r="G173" s="58" t="s">
        <v>263</v>
      </c>
      <c r="H173" s="71" t="s">
        <v>1570</v>
      </c>
      <c r="I173" s="65"/>
      <c r="J173" s="65"/>
      <c r="K173" s="65"/>
      <c r="L173" s="58" t="s">
        <v>263</v>
      </c>
      <c r="M173" s="71" t="s">
        <v>1571</v>
      </c>
      <c r="N173" s="65"/>
      <c r="O173" s="58" t="s">
        <v>263</v>
      </c>
      <c r="P173" s="59">
        <v>181</v>
      </c>
      <c r="Q173" s="58" t="s">
        <v>263</v>
      </c>
      <c r="R173" s="58" t="s">
        <v>918</v>
      </c>
      <c r="S173" s="58" t="s">
        <v>263</v>
      </c>
      <c r="T173" s="66">
        <v>0</v>
      </c>
      <c r="U173" s="65"/>
      <c r="V173" s="65"/>
      <c r="W173" s="58" t="s">
        <v>263</v>
      </c>
      <c r="X173" s="59">
        <v>0</v>
      </c>
      <c r="Y173" s="60" t="s">
        <v>263</v>
      </c>
      <c r="Z173" s="66">
        <v>0</v>
      </c>
      <c r="AA173" s="65"/>
      <c r="AB173" s="60" t="s">
        <v>263</v>
      </c>
      <c r="AC173" s="59">
        <v>0</v>
      </c>
    </row>
    <row r="174" spans="2:29" x14ac:dyDescent="0.3">
      <c r="B174" s="71" t="s">
        <v>1572</v>
      </c>
      <c r="C174" s="65"/>
      <c r="D174" s="58" t="s">
        <v>263</v>
      </c>
      <c r="E174" s="71" t="s">
        <v>1573</v>
      </c>
      <c r="F174" s="65"/>
      <c r="G174" s="58" t="s">
        <v>263</v>
      </c>
      <c r="H174" s="71" t="s">
        <v>1574</v>
      </c>
      <c r="I174" s="65"/>
      <c r="J174" s="65"/>
      <c r="K174" s="65"/>
      <c r="L174" s="58" t="s">
        <v>263</v>
      </c>
      <c r="M174" s="71" t="s">
        <v>1575</v>
      </c>
      <c r="N174" s="65"/>
      <c r="O174" s="58" t="s">
        <v>263</v>
      </c>
      <c r="P174" s="59">
        <v>218</v>
      </c>
      <c r="Q174" s="58" t="s">
        <v>263</v>
      </c>
      <c r="R174" s="58" t="s">
        <v>918</v>
      </c>
      <c r="S174" s="58" t="s">
        <v>263</v>
      </c>
      <c r="T174" s="66">
        <v>0</v>
      </c>
      <c r="U174" s="65"/>
      <c r="V174" s="65"/>
      <c r="W174" s="58" t="s">
        <v>263</v>
      </c>
      <c r="X174" s="59">
        <v>0</v>
      </c>
      <c r="Y174" s="60" t="s">
        <v>263</v>
      </c>
      <c r="Z174" s="66">
        <v>0</v>
      </c>
      <c r="AA174" s="65"/>
      <c r="AB174" s="60" t="s">
        <v>263</v>
      </c>
      <c r="AC174" s="59">
        <v>0</v>
      </c>
    </row>
    <row r="175" spans="2:29" x14ac:dyDescent="0.3">
      <c r="B175" s="71" t="s">
        <v>1576</v>
      </c>
      <c r="C175" s="65"/>
      <c r="D175" s="58" t="s">
        <v>263</v>
      </c>
      <c r="E175" s="71" t="s">
        <v>1577</v>
      </c>
      <c r="F175" s="65"/>
      <c r="G175" s="58" t="s">
        <v>263</v>
      </c>
      <c r="H175" s="71" t="s">
        <v>1578</v>
      </c>
      <c r="I175" s="65"/>
      <c r="J175" s="65"/>
      <c r="K175" s="65"/>
      <c r="L175" s="58" t="s">
        <v>263</v>
      </c>
      <c r="M175" s="71" t="s">
        <v>1579</v>
      </c>
      <c r="N175" s="65"/>
      <c r="O175" s="58" t="s">
        <v>263</v>
      </c>
      <c r="P175" s="59">
        <v>103</v>
      </c>
      <c r="Q175" s="58" t="s">
        <v>263</v>
      </c>
      <c r="R175" s="58" t="s">
        <v>918</v>
      </c>
      <c r="S175" s="58" t="s">
        <v>263</v>
      </c>
      <c r="T175" s="66">
        <v>0</v>
      </c>
      <c r="U175" s="65"/>
      <c r="V175" s="65"/>
      <c r="W175" s="58" t="s">
        <v>263</v>
      </c>
      <c r="X175" s="59">
        <v>0</v>
      </c>
      <c r="Y175" s="60" t="s">
        <v>263</v>
      </c>
      <c r="Z175" s="66">
        <v>0</v>
      </c>
      <c r="AA175" s="65"/>
      <c r="AB175" s="60" t="s">
        <v>263</v>
      </c>
      <c r="AC175" s="59">
        <v>0</v>
      </c>
    </row>
    <row r="176" spans="2:29" x14ac:dyDescent="0.3">
      <c r="B176" s="71" t="s">
        <v>1580</v>
      </c>
      <c r="C176" s="65"/>
      <c r="D176" s="58" t="s">
        <v>263</v>
      </c>
      <c r="E176" s="71" t="s">
        <v>1581</v>
      </c>
      <c r="F176" s="65"/>
      <c r="G176" s="58" t="s">
        <v>263</v>
      </c>
      <c r="H176" s="71" t="s">
        <v>1582</v>
      </c>
      <c r="I176" s="65"/>
      <c r="J176" s="65"/>
      <c r="K176" s="65"/>
      <c r="L176" s="58" t="s">
        <v>263</v>
      </c>
      <c r="M176" s="71" t="s">
        <v>1579</v>
      </c>
      <c r="N176" s="65"/>
      <c r="O176" s="58" t="s">
        <v>263</v>
      </c>
      <c r="P176" s="59">
        <v>168</v>
      </c>
      <c r="Q176" s="58" t="s">
        <v>263</v>
      </c>
      <c r="R176" s="58" t="s">
        <v>918</v>
      </c>
      <c r="S176" s="58" t="s">
        <v>263</v>
      </c>
      <c r="T176" s="66">
        <v>0</v>
      </c>
      <c r="U176" s="65"/>
      <c r="V176" s="65"/>
      <c r="W176" s="58" t="s">
        <v>263</v>
      </c>
      <c r="X176" s="59">
        <v>0</v>
      </c>
      <c r="Y176" s="60" t="s">
        <v>263</v>
      </c>
      <c r="Z176" s="66">
        <v>0</v>
      </c>
      <c r="AA176" s="65"/>
      <c r="AB176" s="60" t="s">
        <v>263</v>
      </c>
      <c r="AC176" s="59">
        <v>0</v>
      </c>
    </row>
    <row r="177" spans="2:29" x14ac:dyDescent="0.3">
      <c r="B177" s="71" t="s">
        <v>1583</v>
      </c>
      <c r="C177" s="65"/>
      <c r="D177" s="58" t="s">
        <v>263</v>
      </c>
      <c r="E177" s="71" t="s">
        <v>1584</v>
      </c>
      <c r="F177" s="65"/>
      <c r="G177" s="58" t="s">
        <v>263</v>
      </c>
      <c r="H177" s="71" t="s">
        <v>1585</v>
      </c>
      <c r="I177" s="65"/>
      <c r="J177" s="65"/>
      <c r="K177" s="65"/>
      <c r="L177" s="58" t="s">
        <v>263</v>
      </c>
      <c r="M177" s="71" t="s">
        <v>1586</v>
      </c>
      <c r="N177" s="65"/>
      <c r="O177" s="58" t="s">
        <v>263</v>
      </c>
      <c r="P177" s="59">
        <v>184</v>
      </c>
      <c r="Q177" s="58" t="s">
        <v>263</v>
      </c>
      <c r="R177" s="58" t="s">
        <v>918</v>
      </c>
      <c r="S177" s="58" t="s">
        <v>263</v>
      </c>
      <c r="T177" s="66">
        <v>0</v>
      </c>
      <c r="U177" s="65"/>
      <c r="V177" s="65"/>
      <c r="W177" s="58" t="s">
        <v>263</v>
      </c>
      <c r="X177" s="59">
        <v>0</v>
      </c>
      <c r="Y177" s="60" t="s">
        <v>263</v>
      </c>
      <c r="Z177" s="66">
        <v>0</v>
      </c>
      <c r="AA177" s="65"/>
      <c r="AB177" s="60" t="s">
        <v>263</v>
      </c>
      <c r="AC177" s="59">
        <v>0</v>
      </c>
    </row>
    <row r="178" spans="2:29" x14ac:dyDescent="0.3">
      <c r="B178" s="71" t="s">
        <v>1587</v>
      </c>
      <c r="C178" s="65"/>
      <c r="D178" s="58" t="s">
        <v>263</v>
      </c>
      <c r="E178" s="71" t="s">
        <v>1588</v>
      </c>
      <c r="F178" s="65"/>
      <c r="G178" s="58" t="s">
        <v>263</v>
      </c>
      <c r="H178" s="71" t="s">
        <v>1589</v>
      </c>
      <c r="I178" s="65"/>
      <c r="J178" s="65"/>
      <c r="K178" s="65"/>
      <c r="L178" s="58" t="s">
        <v>263</v>
      </c>
      <c r="M178" s="71" t="s">
        <v>693</v>
      </c>
      <c r="N178" s="65"/>
      <c r="O178" s="58" t="s">
        <v>263</v>
      </c>
      <c r="P178" s="59">
        <v>131</v>
      </c>
      <c r="Q178" s="58" t="s">
        <v>263</v>
      </c>
      <c r="R178" s="58" t="s">
        <v>918</v>
      </c>
      <c r="S178" s="58" t="s">
        <v>263</v>
      </c>
      <c r="T178" s="66">
        <v>0</v>
      </c>
      <c r="U178" s="65"/>
      <c r="V178" s="65"/>
      <c r="W178" s="58" t="s">
        <v>263</v>
      </c>
      <c r="X178" s="59">
        <v>0</v>
      </c>
      <c r="Y178" s="60" t="s">
        <v>263</v>
      </c>
      <c r="Z178" s="66">
        <v>0</v>
      </c>
      <c r="AA178" s="65"/>
      <c r="AB178" s="60" t="s">
        <v>263</v>
      </c>
      <c r="AC178" s="59">
        <v>0</v>
      </c>
    </row>
    <row r="179" spans="2:29" x14ac:dyDescent="0.3">
      <c r="B179" s="71" t="s">
        <v>1590</v>
      </c>
      <c r="C179" s="65"/>
      <c r="D179" s="58" t="s">
        <v>263</v>
      </c>
      <c r="E179" s="71" t="s">
        <v>1591</v>
      </c>
      <c r="F179" s="65"/>
      <c r="G179" s="58" t="s">
        <v>263</v>
      </c>
      <c r="H179" s="71" t="s">
        <v>1592</v>
      </c>
      <c r="I179" s="65"/>
      <c r="J179" s="65"/>
      <c r="K179" s="65"/>
      <c r="L179" s="58" t="s">
        <v>263</v>
      </c>
      <c r="M179" s="71" t="s">
        <v>1593</v>
      </c>
      <c r="N179" s="65"/>
      <c r="O179" s="58" t="s">
        <v>263</v>
      </c>
      <c r="P179" s="59">
        <v>257</v>
      </c>
      <c r="Q179" s="58" t="s">
        <v>263</v>
      </c>
      <c r="R179" s="58" t="s">
        <v>918</v>
      </c>
      <c r="S179" s="58" t="s">
        <v>263</v>
      </c>
      <c r="T179" s="66">
        <v>0</v>
      </c>
      <c r="U179" s="65"/>
      <c r="V179" s="65"/>
      <c r="W179" s="58" t="s">
        <v>263</v>
      </c>
      <c r="X179" s="59">
        <v>0</v>
      </c>
      <c r="Y179" s="60" t="s">
        <v>263</v>
      </c>
      <c r="Z179" s="66">
        <v>0</v>
      </c>
      <c r="AA179" s="65"/>
      <c r="AB179" s="60" t="s">
        <v>263</v>
      </c>
      <c r="AC179" s="59">
        <v>0</v>
      </c>
    </row>
    <row r="180" spans="2:29" x14ac:dyDescent="0.3">
      <c r="B180" s="71" t="s">
        <v>1594</v>
      </c>
      <c r="C180" s="65"/>
      <c r="D180" s="58" t="s">
        <v>263</v>
      </c>
      <c r="E180" s="71" t="s">
        <v>1595</v>
      </c>
      <c r="F180" s="65"/>
      <c r="G180" s="58" t="s">
        <v>263</v>
      </c>
      <c r="H180" s="71" t="s">
        <v>1596</v>
      </c>
      <c r="I180" s="65"/>
      <c r="J180" s="65"/>
      <c r="K180" s="65"/>
      <c r="L180" s="58" t="s">
        <v>263</v>
      </c>
      <c r="M180" s="71" t="s">
        <v>1597</v>
      </c>
      <c r="N180" s="65"/>
      <c r="O180" s="58" t="s">
        <v>263</v>
      </c>
      <c r="P180" s="59">
        <v>123</v>
      </c>
      <c r="Q180" s="58" t="s">
        <v>263</v>
      </c>
      <c r="R180" s="58" t="s">
        <v>918</v>
      </c>
      <c r="S180" s="58" t="s">
        <v>263</v>
      </c>
      <c r="T180" s="66">
        <v>0</v>
      </c>
      <c r="U180" s="65"/>
      <c r="V180" s="65"/>
      <c r="W180" s="58" t="s">
        <v>263</v>
      </c>
      <c r="X180" s="59">
        <v>0</v>
      </c>
      <c r="Y180" s="60" t="s">
        <v>263</v>
      </c>
      <c r="Z180" s="66">
        <v>0</v>
      </c>
      <c r="AA180" s="65"/>
      <c r="AB180" s="60" t="s">
        <v>263</v>
      </c>
      <c r="AC180" s="59">
        <v>0</v>
      </c>
    </row>
    <row r="181" spans="2:29" x14ac:dyDescent="0.3">
      <c r="B181" s="71" t="s">
        <v>1598</v>
      </c>
      <c r="C181" s="65"/>
      <c r="D181" s="58" t="s">
        <v>263</v>
      </c>
      <c r="E181" s="71" t="s">
        <v>1599</v>
      </c>
      <c r="F181" s="65"/>
      <c r="G181" s="58" t="s">
        <v>263</v>
      </c>
      <c r="H181" s="71" t="s">
        <v>1600</v>
      </c>
      <c r="I181" s="65"/>
      <c r="J181" s="65"/>
      <c r="K181" s="65"/>
      <c r="L181" s="58" t="s">
        <v>263</v>
      </c>
      <c r="M181" s="71" t="s">
        <v>1601</v>
      </c>
      <c r="N181" s="65"/>
      <c r="O181" s="58" t="s">
        <v>263</v>
      </c>
      <c r="P181" s="59">
        <v>175</v>
      </c>
      <c r="Q181" s="58" t="s">
        <v>263</v>
      </c>
      <c r="R181" s="58" t="s">
        <v>918</v>
      </c>
      <c r="S181" s="58" t="s">
        <v>263</v>
      </c>
      <c r="T181" s="66">
        <v>0</v>
      </c>
      <c r="U181" s="65"/>
      <c r="V181" s="65"/>
      <c r="W181" s="58" t="s">
        <v>263</v>
      </c>
      <c r="X181" s="59">
        <v>0</v>
      </c>
      <c r="Y181" s="60" t="s">
        <v>263</v>
      </c>
      <c r="Z181" s="66">
        <v>0</v>
      </c>
      <c r="AA181" s="65"/>
      <c r="AB181" s="60" t="s">
        <v>263</v>
      </c>
      <c r="AC181" s="59">
        <v>0</v>
      </c>
    </row>
    <row r="182" spans="2:29" x14ac:dyDescent="0.3">
      <c r="B182" s="71" t="s">
        <v>1602</v>
      </c>
      <c r="C182" s="65"/>
      <c r="D182" s="58" t="s">
        <v>263</v>
      </c>
      <c r="E182" s="71" t="s">
        <v>1603</v>
      </c>
      <c r="F182" s="65"/>
      <c r="G182" s="58" t="s">
        <v>263</v>
      </c>
      <c r="H182" s="71" t="s">
        <v>1604</v>
      </c>
      <c r="I182" s="65"/>
      <c r="J182" s="65"/>
      <c r="K182" s="65"/>
      <c r="L182" s="58" t="s">
        <v>263</v>
      </c>
      <c r="M182" s="71" t="s">
        <v>1586</v>
      </c>
      <c r="N182" s="65"/>
      <c r="O182" s="58" t="s">
        <v>263</v>
      </c>
      <c r="P182" s="59">
        <v>175</v>
      </c>
      <c r="Q182" s="58" t="s">
        <v>263</v>
      </c>
      <c r="R182" s="58" t="s">
        <v>918</v>
      </c>
      <c r="S182" s="58" t="s">
        <v>263</v>
      </c>
      <c r="T182" s="66">
        <v>0</v>
      </c>
      <c r="U182" s="65"/>
      <c r="V182" s="65"/>
      <c r="W182" s="58" t="s">
        <v>263</v>
      </c>
      <c r="X182" s="59">
        <v>0</v>
      </c>
      <c r="Y182" s="60" t="s">
        <v>263</v>
      </c>
      <c r="Z182" s="66">
        <v>0</v>
      </c>
      <c r="AA182" s="65"/>
      <c r="AB182" s="60" t="s">
        <v>263</v>
      </c>
      <c r="AC182" s="59">
        <v>0</v>
      </c>
    </row>
    <row r="183" spans="2:29" x14ac:dyDescent="0.3">
      <c r="B183" s="71" t="s">
        <v>1605</v>
      </c>
      <c r="C183" s="65"/>
      <c r="D183" s="58" t="s">
        <v>263</v>
      </c>
      <c r="E183" s="71" t="s">
        <v>1606</v>
      </c>
      <c r="F183" s="65"/>
      <c r="G183" s="58" t="s">
        <v>263</v>
      </c>
      <c r="H183" s="71" t="s">
        <v>1607</v>
      </c>
      <c r="I183" s="65"/>
      <c r="J183" s="65"/>
      <c r="K183" s="65"/>
      <c r="L183" s="58" t="s">
        <v>263</v>
      </c>
      <c r="M183" s="71" t="s">
        <v>1608</v>
      </c>
      <c r="N183" s="65"/>
      <c r="O183" s="58" t="s">
        <v>263</v>
      </c>
      <c r="P183" s="59">
        <v>202</v>
      </c>
      <c r="Q183" s="58" t="s">
        <v>263</v>
      </c>
      <c r="R183" s="58" t="s">
        <v>1609</v>
      </c>
      <c r="S183" s="58" t="s">
        <v>263</v>
      </c>
      <c r="T183" s="66">
        <v>0</v>
      </c>
      <c r="U183" s="65"/>
      <c r="V183" s="65"/>
      <c r="W183" s="58" t="s">
        <v>263</v>
      </c>
      <c r="X183" s="59">
        <v>-606</v>
      </c>
      <c r="Y183" s="60" t="s">
        <v>263</v>
      </c>
      <c r="Z183" s="66">
        <v>0</v>
      </c>
      <c r="AA183" s="65"/>
      <c r="AB183" s="60" t="s">
        <v>263</v>
      </c>
      <c r="AC183" s="59">
        <v>0</v>
      </c>
    </row>
    <row r="184" spans="2:29" x14ac:dyDescent="0.3">
      <c r="B184" s="71" t="s">
        <v>1610</v>
      </c>
      <c r="C184" s="65"/>
      <c r="D184" s="58" t="s">
        <v>263</v>
      </c>
      <c r="E184" s="71" t="s">
        <v>1611</v>
      </c>
      <c r="F184" s="65"/>
      <c r="G184" s="58" t="s">
        <v>263</v>
      </c>
      <c r="H184" s="71" t="s">
        <v>1612</v>
      </c>
      <c r="I184" s="65"/>
      <c r="J184" s="65"/>
      <c r="K184" s="65"/>
      <c r="L184" s="58" t="s">
        <v>263</v>
      </c>
      <c r="M184" s="71" t="s">
        <v>1586</v>
      </c>
      <c r="N184" s="65"/>
      <c r="O184" s="58" t="s">
        <v>263</v>
      </c>
      <c r="P184" s="59">
        <v>180</v>
      </c>
      <c r="Q184" s="58" t="s">
        <v>263</v>
      </c>
      <c r="R184" s="58" t="s">
        <v>918</v>
      </c>
      <c r="S184" s="58" t="s">
        <v>263</v>
      </c>
      <c r="T184" s="66">
        <v>0</v>
      </c>
      <c r="U184" s="65"/>
      <c r="V184" s="65"/>
      <c r="W184" s="58" t="s">
        <v>263</v>
      </c>
      <c r="X184" s="59">
        <v>0</v>
      </c>
      <c r="Y184" s="60" t="s">
        <v>263</v>
      </c>
      <c r="Z184" s="66">
        <v>0</v>
      </c>
      <c r="AA184" s="65"/>
      <c r="AB184" s="60" t="s">
        <v>263</v>
      </c>
      <c r="AC184" s="59">
        <v>0</v>
      </c>
    </row>
    <row r="185" spans="2:29" x14ac:dyDescent="0.3">
      <c r="B185" s="71" t="s">
        <v>1613</v>
      </c>
      <c r="C185" s="65"/>
      <c r="D185" s="58" t="s">
        <v>263</v>
      </c>
      <c r="E185" s="71" t="s">
        <v>1614</v>
      </c>
      <c r="F185" s="65"/>
      <c r="G185" s="58" t="s">
        <v>263</v>
      </c>
      <c r="H185" s="71" t="s">
        <v>1615</v>
      </c>
      <c r="I185" s="65"/>
      <c r="J185" s="65"/>
      <c r="K185" s="65"/>
      <c r="L185" s="58" t="s">
        <v>263</v>
      </c>
      <c r="M185" s="71" t="s">
        <v>1586</v>
      </c>
      <c r="N185" s="65"/>
      <c r="O185" s="58" t="s">
        <v>263</v>
      </c>
      <c r="P185" s="59">
        <v>310</v>
      </c>
      <c r="Q185" s="58" t="s">
        <v>263</v>
      </c>
      <c r="R185" s="58" t="s">
        <v>918</v>
      </c>
      <c r="S185" s="58" t="s">
        <v>263</v>
      </c>
      <c r="T185" s="66">
        <v>0</v>
      </c>
      <c r="U185" s="65"/>
      <c r="V185" s="65"/>
      <c r="W185" s="58" t="s">
        <v>263</v>
      </c>
      <c r="X185" s="59">
        <v>0</v>
      </c>
      <c r="Y185" s="60" t="s">
        <v>263</v>
      </c>
      <c r="Z185" s="66">
        <v>0</v>
      </c>
      <c r="AA185" s="65"/>
      <c r="AB185" s="60" t="s">
        <v>263</v>
      </c>
      <c r="AC185" s="59">
        <v>0</v>
      </c>
    </row>
    <row r="186" spans="2:29" x14ac:dyDescent="0.3">
      <c r="B186" s="71" t="s">
        <v>1616</v>
      </c>
      <c r="C186" s="65"/>
      <c r="D186" s="58" t="s">
        <v>263</v>
      </c>
      <c r="E186" s="71" t="s">
        <v>1617</v>
      </c>
      <c r="F186" s="65"/>
      <c r="G186" s="58" t="s">
        <v>263</v>
      </c>
      <c r="H186" s="71" t="s">
        <v>1618</v>
      </c>
      <c r="I186" s="65"/>
      <c r="J186" s="65"/>
      <c r="K186" s="65"/>
      <c r="L186" s="58" t="s">
        <v>263</v>
      </c>
      <c r="M186" s="71" t="s">
        <v>1619</v>
      </c>
      <c r="N186" s="65"/>
      <c r="O186" s="58" t="s">
        <v>263</v>
      </c>
      <c r="P186" s="59">
        <v>289</v>
      </c>
      <c r="Q186" s="58" t="s">
        <v>263</v>
      </c>
      <c r="R186" s="58" t="s">
        <v>918</v>
      </c>
      <c r="S186" s="58" t="s">
        <v>263</v>
      </c>
      <c r="T186" s="66">
        <v>0</v>
      </c>
      <c r="U186" s="65"/>
      <c r="V186" s="65"/>
      <c r="W186" s="58" t="s">
        <v>263</v>
      </c>
      <c r="X186" s="59">
        <v>0</v>
      </c>
      <c r="Y186" s="60" t="s">
        <v>263</v>
      </c>
      <c r="Z186" s="66">
        <v>0</v>
      </c>
      <c r="AA186" s="65"/>
      <c r="AB186" s="60" t="s">
        <v>263</v>
      </c>
      <c r="AC186" s="59">
        <v>0</v>
      </c>
    </row>
    <row r="187" spans="2:29" x14ac:dyDescent="0.3">
      <c r="B187" s="71" t="s">
        <v>1620</v>
      </c>
      <c r="C187" s="65"/>
      <c r="D187" s="58" t="s">
        <v>263</v>
      </c>
      <c r="E187" s="71" t="s">
        <v>1621</v>
      </c>
      <c r="F187" s="65"/>
      <c r="G187" s="58" t="s">
        <v>263</v>
      </c>
      <c r="H187" s="71" t="s">
        <v>1622</v>
      </c>
      <c r="I187" s="65"/>
      <c r="J187" s="65"/>
      <c r="K187" s="65"/>
      <c r="L187" s="58" t="s">
        <v>263</v>
      </c>
      <c r="M187" s="71" t="s">
        <v>1608</v>
      </c>
      <c r="N187" s="65"/>
      <c r="O187" s="58" t="s">
        <v>263</v>
      </c>
      <c r="P187" s="59">
        <v>600</v>
      </c>
      <c r="Q187" s="58" t="s">
        <v>263</v>
      </c>
      <c r="R187" s="58" t="s">
        <v>918</v>
      </c>
      <c r="S187" s="58" t="s">
        <v>263</v>
      </c>
      <c r="T187" s="66">
        <v>0</v>
      </c>
      <c r="U187" s="65"/>
      <c r="V187" s="65"/>
      <c r="W187" s="58" t="s">
        <v>263</v>
      </c>
      <c r="X187" s="59">
        <v>0</v>
      </c>
      <c r="Y187" s="60" t="s">
        <v>263</v>
      </c>
      <c r="Z187" s="66">
        <v>0</v>
      </c>
      <c r="AA187" s="65"/>
      <c r="AB187" s="60" t="s">
        <v>263</v>
      </c>
      <c r="AC187" s="59">
        <v>0</v>
      </c>
    </row>
    <row r="188" spans="2:29" x14ac:dyDescent="0.3">
      <c r="B188" s="71" t="s">
        <v>1623</v>
      </c>
      <c r="C188" s="65"/>
      <c r="D188" s="58" t="s">
        <v>263</v>
      </c>
      <c r="E188" s="71" t="s">
        <v>1624</v>
      </c>
      <c r="F188" s="65"/>
      <c r="G188" s="58" t="s">
        <v>263</v>
      </c>
      <c r="H188" s="71" t="s">
        <v>1625</v>
      </c>
      <c r="I188" s="65"/>
      <c r="J188" s="65"/>
      <c r="K188" s="65"/>
      <c r="L188" s="58" t="s">
        <v>263</v>
      </c>
      <c r="M188" s="71" t="s">
        <v>1626</v>
      </c>
      <c r="N188" s="65"/>
      <c r="O188" s="58" t="s">
        <v>263</v>
      </c>
      <c r="P188" s="59">
        <v>484</v>
      </c>
      <c r="Q188" s="58" t="s">
        <v>263</v>
      </c>
      <c r="R188" s="58" t="s">
        <v>918</v>
      </c>
      <c r="S188" s="58" t="s">
        <v>263</v>
      </c>
      <c r="T188" s="66">
        <v>0</v>
      </c>
      <c r="U188" s="65"/>
      <c r="V188" s="65"/>
      <c r="W188" s="58" t="s">
        <v>263</v>
      </c>
      <c r="X188" s="59">
        <v>0</v>
      </c>
      <c r="Y188" s="60" t="s">
        <v>263</v>
      </c>
      <c r="Z188" s="66">
        <v>0</v>
      </c>
      <c r="AA188" s="65"/>
      <c r="AB188" s="60" t="s">
        <v>263</v>
      </c>
      <c r="AC188" s="59">
        <v>0</v>
      </c>
    </row>
    <row r="189" spans="2:29" x14ac:dyDescent="0.3">
      <c r="B189" s="71" t="s">
        <v>1627</v>
      </c>
      <c r="C189" s="65"/>
      <c r="D189" s="58" t="s">
        <v>263</v>
      </c>
      <c r="E189" s="71" t="s">
        <v>1628</v>
      </c>
      <c r="F189" s="65"/>
      <c r="G189" s="58" t="s">
        <v>263</v>
      </c>
      <c r="H189" s="71" t="s">
        <v>1629</v>
      </c>
      <c r="I189" s="65"/>
      <c r="J189" s="65"/>
      <c r="K189" s="65"/>
      <c r="L189" s="58" t="s">
        <v>263</v>
      </c>
      <c r="M189" s="71" t="s">
        <v>1630</v>
      </c>
      <c r="N189" s="65"/>
      <c r="O189" s="58" t="s">
        <v>263</v>
      </c>
      <c r="P189" s="59">
        <v>175</v>
      </c>
      <c r="Q189" s="58" t="s">
        <v>263</v>
      </c>
      <c r="R189" s="58" t="s">
        <v>918</v>
      </c>
      <c r="S189" s="58" t="s">
        <v>263</v>
      </c>
      <c r="T189" s="66">
        <v>0</v>
      </c>
      <c r="U189" s="65"/>
      <c r="V189" s="65"/>
      <c r="W189" s="58" t="s">
        <v>263</v>
      </c>
      <c r="X189" s="59">
        <v>0</v>
      </c>
      <c r="Y189" s="60" t="s">
        <v>263</v>
      </c>
      <c r="Z189" s="66">
        <v>0</v>
      </c>
      <c r="AA189" s="65"/>
      <c r="AB189" s="60" t="s">
        <v>263</v>
      </c>
      <c r="AC189" s="59">
        <v>0</v>
      </c>
    </row>
    <row r="190" spans="2:29" x14ac:dyDescent="0.3">
      <c r="B190" s="71" t="s">
        <v>1631</v>
      </c>
      <c r="C190" s="65"/>
      <c r="D190" s="58" t="s">
        <v>263</v>
      </c>
      <c r="E190" s="71" t="s">
        <v>1632</v>
      </c>
      <c r="F190" s="65"/>
      <c r="G190" s="58" t="s">
        <v>263</v>
      </c>
      <c r="H190" s="71" t="s">
        <v>1633</v>
      </c>
      <c r="I190" s="65"/>
      <c r="J190" s="65"/>
      <c r="K190" s="65"/>
      <c r="L190" s="58" t="s">
        <v>263</v>
      </c>
      <c r="M190" s="71" t="s">
        <v>1634</v>
      </c>
      <c r="N190" s="65"/>
      <c r="O190" s="58" t="s">
        <v>263</v>
      </c>
      <c r="P190" s="59">
        <v>193</v>
      </c>
      <c r="Q190" s="58" t="s">
        <v>263</v>
      </c>
      <c r="R190" s="58" t="s">
        <v>918</v>
      </c>
      <c r="S190" s="58" t="s">
        <v>263</v>
      </c>
      <c r="T190" s="66">
        <v>0</v>
      </c>
      <c r="U190" s="65"/>
      <c r="V190" s="65"/>
      <c r="W190" s="58" t="s">
        <v>263</v>
      </c>
      <c r="X190" s="59">
        <v>0</v>
      </c>
      <c r="Y190" s="60" t="s">
        <v>263</v>
      </c>
      <c r="Z190" s="66">
        <v>0</v>
      </c>
      <c r="AA190" s="65"/>
      <c r="AB190" s="60" t="s">
        <v>263</v>
      </c>
      <c r="AC190" s="59">
        <v>0</v>
      </c>
    </row>
    <row r="191" spans="2:29" x14ac:dyDescent="0.3">
      <c r="B191" s="71" t="s">
        <v>1635</v>
      </c>
      <c r="C191" s="65"/>
      <c r="D191" s="58" t="s">
        <v>263</v>
      </c>
      <c r="E191" s="71" t="s">
        <v>1636</v>
      </c>
      <c r="F191" s="65"/>
      <c r="G191" s="58" t="s">
        <v>263</v>
      </c>
      <c r="H191" s="71" t="s">
        <v>1637</v>
      </c>
      <c r="I191" s="65"/>
      <c r="J191" s="65"/>
      <c r="K191" s="65"/>
      <c r="L191" s="58" t="s">
        <v>263</v>
      </c>
      <c r="M191" s="71" t="s">
        <v>1638</v>
      </c>
      <c r="N191" s="65"/>
      <c r="O191" s="58" t="s">
        <v>263</v>
      </c>
      <c r="P191" s="59">
        <v>196</v>
      </c>
      <c r="Q191" s="58" t="s">
        <v>263</v>
      </c>
      <c r="R191" s="58" t="s">
        <v>918</v>
      </c>
      <c r="S191" s="58" t="s">
        <v>263</v>
      </c>
      <c r="T191" s="66">
        <v>0</v>
      </c>
      <c r="U191" s="65"/>
      <c r="V191" s="65"/>
      <c r="W191" s="58" t="s">
        <v>263</v>
      </c>
      <c r="X191" s="59">
        <v>0</v>
      </c>
      <c r="Y191" s="60" t="s">
        <v>263</v>
      </c>
      <c r="Z191" s="66">
        <v>0</v>
      </c>
      <c r="AA191" s="65"/>
      <c r="AB191" s="60" t="s">
        <v>263</v>
      </c>
      <c r="AC191" s="59">
        <v>0</v>
      </c>
    </row>
    <row r="192" spans="2:29" x14ac:dyDescent="0.3">
      <c r="B192" s="71" t="s">
        <v>1639</v>
      </c>
      <c r="C192" s="65"/>
      <c r="D192" s="58" t="s">
        <v>263</v>
      </c>
      <c r="E192" s="71" t="s">
        <v>1640</v>
      </c>
      <c r="F192" s="65"/>
      <c r="G192" s="58" t="s">
        <v>263</v>
      </c>
      <c r="H192" s="71" t="s">
        <v>1641</v>
      </c>
      <c r="I192" s="65"/>
      <c r="J192" s="65"/>
      <c r="K192" s="65"/>
      <c r="L192" s="58" t="s">
        <v>263</v>
      </c>
      <c r="M192" s="71" t="s">
        <v>1638</v>
      </c>
      <c r="N192" s="65"/>
      <c r="O192" s="58" t="s">
        <v>263</v>
      </c>
      <c r="P192" s="59">
        <v>226</v>
      </c>
      <c r="Q192" s="58" t="s">
        <v>263</v>
      </c>
      <c r="R192" s="58" t="s">
        <v>918</v>
      </c>
      <c r="S192" s="58" t="s">
        <v>263</v>
      </c>
      <c r="T192" s="66">
        <v>0</v>
      </c>
      <c r="U192" s="65"/>
      <c r="V192" s="65"/>
      <c r="W192" s="58" t="s">
        <v>263</v>
      </c>
      <c r="X192" s="59">
        <v>0</v>
      </c>
      <c r="Y192" s="60" t="s">
        <v>263</v>
      </c>
      <c r="Z192" s="66">
        <v>0</v>
      </c>
      <c r="AA192" s="65"/>
      <c r="AB192" s="60" t="s">
        <v>263</v>
      </c>
      <c r="AC192" s="59">
        <v>0</v>
      </c>
    </row>
    <row r="193" spans="2:29" x14ac:dyDescent="0.3">
      <c r="B193" s="71" t="s">
        <v>1642</v>
      </c>
      <c r="C193" s="65"/>
      <c r="D193" s="58" t="s">
        <v>263</v>
      </c>
      <c r="E193" s="71" t="s">
        <v>1643</v>
      </c>
      <c r="F193" s="65"/>
      <c r="G193" s="58" t="s">
        <v>263</v>
      </c>
      <c r="H193" s="71" t="s">
        <v>1644</v>
      </c>
      <c r="I193" s="65"/>
      <c r="J193" s="65"/>
      <c r="K193" s="65"/>
      <c r="L193" s="58" t="s">
        <v>263</v>
      </c>
      <c r="M193" s="71" t="s">
        <v>1645</v>
      </c>
      <c r="N193" s="65"/>
      <c r="O193" s="58" t="s">
        <v>263</v>
      </c>
      <c r="P193" s="59">
        <v>206</v>
      </c>
      <c r="Q193" s="58" t="s">
        <v>263</v>
      </c>
      <c r="R193" s="58" t="s">
        <v>918</v>
      </c>
      <c r="S193" s="58" t="s">
        <v>263</v>
      </c>
      <c r="T193" s="66">
        <v>0</v>
      </c>
      <c r="U193" s="65"/>
      <c r="V193" s="65"/>
      <c r="W193" s="58" t="s">
        <v>263</v>
      </c>
      <c r="X193" s="59">
        <v>0</v>
      </c>
      <c r="Y193" s="60" t="s">
        <v>263</v>
      </c>
      <c r="Z193" s="66">
        <v>0</v>
      </c>
      <c r="AA193" s="65"/>
      <c r="AB193" s="60" t="s">
        <v>263</v>
      </c>
      <c r="AC193" s="59">
        <v>0</v>
      </c>
    </row>
    <row r="194" spans="2:29" x14ac:dyDescent="0.3">
      <c r="B194" s="71" t="s">
        <v>1646</v>
      </c>
      <c r="C194" s="65"/>
      <c r="D194" s="58" t="s">
        <v>263</v>
      </c>
      <c r="E194" s="71" t="s">
        <v>1647</v>
      </c>
      <c r="F194" s="65"/>
      <c r="G194" s="58" t="s">
        <v>263</v>
      </c>
      <c r="H194" s="71" t="s">
        <v>1648</v>
      </c>
      <c r="I194" s="65"/>
      <c r="J194" s="65"/>
      <c r="K194" s="65"/>
      <c r="L194" s="58" t="s">
        <v>263</v>
      </c>
      <c r="M194" s="71" t="s">
        <v>1649</v>
      </c>
      <c r="N194" s="65"/>
      <c r="O194" s="58" t="s">
        <v>263</v>
      </c>
      <c r="P194" s="59">
        <v>142</v>
      </c>
      <c r="Q194" s="58" t="s">
        <v>263</v>
      </c>
      <c r="R194" s="58" t="s">
        <v>918</v>
      </c>
      <c r="S194" s="58" t="s">
        <v>263</v>
      </c>
      <c r="T194" s="66">
        <v>0</v>
      </c>
      <c r="U194" s="65"/>
      <c r="V194" s="65"/>
      <c r="W194" s="58" t="s">
        <v>263</v>
      </c>
      <c r="X194" s="59">
        <v>0</v>
      </c>
      <c r="Y194" s="60" t="s">
        <v>263</v>
      </c>
      <c r="Z194" s="66">
        <v>0</v>
      </c>
      <c r="AA194" s="65"/>
      <c r="AB194" s="60" t="s">
        <v>263</v>
      </c>
      <c r="AC194" s="59">
        <v>0</v>
      </c>
    </row>
    <row r="195" spans="2:29" x14ac:dyDescent="0.3">
      <c r="B195" s="71" t="s">
        <v>1650</v>
      </c>
      <c r="C195" s="65"/>
      <c r="D195" s="58" t="s">
        <v>263</v>
      </c>
      <c r="E195" s="71" t="s">
        <v>1651</v>
      </c>
      <c r="F195" s="65"/>
      <c r="G195" s="58" t="s">
        <v>263</v>
      </c>
      <c r="H195" s="71" t="s">
        <v>1652</v>
      </c>
      <c r="I195" s="65"/>
      <c r="J195" s="65"/>
      <c r="K195" s="65"/>
      <c r="L195" s="58" t="s">
        <v>263</v>
      </c>
      <c r="M195" s="71" t="s">
        <v>1653</v>
      </c>
      <c r="N195" s="65"/>
      <c r="O195" s="58" t="s">
        <v>263</v>
      </c>
      <c r="P195" s="59">
        <v>200</v>
      </c>
      <c r="Q195" s="58" t="s">
        <v>263</v>
      </c>
      <c r="R195" s="58" t="s">
        <v>918</v>
      </c>
      <c r="S195" s="58" t="s">
        <v>263</v>
      </c>
      <c r="T195" s="66">
        <v>0</v>
      </c>
      <c r="U195" s="65"/>
      <c r="V195" s="65"/>
      <c r="W195" s="58" t="s">
        <v>263</v>
      </c>
      <c r="X195" s="59">
        <v>0</v>
      </c>
      <c r="Y195" s="60" t="s">
        <v>263</v>
      </c>
      <c r="Z195" s="66">
        <v>0</v>
      </c>
      <c r="AA195" s="65"/>
      <c r="AB195" s="60" t="s">
        <v>263</v>
      </c>
      <c r="AC195" s="59">
        <v>0</v>
      </c>
    </row>
    <row r="196" spans="2:29" x14ac:dyDescent="0.3">
      <c r="B196" s="71" t="s">
        <v>1654</v>
      </c>
      <c r="C196" s="65"/>
      <c r="D196" s="58" t="s">
        <v>263</v>
      </c>
      <c r="E196" s="71" t="s">
        <v>1655</v>
      </c>
      <c r="F196" s="65"/>
      <c r="G196" s="58" t="s">
        <v>263</v>
      </c>
      <c r="H196" s="71" t="s">
        <v>1656</v>
      </c>
      <c r="I196" s="65"/>
      <c r="J196" s="65"/>
      <c r="K196" s="65"/>
      <c r="L196" s="58" t="s">
        <v>263</v>
      </c>
      <c r="M196" s="71" t="s">
        <v>1653</v>
      </c>
      <c r="N196" s="65"/>
      <c r="O196" s="58" t="s">
        <v>263</v>
      </c>
      <c r="P196" s="59">
        <v>118</v>
      </c>
      <c r="Q196" s="58" t="s">
        <v>263</v>
      </c>
      <c r="R196" s="58" t="s">
        <v>918</v>
      </c>
      <c r="S196" s="58" t="s">
        <v>263</v>
      </c>
      <c r="T196" s="66">
        <v>0</v>
      </c>
      <c r="U196" s="65"/>
      <c r="V196" s="65"/>
      <c r="W196" s="58" t="s">
        <v>263</v>
      </c>
      <c r="X196" s="59">
        <v>0</v>
      </c>
      <c r="Y196" s="60" t="s">
        <v>263</v>
      </c>
      <c r="Z196" s="66">
        <v>0</v>
      </c>
      <c r="AA196" s="65"/>
      <c r="AB196" s="60" t="s">
        <v>263</v>
      </c>
      <c r="AC196" s="59">
        <v>0</v>
      </c>
    </row>
    <row r="197" spans="2:29" x14ac:dyDescent="0.3">
      <c r="B197" s="71" t="s">
        <v>1657</v>
      </c>
      <c r="C197" s="65"/>
      <c r="D197" s="58" t="s">
        <v>263</v>
      </c>
      <c r="E197" s="71" t="s">
        <v>1658</v>
      </c>
      <c r="F197" s="65"/>
      <c r="G197" s="58" t="s">
        <v>263</v>
      </c>
      <c r="H197" s="71" t="s">
        <v>1659</v>
      </c>
      <c r="I197" s="65"/>
      <c r="J197" s="65"/>
      <c r="K197" s="65"/>
      <c r="L197" s="58" t="s">
        <v>263</v>
      </c>
      <c r="M197" s="71" t="s">
        <v>1649</v>
      </c>
      <c r="N197" s="65"/>
      <c r="O197" s="58" t="s">
        <v>263</v>
      </c>
      <c r="P197" s="59">
        <v>298</v>
      </c>
      <c r="Q197" s="58" t="s">
        <v>263</v>
      </c>
      <c r="R197" s="58" t="s">
        <v>1159</v>
      </c>
      <c r="S197" s="58" t="s">
        <v>263</v>
      </c>
      <c r="T197" s="66">
        <v>0</v>
      </c>
      <c r="U197" s="65"/>
      <c r="V197" s="65"/>
      <c r="W197" s="58" t="s">
        <v>263</v>
      </c>
      <c r="X197" s="59">
        <v>-298</v>
      </c>
      <c r="Y197" s="60" t="s">
        <v>263</v>
      </c>
      <c r="Z197" s="66">
        <v>0</v>
      </c>
      <c r="AA197" s="65"/>
      <c r="AB197" s="60" t="s">
        <v>263</v>
      </c>
      <c r="AC197" s="59">
        <v>0</v>
      </c>
    </row>
    <row r="198" spans="2:29" x14ac:dyDescent="0.3">
      <c r="B198" s="71" t="s">
        <v>1660</v>
      </c>
      <c r="C198" s="65"/>
      <c r="D198" s="58" t="s">
        <v>263</v>
      </c>
      <c r="E198" s="71" t="s">
        <v>1661</v>
      </c>
      <c r="F198" s="65"/>
      <c r="G198" s="58" t="s">
        <v>263</v>
      </c>
      <c r="H198" s="71" t="s">
        <v>1662</v>
      </c>
      <c r="I198" s="65"/>
      <c r="J198" s="65"/>
      <c r="K198" s="65"/>
      <c r="L198" s="58" t="s">
        <v>263</v>
      </c>
      <c r="M198" s="71" t="s">
        <v>1663</v>
      </c>
      <c r="N198" s="65"/>
      <c r="O198" s="58" t="s">
        <v>263</v>
      </c>
      <c r="P198" s="59">
        <v>249</v>
      </c>
      <c r="Q198" s="58" t="s">
        <v>263</v>
      </c>
      <c r="R198" s="58" t="s">
        <v>918</v>
      </c>
      <c r="S198" s="58" t="s">
        <v>263</v>
      </c>
      <c r="T198" s="66">
        <v>0</v>
      </c>
      <c r="U198" s="65"/>
      <c r="V198" s="65"/>
      <c r="W198" s="58" t="s">
        <v>263</v>
      </c>
      <c r="X198" s="59">
        <v>0</v>
      </c>
      <c r="Y198" s="60" t="s">
        <v>263</v>
      </c>
      <c r="Z198" s="66">
        <v>0</v>
      </c>
      <c r="AA198" s="65"/>
      <c r="AB198" s="60" t="s">
        <v>263</v>
      </c>
      <c r="AC198" s="59">
        <v>0</v>
      </c>
    </row>
    <row r="199" spans="2:29" x14ac:dyDescent="0.3">
      <c r="B199" s="71" t="s">
        <v>1664</v>
      </c>
      <c r="C199" s="65"/>
      <c r="D199" s="58" t="s">
        <v>263</v>
      </c>
      <c r="E199" s="71" t="s">
        <v>1665</v>
      </c>
      <c r="F199" s="65"/>
      <c r="G199" s="58" t="s">
        <v>263</v>
      </c>
      <c r="H199" s="71" t="s">
        <v>1666</v>
      </c>
      <c r="I199" s="65"/>
      <c r="J199" s="65"/>
      <c r="K199" s="65"/>
      <c r="L199" s="58" t="s">
        <v>263</v>
      </c>
      <c r="M199" s="71" t="s">
        <v>1649</v>
      </c>
      <c r="N199" s="65"/>
      <c r="O199" s="58" t="s">
        <v>263</v>
      </c>
      <c r="P199" s="59">
        <v>231</v>
      </c>
      <c r="Q199" s="58" t="s">
        <v>263</v>
      </c>
      <c r="R199" s="58" t="s">
        <v>918</v>
      </c>
      <c r="S199" s="58" t="s">
        <v>263</v>
      </c>
      <c r="T199" s="66">
        <v>0</v>
      </c>
      <c r="U199" s="65"/>
      <c r="V199" s="65"/>
      <c r="W199" s="58" t="s">
        <v>263</v>
      </c>
      <c r="X199" s="59">
        <v>0</v>
      </c>
      <c r="Y199" s="60" t="s">
        <v>263</v>
      </c>
      <c r="Z199" s="66">
        <v>0</v>
      </c>
      <c r="AA199" s="65"/>
      <c r="AB199" s="60" t="s">
        <v>263</v>
      </c>
      <c r="AC199" s="59">
        <v>0</v>
      </c>
    </row>
    <row r="200" spans="2:29" x14ac:dyDescent="0.3">
      <c r="B200" s="71" t="s">
        <v>1667</v>
      </c>
      <c r="C200" s="65"/>
      <c r="D200" s="58" t="s">
        <v>263</v>
      </c>
      <c r="E200" s="71" t="s">
        <v>1668</v>
      </c>
      <c r="F200" s="65"/>
      <c r="G200" s="58" t="s">
        <v>263</v>
      </c>
      <c r="H200" s="71" t="s">
        <v>1669</v>
      </c>
      <c r="I200" s="65"/>
      <c r="J200" s="65"/>
      <c r="K200" s="65"/>
      <c r="L200" s="58" t="s">
        <v>263</v>
      </c>
      <c r="M200" s="71" t="s">
        <v>1670</v>
      </c>
      <c r="N200" s="65"/>
      <c r="O200" s="58" t="s">
        <v>263</v>
      </c>
      <c r="P200" s="59">
        <v>218</v>
      </c>
      <c r="Q200" s="58" t="s">
        <v>263</v>
      </c>
      <c r="R200" s="58" t="s">
        <v>918</v>
      </c>
      <c r="S200" s="58" t="s">
        <v>263</v>
      </c>
      <c r="T200" s="66">
        <v>0</v>
      </c>
      <c r="U200" s="65"/>
      <c r="V200" s="65"/>
      <c r="W200" s="58" t="s">
        <v>263</v>
      </c>
      <c r="X200" s="59">
        <v>0</v>
      </c>
      <c r="Y200" s="60" t="s">
        <v>263</v>
      </c>
      <c r="Z200" s="66">
        <v>0</v>
      </c>
      <c r="AA200" s="65"/>
      <c r="AB200" s="60" t="s">
        <v>263</v>
      </c>
      <c r="AC200" s="59">
        <v>0</v>
      </c>
    </row>
    <row r="201" spans="2:29" x14ac:dyDescent="0.3">
      <c r="B201" s="71" t="s">
        <v>1671</v>
      </c>
      <c r="C201" s="65"/>
      <c r="D201" s="58" t="s">
        <v>263</v>
      </c>
      <c r="E201" s="71" t="s">
        <v>1672</v>
      </c>
      <c r="F201" s="65"/>
      <c r="G201" s="58" t="s">
        <v>263</v>
      </c>
      <c r="H201" s="71" t="s">
        <v>1673</v>
      </c>
      <c r="I201" s="65"/>
      <c r="J201" s="65"/>
      <c r="K201" s="65"/>
      <c r="L201" s="58" t="s">
        <v>263</v>
      </c>
      <c r="M201" s="71" t="s">
        <v>1670</v>
      </c>
      <c r="N201" s="65"/>
      <c r="O201" s="58" t="s">
        <v>263</v>
      </c>
      <c r="P201" s="59">
        <v>197</v>
      </c>
      <c r="Q201" s="58" t="s">
        <v>263</v>
      </c>
      <c r="R201" s="58" t="s">
        <v>918</v>
      </c>
      <c r="S201" s="58" t="s">
        <v>263</v>
      </c>
      <c r="T201" s="66">
        <v>0</v>
      </c>
      <c r="U201" s="65"/>
      <c r="V201" s="65"/>
      <c r="W201" s="58" t="s">
        <v>263</v>
      </c>
      <c r="X201" s="59">
        <v>0</v>
      </c>
      <c r="Y201" s="60" t="s">
        <v>263</v>
      </c>
      <c r="Z201" s="66">
        <v>0</v>
      </c>
      <c r="AA201" s="65"/>
      <c r="AB201" s="60" t="s">
        <v>263</v>
      </c>
      <c r="AC201" s="59">
        <v>0</v>
      </c>
    </row>
    <row r="202" spans="2:29" x14ac:dyDescent="0.3">
      <c r="B202" s="71" t="s">
        <v>1674</v>
      </c>
      <c r="C202" s="65"/>
      <c r="D202" s="58" t="s">
        <v>263</v>
      </c>
      <c r="E202" s="71" t="s">
        <v>1675</v>
      </c>
      <c r="F202" s="65"/>
      <c r="G202" s="58" t="s">
        <v>263</v>
      </c>
      <c r="H202" s="71" t="s">
        <v>1676</v>
      </c>
      <c r="I202" s="65"/>
      <c r="J202" s="65"/>
      <c r="K202" s="65"/>
      <c r="L202" s="58" t="s">
        <v>263</v>
      </c>
      <c r="M202" s="71" t="s">
        <v>1677</v>
      </c>
      <c r="N202" s="65"/>
      <c r="O202" s="58" t="s">
        <v>263</v>
      </c>
      <c r="P202" s="59">
        <v>134</v>
      </c>
      <c r="Q202" s="58" t="s">
        <v>263</v>
      </c>
      <c r="R202" s="58" t="s">
        <v>918</v>
      </c>
      <c r="S202" s="58" t="s">
        <v>263</v>
      </c>
      <c r="T202" s="66">
        <v>0</v>
      </c>
      <c r="U202" s="65"/>
      <c r="V202" s="65"/>
      <c r="W202" s="58" t="s">
        <v>263</v>
      </c>
      <c r="X202" s="59">
        <v>0</v>
      </c>
      <c r="Y202" s="60" t="s">
        <v>263</v>
      </c>
      <c r="Z202" s="66">
        <v>0</v>
      </c>
      <c r="AA202" s="65"/>
      <c r="AB202" s="60" t="s">
        <v>263</v>
      </c>
      <c r="AC202" s="59">
        <v>0</v>
      </c>
    </row>
    <row r="203" spans="2:29" x14ac:dyDescent="0.3">
      <c r="B203" s="71" t="s">
        <v>1678</v>
      </c>
      <c r="C203" s="65"/>
      <c r="D203" s="58" t="s">
        <v>263</v>
      </c>
      <c r="E203" s="71" t="s">
        <v>1679</v>
      </c>
      <c r="F203" s="65"/>
      <c r="G203" s="58" t="s">
        <v>263</v>
      </c>
      <c r="H203" s="71" t="s">
        <v>1680</v>
      </c>
      <c r="I203" s="65"/>
      <c r="J203" s="65"/>
      <c r="K203" s="65"/>
      <c r="L203" s="58" t="s">
        <v>263</v>
      </c>
      <c r="M203" s="71" t="s">
        <v>1681</v>
      </c>
      <c r="N203" s="65"/>
      <c r="O203" s="58" t="s">
        <v>263</v>
      </c>
      <c r="P203" s="59">
        <v>238</v>
      </c>
      <c r="Q203" s="58" t="s">
        <v>263</v>
      </c>
      <c r="R203" s="58" t="s">
        <v>918</v>
      </c>
      <c r="S203" s="58" t="s">
        <v>263</v>
      </c>
      <c r="T203" s="66">
        <v>0</v>
      </c>
      <c r="U203" s="65"/>
      <c r="V203" s="65"/>
      <c r="W203" s="58" t="s">
        <v>263</v>
      </c>
      <c r="X203" s="59">
        <v>0</v>
      </c>
      <c r="Y203" s="60" t="s">
        <v>263</v>
      </c>
      <c r="Z203" s="66">
        <v>0</v>
      </c>
      <c r="AA203" s="65"/>
      <c r="AB203" s="60" t="s">
        <v>263</v>
      </c>
      <c r="AC203" s="59">
        <v>0</v>
      </c>
    </row>
    <row r="204" spans="2:29" x14ac:dyDescent="0.3">
      <c r="B204" s="71" t="s">
        <v>1682</v>
      </c>
      <c r="C204" s="65"/>
      <c r="D204" s="58" t="s">
        <v>263</v>
      </c>
      <c r="E204" s="71" t="s">
        <v>1683</v>
      </c>
      <c r="F204" s="65"/>
      <c r="G204" s="58" t="s">
        <v>263</v>
      </c>
      <c r="H204" s="71" t="s">
        <v>1684</v>
      </c>
      <c r="I204" s="65"/>
      <c r="J204" s="65"/>
      <c r="K204" s="65"/>
      <c r="L204" s="58" t="s">
        <v>263</v>
      </c>
      <c r="M204" s="71" t="s">
        <v>1649</v>
      </c>
      <c r="N204" s="65"/>
      <c r="O204" s="58" t="s">
        <v>263</v>
      </c>
      <c r="P204" s="59">
        <v>146</v>
      </c>
      <c r="Q204" s="58" t="s">
        <v>263</v>
      </c>
      <c r="R204" s="58" t="s">
        <v>918</v>
      </c>
      <c r="S204" s="58" t="s">
        <v>263</v>
      </c>
      <c r="T204" s="66">
        <v>0</v>
      </c>
      <c r="U204" s="65"/>
      <c r="V204" s="65"/>
      <c r="W204" s="58" t="s">
        <v>263</v>
      </c>
      <c r="X204" s="59">
        <v>0</v>
      </c>
      <c r="Y204" s="60" t="s">
        <v>263</v>
      </c>
      <c r="Z204" s="66">
        <v>0</v>
      </c>
      <c r="AA204" s="65"/>
      <c r="AB204" s="60" t="s">
        <v>263</v>
      </c>
      <c r="AC204" s="59">
        <v>0</v>
      </c>
    </row>
    <row r="205" spans="2:29" x14ac:dyDescent="0.3">
      <c r="B205" s="71" t="s">
        <v>1685</v>
      </c>
      <c r="C205" s="65"/>
      <c r="D205" s="58" t="s">
        <v>263</v>
      </c>
      <c r="E205" s="71" t="s">
        <v>1686</v>
      </c>
      <c r="F205" s="65"/>
      <c r="G205" s="58" t="s">
        <v>263</v>
      </c>
      <c r="H205" s="71" t="s">
        <v>1687</v>
      </c>
      <c r="I205" s="65"/>
      <c r="J205" s="65"/>
      <c r="K205" s="65"/>
      <c r="L205" s="58" t="s">
        <v>263</v>
      </c>
      <c r="M205" s="71" t="s">
        <v>1688</v>
      </c>
      <c r="N205" s="65"/>
      <c r="O205" s="58" t="s">
        <v>263</v>
      </c>
      <c r="P205" s="59">
        <v>264</v>
      </c>
      <c r="Q205" s="58" t="s">
        <v>263</v>
      </c>
      <c r="R205" s="58" t="s">
        <v>918</v>
      </c>
      <c r="S205" s="58" t="s">
        <v>263</v>
      </c>
      <c r="T205" s="66">
        <v>0</v>
      </c>
      <c r="U205" s="65"/>
      <c r="V205" s="65"/>
      <c r="W205" s="58" t="s">
        <v>263</v>
      </c>
      <c r="X205" s="59">
        <v>0</v>
      </c>
      <c r="Y205" s="60" t="s">
        <v>263</v>
      </c>
      <c r="Z205" s="66">
        <v>0</v>
      </c>
      <c r="AA205" s="65"/>
      <c r="AB205" s="60" t="s">
        <v>263</v>
      </c>
      <c r="AC205" s="59">
        <v>0</v>
      </c>
    </row>
    <row r="206" spans="2:29" x14ac:dyDescent="0.3">
      <c r="B206" s="71" t="s">
        <v>1689</v>
      </c>
      <c r="C206" s="65"/>
      <c r="D206" s="58" t="s">
        <v>263</v>
      </c>
      <c r="E206" s="71" t="s">
        <v>1690</v>
      </c>
      <c r="F206" s="65"/>
      <c r="G206" s="58" t="s">
        <v>263</v>
      </c>
      <c r="H206" s="71" t="s">
        <v>1691</v>
      </c>
      <c r="I206" s="65"/>
      <c r="J206" s="65"/>
      <c r="K206" s="65"/>
      <c r="L206" s="58" t="s">
        <v>263</v>
      </c>
      <c r="M206" s="71" t="s">
        <v>1688</v>
      </c>
      <c r="N206" s="65"/>
      <c r="O206" s="58" t="s">
        <v>263</v>
      </c>
      <c r="P206" s="59">
        <v>256</v>
      </c>
      <c r="Q206" s="58" t="s">
        <v>263</v>
      </c>
      <c r="R206" s="58" t="s">
        <v>918</v>
      </c>
      <c r="S206" s="58" t="s">
        <v>263</v>
      </c>
      <c r="T206" s="66">
        <v>0</v>
      </c>
      <c r="U206" s="65"/>
      <c r="V206" s="65"/>
      <c r="W206" s="58" t="s">
        <v>263</v>
      </c>
      <c r="X206" s="59">
        <v>0</v>
      </c>
      <c r="Y206" s="60" t="s">
        <v>263</v>
      </c>
      <c r="Z206" s="66">
        <v>0</v>
      </c>
      <c r="AA206" s="65"/>
      <c r="AB206" s="60" t="s">
        <v>263</v>
      </c>
      <c r="AC206" s="59">
        <v>0</v>
      </c>
    </row>
    <row r="207" spans="2:29" x14ac:dyDescent="0.3">
      <c r="B207" s="71" t="s">
        <v>1692</v>
      </c>
      <c r="C207" s="65"/>
      <c r="D207" s="58" t="s">
        <v>263</v>
      </c>
      <c r="E207" s="71" t="s">
        <v>1693</v>
      </c>
      <c r="F207" s="65"/>
      <c r="G207" s="58" t="s">
        <v>263</v>
      </c>
      <c r="H207" s="71" t="s">
        <v>1694</v>
      </c>
      <c r="I207" s="65"/>
      <c r="J207" s="65"/>
      <c r="K207" s="65"/>
      <c r="L207" s="58" t="s">
        <v>263</v>
      </c>
      <c r="M207" s="71" t="s">
        <v>1695</v>
      </c>
      <c r="N207" s="65"/>
      <c r="O207" s="58" t="s">
        <v>263</v>
      </c>
      <c r="P207" s="59">
        <v>129</v>
      </c>
      <c r="Q207" s="58" t="s">
        <v>263</v>
      </c>
      <c r="R207" s="58" t="s">
        <v>918</v>
      </c>
      <c r="S207" s="58" t="s">
        <v>263</v>
      </c>
      <c r="T207" s="66">
        <v>0</v>
      </c>
      <c r="U207" s="65"/>
      <c r="V207" s="65"/>
      <c r="W207" s="58" t="s">
        <v>263</v>
      </c>
      <c r="X207" s="59">
        <v>0</v>
      </c>
      <c r="Y207" s="60" t="s">
        <v>263</v>
      </c>
      <c r="Z207" s="66">
        <v>0</v>
      </c>
      <c r="AA207" s="65"/>
      <c r="AB207" s="60" t="s">
        <v>263</v>
      </c>
      <c r="AC207" s="59">
        <v>0</v>
      </c>
    </row>
    <row r="208" spans="2:29" x14ac:dyDescent="0.3">
      <c r="B208" s="71" t="s">
        <v>1696</v>
      </c>
      <c r="C208" s="65"/>
      <c r="D208" s="58" t="s">
        <v>263</v>
      </c>
      <c r="E208" s="71" t="s">
        <v>1697</v>
      </c>
      <c r="F208" s="65"/>
      <c r="G208" s="58" t="s">
        <v>263</v>
      </c>
      <c r="H208" s="71" t="s">
        <v>1698</v>
      </c>
      <c r="I208" s="65"/>
      <c r="J208" s="65"/>
      <c r="K208" s="65"/>
      <c r="L208" s="58" t="s">
        <v>263</v>
      </c>
      <c r="M208" s="71" t="s">
        <v>1699</v>
      </c>
      <c r="N208" s="65"/>
      <c r="O208" s="58" t="s">
        <v>263</v>
      </c>
      <c r="P208" s="59">
        <v>244</v>
      </c>
      <c r="Q208" s="58" t="s">
        <v>263</v>
      </c>
      <c r="R208" s="58" t="s">
        <v>918</v>
      </c>
      <c r="S208" s="58" t="s">
        <v>263</v>
      </c>
      <c r="T208" s="66">
        <v>0</v>
      </c>
      <c r="U208" s="65"/>
      <c r="V208" s="65"/>
      <c r="W208" s="58" t="s">
        <v>263</v>
      </c>
      <c r="X208" s="59">
        <v>0</v>
      </c>
      <c r="Y208" s="60" t="s">
        <v>263</v>
      </c>
      <c r="Z208" s="66">
        <v>0</v>
      </c>
      <c r="AA208" s="65"/>
      <c r="AB208" s="60" t="s">
        <v>263</v>
      </c>
      <c r="AC208" s="59">
        <v>0</v>
      </c>
    </row>
    <row r="209" spans="2:29" x14ac:dyDescent="0.3">
      <c r="B209" s="71" t="s">
        <v>1700</v>
      </c>
      <c r="C209" s="65"/>
      <c r="D209" s="58" t="s">
        <v>263</v>
      </c>
      <c r="E209" s="71" t="s">
        <v>1701</v>
      </c>
      <c r="F209" s="65"/>
      <c r="G209" s="58" t="s">
        <v>263</v>
      </c>
      <c r="H209" s="71" t="s">
        <v>1702</v>
      </c>
      <c r="I209" s="65"/>
      <c r="J209" s="65"/>
      <c r="K209" s="65"/>
      <c r="L209" s="58" t="s">
        <v>263</v>
      </c>
      <c r="M209" s="71" t="s">
        <v>1699</v>
      </c>
      <c r="N209" s="65"/>
      <c r="O209" s="58" t="s">
        <v>263</v>
      </c>
      <c r="P209" s="59">
        <v>439</v>
      </c>
      <c r="Q209" s="58" t="s">
        <v>263</v>
      </c>
      <c r="R209" s="58" t="s">
        <v>918</v>
      </c>
      <c r="S209" s="58" t="s">
        <v>263</v>
      </c>
      <c r="T209" s="66">
        <v>0</v>
      </c>
      <c r="U209" s="65"/>
      <c r="V209" s="65"/>
      <c r="W209" s="58" t="s">
        <v>263</v>
      </c>
      <c r="X209" s="59">
        <v>0</v>
      </c>
      <c r="Y209" s="60" t="s">
        <v>263</v>
      </c>
      <c r="Z209" s="66">
        <v>0</v>
      </c>
      <c r="AA209" s="65"/>
      <c r="AB209" s="60" t="s">
        <v>263</v>
      </c>
      <c r="AC209" s="59">
        <v>0</v>
      </c>
    </row>
    <row r="210" spans="2:29" x14ac:dyDescent="0.3">
      <c r="B210" s="71" t="s">
        <v>1703</v>
      </c>
      <c r="C210" s="65"/>
      <c r="D210" s="58" t="s">
        <v>263</v>
      </c>
      <c r="E210" s="71" t="s">
        <v>1704</v>
      </c>
      <c r="F210" s="65"/>
      <c r="G210" s="58" t="s">
        <v>263</v>
      </c>
      <c r="H210" s="71" t="s">
        <v>1705</v>
      </c>
      <c r="I210" s="65"/>
      <c r="J210" s="65"/>
      <c r="K210" s="65"/>
      <c r="L210" s="58" t="s">
        <v>263</v>
      </c>
      <c r="M210" s="71" t="s">
        <v>1706</v>
      </c>
      <c r="N210" s="65"/>
      <c r="O210" s="58" t="s">
        <v>263</v>
      </c>
      <c r="P210" s="59">
        <v>246</v>
      </c>
      <c r="Q210" s="58" t="s">
        <v>263</v>
      </c>
      <c r="R210" s="58" t="s">
        <v>918</v>
      </c>
      <c r="S210" s="58" t="s">
        <v>263</v>
      </c>
      <c r="T210" s="66">
        <v>0</v>
      </c>
      <c r="U210" s="65"/>
      <c r="V210" s="65"/>
      <c r="W210" s="58" t="s">
        <v>263</v>
      </c>
      <c r="X210" s="59">
        <v>0</v>
      </c>
      <c r="Y210" s="60" t="s">
        <v>263</v>
      </c>
      <c r="Z210" s="66">
        <v>0</v>
      </c>
      <c r="AA210" s="65"/>
      <c r="AB210" s="60" t="s">
        <v>263</v>
      </c>
      <c r="AC210" s="59">
        <v>0</v>
      </c>
    </row>
    <row r="211" spans="2:29" x14ac:dyDescent="0.3">
      <c r="B211" s="71" t="s">
        <v>1707</v>
      </c>
      <c r="C211" s="65"/>
      <c r="D211" s="58" t="s">
        <v>263</v>
      </c>
      <c r="E211" s="71" t="s">
        <v>1708</v>
      </c>
      <c r="F211" s="65"/>
      <c r="G211" s="58" t="s">
        <v>263</v>
      </c>
      <c r="H211" s="71" t="s">
        <v>1709</v>
      </c>
      <c r="I211" s="65"/>
      <c r="J211" s="65"/>
      <c r="K211" s="65"/>
      <c r="L211" s="58" t="s">
        <v>263</v>
      </c>
      <c r="M211" s="71" t="s">
        <v>1706</v>
      </c>
      <c r="N211" s="65"/>
      <c r="O211" s="58" t="s">
        <v>263</v>
      </c>
      <c r="P211" s="59">
        <v>249</v>
      </c>
      <c r="Q211" s="58" t="s">
        <v>263</v>
      </c>
      <c r="R211" s="58" t="s">
        <v>918</v>
      </c>
      <c r="S211" s="58" t="s">
        <v>263</v>
      </c>
      <c r="T211" s="66">
        <v>0</v>
      </c>
      <c r="U211" s="65"/>
      <c r="V211" s="65"/>
      <c r="W211" s="58" t="s">
        <v>263</v>
      </c>
      <c r="X211" s="59">
        <v>0</v>
      </c>
      <c r="Y211" s="60" t="s">
        <v>263</v>
      </c>
      <c r="Z211" s="66">
        <v>0</v>
      </c>
      <c r="AA211" s="65"/>
      <c r="AB211" s="60" t="s">
        <v>263</v>
      </c>
      <c r="AC211" s="59">
        <v>0</v>
      </c>
    </row>
    <row r="212" spans="2:29" x14ac:dyDescent="0.3">
      <c r="B212" s="71" t="s">
        <v>1710</v>
      </c>
      <c r="C212" s="65"/>
      <c r="D212" s="58" t="s">
        <v>263</v>
      </c>
      <c r="E212" s="71" t="s">
        <v>1711</v>
      </c>
      <c r="F212" s="65"/>
      <c r="G212" s="58" t="s">
        <v>263</v>
      </c>
      <c r="H212" s="71" t="s">
        <v>1712</v>
      </c>
      <c r="I212" s="65"/>
      <c r="J212" s="65"/>
      <c r="K212" s="65"/>
      <c r="L212" s="58" t="s">
        <v>263</v>
      </c>
      <c r="M212" s="71" t="s">
        <v>1713</v>
      </c>
      <c r="N212" s="65"/>
      <c r="O212" s="58" t="s">
        <v>263</v>
      </c>
      <c r="P212" s="59">
        <v>229</v>
      </c>
      <c r="Q212" s="58" t="s">
        <v>263</v>
      </c>
      <c r="R212" s="58" t="s">
        <v>918</v>
      </c>
      <c r="S212" s="58" t="s">
        <v>263</v>
      </c>
      <c r="T212" s="66">
        <v>0</v>
      </c>
      <c r="U212" s="65"/>
      <c r="V212" s="65"/>
      <c r="W212" s="58" t="s">
        <v>263</v>
      </c>
      <c r="X212" s="59">
        <v>0</v>
      </c>
      <c r="Y212" s="60" t="s">
        <v>263</v>
      </c>
      <c r="Z212" s="66">
        <v>0</v>
      </c>
      <c r="AA212" s="65"/>
      <c r="AB212" s="60" t="s">
        <v>263</v>
      </c>
      <c r="AC212" s="59">
        <v>0</v>
      </c>
    </row>
    <row r="213" spans="2:29" x14ac:dyDescent="0.3">
      <c r="B213" s="71" t="s">
        <v>1714</v>
      </c>
      <c r="C213" s="65"/>
      <c r="D213" s="58" t="s">
        <v>263</v>
      </c>
      <c r="E213" s="71" t="s">
        <v>1715</v>
      </c>
      <c r="F213" s="65"/>
      <c r="G213" s="58" t="s">
        <v>263</v>
      </c>
      <c r="H213" s="71" t="s">
        <v>1716</v>
      </c>
      <c r="I213" s="65"/>
      <c r="J213" s="65"/>
      <c r="K213" s="65"/>
      <c r="L213" s="58" t="s">
        <v>263</v>
      </c>
      <c r="M213" s="71" t="s">
        <v>1713</v>
      </c>
      <c r="N213" s="65"/>
      <c r="O213" s="58" t="s">
        <v>263</v>
      </c>
      <c r="P213" s="59">
        <v>81</v>
      </c>
      <c r="Q213" s="58" t="s">
        <v>263</v>
      </c>
      <c r="R213" s="58" t="s">
        <v>1159</v>
      </c>
      <c r="S213" s="58" t="s">
        <v>263</v>
      </c>
      <c r="T213" s="66">
        <v>0</v>
      </c>
      <c r="U213" s="65"/>
      <c r="V213" s="65"/>
      <c r="W213" s="58" t="s">
        <v>263</v>
      </c>
      <c r="X213" s="59">
        <v>-81</v>
      </c>
      <c r="Y213" s="60" t="s">
        <v>263</v>
      </c>
      <c r="Z213" s="66">
        <v>0</v>
      </c>
      <c r="AA213" s="65"/>
      <c r="AB213" s="60" t="s">
        <v>263</v>
      </c>
      <c r="AC213" s="59">
        <v>0</v>
      </c>
    </row>
    <row r="214" spans="2:29" x14ac:dyDescent="0.3">
      <c r="B214" s="71" t="s">
        <v>1717</v>
      </c>
      <c r="C214" s="65"/>
      <c r="D214" s="58" t="s">
        <v>263</v>
      </c>
      <c r="E214" s="71" t="s">
        <v>1718</v>
      </c>
      <c r="F214" s="65"/>
      <c r="G214" s="58" t="s">
        <v>263</v>
      </c>
      <c r="H214" s="71" t="s">
        <v>1719</v>
      </c>
      <c r="I214" s="65"/>
      <c r="J214" s="65"/>
      <c r="K214" s="65"/>
      <c r="L214" s="58" t="s">
        <v>263</v>
      </c>
      <c r="M214" s="71" t="s">
        <v>1720</v>
      </c>
      <c r="N214" s="65"/>
      <c r="O214" s="58" t="s">
        <v>263</v>
      </c>
      <c r="P214" s="59">
        <v>375</v>
      </c>
      <c r="Q214" s="58" t="s">
        <v>263</v>
      </c>
      <c r="R214" s="58" t="s">
        <v>918</v>
      </c>
      <c r="S214" s="58" t="s">
        <v>263</v>
      </c>
      <c r="T214" s="66">
        <v>0</v>
      </c>
      <c r="U214" s="65"/>
      <c r="V214" s="65"/>
      <c r="W214" s="58" t="s">
        <v>263</v>
      </c>
      <c r="X214" s="59">
        <v>0</v>
      </c>
      <c r="Y214" s="60" t="s">
        <v>263</v>
      </c>
      <c r="Z214" s="66">
        <v>0</v>
      </c>
      <c r="AA214" s="65"/>
      <c r="AB214" s="60" t="s">
        <v>263</v>
      </c>
      <c r="AC214" s="59">
        <v>0</v>
      </c>
    </row>
    <row r="215" spans="2:29" x14ac:dyDescent="0.3">
      <c r="B215" s="71" t="s">
        <v>1721</v>
      </c>
      <c r="C215" s="65"/>
      <c r="D215" s="58" t="s">
        <v>263</v>
      </c>
      <c r="E215" s="71" t="s">
        <v>1722</v>
      </c>
      <c r="F215" s="65"/>
      <c r="G215" s="58" t="s">
        <v>263</v>
      </c>
      <c r="H215" s="71" t="s">
        <v>1723</v>
      </c>
      <c r="I215" s="65"/>
      <c r="J215" s="65"/>
      <c r="K215" s="65"/>
      <c r="L215" s="58" t="s">
        <v>263</v>
      </c>
      <c r="M215" s="71" t="s">
        <v>1724</v>
      </c>
      <c r="N215" s="65"/>
      <c r="O215" s="58" t="s">
        <v>263</v>
      </c>
      <c r="P215" s="59">
        <v>178</v>
      </c>
      <c r="Q215" s="58" t="s">
        <v>263</v>
      </c>
      <c r="R215" s="58" t="s">
        <v>918</v>
      </c>
      <c r="S215" s="58" t="s">
        <v>263</v>
      </c>
      <c r="T215" s="66">
        <v>0</v>
      </c>
      <c r="U215" s="65"/>
      <c r="V215" s="65"/>
      <c r="W215" s="58" t="s">
        <v>263</v>
      </c>
      <c r="X215" s="59">
        <v>0</v>
      </c>
      <c r="Y215" s="60" t="s">
        <v>263</v>
      </c>
      <c r="Z215" s="66">
        <v>0</v>
      </c>
      <c r="AA215" s="65"/>
      <c r="AB215" s="60" t="s">
        <v>263</v>
      </c>
      <c r="AC215" s="59">
        <v>0</v>
      </c>
    </row>
    <row r="216" spans="2:29" x14ac:dyDescent="0.3">
      <c r="B216" s="71" t="s">
        <v>1725</v>
      </c>
      <c r="C216" s="65"/>
      <c r="D216" s="58" t="s">
        <v>263</v>
      </c>
      <c r="E216" s="71" t="s">
        <v>1726</v>
      </c>
      <c r="F216" s="65"/>
      <c r="G216" s="58" t="s">
        <v>263</v>
      </c>
      <c r="H216" s="71" t="s">
        <v>1727</v>
      </c>
      <c r="I216" s="65"/>
      <c r="J216" s="65"/>
      <c r="K216" s="65"/>
      <c r="L216" s="58" t="s">
        <v>263</v>
      </c>
      <c r="M216" s="71" t="s">
        <v>1728</v>
      </c>
      <c r="N216" s="65"/>
      <c r="O216" s="58" t="s">
        <v>263</v>
      </c>
      <c r="P216" s="59">
        <v>234</v>
      </c>
      <c r="Q216" s="58" t="s">
        <v>263</v>
      </c>
      <c r="R216" s="58" t="s">
        <v>918</v>
      </c>
      <c r="S216" s="58" t="s">
        <v>263</v>
      </c>
      <c r="T216" s="66">
        <v>0</v>
      </c>
      <c r="U216" s="65"/>
      <c r="V216" s="65"/>
      <c r="W216" s="58" t="s">
        <v>263</v>
      </c>
      <c r="X216" s="59">
        <v>0</v>
      </c>
      <c r="Y216" s="60" t="s">
        <v>263</v>
      </c>
      <c r="Z216" s="66">
        <v>0</v>
      </c>
      <c r="AA216" s="65"/>
      <c r="AB216" s="60" t="s">
        <v>263</v>
      </c>
      <c r="AC216" s="59">
        <v>0</v>
      </c>
    </row>
    <row r="217" spans="2:29" x14ac:dyDescent="0.3">
      <c r="B217" s="71" t="s">
        <v>1729</v>
      </c>
      <c r="C217" s="65"/>
      <c r="D217" s="58" t="s">
        <v>263</v>
      </c>
      <c r="E217" s="71" t="s">
        <v>1730</v>
      </c>
      <c r="F217" s="65"/>
      <c r="G217" s="58" t="s">
        <v>263</v>
      </c>
      <c r="H217" s="71" t="s">
        <v>1731</v>
      </c>
      <c r="I217" s="65"/>
      <c r="J217" s="65"/>
      <c r="K217" s="65"/>
      <c r="L217" s="58" t="s">
        <v>263</v>
      </c>
      <c r="M217" s="71" t="s">
        <v>1732</v>
      </c>
      <c r="N217" s="65"/>
      <c r="O217" s="58" t="s">
        <v>263</v>
      </c>
      <c r="P217" s="59">
        <v>76</v>
      </c>
      <c r="Q217" s="58" t="s">
        <v>263</v>
      </c>
      <c r="R217" s="58" t="s">
        <v>918</v>
      </c>
      <c r="S217" s="58" t="s">
        <v>263</v>
      </c>
      <c r="T217" s="66">
        <v>0</v>
      </c>
      <c r="U217" s="65"/>
      <c r="V217" s="65"/>
      <c r="W217" s="58" t="s">
        <v>263</v>
      </c>
      <c r="X217" s="59">
        <v>0</v>
      </c>
      <c r="Y217" s="60" t="s">
        <v>263</v>
      </c>
      <c r="Z217" s="66">
        <v>0</v>
      </c>
      <c r="AA217" s="65"/>
      <c r="AB217" s="60" t="s">
        <v>263</v>
      </c>
      <c r="AC217" s="59">
        <v>0</v>
      </c>
    </row>
    <row r="218" spans="2:29" x14ac:dyDescent="0.3">
      <c r="B218" s="71" t="s">
        <v>1733</v>
      </c>
      <c r="C218" s="65"/>
      <c r="D218" s="58" t="s">
        <v>263</v>
      </c>
      <c r="E218" s="71" t="s">
        <v>1734</v>
      </c>
      <c r="F218" s="65"/>
      <c r="G218" s="58" t="s">
        <v>263</v>
      </c>
      <c r="H218" s="71" t="s">
        <v>1735</v>
      </c>
      <c r="I218" s="65"/>
      <c r="J218" s="65"/>
      <c r="K218" s="65"/>
      <c r="L218" s="58" t="s">
        <v>263</v>
      </c>
      <c r="M218" s="71" t="s">
        <v>1736</v>
      </c>
      <c r="N218" s="65"/>
      <c r="O218" s="58" t="s">
        <v>263</v>
      </c>
      <c r="P218" s="59">
        <v>115</v>
      </c>
      <c r="Q218" s="58" t="s">
        <v>263</v>
      </c>
      <c r="R218" s="58" t="s">
        <v>918</v>
      </c>
      <c r="S218" s="58" t="s">
        <v>263</v>
      </c>
      <c r="T218" s="66">
        <v>0</v>
      </c>
      <c r="U218" s="65"/>
      <c r="V218" s="65"/>
      <c r="W218" s="58" t="s">
        <v>263</v>
      </c>
      <c r="X218" s="59">
        <v>0</v>
      </c>
      <c r="Y218" s="60" t="s">
        <v>263</v>
      </c>
      <c r="Z218" s="66">
        <v>0</v>
      </c>
      <c r="AA218" s="65"/>
      <c r="AB218" s="60" t="s">
        <v>263</v>
      </c>
      <c r="AC218" s="59">
        <v>0</v>
      </c>
    </row>
    <row r="219" spans="2:29" x14ac:dyDescent="0.3">
      <c r="B219" s="71" t="s">
        <v>1737</v>
      </c>
      <c r="C219" s="65"/>
      <c r="D219" s="58" t="s">
        <v>263</v>
      </c>
      <c r="E219" s="71" t="s">
        <v>1738</v>
      </c>
      <c r="F219" s="65"/>
      <c r="G219" s="58" t="s">
        <v>263</v>
      </c>
      <c r="H219" s="71" t="s">
        <v>1739</v>
      </c>
      <c r="I219" s="65"/>
      <c r="J219" s="65"/>
      <c r="K219" s="65"/>
      <c r="L219" s="58" t="s">
        <v>263</v>
      </c>
      <c r="M219" s="71" t="s">
        <v>1740</v>
      </c>
      <c r="N219" s="65"/>
      <c r="O219" s="58" t="s">
        <v>263</v>
      </c>
      <c r="P219" s="59">
        <v>162</v>
      </c>
      <c r="Q219" s="58" t="s">
        <v>263</v>
      </c>
      <c r="R219" s="58" t="s">
        <v>918</v>
      </c>
      <c r="S219" s="58" t="s">
        <v>263</v>
      </c>
      <c r="T219" s="66">
        <v>0</v>
      </c>
      <c r="U219" s="65"/>
      <c r="V219" s="65"/>
      <c r="W219" s="58" t="s">
        <v>263</v>
      </c>
      <c r="X219" s="59">
        <v>0</v>
      </c>
      <c r="Y219" s="60" t="s">
        <v>263</v>
      </c>
      <c r="Z219" s="66">
        <v>0</v>
      </c>
      <c r="AA219" s="65"/>
      <c r="AB219" s="60" t="s">
        <v>263</v>
      </c>
      <c r="AC219" s="59">
        <v>0</v>
      </c>
    </row>
    <row r="220" spans="2:29" x14ac:dyDescent="0.3">
      <c r="B220" s="71" t="s">
        <v>1741</v>
      </c>
      <c r="C220" s="65"/>
      <c r="D220" s="58" t="s">
        <v>263</v>
      </c>
      <c r="E220" s="71" t="s">
        <v>1742</v>
      </c>
      <c r="F220" s="65"/>
      <c r="G220" s="58" t="s">
        <v>263</v>
      </c>
      <c r="H220" s="71" t="s">
        <v>1743</v>
      </c>
      <c r="I220" s="65"/>
      <c r="J220" s="65"/>
      <c r="K220" s="65"/>
      <c r="L220" s="58" t="s">
        <v>263</v>
      </c>
      <c r="M220" s="71" t="s">
        <v>1744</v>
      </c>
      <c r="N220" s="65"/>
      <c r="O220" s="58" t="s">
        <v>263</v>
      </c>
      <c r="P220" s="59">
        <v>135</v>
      </c>
      <c r="Q220" s="58" t="s">
        <v>263</v>
      </c>
      <c r="R220" s="58" t="s">
        <v>918</v>
      </c>
      <c r="S220" s="58" t="s">
        <v>263</v>
      </c>
      <c r="T220" s="66">
        <v>0</v>
      </c>
      <c r="U220" s="65"/>
      <c r="V220" s="65"/>
      <c r="W220" s="58" t="s">
        <v>263</v>
      </c>
      <c r="X220" s="59">
        <v>0</v>
      </c>
      <c r="Y220" s="60" t="s">
        <v>263</v>
      </c>
      <c r="Z220" s="66">
        <v>0</v>
      </c>
      <c r="AA220" s="65"/>
      <c r="AB220" s="60" t="s">
        <v>263</v>
      </c>
      <c r="AC220" s="59">
        <v>0</v>
      </c>
    </row>
    <row r="221" spans="2:29" x14ac:dyDescent="0.3">
      <c r="B221" s="71" t="s">
        <v>1745</v>
      </c>
      <c r="C221" s="65"/>
      <c r="D221" s="58" t="s">
        <v>263</v>
      </c>
      <c r="E221" s="71" t="s">
        <v>1746</v>
      </c>
      <c r="F221" s="65"/>
      <c r="G221" s="58" t="s">
        <v>263</v>
      </c>
      <c r="H221" s="71" t="s">
        <v>1747</v>
      </c>
      <c r="I221" s="65"/>
      <c r="J221" s="65"/>
      <c r="K221" s="65"/>
      <c r="L221" s="58" t="s">
        <v>263</v>
      </c>
      <c r="M221" s="71" t="s">
        <v>663</v>
      </c>
      <c r="N221" s="65"/>
      <c r="O221" s="58" t="s">
        <v>263</v>
      </c>
      <c r="P221" s="59">
        <v>114</v>
      </c>
      <c r="Q221" s="58" t="s">
        <v>263</v>
      </c>
      <c r="R221" s="58" t="s">
        <v>1159</v>
      </c>
      <c r="S221" s="58" t="s">
        <v>263</v>
      </c>
      <c r="T221" s="66">
        <v>0</v>
      </c>
      <c r="U221" s="65"/>
      <c r="V221" s="65"/>
      <c r="W221" s="58" t="s">
        <v>263</v>
      </c>
      <c r="X221" s="59">
        <v>-114.45</v>
      </c>
      <c r="Y221" s="60" t="s">
        <v>263</v>
      </c>
      <c r="Z221" s="66">
        <v>0</v>
      </c>
      <c r="AA221" s="65"/>
      <c r="AB221" s="60" t="s">
        <v>263</v>
      </c>
      <c r="AC221" s="59">
        <v>0</v>
      </c>
    </row>
    <row r="222" spans="2:29" x14ac:dyDescent="0.3">
      <c r="B222" s="71" t="s">
        <v>1748</v>
      </c>
      <c r="C222" s="65"/>
      <c r="D222" s="58" t="s">
        <v>263</v>
      </c>
      <c r="E222" s="71" t="s">
        <v>1749</v>
      </c>
      <c r="F222" s="65"/>
      <c r="G222" s="58" t="s">
        <v>263</v>
      </c>
      <c r="H222" s="71" t="s">
        <v>1750</v>
      </c>
      <c r="I222" s="65"/>
      <c r="J222" s="65"/>
      <c r="K222" s="65"/>
      <c r="L222" s="58" t="s">
        <v>263</v>
      </c>
      <c r="M222" s="71" t="s">
        <v>1751</v>
      </c>
      <c r="N222" s="65"/>
      <c r="O222" s="58" t="s">
        <v>263</v>
      </c>
      <c r="P222" s="59">
        <v>238</v>
      </c>
      <c r="Q222" s="58" t="s">
        <v>263</v>
      </c>
      <c r="R222" s="58" t="s">
        <v>918</v>
      </c>
      <c r="S222" s="58" t="s">
        <v>263</v>
      </c>
      <c r="T222" s="66">
        <v>0</v>
      </c>
      <c r="U222" s="65"/>
      <c r="V222" s="65"/>
      <c r="W222" s="58" t="s">
        <v>263</v>
      </c>
      <c r="X222" s="59">
        <v>0</v>
      </c>
      <c r="Y222" s="60" t="s">
        <v>263</v>
      </c>
      <c r="Z222" s="66">
        <v>0</v>
      </c>
      <c r="AA222" s="65"/>
      <c r="AB222" s="60" t="s">
        <v>263</v>
      </c>
      <c r="AC222" s="59">
        <v>0</v>
      </c>
    </row>
    <row r="223" spans="2:29" x14ac:dyDescent="0.3">
      <c r="B223" s="71" t="s">
        <v>1752</v>
      </c>
      <c r="C223" s="65"/>
      <c r="D223" s="58" t="s">
        <v>263</v>
      </c>
      <c r="E223" s="71" t="s">
        <v>1753</v>
      </c>
      <c r="F223" s="65"/>
      <c r="G223" s="58" t="s">
        <v>263</v>
      </c>
      <c r="H223" s="71" t="s">
        <v>1754</v>
      </c>
      <c r="I223" s="65"/>
      <c r="J223" s="65"/>
      <c r="K223" s="65"/>
      <c r="L223" s="58" t="s">
        <v>263</v>
      </c>
      <c r="M223" s="71" t="s">
        <v>1755</v>
      </c>
      <c r="N223" s="65"/>
      <c r="O223" s="58" t="s">
        <v>263</v>
      </c>
      <c r="P223" s="59">
        <v>189</v>
      </c>
      <c r="Q223" s="58" t="s">
        <v>263</v>
      </c>
      <c r="R223" s="58" t="s">
        <v>918</v>
      </c>
      <c r="S223" s="58" t="s">
        <v>263</v>
      </c>
      <c r="T223" s="66">
        <v>0</v>
      </c>
      <c r="U223" s="65"/>
      <c r="V223" s="65"/>
      <c r="W223" s="58" t="s">
        <v>263</v>
      </c>
      <c r="X223" s="59">
        <v>0</v>
      </c>
      <c r="Y223" s="60" t="s">
        <v>263</v>
      </c>
      <c r="Z223" s="66">
        <v>0</v>
      </c>
      <c r="AA223" s="65"/>
      <c r="AB223" s="60" t="s">
        <v>263</v>
      </c>
      <c r="AC223" s="59">
        <v>0</v>
      </c>
    </row>
    <row r="224" spans="2:29" x14ac:dyDescent="0.3">
      <c r="B224" s="71" t="s">
        <v>1756</v>
      </c>
      <c r="C224" s="65"/>
      <c r="D224" s="58" t="s">
        <v>263</v>
      </c>
      <c r="E224" s="71" t="s">
        <v>1757</v>
      </c>
      <c r="F224" s="65"/>
      <c r="G224" s="58" t="s">
        <v>263</v>
      </c>
      <c r="H224" s="71" t="s">
        <v>1758</v>
      </c>
      <c r="I224" s="65"/>
      <c r="J224" s="65"/>
      <c r="K224" s="65"/>
      <c r="L224" s="58" t="s">
        <v>263</v>
      </c>
      <c r="M224" s="71" t="s">
        <v>1759</v>
      </c>
      <c r="N224" s="65"/>
      <c r="O224" s="58" t="s">
        <v>263</v>
      </c>
      <c r="P224" s="59">
        <v>158</v>
      </c>
      <c r="Q224" s="58" t="s">
        <v>263</v>
      </c>
      <c r="R224" s="58" t="s">
        <v>918</v>
      </c>
      <c r="S224" s="58" t="s">
        <v>263</v>
      </c>
      <c r="T224" s="66">
        <v>0</v>
      </c>
      <c r="U224" s="65"/>
      <c r="V224" s="65"/>
      <c r="W224" s="58" t="s">
        <v>263</v>
      </c>
      <c r="X224" s="59">
        <v>0</v>
      </c>
      <c r="Y224" s="60" t="s">
        <v>263</v>
      </c>
      <c r="Z224" s="66">
        <v>0</v>
      </c>
      <c r="AA224" s="65"/>
      <c r="AB224" s="60" t="s">
        <v>263</v>
      </c>
      <c r="AC224" s="59">
        <v>0</v>
      </c>
    </row>
    <row r="225" spans="2:29" x14ac:dyDescent="0.3">
      <c r="B225" s="71" t="s">
        <v>1760</v>
      </c>
      <c r="C225" s="65"/>
      <c r="D225" s="58" t="s">
        <v>263</v>
      </c>
      <c r="E225" s="71" t="s">
        <v>1761</v>
      </c>
      <c r="F225" s="65"/>
      <c r="G225" s="58" t="s">
        <v>263</v>
      </c>
      <c r="H225" s="71" t="s">
        <v>1762</v>
      </c>
      <c r="I225" s="65"/>
      <c r="J225" s="65"/>
      <c r="K225" s="65"/>
      <c r="L225" s="58" t="s">
        <v>263</v>
      </c>
      <c r="M225" s="71" t="s">
        <v>1763</v>
      </c>
      <c r="N225" s="65"/>
      <c r="O225" s="58" t="s">
        <v>263</v>
      </c>
      <c r="P225" s="59">
        <v>233</v>
      </c>
      <c r="Q225" s="58" t="s">
        <v>263</v>
      </c>
      <c r="R225" s="58" t="s">
        <v>918</v>
      </c>
      <c r="S225" s="58" t="s">
        <v>263</v>
      </c>
      <c r="T225" s="66">
        <v>0</v>
      </c>
      <c r="U225" s="65"/>
      <c r="V225" s="65"/>
      <c r="W225" s="58" t="s">
        <v>263</v>
      </c>
      <c r="X225" s="59">
        <v>0</v>
      </c>
      <c r="Y225" s="60" t="s">
        <v>263</v>
      </c>
      <c r="Z225" s="66">
        <v>0</v>
      </c>
      <c r="AA225" s="65"/>
      <c r="AB225" s="60" t="s">
        <v>263</v>
      </c>
      <c r="AC225" s="59">
        <v>0</v>
      </c>
    </row>
    <row r="226" spans="2:29" x14ac:dyDescent="0.3">
      <c r="B226" s="71" t="s">
        <v>1764</v>
      </c>
      <c r="C226" s="65"/>
      <c r="D226" s="58" t="s">
        <v>263</v>
      </c>
      <c r="E226" s="71" t="s">
        <v>1765</v>
      </c>
      <c r="F226" s="65"/>
      <c r="G226" s="58" t="s">
        <v>263</v>
      </c>
      <c r="H226" s="71" t="s">
        <v>1766</v>
      </c>
      <c r="I226" s="65"/>
      <c r="J226" s="65"/>
      <c r="K226" s="65"/>
      <c r="L226" s="58" t="s">
        <v>263</v>
      </c>
      <c r="M226" s="71" t="s">
        <v>1759</v>
      </c>
      <c r="N226" s="65"/>
      <c r="O226" s="58" t="s">
        <v>263</v>
      </c>
      <c r="P226" s="59">
        <v>162</v>
      </c>
      <c r="Q226" s="58" t="s">
        <v>263</v>
      </c>
      <c r="R226" s="58" t="s">
        <v>1159</v>
      </c>
      <c r="S226" s="58" t="s">
        <v>263</v>
      </c>
      <c r="T226" s="66">
        <v>0</v>
      </c>
      <c r="U226" s="65"/>
      <c r="V226" s="65"/>
      <c r="W226" s="58" t="s">
        <v>263</v>
      </c>
      <c r="X226" s="59">
        <v>-162</v>
      </c>
      <c r="Y226" s="60" t="s">
        <v>263</v>
      </c>
      <c r="Z226" s="66">
        <v>0</v>
      </c>
      <c r="AA226" s="65"/>
      <c r="AB226" s="60" t="s">
        <v>263</v>
      </c>
      <c r="AC226" s="59">
        <v>0</v>
      </c>
    </row>
    <row r="227" spans="2:29" x14ac:dyDescent="0.3">
      <c r="B227" s="71" t="s">
        <v>1767</v>
      </c>
      <c r="C227" s="65"/>
      <c r="D227" s="58" t="s">
        <v>263</v>
      </c>
      <c r="E227" s="71" t="s">
        <v>1768</v>
      </c>
      <c r="F227" s="65"/>
      <c r="G227" s="58" t="s">
        <v>263</v>
      </c>
      <c r="H227" s="71" t="s">
        <v>1769</v>
      </c>
      <c r="I227" s="65"/>
      <c r="J227" s="65"/>
      <c r="K227" s="65"/>
      <c r="L227" s="58" t="s">
        <v>263</v>
      </c>
      <c r="M227" s="71" t="s">
        <v>1763</v>
      </c>
      <c r="N227" s="65"/>
      <c r="O227" s="58" t="s">
        <v>263</v>
      </c>
      <c r="P227" s="59">
        <v>256</v>
      </c>
      <c r="Q227" s="58" t="s">
        <v>263</v>
      </c>
      <c r="R227" s="58" t="s">
        <v>918</v>
      </c>
      <c r="S227" s="58" t="s">
        <v>263</v>
      </c>
      <c r="T227" s="66">
        <v>0</v>
      </c>
      <c r="U227" s="65"/>
      <c r="V227" s="65"/>
      <c r="W227" s="58" t="s">
        <v>263</v>
      </c>
      <c r="X227" s="59">
        <v>0</v>
      </c>
      <c r="Y227" s="60" t="s">
        <v>263</v>
      </c>
      <c r="Z227" s="66">
        <v>0</v>
      </c>
      <c r="AA227" s="65"/>
      <c r="AB227" s="60" t="s">
        <v>263</v>
      </c>
      <c r="AC227" s="59">
        <v>0</v>
      </c>
    </row>
    <row r="228" spans="2:29" x14ac:dyDescent="0.3">
      <c r="B228" s="71" t="s">
        <v>1770</v>
      </c>
      <c r="C228" s="65"/>
      <c r="D228" s="58" t="s">
        <v>263</v>
      </c>
      <c r="E228" s="71" t="s">
        <v>1771</v>
      </c>
      <c r="F228" s="65"/>
      <c r="G228" s="58" t="s">
        <v>263</v>
      </c>
      <c r="H228" s="71" t="s">
        <v>1772</v>
      </c>
      <c r="I228" s="65"/>
      <c r="J228" s="65"/>
      <c r="K228" s="65"/>
      <c r="L228" s="58" t="s">
        <v>263</v>
      </c>
      <c r="M228" s="71" t="s">
        <v>1740</v>
      </c>
      <c r="N228" s="65"/>
      <c r="O228" s="58" t="s">
        <v>263</v>
      </c>
      <c r="P228" s="59">
        <v>135</v>
      </c>
      <c r="Q228" s="58" t="s">
        <v>263</v>
      </c>
      <c r="R228" s="58" t="s">
        <v>1159</v>
      </c>
      <c r="S228" s="58" t="s">
        <v>263</v>
      </c>
      <c r="T228" s="66">
        <v>0</v>
      </c>
      <c r="U228" s="65"/>
      <c r="V228" s="65"/>
      <c r="W228" s="58" t="s">
        <v>263</v>
      </c>
      <c r="X228" s="59">
        <v>-135</v>
      </c>
      <c r="Y228" s="60" t="s">
        <v>263</v>
      </c>
      <c r="Z228" s="66">
        <v>0</v>
      </c>
      <c r="AA228" s="65"/>
      <c r="AB228" s="60" t="s">
        <v>263</v>
      </c>
      <c r="AC228" s="59">
        <v>0</v>
      </c>
    </row>
    <row r="229" spans="2:29" x14ac:dyDescent="0.3">
      <c r="B229" s="71" t="s">
        <v>1773</v>
      </c>
      <c r="C229" s="65"/>
      <c r="D229" s="58" t="s">
        <v>263</v>
      </c>
      <c r="E229" s="71" t="s">
        <v>1774</v>
      </c>
      <c r="F229" s="65"/>
      <c r="G229" s="58" t="s">
        <v>263</v>
      </c>
      <c r="H229" s="71" t="s">
        <v>1775</v>
      </c>
      <c r="I229" s="65"/>
      <c r="J229" s="65"/>
      <c r="K229" s="65"/>
      <c r="L229" s="58" t="s">
        <v>263</v>
      </c>
      <c r="M229" s="71" t="s">
        <v>1776</v>
      </c>
      <c r="N229" s="65"/>
      <c r="O229" s="58" t="s">
        <v>263</v>
      </c>
      <c r="P229" s="59">
        <v>140</v>
      </c>
      <c r="Q229" s="58" t="s">
        <v>263</v>
      </c>
      <c r="R229" s="58" t="s">
        <v>918</v>
      </c>
      <c r="S229" s="58" t="s">
        <v>263</v>
      </c>
      <c r="T229" s="66">
        <v>0</v>
      </c>
      <c r="U229" s="65"/>
      <c r="V229" s="65"/>
      <c r="W229" s="58" t="s">
        <v>263</v>
      </c>
      <c r="X229" s="59">
        <v>0</v>
      </c>
      <c r="Y229" s="60" t="s">
        <v>263</v>
      </c>
      <c r="Z229" s="66">
        <v>0</v>
      </c>
      <c r="AA229" s="65"/>
      <c r="AB229" s="60" t="s">
        <v>263</v>
      </c>
      <c r="AC229" s="59">
        <v>0</v>
      </c>
    </row>
    <row r="230" spans="2:29" x14ac:dyDescent="0.3">
      <c r="B230" s="71" t="s">
        <v>1777</v>
      </c>
      <c r="C230" s="65"/>
      <c r="D230" s="58" t="s">
        <v>263</v>
      </c>
      <c r="E230" s="71" t="s">
        <v>1778</v>
      </c>
      <c r="F230" s="65"/>
      <c r="G230" s="58" t="s">
        <v>263</v>
      </c>
      <c r="H230" s="71" t="s">
        <v>1779</v>
      </c>
      <c r="I230" s="65"/>
      <c r="J230" s="65"/>
      <c r="K230" s="65"/>
      <c r="L230" s="58" t="s">
        <v>263</v>
      </c>
      <c r="M230" s="71" t="s">
        <v>1525</v>
      </c>
      <c r="N230" s="65"/>
      <c r="O230" s="58" t="s">
        <v>263</v>
      </c>
      <c r="P230" s="59">
        <v>162</v>
      </c>
      <c r="Q230" s="58" t="s">
        <v>263</v>
      </c>
      <c r="R230" s="58" t="s">
        <v>918</v>
      </c>
      <c r="S230" s="58" t="s">
        <v>263</v>
      </c>
      <c r="T230" s="66">
        <v>0</v>
      </c>
      <c r="U230" s="65"/>
      <c r="V230" s="65"/>
      <c r="W230" s="58" t="s">
        <v>263</v>
      </c>
      <c r="X230" s="59">
        <v>0</v>
      </c>
      <c r="Y230" s="60" t="s">
        <v>263</v>
      </c>
      <c r="Z230" s="66">
        <v>0</v>
      </c>
      <c r="AA230" s="65"/>
      <c r="AB230" s="60" t="s">
        <v>263</v>
      </c>
      <c r="AC230" s="59">
        <v>0</v>
      </c>
    </row>
    <row r="231" spans="2:29" x14ac:dyDescent="0.3">
      <c r="B231" s="71" t="s">
        <v>1780</v>
      </c>
      <c r="C231" s="65"/>
      <c r="D231" s="58" t="s">
        <v>263</v>
      </c>
      <c r="E231" s="71" t="s">
        <v>1781</v>
      </c>
      <c r="F231" s="65"/>
      <c r="G231" s="58" t="s">
        <v>263</v>
      </c>
      <c r="H231" s="71" t="s">
        <v>1782</v>
      </c>
      <c r="I231" s="65"/>
      <c r="J231" s="65"/>
      <c r="K231" s="65"/>
      <c r="L231" s="58" t="s">
        <v>263</v>
      </c>
      <c r="M231" s="71" t="s">
        <v>1783</v>
      </c>
      <c r="N231" s="65"/>
      <c r="O231" s="58" t="s">
        <v>263</v>
      </c>
      <c r="P231" s="59">
        <v>216</v>
      </c>
      <c r="Q231" s="58" t="s">
        <v>263</v>
      </c>
      <c r="R231" s="58" t="s">
        <v>1159</v>
      </c>
      <c r="S231" s="58" t="s">
        <v>263</v>
      </c>
      <c r="T231" s="66">
        <v>0</v>
      </c>
      <c r="U231" s="65"/>
      <c r="V231" s="65"/>
      <c r="W231" s="58" t="s">
        <v>263</v>
      </c>
      <c r="X231" s="59">
        <v>-216</v>
      </c>
      <c r="Y231" s="60" t="s">
        <v>263</v>
      </c>
      <c r="Z231" s="66">
        <v>0</v>
      </c>
      <c r="AA231" s="65"/>
      <c r="AB231" s="60" t="s">
        <v>263</v>
      </c>
      <c r="AC231" s="59">
        <v>0</v>
      </c>
    </row>
    <row r="232" spans="2:29" x14ac:dyDescent="0.3">
      <c r="B232" s="71" t="s">
        <v>1784</v>
      </c>
      <c r="C232" s="65"/>
      <c r="D232" s="58" t="s">
        <v>263</v>
      </c>
      <c r="E232" s="71" t="s">
        <v>1785</v>
      </c>
      <c r="F232" s="65"/>
      <c r="G232" s="58" t="s">
        <v>263</v>
      </c>
      <c r="H232" s="71" t="s">
        <v>1786</v>
      </c>
      <c r="I232" s="65"/>
      <c r="J232" s="65"/>
      <c r="K232" s="65"/>
      <c r="L232" s="58" t="s">
        <v>263</v>
      </c>
      <c r="M232" s="71" t="s">
        <v>1787</v>
      </c>
      <c r="N232" s="65"/>
      <c r="O232" s="58" t="s">
        <v>263</v>
      </c>
      <c r="P232" s="59">
        <v>254</v>
      </c>
      <c r="Q232" s="58" t="s">
        <v>263</v>
      </c>
      <c r="R232" s="58" t="s">
        <v>918</v>
      </c>
      <c r="S232" s="58" t="s">
        <v>263</v>
      </c>
      <c r="T232" s="66">
        <v>0</v>
      </c>
      <c r="U232" s="65"/>
      <c r="V232" s="65"/>
      <c r="W232" s="58" t="s">
        <v>263</v>
      </c>
      <c r="X232" s="59">
        <v>0</v>
      </c>
      <c r="Y232" s="60" t="s">
        <v>263</v>
      </c>
      <c r="Z232" s="66">
        <v>0</v>
      </c>
      <c r="AA232" s="65"/>
      <c r="AB232" s="60" t="s">
        <v>263</v>
      </c>
      <c r="AC232" s="59">
        <v>0</v>
      </c>
    </row>
    <row r="233" spans="2:29" x14ac:dyDescent="0.3">
      <c r="B233" s="71" t="s">
        <v>1788</v>
      </c>
      <c r="C233" s="65"/>
      <c r="D233" s="58" t="s">
        <v>263</v>
      </c>
      <c r="E233" s="71" t="s">
        <v>1789</v>
      </c>
      <c r="F233" s="65"/>
      <c r="G233" s="58" t="s">
        <v>263</v>
      </c>
      <c r="H233" s="71" t="s">
        <v>1790</v>
      </c>
      <c r="I233" s="65"/>
      <c r="J233" s="65"/>
      <c r="K233" s="65"/>
      <c r="L233" s="58" t="s">
        <v>263</v>
      </c>
      <c r="M233" s="71" t="s">
        <v>1744</v>
      </c>
      <c r="N233" s="65"/>
      <c r="O233" s="58" t="s">
        <v>263</v>
      </c>
      <c r="P233" s="59">
        <v>254</v>
      </c>
      <c r="Q233" s="58" t="s">
        <v>263</v>
      </c>
      <c r="R233" s="58" t="s">
        <v>918</v>
      </c>
      <c r="S233" s="58" t="s">
        <v>263</v>
      </c>
      <c r="T233" s="66">
        <v>0</v>
      </c>
      <c r="U233" s="65"/>
      <c r="V233" s="65"/>
      <c r="W233" s="58" t="s">
        <v>263</v>
      </c>
      <c r="X233" s="59">
        <v>0</v>
      </c>
      <c r="Y233" s="60" t="s">
        <v>263</v>
      </c>
      <c r="Z233" s="66">
        <v>0</v>
      </c>
      <c r="AA233" s="65"/>
      <c r="AB233" s="60" t="s">
        <v>263</v>
      </c>
      <c r="AC233" s="59">
        <v>0</v>
      </c>
    </row>
    <row r="234" spans="2:29" x14ac:dyDescent="0.3">
      <c r="B234" s="71" t="s">
        <v>1791</v>
      </c>
      <c r="C234" s="65"/>
      <c r="D234" s="58" t="s">
        <v>263</v>
      </c>
      <c r="E234" s="71" t="s">
        <v>1792</v>
      </c>
      <c r="F234" s="65"/>
      <c r="G234" s="58" t="s">
        <v>263</v>
      </c>
      <c r="H234" s="71" t="s">
        <v>1793</v>
      </c>
      <c r="I234" s="65"/>
      <c r="J234" s="65"/>
      <c r="K234" s="65"/>
      <c r="L234" s="58" t="s">
        <v>263</v>
      </c>
      <c r="M234" s="71" t="s">
        <v>1794</v>
      </c>
      <c r="N234" s="65"/>
      <c r="O234" s="58" t="s">
        <v>263</v>
      </c>
      <c r="P234" s="59">
        <v>145</v>
      </c>
      <c r="Q234" s="58" t="s">
        <v>263</v>
      </c>
      <c r="R234" s="58" t="s">
        <v>918</v>
      </c>
      <c r="S234" s="58" t="s">
        <v>263</v>
      </c>
      <c r="T234" s="66">
        <v>0</v>
      </c>
      <c r="U234" s="65"/>
      <c r="V234" s="65"/>
      <c r="W234" s="58" t="s">
        <v>263</v>
      </c>
      <c r="X234" s="59">
        <v>0</v>
      </c>
      <c r="Y234" s="60" t="s">
        <v>263</v>
      </c>
      <c r="Z234" s="66">
        <v>0</v>
      </c>
      <c r="AA234" s="65"/>
      <c r="AB234" s="60" t="s">
        <v>263</v>
      </c>
      <c r="AC234" s="59">
        <v>0</v>
      </c>
    </row>
    <row r="235" spans="2:29" x14ac:dyDescent="0.3">
      <c r="B235" s="71" t="s">
        <v>1795</v>
      </c>
      <c r="C235" s="65"/>
      <c r="D235" s="58" t="s">
        <v>263</v>
      </c>
      <c r="E235" s="71" t="s">
        <v>1796</v>
      </c>
      <c r="F235" s="65"/>
      <c r="G235" s="58" t="s">
        <v>263</v>
      </c>
      <c r="H235" s="71" t="s">
        <v>1797</v>
      </c>
      <c r="I235" s="65"/>
      <c r="J235" s="65"/>
      <c r="K235" s="65"/>
      <c r="L235" s="58" t="s">
        <v>263</v>
      </c>
      <c r="M235" s="71" t="s">
        <v>1798</v>
      </c>
      <c r="N235" s="65"/>
      <c r="O235" s="58" t="s">
        <v>263</v>
      </c>
      <c r="P235" s="59">
        <v>162</v>
      </c>
      <c r="Q235" s="58" t="s">
        <v>263</v>
      </c>
      <c r="R235" s="58" t="s">
        <v>918</v>
      </c>
      <c r="S235" s="58" t="s">
        <v>263</v>
      </c>
      <c r="T235" s="66">
        <v>0</v>
      </c>
      <c r="U235" s="65"/>
      <c r="V235" s="65"/>
      <c r="W235" s="58" t="s">
        <v>263</v>
      </c>
      <c r="X235" s="59">
        <v>0</v>
      </c>
      <c r="Y235" s="60" t="s">
        <v>263</v>
      </c>
      <c r="Z235" s="66">
        <v>0</v>
      </c>
      <c r="AA235" s="65"/>
      <c r="AB235" s="60" t="s">
        <v>263</v>
      </c>
      <c r="AC235" s="59">
        <v>0</v>
      </c>
    </row>
    <row r="236" spans="2:29" x14ac:dyDescent="0.3">
      <c r="B236" s="71" t="s">
        <v>1799</v>
      </c>
      <c r="C236" s="65"/>
      <c r="D236" s="58" t="s">
        <v>263</v>
      </c>
      <c r="E236" s="71" t="s">
        <v>1800</v>
      </c>
      <c r="F236" s="65"/>
      <c r="G236" s="58" t="s">
        <v>263</v>
      </c>
      <c r="H236" s="71" t="s">
        <v>1801</v>
      </c>
      <c r="I236" s="65"/>
      <c r="J236" s="65"/>
      <c r="K236" s="65"/>
      <c r="L236" s="58" t="s">
        <v>263</v>
      </c>
      <c r="M236" s="71" t="s">
        <v>1744</v>
      </c>
      <c r="N236" s="65"/>
      <c r="O236" s="58" t="s">
        <v>263</v>
      </c>
      <c r="P236" s="59">
        <v>127</v>
      </c>
      <c r="Q236" s="58" t="s">
        <v>263</v>
      </c>
      <c r="R236" s="58" t="s">
        <v>918</v>
      </c>
      <c r="S236" s="58" t="s">
        <v>263</v>
      </c>
      <c r="T236" s="66">
        <v>0</v>
      </c>
      <c r="U236" s="65"/>
      <c r="V236" s="65"/>
      <c r="W236" s="58" t="s">
        <v>263</v>
      </c>
      <c r="X236" s="59">
        <v>0</v>
      </c>
      <c r="Y236" s="60" t="s">
        <v>263</v>
      </c>
      <c r="Z236" s="66">
        <v>0</v>
      </c>
      <c r="AA236" s="65"/>
      <c r="AB236" s="60" t="s">
        <v>263</v>
      </c>
      <c r="AC236" s="59">
        <v>0</v>
      </c>
    </row>
    <row r="237" spans="2:29" x14ac:dyDescent="0.3">
      <c r="B237" s="71" t="s">
        <v>1802</v>
      </c>
      <c r="C237" s="65"/>
      <c r="D237" s="58" t="s">
        <v>263</v>
      </c>
      <c r="E237" s="71" t="s">
        <v>1803</v>
      </c>
      <c r="F237" s="65"/>
      <c r="G237" s="58" t="s">
        <v>263</v>
      </c>
      <c r="H237" s="71" t="s">
        <v>1804</v>
      </c>
      <c r="I237" s="65"/>
      <c r="J237" s="65"/>
      <c r="K237" s="65"/>
      <c r="L237" s="58" t="s">
        <v>263</v>
      </c>
      <c r="M237" s="71" t="s">
        <v>1805</v>
      </c>
      <c r="N237" s="65"/>
      <c r="O237" s="58" t="s">
        <v>263</v>
      </c>
      <c r="P237" s="59">
        <v>142</v>
      </c>
      <c r="Q237" s="58" t="s">
        <v>263</v>
      </c>
      <c r="R237" s="58" t="s">
        <v>918</v>
      </c>
      <c r="S237" s="58" t="s">
        <v>263</v>
      </c>
      <c r="T237" s="66">
        <v>0</v>
      </c>
      <c r="U237" s="65"/>
      <c r="V237" s="65"/>
      <c r="W237" s="58" t="s">
        <v>263</v>
      </c>
      <c r="X237" s="59">
        <v>0</v>
      </c>
      <c r="Y237" s="60" t="s">
        <v>263</v>
      </c>
      <c r="Z237" s="66">
        <v>0</v>
      </c>
      <c r="AA237" s="65"/>
      <c r="AB237" s="60" t="s">
        <v>263</v>
      </c>
      <c r="AC237" s="59">
        <v>0</v>
      </c>
    </row>
    <row r="238" spans="2:29" x14ac:dyDescent="0.3">
      <c r="B238" s="71" t="s">
        <v>1806</v>
      </c>
      <c r="C238" s="65"/>
      <c r="D238" s="58" t="s">
        <v>263</v>
      </c>
      <c r="E238" s="71" t="s">
        <v>1807</v>
      </c>
      <c r="F238" s="65"/>
      <c r="G238" s="58" t="s">
        <v>263</v>
      </c>
      <c r="H238" s="71" t="s">
        <v>1808</v>
      </c>
      <c r="I238" s="65"/>
      <c r="J238" s="65"/>
      <c r="K238" s="65"/>
      <c r="L238" s="58" t="s">
        <v>263</v>
      </c>
      <c r="M238" s="71" t="s">
        <v>1809</v>
      </c>
      <c r="N238" s="65"/>
      <c r="O238" s="58" t="s">
        <v>263</v>
      </c>
      <c r="P238" s="59">
        <v>180</v>
      </c>
      <c r="Q238" s="58" t="s">
        <v>263</v>
      </c>
      <c r="R238" s="58" t="s">
        <v>918</v>
      </c>
      <c r="S238" s="58" t="s">
        <v>263</v>
      </c>
      <c r="T238" s="66">
        <v>0</v>
      </c>
      <c r="U238" s="65"/>
      <c r="V238" s="65"/>
      <c r="W238" s="58" t="s">
        <v>263</v>
      </c>
      <c r="X238" s="59">
        <v>0</v>
      </c>
      <c r="Y238" s="60" t="s">
        <v>263</v>
      </c>
      <c r="Z238" s="66">
        <v>0</v>
      </c>
      <c r="AA238" s="65"/>
      <c r="AB238" s="60" t="s">
        <v>263</v>
      </c>
      <c r="AC238" s="59">
        <v>0</v>
      </c>
    </row>
    <row r="239" spans="2:29" x14ac:dyDescent="0.3">
      <c r="B239" s="71" t="s">
        <v>1810</v>
      </c>
      <c r="C239" s="65"/>
      <c r="D239" s="58" t="s">
        <v>263</v>
      </c>
      <c r="E239" s="71" t="s">
        <v>1811</v>
      </c>
      <c r="F239" s="65"/>
      <c r="G239" s="58" t="s">
        <v>263</v>
      </c>
      <c r="H239" s="71" t="s">
        <v>1812</v>
      </c>
      <c r="I239" s="65"/>
      <c r="J239" s="65"/>
      <c r="K239" s="65"/>
      <c r="L239" s="58" t="s">
        <v>263</v>
      </c>
      <c r="M239" s="71" t="s">
        <v>1813</v>
      </c>
      <c r="N239" s="65"/>
      <c r="O239" s="58" t="s">
        <v>263</v>
      </c>
      <c r="P239" s="59">
        <v>113</v>
      </c>
      <c r="Q239" s="58" t="s">
        <v>263</v>
      </c>
      <c r="R239" s="58" t="s">
        <v>918</v>
      </c>
      <c r="S239" s="58" t="s">
        <v>263</v>
      </c>
      <c r="T239" s="66">
        <v>0</v>
      </c>
      <c r="U239" s="65"/>
      <c r="V239" s="65"/>
      <c r="W239" s="58" t="s">
        <v>263</v>
      </c>
      <c r="X239" s="59">
        <v>0</v>
      </c>
      <c r="Y239" s="60" t="s">
        <v>263</v>
      </c>
      <c r="Z239" s="66">
        <v>0</v>
      </c>
      <c r="AA239" s="65"/>
      <c r="AB239" s="60" t="s">
        <v>263</v>
      </c>
      <c r="AC239" s="59">
        <v>0</v>
      </c>
    </row>
    <row r="240" spans="2:29" x14ac:dyDescent="0.3">
      <c r="B240" s="71" t="s">
        <v>1814</v>
      </c>
      <c r="C240" s="65"/>
      <c r="D240" s="58" t="s">
        <v>263</v>
      </c>
      <c r="E240" s="71" t="s">
        <v>1815</v>
      </c>
      <c r="F240" s="65"/>
      <c r="G240" s="58" t="s">
        <v>263</v>
      </c>
      <c r="H240" s="71" t="s">
        <v>1816</v>
      </c>
      <c r="I240" s="65"/>
      <c r="J240" s="65"/>
      <c r="K240" s="65"/>
      <c r="L240" s="58" t="s">
        <v>263</v>
      </c>
      <c r="M240" s="71" t="s">
        <v>1813</v>
      </c>
      <c r="N240" s="65"/>
      <c r="O240" s="58" t="s">
        <v>263</v>
      </c>
      <c r="P240" s="59">
        <v>123</v>
      </c>
      <c r="Q240" s="58" t="s">
        <v>263</v>
      </c>
      <c r="R240" s="58" t="s">
        <v>918</v>
      </c>
      <c r="S240" s="58" t="s">
        <v>263</v>
      </c>
      <c r="T240" s="66">
        <v>0</v>
      </c>
      <c r="U240" s="65"/>
      <c r="V240" s="65"/>
      <c r="W240" s="58" t="s">
        <v>263</v>
      </c>
      <c r="X240" s="59">
        <v>0</v>
      </c>
      <c r="Y240" s="60" t="s">
        <v>263</v>
      </c>
      <c r="Z240" s="66">
        <v>0</v>
      </c>
      <c r="AA240" s="65"/>
      <c r="AB240" s="60" t="s">
        <v>263</v>
      </c>
      <c r="AC240" s="59">
        <v>0</v>
      </c>
    </row>
    <row r="241" spans="2:29" x14ac:dyDescent="0.3">
      <c r="B241" s="71" t="s">
        <v>1817</v>
      </c>
      <c r="C241" s="65"/>
      <c r="D241" s="58" t="s">
        <v>263</v>
      </c>
      <c r="E241" s="71" t="s">
        <v>1818</v>
      </c>
      <c r="F241" s="65"/>
      <c r="G241" s="58" t="s">
        <v>263</v>
      </c>
      <c r="H241" s="71" t="s">
        <v>1819</v>
      </c>
      <c r="I241" s="65"/>
      <c r="J241" s="65"/>
      <c r="K241" s="65"/>
      <c r="L241" s="58" t="s">
        <v>263</v>
      </c>
      <c r="M241" s="71" t="s">
        <v>1820</v>
      </c>
      <c r="N241" s="65"/>
      <c r="O241" s="58" t="s">
        <v>263</v>
      </c>
      <c r="P241" s="59">
        <v>142</v>
      </c>
      <c r="Q241" s="58" t="s">
        <v>263</v>
      </c>
      <c r="R241" s="58" t="s">
        <v>918</v>
      </c>
      <c r="S241" s="58" t="s">
        <v>263</v>
      </c>
      <c r="T241" s="66">
        <v>0</v>
      </c>
      <c r="U241" s="65"/>
      <c r="V241" s="65"/>
      <c r="W241" s="58" t="s">
        <v>263</v>
      </c>
      <c r="X241" s="59">
        <v>0</v>
      </c>
      <c r="Y241" s="60" t="s">
        <v>263</v>
      </c>
      <c r="Z241" s="66">
        <v>0</v>
      </c>
      <c r="AA241" s="65"/>
      <c r="AB241" s="60" t="s">
        <v>263</v>
      </c>
      <c r="AC241" s="59">
        <v>0</v>
      </c>
    </row>
    <row r="242" spans="2:29" x14ac:dyDescent="0.3">
      <c r="B242" s="71" t="s">
        <v>1821</v>
      </c>
      <c r="C242" s="65"/>
      <c r="D242" s="58" t="s">
        <v>263</v>
      </c>
      <c r="E242" s="71" t="s">
        <v>1822</v>
      </c>
      <c r="F242" s="65"/>
      <c r="G242" s="58" t="s">
        <v>263</v>
      </c>
      <c r="H242" s="71" t="s">
        <v>1232</v>
      </c>
      <c r="I242" s="65"/>
      <c r="J242" s="65"/>
      <c r="K242" s="65"/>
      <c r="L242" s="58" t="s">
        <v>263</v>
      </c>
      <c r="M242" s="71" t="s">
        <v>1823</v>
      </c>
      <c r="N242" s="65"/>
      <c r="O242" s="58" t="s">
        <v>263</v>
      </c>
      <c r="P242" s="59">
        <v>184</v>
      </c>
      <c r="Q242" s="58" t="s">
        <v>263</v>
      </c>
      <c r="R242" s="58" t="s">
        <v>918</v>
      </c>
      <c r="S242" s="58" t="s">
        <v>263</v>
      </c>
      <c r="T242" s="66">
        <v>0</v>
      </c>
      <c r="U242" s="65"/>
      <c r="V242" s="65"/>
      <c r="W242" s="58" t="s">
        <v>263</v>
      </c>
      <c r="X242" s="59">
        <v>0</v>
      </c>
      <c r="Y242" s="60" t="s">
        <v>263</v>
      </c>
      <c r="Z242" s="66">
        <v>0</v>
      </c>
      <c r="AA242" s="65"/>
      <c r="AB242" s="60" t="s">
        <v>263</v>
      </c>
      <c r="AC242" s="59">
        <v>0</v>
      </c>
    </row>
    <row r="243" spans="2:29" x14ac:dyDescent="0.3">
      <c r="B243" s="71" t="s">
        <v>1824</v>
      </c>
      <c r="C243" s="65"/>
      <c r="D243" s="58" t="s">
        <v>263</v>
      </c>
      <c r="E243" s="71" t="s">
        <v>1825</v>
      </c>
      <c r="F243" s="65"/>
      <c r="G243" s="58" t="s">
        <v>263</v>
      </c>
      <c r="H243" s="71" t="s">
        <v>1826</v>
      </c>
      <c r="I243" s="65"/>
      <c r="J243" s="65"/>
      <c r="K243" s="65"/>
      <c r="L243" s="58" t="s">
        <v>263</v>
      </c>
      <c r="M243" s="71" t="s">
        <v>1823</v>
      </c>
      <c r="N243" s="65"/>
      <c r="O243" s="58" t="s">
        <v>263</v>
      </c>
      <c r="P243" s="59">
        <v>231</v>
      </c>
      <c r="Q243" s="58" t="s">
        <v>263</v>
      </c>
      <c r="R243" s="58" t="s">
        <v>918</v>
      </c>
      <c r="S243" s="58" t="s">
        <v>263</v>
      </c>
      <c r="T243" s="66">
        <v>0</v>
      </c>
      <c r="U243" s="65"/>
      <c r="V243" s="65"/>
      <c r="W243" s="58" t="s">
        <v>263</v>
      </c>
      <c r="X243" s="59">
        <v>0</v>
      </c>
      <c r="Y243" s="60" t="s">
        <v>263</v>
      </c>
      <c r="Z243" s="66">
        <v>0</v>
      </c>
      <c r="AA243" s="65"/>
      <c r="AB243" s="60" t="s">
        <v>263</v>
      </c>
      <c r="AC243" s="59">
        <v>0</v>
      </c>
    </row>
    <row r="244" spans="2:29" x14ac:dyDescent="0.3">
      <c r="B244" s="71" t="s">
        <v>1827</v>
      </c>
      <c r="C244" s="65"/>
      <c r="D244" s="58" t="s">
        <v>263</v>
      </c>
      <c r="E244" s="71" t="s">
        <v>1828</v>
      </c>
      <c r="F244" s="65"/>
      <c r="G244" s="58" t="s">
        <v>263</v>
      </c>
      <c r="H244" s="71" t="s">
        <v>1829</v>
      </c>
      <c r="I244" s="65"/>
      <c r="J244" s="65"/>
      <c r="K244" s="65"/>
      <c r="L244" s="58" t="s">
        <v>263</v>
      </c>
      <c r="M244" s="71" t="s">
        <v>1830</v>
      </c>
      <c r="N244" s="65"/>
      <c r="O244" s="58" t="s">
        <v>263</v>
      </c>
      <c r="P244" s="59">
        <v>165</v>
      </c>
      <c r="Q244" s="58" t="s">
        <v>263</v>
      </c>
      <c r="R244" s="58" t="s">
        <v>918</v>
      </c>
      <c r="S244" s="58" t="s">
        <v>263</v>
      </c>
      <c r="T244" s="66">
        <v>0</v>
      </c>
      <c r="U244" s="65"/>
      <c r="V244" s="65"/>
      <c r="W244" s="58" t="s">
        <v>263</v>
      </c>
      <c r="X244" s="59">
        <v>0</v>
      </c>
      <c r="Y244" s="60" t="s">
        <v>263</v>
      </c>
      <c r="Z244" s="66">
        <v>0</v>
      </c>
      <c r="AA244" s="65"/>
      <c r="AB244" s="60" t="s">
        <v>263</v>
      </c>
      <c r="AC244" s="59">
        <v>0</v>
      </c>
    </row>
    <row r="245" spans="2:29" x14ac:dyDescent="0.3">
      <c r="B245" s="71" t="s">
        <v>1831</v>
      </c>
      <c r="C245" s="65"/>
      <c r="D245" s="58" t="s">
        <v>263</v>
      </c>
      <c r="E245" s="71" t="s">
        <v>1832</v>
      </c>
      <c r="F245" s="65"/>
      <c r="G245" s="58" t="s">
        <v>263</v>
      </c>
      <c r="H245" s="71" t="s">
        <v>1833</v>
      </c>
      <c r="I245" s="65"/>
      <c r="J245" s="65"/>
      <c r="K245" s="65"/>
      <c r="L245" s="58" t="s">
        <v>263</v>
      </c>
      <c r="M245" s="71" t="s">
        <v>1834</v>
      </c>
      <c r="N245" s="65"/>
      <c r="O245" s="58" t="s">
        <v>263</v>
      </c>
      <c r="P245" s="59">
        <v>177</v>
      </c>
      <c r="Q245" s="58" t="s">
        <v>263</v>
      </c>
      <c r="R245" s="58" t="s">
        <v>918</v>
      </c>
      <c r="S245" s="58" t="s">
        <v>263</v>
      </c>
      <c r="T245" s="66">
        <v>0</v>
      </c>
      <c r="U245" s="65"/>
      <c r="V245" s="65"/>
      <c r="W245" s="58" t="s">
        <v>263</v>
      </c>
      <c r="X245" s="59">
        <v>0</v>
      </c>
      <c r="Y245" s="60" t="s">
        <v>263</v>
      </c>
      <c r="Z245" s="66">
        <v>0</v>
      </c>
      <c r="AA245" s="65"/>
      <c r="AB245" s="60" t="s">
        <v>263</v>
      </c>
      <c r="AC245" s="59">
        <v>0</v>
      </c>
    </row>
    <row r="246" spans="2:29" x14ac:dyDescent="0.3">
      <c r="B246" s="71" t="s">
        <v>1835</v>
      </c>
      <c r="C246" s="65"/>
      <c r="D246" s="58" t="s">
        <v>263</v>
      </c>
      <c r="E246" s="71" t="s">
        <v>1836</v>
      </c>
      <c r="F246" s="65"/>
      <c r="G246" s="58" t="s">
        <v>263</v>
      </c>
      <c r="H246" s="71" t="s">
        <v>1837</v>
      </c>
      <c r="I246" s="65"/>
      <c r="J246" s="65"/>
      <c r="K246" s="65"/>
      <c r="L246" s="58" t="s">
        <v>263</v>
      </c>
      <c r="M246" s="71" t="s">
        <v>1838</v>
      </c>
      <c r="N246" s="65"/>
      <c r="O246" s="58" t="s">
        <v>263</v>
      </c>
      <c r="P246" s="59">
        <v>165</v>
      </c>
      <c r="Q246" s="58" t="s">
        <v>263</v>
      </c>
      <c r="R246" s="58" t="s">
        <v>918</v>
      </c>
      <c r="S246" s="58" t="s">
        <v>263</v>
      </c>
      <c r="T246" s="66">
        <v>0</v>
      </c>
      <c r="U246" s="65"/>
      <c r="V246" s="65"/>
      <c r="W246" s="58" t="s">
        <v>263</v>
      </c>
      <c r="X246" s="59">
        <v>0</v>
      </c>
      <c r="Y246" s="60" t="s">
        <v>263</v>
      </c>
      <c r="Z246" s="66">
        <v>0</v>
      </c>
      <c r="AA246" s="65"/>
      <c r="AB246" s="60" t="s">
        <v>263</v>
      </c>
      <c r="AC246" s="59">
        <v>0</v>
      </c>
    </row>
    <row r="247" spans="2:29" x14ac:dyDescent="0.3">
      <c r="B247" s="71" t="s">
        <v>1839</v>
      </c>
      <c r="C247" s="65"/>
      <c r="D247" s="58" t="s">
        <v>263</v>
      </c>
      <c r="E247" s="71" t="s">
        <v>1840</v>
      </c>
      <c r="F247" s="65"/>
      <c r="G247" s="58" t="s">
        <v>263</v>
      </c>
      <c r="H247" s="71" t="s">
        <v>1841</v>
      </c>
      <c r="I247" s="65"/>
      <c r="J247" s="65"/>
      <c r="K247" s="65"/>
      <c r="L247" s="58" t="s">
        <v>263</v>
      </c>
      <c r="M247" s="71" t="s">
        <v>1834</v>
      </c>
      <c r="N247" s="65"/>
      <c r="O247" s="58" t="s">
        <v>263</v>
      </c>
      <c r="P247" s="59">
        <v>139</v>
      </c>
      <c r="Q247" s="58" t="s">
        <v>263</v>
      </c>
      <c r="R247" s="58" t="s">
        <v>918</v>
      </c>
      <c r="S247" s="58" t="s">
        <v>263</v>
      </c>
      <c r="T247" s="66">
        <v>0</v>
      </c>
      <c r="U247" s="65"/>
      <c r="V247" s="65"/>
      <c r="W247" s="58" t="s">
        <v>263</v>
      </c>
      <c r="X247" s="59">
        <v>0</v>
      </c>
      <c r="Y247" s="60" t="s">
        <v>263</v>
      </c>
      <c r="Z247" s="66">
        <v>0</v>
      </c>
      <c r="AA247" s="65"/>
      <c r="AB247" s="60" t="s">
        <v>263</v>
      </c>
      <c r="AC247" s="59">
        <v>0</v>
      </c>
    </row>
    <row r="248" spans="2:29" x14ac:dyDescent="0.3">
      <c r="B248" s="71" t="s">
        <v>1842</v>
      </c>
      <c r="C248" s="65"/>
      <c r="D248" s="58" t="s">
        <v>263</v>
      </c>
      <c r="E248" s="71" t="s">
        <v>1843</v>
      </c>
      <c r="F248" s="65"/>
      <c r="G248" s="58" t="s">
        <v>263</v>
      </c>
      <c r="H248" s="71" t="s">
        <v>1844</v>
      </c>
      <c r="I248" s="65"/>
      <c r="J248" s="65"/>
      <c r="K248" s="65"/>
      <c r="L248" s="58" t="s">
        <v>263</v>
      </c>
      <c r="M248" s="71" t="s">
        <v>1845</v>
      </c>
      <c r="N248" s="65"/>
      <c r="O248" s="58" t="s">
        <v>263</v>
      </c>
      <c r="P248" s="59">
        <v>193</v>
      </c>
      <c r="Q248" s="58" t="s">
        <v>263</v>
      </c>
      <c r="R248" s="58" t="s">
        <v>1159</v>
      </c>
      <c r="S248" s="58" t="s">
        <v>263</v>
      </c>
      <c r="T248" s="66">
        <v>0</v>
      </c>
      <c r="U248" s="65"/>
      <c r="V248" s="65"/>
      <c r="W248" s="58" t="s">
        <v>263</v>
      </c>
      <c r="X248" s="59">
        <v>-193</v>
      </c>
      <c r="Y248" s="60" t="s">
        <v>263</v>
      </c>
      <c r="Z248" s="66">
        <v>0</v>
      </c>
      <c r="AA248" s="65"/>
      <c r="AB248" s="60" t="s">
        <v>263</v>
      </c>
      <c r="AC248" s="59">
        <v>0</v>
      </c>
    </row>
    <row r="249" spans="2:29" x14ac:dyDescent="0.3">
      <c r="B249" s="71" t="s">
        <v>1846</v>
      </c>
      <c r="C249" s="65"/>
      <c r="D249" s="58" t="s">
        <v>263</v>
      </c>
      <c r="E249" s="71" t="s">
        <v>1847</v>
      </c>
      <c r="F249" s="65"/>
      <c r="G249" s="58" t="s">
        <v>263</v>
      </c>
      <c r="H249" s="71" t="s">
        <v>1848</v>
      </c>
      <c r="I249" s="65"/>
      <c r="J249" s="65"/>
      <c r="K249" s="65"/>
      <c r="L249" s="58" t="s">
        <v>263</v>
      </c>
      <c r="M249" s="71" t="s">
        <v>1849</v>
      </c>
      <c r="N249" s="65"/>
      <c r="O249" s="58" t="s">
        <v>263</v>
      </c>
      <c r="P249" s="59">
        <v>264</v>
      </c>
      <c r="Q249" s="58" t="s">
        <v>263</v>
      </c>
      <c r="R249" s="58" t="s">
        <v>918</v>
      </c>
      <c r="S249" s="58" t="s">
        <v>263</v>
      </c>
      <c r="T249" s="66">
        <v>0</v>
      </c>
      <c r="U249" s="65"/>
      <c r="V249" s="65"/>
      <c r="W249" s="58" t="s">
        <v>263</v>
      </c>
      <c r="X249" s="59">
        <v>0</v>
      </c>
      <c r="Y249" s="60" t="s">
        <v>263</v>
      </c>
      <c r="Z249" s="66">
        <v>0</v>
      </c>
      <c r="AA249" s="65"/>
      <c r="AB249" s="60" t="s">
        <v>263</v>
      </c>
      <c r="AC249" s="59">
        <v>0</v>
      </c>
    </row>
    <row r="250" spans="2:29" x14ac:dyDescent="0.3">
      <c r="B250" s="71" t="s">
        <v>1850</v>
      </c>
      <c r="C250" s="65"/>
      <c r="D250" s="58" t="s">
        <v>263</v>
      </c>
      <c r="E250" s="71" t="s">
        <v>1851</v>
      </c>
      <c r="F250" s="65"/>
      <c r="G250" s="58" t="s">
        <v>263</v>
      </c>
      <c r="H250" s="71" t="s">
        <v>1852</v>
      </c>
      <c r="I250" s="65"/>
      <c r="J250" s="65"/>
      <c r="K250" s="65"/>
      <c r="L250" s="58" t="s">
        <v>263</v>
      </c>
      <c r="M250" s="71" t="s">
        <v>1853</v>
      </c>
      <c r="N250" s="65"/>
      <c r="O250" s="58" t="s">
        <v>263</v>
      </c>
      <c r="P250" s="59">
        <v>149</v>
      </c>
      <c r="Q250" s="58" t="s">
        <v>263</v>
      </c>
      <c r="R250" s="58" t="s">
        <v>918</v>
      </c>
      <c r="S250" s="58" t="s">
        <v>263</v>
      </c>
      <c r="T250" s="66">
        <v>0</v>
      </c>
      <c r="U250" s="65"/>
      <c r="V250" s="65"/>
      <c r="W250" s="58" t="s">
        <v>263</v>
      </c>
      <c r="X250" s="59">
        <v>0</v>
      </c>
      <c r="Y250" s="60" t="s">
        <v>263</v>
      </c>
      <c r="Z250" s="66">
        <v>0</v>
      </c>
      <c r="AA250" s="65"/>
      <c r="AB250" s="60" t="s">
        <v>263</v>
      </c>
      <c r="AC250" s="59">
        <v>0</v>
      </c>
    </row>
    <row r="251" spans="2:29" x14ac:dyDescent="0.3">
      <c r="B251" s="71" t="s">
        <v>1854</v>
      </c>
      <c r="C251" s="65"/>
      <c r="D251" s="58" t="s">
        <v>263</v>
      </c>
      <c r="E251" s="71" t="s">
        <v>1855</v>
      </c>
      <c r="F251" s="65"/>
      <c r="G251" s="58" t="s">
        <v>263</v>
      </c>
      <c r="H251" s="71" t="s">
        <v>1856</v>
      </c>
      <c r="I251" s="65"/>
      <c r="J251" s="65"/>
      <c r="K251" s="65"/>
      <c r="L251" s="58" t="s">
        <v>263</v>
      </c>
      <c r="M251" s="71" t="s">
        <v>1853</v>
      </c>
      <c r="N251" s="65"/>
      <c r="O251" s="58" t="s">
        <v>263</v>
      </c>
      <c r="P251" s="59">
        <v>149</v>
      </c>
      <c r="Q251" s="58" t="s">
        <v>263</v>
      </c>
      <c r="R251" s="58" t="s">
        <v>918</v>
      </c>
      <c r="S251" s="58" t="s">
        <v>263</v>
      </c>
      <c r="T251" s="66">
        <v>0</v>
      </c>
      <c r="U251" s="65"/>
      <c r="V251" s="65"/>
      <c r="W251" s="58" t="s">
        <v>263</v>
      </c>
      <c r="X251" s="59">
        <v>0</v>
      </c>
      <c r="Y251" s="60" t="s">
        <v>263</v>
      </c>
      <c r="Z251" s="66">
        <v>0</v>
      </c>
      <c r="AA251" s="65"/>
      <c r="AB251" s="60" t="s">
        <v>263</v>
      </c>
      <c r="AC251" s="59">
        <v>0</v>
      </c>
    </row>
    <row r="252" spans="2:29" x14ac:dyDescent="0.3">
      <c r="B252" s="71" t="s">
        <v>1857</v>
      </c>
      <c r="C252" s="65"/>
      <c r="D252" s="58" t="s">
        <v>263</v>
      </c>
      <c r="E252" s="71" t="s">
        <v>1858</v>
      </c>
      <c r="F252" s="65"/>
      <c r="G252" s="58" t="s">
        <v>263</v>
      </c>
      <c r="H252" s="71" t="s">
        <v>1859</v>
      </c>
      <c r="I252" s="65"/>
      <c r="J252" s="65"/>
      <c r="K252" s="65"/>
      <c r="L252" s="58" t="s">
        <v>263</v>
      </c>
      <c r="M252" s="71" t="s">
        <v>1853</v>
      </c>
      <c r="N252" s="65"/>
      <c r="O252" s="58" t="s">
        <v>263</v>
      </c>
      <c r="P252" s="59">
        <v>148</v>
      </c>
      <c r="Q252" s="58" t="s">
        <v>263</v>
      </c>
      <c r="R252" s="58" t="s">
        <v>918</v>
      </c>
      <c r="S252" s="58" t="s">
        <v>263</v>
      </c>
      <c r="T252" s="66">
        <v>0</v>
      </c>
      <c r="U252" s="65"/>
      <c r="V252" s="65"/>
      <c r="W252" s="58" t="s">
        <v>263</v>
      </c>
      <c r="X252" s="59">
        <v>0</v>
      </c>
      <c r="Y252" s="60" t="s">
        <v>263</v>
      </c>
      <c r="Z252" s="66">
        <v>0</v>
      </c>
      <c r="AA252" s="65"/>
      <c r="AB252" s="60" t="s">
        <v>263</v>
      </c>
      <c r="AC252" s="59">
        <v>0</v>
      </c>
    </row>
    <row r="253" spans="2:29" x14ac:dyDescent="0.3">
      <c r="B253" s="71" t="s">
        <v>1860</v>
      </c>
      <c r="C253" s="65"/>
      <c r="D253" s="58" t="s">
        <v>263</v>
      </c>
      <c r="E253" s="71" t="s">
        <v>1861</v>
      </c>
      <c r="F253" s="65"/>
      <c r="G253" s="58" t="s">
        <v>263</v>
      </c>
      <c r="H253" s="71" t="s">
        <v>1862</v>
      </c>
      <c r="I253" s="65"/>
      <c r="J253" s="65"/>
      <c r="K253" s="65"/>
      <c r="L253" s="58" t="s">
        <v>263</v>
      </c>
      <c r="M253" s="71" t="s">
        <v>1863</v>
      </c>
      <c r="N253" s="65"/>
      <c r="O253" s="58" t="s">
        <v>263</v>
      </c>
      <c r="P253" s="59">
        <v>179</v>
      </c>
      <c r="Q253" s="58" t="s">
        <v>263</v>
      </c>
      <c r="R253" s="58" t="s">
        <v>918</v>
      </c>
      <c r="S253" s="58" t="s">
        <v>263</v>
      </c>
      <c r="T253" s="66">
        <v>0</v>
      </c>
      <c r="U253" s="65"/>
      <c r="V253" s="65"/>
      <c r="W253" s="58" t="s">
        <v>263</v>
      </c>
      <c r="X253" s="59">
        <v>0</v>
      </c>
      <c r="Y253" s="60" t="s">
        <v>263</v>
      </c>
      <c r="Z253" s="66">
        <v>0</v>
      </c>
      <c r="AA253" s="65"/>
      <c r="AB253" s="60" t="s">
        <v>263</v>
      </c>
      <c r="AC253" s="59">
        <v>0</v>
      </c>
    </row>
    <row r="254" spans="2:29" x14ac:dyDescent="0.3">
      <c r="B254" s="71" t="s">
        <v>1864</v>
      </c>
      <c r="C254" s="65"/>
      <c r="D254" s="58" t="s">
        <v>263</v>
      </c>
      <c r="E254" s="71" t="s">
        <v>1865</v>
      </c>
      <c r="F254" s="65"/>
      <c r="G254" s="58" t="s">
        <v>263</v>
      </c>
      <c r="H254" s="71" t="s">
        <v>1866</v>
      </c>
      <c r="I254" s="65"/>
      <c r="J254" s="65"/>
      <c r="K254" s="65"/>
      <c r="L254" s="58" t="s">
        <v>263</v>
      </c>
      <c r="M254" s="71" t="s">
        <v>1867</v>
      </c>
      <c r="N254" s="65"/>
      <c r="O254" s="58" t="s">
        <v>263</v>
      </c>
      <c r="P254" s="59">
        <v>166</v>
      </c>
      <c r="Q254" s="58" t="s">
        <v>263</v>
      </c>
      <c r="R254" s="58" t="s">
        <v>918</v>
      </c>
      <c r="S254" s="58" t="s">
        <v>263</v>
      </c>
      <c r="T254" s="66">
        <v>0</v>
      </c>
      <c r="U254" s="65"/>
      <c r="V254" s="65"/>
      <c r="W254" s="58" t="s">
        <v>263</v>
      </c>
      <c r="X254" s="59">
        <v>0</v>
      </c>
      <c r="Y254" s="60" t="s">
        <v>263</v>
      </c>
      <c r="Z254" s="66">
        <v>0</v>
      </c>
      <c r="AA254" s="65"/>
      <c r="AB254" s="60" t="s">
        <v>263</v>
      </c>
      <c r="AC254" s="59">
        <v>0</v>
      </c>
    </row>
    <row r="255" spans="2:29" x14ac:dyDescent="0.3">
      <c r="B255" s="71" t="s">
        <v>1868</v>
      </c>
      <c r="C255" s="65"/>
      <c r="D255" s="58" t="s">
        <v>263</v>
      </c>
      <c r="E255" s="71" t="s">
        <v>1869</v>
      </c>
      <c r="F255" s="65"/>
      <c r="G255" s="58" t="s">
        <v>263</v>
      </c>
      <c r="H255" s="71" t="s">
        <v>1870</v>
      </c>
      <c r="I255" s="65"/>
      <c r="J255" s="65"/>
      <c r="K255" s="65"/>
      <c r="L255" s="58" t="s">
        <v>263</v>
      </c>
      <c r="M255" s="71" t="s">
        <v>1871</v>
      </c>
      <c r="N255" s="65"/>
      <c r="O255" s="58" t="s">
        <v>263</v>
      </c>
      <c r="P255" s="59">
        <v>148</v>
      </c>
      <c r="Q255" s="58" t="s">
        <v>263</v>
      </c>
      <c r="R255" s="58" t="s">
        <v>918</v>
      </c>
      <c r="S255" s="58" t="s">
        <v>263</v>
      </c>
      <c r="T255" s="66">
        <v>0</v>
      </c>
      <c r="U255" s="65"/>
      <c r="V255" s="65"/>
      <c r="W255" s="58" t="s">
        <v>263</v>
      </c>
      <c r="X255" s="59">
        <v>0</v>
      </c>
      <c r="Y255" s="60" t="s">
        <v>263</v>
      </c>
      <c r="Z255" s="66">
        <v>0</v>
      </c>
      <c r="AA255" s="65"/>
      <c r="AB255" s="60" t="s">
        <v>263</v>
      </c>
      <c r="AC255" s="59">
        <v>0</v>
      </c>
    </row>
    <row r="256" spans="2:29" x14ac:dyDescent="0.3">
      <c r="B256" s="71" t="s">
        <v>1872</v>
      </c>
      <c r="C256" s="65"/>
      <c r="D256" s="58" t="s">
        <v>263</v>
      </c>
      <c r="E256" s="71" t="s">
        <v>1873</v>
      </c>
      <c r="F256" s="65"/>
      <c r="G256" s="58" t="s">
        <v>263</v>
      </c>
      <c r="H256" s="71" t="s">
        <v>1874</v>
      </c>
      <c r="I256" s="65"/>
      <c r="J256" s="65"/>
      <c r="K256" s="65"/>
      <c r="L256" s="58" t="s">
        <v>263</v>
      </c>
      <c r="M256" s="71" t="s">
        <v>1875</v>
      </c>
      <c r="N256" s="65"/>
      <c r="O256" s="58" t="s">
        <v>263</v>
      </c>
      <c r="P256" s="59">
        <v>147</v>
      </c>
      <c r="Q256" s="58" t="s">
        <v>263</v>
      </c>
      <c r="R256" s="58" t="s">
        <v>918</v>
      </c>
      <c r="S256" s="58" t="s">
        <v>263</v>
      </c>
      <c r="T256" s="66">
        <v>0</v>
      </c>
      <c r="U256" s="65"/>
      <c r="V256" s="65"/>
      <c r="W256" s="58" t="s">
        <v>263</v>
      </c>
      <c r="X256" s="59">
        <v>0</v>
      </c>
      <c r="Y256" s="60" t="s">
        <v>263</v>
      </c>
      <c r="Z256" s="66">
        <v>0</v>
      </c>
      <c r="AA256" s="65"/>
      <c r="AB256" s="60" t="s">
        <v>263</v>
      </c>
      <c r="AC256" s="59">
        <v>0</v>
      </c>
    </row>
    <row r="257" spans="2:29" x14ac:dyDescent="0.3">
      <c r="B257" s="71" t="s">
        <v>1876</v>
      </c>
      <c r="C257" s="65"/>
      <c r="D257" s="58" t="s">
        <v>263</v>
      </c>
      <c r="E257" s="71" t="s">
        <v>1877</v>
      </c>
      <c r="F257" s="65"/>
      <c r="G257" s="58" t="s">
        <v>263</v>
      </c>
      <c r="H257" s="71" t="s">
        <v>1878</v>
      </c>
      <c r="I257" s="65"/>
      <c r="J257" s="65"/>
      <c r="K257" s="65"/>
      <c r="L257" s="58" t="s">
        <v>263</v>
      </c>
      <c r="M257" s="71" t="s">
        <v>1879</v>
      </c>
      <c r="N257" s="65"/>
      <c r="O257" s="58" t="s">
        <v>263</v>
      </c>
      <c r="P257" s="59">
        <v>109</v>
      </c>
      <c r="Q257" s="58" t="s">
        <v>263</v>
      </c>
      <c r="R257" s="58" t="s">
        <v>918</v>
      </c>
      <c r="S257" s="58" t="s">
        <v>263</v>
      </c>
      <c r="T257" s="66">
        <v>0</v>
      </c>
      <c r="U257" s="65"/>
      <c r="V257" s="65"/>
      <c r="W257" s="58" t="s">
        <v>263</v>
      </c>
      <c r="X257" s="59">
        <v>0</v>
      </c>
      <c r="Y257" s="60" t="s">
        <v>263</v>
      </c>
      <c r="Z257" s="66">
        <v>0</v>
      </c>
      <c r="AA257" s="65"/>
      <c r="AB257" s="60" t="s">
        <v>263</v>
      </c>
      <c r="AC257" s="59">
        <v>0</v>
      </c>
    </row>
    <row r="258" spans="2:29" x14ac:dyDescent="0.3">
      <c r="B258" s="71" t="s">
        <v>1880</v>
      </c>
      <c r="C258" s="65"/>
      <c r="D258" s="58" t="s">
        <v>263</v>
      </c>
      <c r="E258" s="71" t="s">
        <v>1881</v>
      </c>
      <c r="F258" s="65"/>
      <c r="G258" s="58" t="s">
        <v>263</v>
      </c>
      <c r="H258" s="71" t="s">
        <v>1882</v>
      </c>
      <c r="I258" s="65"/>
      <c r="J258" s="65"/>
      <c r="K258" s="65"/>
      <c r="L258" s="58" t="s">
        <v>263</v>
      </c>
      <c r="M258" s="71" t="s">
        <v>1794</v>
      </c>
      <c r="N258" s="65"/>
      <c r="O258" s="58" t="s">
        <v>263</v>
      </c>
      <c r="P258" s="59">
        <v>74</v>
      </c>
      <c r="Q258" s="58" t="s">
        <v>263</v>
      </c>
      <c r="R258" s="58" t="s">
        <v>918</v>
      </c>
      <c r="S258" s="58" t="s">
        <v>263</v>
      </c>
      <c r="T258" s="66">
        <v>0</v>
      </c>
      <c r="U258" s="65"/>
      <c r="V258" s="65"/>
      <c r="W258" s="58" t="s">
        <v>263</v>
      </c>
      <c r="X258" s="59">
        <v>0</v>
      </c>
      <c r="Y258" s="60" t="s">
        <v>263</v>
      </c>
      <c r="Z258" s="66">
        <v>0</v>
      </c>
      <c r="AA258" s="65"/>
      <c r="AB258" s="60" t="s">
        <v>263</v>
      </c>
      <c r="AC258" s="59">
        <v>0</v>
      </c>
    </row>
    <row r="259" spans="2:29" x14ac:dyDescent="0.3">
      <c r="B259" s="71" t="s">
        <v>1883</v>
      </c>
      <c r="C259" s="65"/>
      <c r="D259" s="58" t="s">
        <v>263</v>
      </c>
      <c r="E259" s="71" t="s">
        <v>1884</v>
      </c>
      <c r="F259" s="65"/>
      <c r="G259" s="58" t="s">
        <v>263</v>
      </c>
      <c r="H259" s="71" t="s">
        <v>1885</v>
      </c>
      <c r="I259" s="65"/>
      <c r="J259" s="65"/>
      <c r="K259" s="65"/>
      <c r="L259" s="58" t="s">
        <v>263</v>
      </c>
      <c r="M259" s="71" t="s">
        <v>1005</v>
      </c>
      <c r="N259" s="65"/>
      <c r="O259" s="58" t="s">
        <v>263</v>
      </c>
      <c r="P259" s="59">
        <v>166</v>
      </c>
      <c r="Q259" s="58" t="s">
        <v>263</v>
      </c>
      <c r="R259" s="58" t="s">
        <v>918</v>
      </c>
      <c r="S259" s="58" t="s">
        <v>263</v>
      </c>
      <c r="T259" s="66">
        <v>0</v>
      </c>
      <c r="U259" s="65"/>
      <c r="V259" s="65"/>
      <c r="W259" s="58" t="s">
        <v>263</v>
      </c>
      <c r="X259" s="59">
        <v>0</v>
      </c>
      <c r="Y259" s="60" t="s">
        <v>263</v>
      </c>
      <c r="Z259" s="66">
        <v>0</v>
      </c>
      <c r="AA259" s="65"/>
      <c r="AB259" s="60" t="s">
        <v>263</v>
      </c>
      <c r="AC259" s="59">
        <v>0</v>
      </c>
    </row>
    <row r="260" spans="2:29" x14ac:dyDescent="0.3">
      <c r="B260" s="71" t="s">
        <v>1886</v>
      </c>
      <c r="C260" s="65"/>
      <c r="D260" s="58" t="s">
        <v>263</v>
      </c>
      <c r="E260" s="71" t="s">
        <v>1884</v>
      </c>
      <c r="F260" s="65"/>
      <c r="G260" s="58" t="s">
        <v>263</v>
      </c>
      <c r="H260" s="71" t="s">
        <v>1885</v>
      </c>
      <c r="I260" s="65"/>
      <c r="J260" s="65"/>
      <c r="K260" s="65"/>
      <c r="L260" s="58" t="s">
        <v>263</v>
      </c>
      <c r="M260" s="71" t="s">
        <v>1887</v>
      </c>
      <c r="N260" s="65"/>
      <c r="O260" s="58" t="s">
        <v>263</v>
      </c>
      <c r="P260" s="59">
        <v>152</v>
      </c>
      <c r="Q260" s="58" t="s">
        <v>263</v>
      </c>
      <c r="R260" s="58" t="s">
        <v>918</v>
      </c>
      <c r="S260" s="58" t="s">
        <v>263</v>
      </c>
      <c r="T260" s="66">
        <v>0</v>
      </c>
      <c r="U260" s="65"/>
      <c r="V260" s="65"/>
      <c r="W260" s="58" t="s">
        <v>263</v>
      </c>
      <c r="X260" s="59">
        <v>0</v>
      </c>
      <c r="Y260" s="60" t="s">
        <v>263</v>
      </c>
      <c r="Z260" s="66">
        <v>0</v>
      </c>
      <c r="AA260" s="65"/>
      <c r="AB260" s="60" t="s">
        <v>263</v>
      </c>
      <c r="AC260" s="59">
        <v>0</v>
      </c>
    </row>
    <row r="261" spans="2:29" x14ac:dyDescent="0.3">
      <c r="B261" s="71" t="s">
        <v>1888</v>
      </c>
      <c r="C261" s="65"/>
      <c r="D261" s="58" t="s">
        <v>263</v>
      </c>
      <c r="E261" s="71" t="s">
        <v>1889</v>
      </c>
      <c r="F261" s="65"/>
      <c r="G261" s="58" t="s">
        <v>263</v>
      </c>
      <c r="H261" s="71" t="s">
        <v>1890</v>
      </c>
      <c r="I261" s="65"/>
      <c r="J261" s="65"/>
      <c r="K261" s="65"/>
      <c r="L261" s="58" t="s">
        <v>263</v>
      </c>
      <c r="M261" s="71" t="s">
        <v>1891</v>
      </c>
      <c r="N261" s="65"/>
      <c r="O261" s="58" t="s">
        <v>263</v>
      </c>
      <c r="P261" s="59">
        <v>79</v>
      </c>
      <c r="Q261" s="58" t="s">
        <v>263</v>
      </c>
      <c r="R261" s="58" t="s">
        <v>1892</v>
      </c>
      <c r="S261" s="58" t="s">
        <v>263</v>
      </c>
      <c r="T261" s="66">
        <v>0</v>
      </c>
      <c r="U261" s="65"/>
      <c r="V261" s="65"/>
      <c r="W261" s="58" t="s">
        <v>263</v>
      </c>
      <c r="X261" s="59">
        <v>-158</v>
      </c>
      <c r="Y261" s="60" t="s">
        <v>263</v>
      </c>
      <c r="Z261" s="66">
        <v>0</v>
      </c>
      <c r="AA261" s="65"/>
      <c r="AB261" s="60" t="s">
        <v>263</v>
      </c>
      <c r="AC261" s="59">
        <v>0</v>
      </c>
    </row>
    <row r="262" spans="2:29" x14ac:dyDescent="0.3">
      <c r="B262" s="71" t="s">
        <v>1893</v>
      </c>
      <c r="C262" s="65"/>
      <c r="D262" s="58" t="s">
        <v>263</v>
      </c>
      <c r="E262" s="71" t="s">
        <v>1894</v>
      </c>
      <c r="F262" s="65"/>
      <c r="G262" s="58" t="s">
        <v>263</v>
      </c>
      <c r="H262" s="71" t="s">
        <v>1895</v>
      </c>
      <c r="I262" s="65"/>
      <c r="J262" s="65"/>
      <c r="K262" s="65"/>
      <c r="L262" s="58" t="s">
        <v>263</v>
      </c>
      <c r="M262" s="71" t="s">
        <v>1896</v>
      </c>
      <c r="N262" s="65"/>
      <c r="O262" s="58" t="s">
        <v>263</v>
      </c>
      <c r="P262" s="59">
        <v>157</v>
      </c>
      <c r="Q262" s="58" t="s">
        <v>263</v>
      </c>
      <c r="R262" s="58" t="s">
        <v>918</v>
      </c>
      <c r="S262" s="58" t="s">
        <v>263</v>
      </c>
      <c r="T262" s="66">
        <v>0</v>
      </c>
      <c r="U262" s="65"/>
      <c r="V262" s="65"/>
      <c r="W262" s="58" t="s">
        <v>263</v>
      </c>
      <c r="X262" s="59">
        <v>0</v>
      </c>
      <c r="Y262" s="60" t="s">
        <v>263</v>
      </c>
      <c r="Z262" s="66">
        <v>0</v>
      </c>
      <c r="AA262" s="65"/>
      <c r="AB262" s="60" t="s">
        <v>263</v>
      </c>
      <c r="AC262" s="59">
        <v>0</v>
      </c>
    </row>
    <row r="263" spans="2:29" x14ac:dyDescent="0.3">
      <c r="B263" s="71" t="s">
        <v>1897</v>
      </c>
      <c r="C263" s="65"/>
      <c r="D263" s="58" t="s">
        <v>263</v>
      </c>
      <c r="E263" s="71" t="s">
        <v>1898</v>
      </c>
      <c r="F263" s="65"/>
      <c r="G263" s="58" t="s">
        <v>263</v>
      </c>
      <c r="H263" s="71" t="s">
        <v>1899</v>
      </c>
      <c r="I263" s="65"/>
      <c r="J263" s="65"/>
      <c r="K263" s="65"/>
      <c r="L263" s="58" t="s">
        <v>263</v>
      </c>
      <c r="M263" s="71" t="s">
        <v>1005</v>
      </c>
      <c r="N263" s="65"/>
      <c r="O263" s="58" t="s">
        <v>263</v>
      </c>
      <c r="P263" s="59">
        <v>176</v>
      </c>
      <c r="Q263" s="58" t="s">
        <v>263</v>
      </c>
      <c r="R263" s="58" t="s">
        <v>918</v>
      </c>
      <c r="S263" s="58" t="s">
        <v>263</v>
      </c>
      <c r="T263" s="66">
        <v>0</v>
      </c>
      <c r="U263" s="65"/>
      <c r="V263" s="65"/>
      <c r="W263" s="58" t="s">
        <v>263</v>
      </c>
      <c r="X263" s="59">
        <v>0</v>
      </c>
      <c r="Y263" s="60" t="s">
        <v>263</v>
      </c>
      <c r="Z263" s="66">
        <v>0</v>
      </c>
      <c r="AA263" s="65"/>
      <c r="AB263" s="60" t="s">
        <v>263</v>
      </c>
      <c r="AC263" s="59">
        <v>0</v>
      </c>
    </row>
    <row r="264" spans="2:29" x14ac:dyDescent="0.3">
      <c r="B264" s="71" t="s">
        <v>1900</v>
      </c>
      <c r="C264" s="65"/>
      <c r="D264" s="58" t="s">
        <v>263</v>
      </c>
      <c r="E264" s="71" t="s">
        <v>1898</v>
      </c>
      <c r="F264" s="65"/>
      <c r="G264" s="58" t="s">
        <v>263</v>
      </c>
      <c r="H264" s="71" t="s">
        <v>1899</v>
      </c>
      <c r="I264" s="65"/>
      <c r="J264" s="65"/>
      <c r="K264" s="65"/>
      <c r="L264" s="58" t="s">
        <v>263</v>
      </c>
      <c r="M264" s="71" t="s">
        <v>1901</v>
      </c>
      <c r="N264" s="65"/>
      <c r="O264" s="58" t="s">
        <v>263</v>
      </c>
      <c r="P264" s="59">
        <v>136</v>
      </c>
      <c r="Q264" s="58" t="s">
        <v>263</v>
      </c>
      <c r="R264" s="58" t="s">
        <v>918</v>
      </c>
      <c r="S264" s="58" t="s">
        <v>263</v>
      </c>
      <c r="T264" s="66">
        <v>0</v>
      </c>
      <c r="U264" s="65"/>
      <c r="V264" s="65"/>
      <c r="W264" s="58" t="s">
        <v>263</v>
      </c>
      <c r="X264" s="59">
        <v>0</v>
      </c>
      <c r="Y264" s="60" t="s">
        <v>263</v>
      </c>
      <c r="Z264" s="66">
        <v>0</v>
      </c>
      <c r="AA264" s="65"/>
      <c r="AB264" s="60" t="s">
        <v>263</v>
      </c>
      <c r="AC264" s="59">
        <v>0</v>
      </c>
    </row>
    <row r="265" spans="2:29" x14ac:dyDescent="0.3">
      <c r="B265" s="71" t="s">
        <v>1902</v>
      </c>
      <c r="C265" s="65"/>
      <c r="D265" s="58" t="s">
        <v>263</v>
      </c>
      <c r="E265" s="71" t="s">
        <v>1903</v>
      </c>
      <c r="F265" s="65"/>
      <c r="G265" s="58" t="s">
        <v>263</v>
      </c>
      <c r="H265" s="71" t="s">
        <v>1904</v>
      </c>
      <c r="I265" s="65"/>
      <c r="J265" s="65"/>
      <c r="K265" s="65"/>
      <c r="L265" s="58" t="s">
        <v>263</v>
      </c>
      <c r="M265" s="71" t="s">
        <v>1905</v>
      </c>
      <c r="N265" s="65"/>
      <c r="O265" s="58" t="s">
        <v>263</v>
      </c>
      <c r="P265" s="59">
        <v>157</v>
      </c>
      <c r="Q265" s="58" t="s">
        <v>263</v>
      </c>
      <c r="R265" s="58" t="s">
        <v>918</v>
      </c>
      <c r="S265" s="58" t="s">
        <v>263</v>
      </c>
      <c r="T265" s="66">
        <v>0</v>
      </c>
      <c r="U265" s="65"/>
      <c r="V265" s="65"/>
      <c r="W265" s="58" t="s">
        <v>263</v>
      </c>
      <c r="X265" s="59">
        <v>0</v>
      </c>
      <c r="Y265" s="60" t="s">
        <v>263</v>
      </c>
      <c r="Z265" s="66">
        <v>0</v>
      </c>
      <c r="AA265" s="65"/>
      <c r="AB265" s="60" t="s">
        <v>263</v>
      </c>
      <c r="AC265" s="59">
        <v>0</v>
      </c>
    </row>
    <row r="266" spans="2:29" x14ac:dyDescent="0.3">
      <c r="B266" s="71" t="s">
        <v>1906</v>
      </c>
      <c r="C266" s="65"/>
      <c r="D266" s="58" t="s">
        <v>263</v>
      </c>
      <c r="E266" s="71" t="s">
        <v>1907</v>
      </c>
      <c r="F266" s="65"/>
      <c r="G266" s="58" t="s">
        <v>263</v>
      </c>
      <c r="H266" s="71" t="s">
        <v>1908</v>
      </c>
      <c r="I266" s="65"/>
      <c r="J266" s="65"/>
      <c r="K266" s="65"/>
      <c r="L266" s="58" t="s">
        <v>263</v>
      </c>
      <c r="M266" s="71" t="s">
        <v>1909</v>
      </c>
      <c r="N266" s="65"/>
      <c r="O266" s="58" t="s">
        <v>263</v>
      </c>
      <c r="P266" s="59">
        <v>181</v>
      </c>
      <c r="Q266" s="58" t="s">
        <v>263</v>
      </c>
      <c r="R266" s="58" t="s">
        <v>918</v>
      </c>
      <c r="S266" s="58" t="s">
        <v>263</v>
      </c>
      <c r="T266" s="66">
        <v>0</v>
      </c>
      <c r="U266" s="65"/>
      <c r="V266" s="65"/>
      <c r="W266" s="58" t="s">
        <v>263</v>
      </c>
      <c r="X266" s="59">
        <v>0</v>
      </c>
      <c r="Y266" s="60" t="s">
        <v>263</v>
      </c>
      <c r="Z266" s="66">
        <v>0</v>
      </c>
      <c r="AA266" s="65"/>
      <c r="AB266" s="60" t="s">
        <v>263</v>
      </c>
      <c r="AC266" s="59">
        <v>0</v>
      </c>
    </row>
    <row r="267" spans="2:29" x14ac:dyDescent="0.3">
      <c r="B267" s="71" t="s">
        <v>1910</v>
      </c>
      <c r="C267" s="65"/>
      <c r="D267" s="58" t="s">
        <v>263</v>
      </c>
      <c r="E267" s="71" t="s">
        <v>1911</v>
      </c>
      <c r="F267" s="65"/>
      <c r="G267" s="58" t="s">
        <v>263</v>
      </c>
      <c r="H267" s="71" t="s">
        <v>1912</v>
      </c>
      <c r="I267" s="65"/>
      <c r="J267" s="65"/>
      <c r="K267" s="65"/>
      <c r="L267" s="58" t="s">
        <v>263</v>
      </c>
      <c r="M267" s="71" t="s">
        <v>1913</v>
      </c>
      <c r="N267" s="65"/>
      <c r="O267" s="58" t="s">
        <v>263</v>
      </c>
      <c r="P267" s="59">
        <v>159</v>
      </c>
      <c r="Q267" s="58" t="s">
        <v>263</v>
      </c>
      <c r="R267" s="58" t="s">
        <v>918</v>
      </c>
      <c r="S267" s="58" t="s">
        <v>263</v>
      </c>
      <c r="T267" s="66">
        <v>0</v>
      </c>
      <c r="U267" s="65"/>
      <c r="V267" s="65"/>
      <c r="W267" s="58" t="s">
        <v>263</v>
      </c>
      <c r="X267" s="59">
        <v>0</v>
      </c>
      <c r="Y267" s="60" t="s">
        <v>263</v>
      </c>
      <c r="Z267" s="66">
        <v>0</v>
      </c>
      <c r="AA267" s="65"/>
      <c r="AB267" s="60" t="s">
        <v>263</v>
      </c>
      <c r="AC267" s="59">
        <v>0</v>
      </c>
    </row>
    <row r="268" spans="2:29" x14ac:dyDescent="0.3">
      <c r="B268" s="71" t="s">
        <v>1914</v>
      </c>
      <c r="C268" s="65"/>
      <c r="D268" s="58" t="s">
        <v>263</v>
      </c>
      <c r="E268" s="71" t="s">
        <v>1915</v>
      </c>
      <c r="F268" s="65"/>
      <c r="G268" s="58" t="s">
        <v>263</v>
      </c>
      <c r="H268" s="71" t="s">
        <v>1916</v>
      </c>
      <c r="I268" s="65"/>
      <c r="J268" s="65"/>
      <c r="K268" s="65"/>
      <c r="L268" s="58" t="s">
        <v>263</v>
      </c>
      <c r="M268" s="71" t="s">
        <v>1913</v>
      </c>
      <c r="N268" s="65"/>
      <c r="O268" s="58" t="s">
        <v>263</v>
      </c>
      <c r="P268" s="59">
        <v>159</v>
      </c>
      <c r="Q268" s="58" t="s">
        <v>263</v>
      </c>
      <c r="R268" s="58" t="s">
        <v>918</v>
      </c>
      <c r="S268" s="58" t="s">
        <v>263</v>
      </c>
      <c r="T268" s="66">
        <v>0</v>
      </c>
      <c r="U268" s="65"/>
      <c r="V268" s="65"/>
      <c r="W268" s="58" t="s">
        <v>263</v>
      </c>
      <c r="X268" s="59">
        <v>0</v>
      </c>
      <c r="Y268" s="60" t="s">
        <v>263</v>
      </c>
      <c r="Z268" s="66">
        <v>0</v>
      </c>
      <c r="AA268" s="65"/>
      <c r="AB268" s="60" t="s">
        <v>263</v>
      </c>
      <c r="AC268" s="59">
        <v>0</v>
      </c>
    </row>
    <row r="269" spans="2:29" x14ac:dyDescent="0.3">
      <c r="B269" s="71" t="s">
        <v>1917</v>
      </c>
      <c r="C269" s="65"/>
      <c r="D269" s="58" t="s">
        <v>263</v>
      </c>
      <c r="E269" s="71" t="s">
        <v>1918</v>
      </c>
      <c r="F269" s="65"/>
      <c r="G269" s="58" t="s">
        <v>263</v>
      </c>
      <c r="H269" s="71" t="s">
        <v>1919</v>
      </c>
      <c r="I269" s="65"/>
      <c r="J269" s="65"/>
      <c r="K269" s="65"/>
      <c r="L269" s="58" t="s">
        <v>263</v>
      </c>
      <c r="M269" s="71" t="s">
        <v>1887</v>
      </c>
      <c r="N269" s="65"/>
      <c r="O269" s="58" t="s">
        <v>263</v>
      </c>
      <c r="P269" s="59">
        <v>176</v>
      </c>
      <c r="Q269" s="58" t="s">
        <v>263</v>
      </c>
      <c r="R269" s="58" t="s">
        <v>918</v>
      </c>
      <c r="S269" s="58" t="s">
        <v>263</v>
      </c>
      <c r="T269" s="66">
        <v>0</v>
      </c>
      <c r="U269" s="65"/>
      <c r="V269" s="65"/>
      <c r="W269" s="58" t="s">
        <v>263</v>
      </c>
      <c r="X269" s="59">
        <v>0</v>
      </c>
      <c r="Y269" s="60" t="s">
        <v>263</v>
      </c>
      <c r="Z269" s="66">
        <v>0</v>
      </c>
      <c r="AA269" s="65"/>
      <c r="AB269" s="60" t="s">
        <v>263</v>
      </c>
      <c r="AC269" s="59">
        <v>0</v>
      </c>
    </row>
    <row r="270" spans="2:29" x14ac:dyDescent="0.3">
      <c r="B270" s="71" t="s">
        <v>1920</v>
      </c>
      <c r="C270" s="65"/>
      <c r="D270" s="58" t="s">
        <v>263</v>
      </c>
      <c r="E270" s="71" t="s">
        <v>1921</v>
      </c>
      <c r="F270" s="65"/>
      <c r="G270" s="58" t="s">
        <v>263</v>
      </c>
      <c r="H270" s="71" t="s">
        <v>1922</v>
      </c>
      <c r="I270" s="65"/>
      <c r="J270" s="65"/>
      <c r="K270" s="65"/>
      <c r="L270" s="58" t="s">
        <v>263</v>
      </c>
      <c r="M270" s="71" t="s">
        <v>1923</v>
      </c>
      <c r="N270" s="65"/>
      <c r="O270" s="58" t="s">
        <v>263</v>
      </c>
      <c r="P270" s="59">
        <v>217</v>
      </c>
      <c r="Q270" s="58" t="s">
        <v>263</v>
      </c>
      <c r="R270" s="58" t="s">
        <v>918</v>
      </c>
      <c r="S270" s="58" t="s">
        <v>263</v>
      </c>
      <c r="T270" s="66">
        <v>0</v>
      </c>
      <c r="U270" s="65"/>
      <c r="V270" s="65"/>
      <c r="W270" s="58" t="s">
        <v>263</v>
      </c>
      <c r="X270" s="59">
        <v>0</v>
      </c>
      <c r="Y270" s="60" t="s">
        <v>263</v>
      </c>
      <c r="Z270" s="66">
        <v>0</v>
      </c>
      <c r="AA270" s="65"/>
      <c r="AB270" s="60" t="s">
        <v>263</v>
      </c>
      <c r="AC270" s="59">
        <v>0</v>
      </c>
    </row>
    <row r="271" spans="2:29" x14ac:dyDescent="0.3">
      <c r="B271" s="71" t="s">
        <v>1924</v>
      </c>
      <c r="C271" s="65"/>
      <c r="D271" s="58" t="s">
        <v>263</v>
      </c>
      <c r="E271" s="71" t="s">
        <v>1925</v>
      </c>
      <c r="F271" s="65"/>
      <c r="G271" s="58" t="s">
        <v>263</v>
      </c>
      <c r="H271" s="71" t="s">
        <v>1926</v>
      </c>
      <c r="I271" s="65"/>
      <c r="J271" s="65"/>
      <c r="K271" s="65"/>
      <c r="L271" s="58" t="s">
        <v>263</v>
      </c>
      <c r="M271" s="71" t="s">
        <v>1517</v>
      </c>
      <c r="N271" s="65"/>
      <c r="O271" s="58" t="s">
        <v>263</v>
      </c>
      <c r="P271" s="59">
        <v>169</v>
      </c>
      <c r="Q271" s="58" t="s">
        <v>263</v>
      </c>
      <c r="R271" s="58" t="s">
        <v>918</v>
      </c>
      <c r="S271" s="58" t="s">
        <v>263</v>
      </c>
      <c r="T271" s="66">
        <v>0</v>
      </c>
      <c r="U271" s="65"/>
      <c r="V271" s="65"/>
      <c r="W271" s="58" t="s">
        <v>263</v>
      </c>
      <c r="X271" s="59">
        <v>0</v>
      </c>
      <c r="Y271" s="60" t="s">
        <v>263</v>
      </c>
      <c r="Z271" s="66">
        <v>0</v>
      </c>
      <c r="AA271" s="65"/>
      <c r="AB271" s="60" t="s">
        <v>263</v>
      </c>
      <c r="AC271" s="59">
        <v>0</v>
      </c>
    </row>
    <row r="272" spans="2:29" x14ac:dyDescent="0.3">
      <c r="B272" s="71" t="s">
        <v>1927</v>
      </c>
      <c r="C272" s="65"/>
      <c r="D272" s="58" t="s">
        <v>263</v>
      </c>
      <c r="E272" s="71" t="s">
        <v>1928</v>
      </c>
      <c r="F272" s="65"/>
      <c r="G272" s="58" t="s">
        <v>263</v>
      </c>
      <c r="H272" s="71" t="s">
        <v>1929</v>
      </c>
      <c r="I272" s="65"/>
      <c r="J272" s="65"/>
      <c r="K272" s="65"/>
      <c r="L272" s="58" t="s">
        <v>263</v>
      </c>
      <c r="M272" s="71" t="s">
        <v>1517</v>
      </c>
      <c r="N272" s="65"/>
      <c r="O272" s="58" t="s">
        <v>263</v>
      </c>
      <c r="P272" s="59">
        <v>159</v>
      </c>
      <c r="Q272" s="58" t="s">
        <v>263</v>
      </c>
      <c r="R272" s="58" t="s">
        <v>1159</v>
      </c>
      <c r="S272" s="58" t="s">
        <v>263</v>
      </c>
      <c r="T272" s="66">
        <v>0</v>
      </c>
      <c r="U272" s="65"/>
      <c r="V272" s="65"/>
      <c r="W272" s="58" t="s">
        <v>263</v>
      </c>
      <c r="X272" s="59">
        <v>-159</v>
      </c>
      <c r="Y272" s="60" t="s">
        <v>263</v>
      </c>
      <c r="Z272" s="66">
        <v>0</v>
      </c>
      <c r="AA272" s="65"/>
      <c r="AB272" s="60" t="s">
        <v>263</v>
      </c>
      <c r="AC272" s="59">
        <v>0</v>
      </c>
    </row>
    <row r="273" spans="2:29" x14ac:dyDescent="0.3">
      <c r="B273" s="71" t="s">
        <v>1930</v>
      </c>
      <c r="C273" s="65"/>
      <c r="D273" s="58" t="s">
        <v>263</v>
      </c>
      <c r="E273" s="71" t="s">
        <v>1931</v>
      </c>
      <c r="F273" s="65"/>
      <c r="G273" s="58" t="s">
        <v>263</v>
      </c>
      <c r="H273" s="71" t="s">
        <v>1932</v>
      </c>
      <c r="I273" s="65"/>
      <c r="J273" s="65"/>
      <c r="K273" s="65"/>
      <c r="L273" s="58" t="s">
        <v>263</v>
      </c>
      <c r="M273" s="71" t="s">
        <v>1517</v>
      </c>
      <c r="N273" s="65"/>
      <c r="O273" s="58" t="s">
        <v>263</v>
      </c>
      <c r="P273" s="59">
        <v>126</v>
      </c>
      <c r="Q273" s="58" t="s">
        <v>263</v>
      </c>
      <c r="R273" s="58" t="s">
        <v>918</v>
      </c>
      <c r="S273" s="58" t="s">
        <v>263</v>
      </c>
      <c r="T273" s="66">
        <v>0</v>
      </c>
      <c r="U273" s="65"/>
      <c r="V273" s="65"/>
      <c r="W273" s="58" t="s">
        <v>263</v>
      </c>
      <c r="X273" s="59">
        <v>0</v>
      </c>
      <c r="Y273" s="60" t="s">
        <v>263</v>
      </c>
      <c r="Z273" s="66">
        <v>0</v>
      </c>
      <c r="AA273" s="65"/>
      <c r="AB273" s="60" t="s">
        <v>263</v>
      </c>
      <c r="AC273" s="59">
        <v>0</v>
      </c>
    </row>
    <row r="274" spans="2:29" x14ac:dyDescent="0.3">
      <c r="B274" s="71" t="s">
        <v>1933</v>
      </c>
      <c r="C274" s="65"/>
      <c r="D274" s="58" t="s">
        <v>263</v>
      </c>
      <c r="E274" s="71" t="s">
        <v>1934</v>
      </c>
      <c r="F274" s="65"/>
      <c r="G274" s="58" t="s">
        <v>263</v>
      </c>
      <c r="H274" s="71" t="s">
        <v>1935</v>
      </c>
      <c r="I274" s="65"/>
      <c r="J274" s="65"/>
      <c r="K274" s="65"/>
      <c r="L274" s="58" t="s">
        <v>263</v>
      </c>
      <c r="M274" s="71" t="s">
        <v>1936</v>
      </c>
      <c r="N274" s="65"/>
      <c r="O274" s="58" t="s">
        <v>263</v>
      </c>
      <c r="P274" s="59">
        <v>158</v>
      </c>
      <c r="Q274" s="58" t="s">
        <v>263</v>
      </c>
      <c r="R274" s="58" t="s">
        <v>918</v>
      </c>
      <c r="S274" s="58" t="s">
        <v>263</v>
      </c>
      <c r="T274" s="66">
        <v>0</v>
      </c>
      <c r="U274" s="65"/>
      <c r="V274" s="65"/>
      <c r="W274" s="58" t="s">
        <v>263</v>
      </c>
      <c r="X274" s="59">
        <v>0</v>
      </c>
      <c r="Y274" s="60" t="s">
        <v>263</v>
      </c>
      <c r="Z274" s="66">
        <v>0</v>
      </c>
      <c r="AA274" s="65"/>
      <c r="AB274" s="60" t="s">
        <v>263</v>
      </c>
      <c r="AC274" s="59">
        <v>0</v>
      </c>
    </row>
    <row r="275" spans="2:29" x14ac:dyDescent="0.3">
      <c r="B275" s="71" t="s">
        <v>1937</v>
      </c>
      <c r="C275" s="65"/>
      <c r="D275" s="58" t="s">
        <v>263</v>
      </c>
      <c r="E275" s="71" t="s">
        <v>1938</v>
      </c>
      <c r="F275" s="65"/>
      <c r="G275" s="58" t="s">
        <v>263</v>
      </c>
      <c r="H275" s="71" t="s">
        <v>1939</v>
      </c>
      <c r="I275" s="65"/>
      <c r="J275" s="65"/>
      <c r="K275" s="65"/>
      <c r="L275" s="58" t="s">
        <v>263</v>
      </c>
      <c r="M275" s="71" t="s">
        <v>1940</v>
      </c>
      <c r="N275" s="65"/>
      <c r="O275" s="58" t="s">
        <v>263</v>
      </c>
      <c r="P275" s="59">
        <v>93</v>
      </c>
      <c r="Q275" s="58" t="s">
        <v>263</v>
      </c>
      <c r="R275" s="58" t="s">
        <v>918</v>
      </c>
      <c r="S275" s="58" t="s">
        <v>263</v>
      </c>
      <c r="T275" s="66">
        <v>0</v>
      </c>
      <c r="U275" s="65"/>
      <c r="V275" s="65"/>
      <c r="W275" s="58" t="s">
        <v>263</v>
      </c>
      <c r="X275" s="59">
        <v>0</v>
      </c>
      <c r="Y275" s="60" t="s">
        <v>263</v>
      </c>
      <c r="Z275" s="66">
        <v>0</v>
      </c>
      <c r="AA275" s="65"/>
      <c r="AB275" s="60" t="s">
        <v>263</v>
      </c>
      <c r="AC275" s="59">
        <v>0</v>
      </c>
    </row>
    <row r="276" spans="2:29" x14ac:dyDescent="0.3">
      <c r="B276" s="71" t="s">
        <v>1941</v>
      </c>
      <c r="C276" s="65"/>
      <c r="D276" s="58" t="s">
        <v>263</v>
      </c>
      <c r="E276" s="71" t="s">
        <v>1942</v>
      </c>
      <c r="F276" s="65"/>
      <c r="G276" s="58" t="s">
        <v>263</v>
      </c>
      <c r="H276" s="71" t="s">
        <v>1943</v>
      </c>
      <c r="I276" s="65"/>
      <c r="J276" s="65"/>
      <c r="K276" s="65"/>
      <c r="L276" s="58" t="s">
        <v>263</v>
      </c>
      <c r="M276" s="71" t="s">
        <v>1944</v>
      </c>
      <c r="N276" s="65"/>
      <c r="O276" s="58" t="s">
        <v>263</v>
      </c>
      <c r="P276" s="59">
        <v>159</v>
      </c>
      <c r="Q276" s="58" t="s">
        <v>263</v>
      </c>
      <c r="R276" s="58" t="s">
        <v>918</v>
      </c>
      <c r="S276" s="58" t="s">
        <v>263</v>
      </c>
      <c r="T276" s="66">
        <v>0</v>
      </c>
      <c r="U276" s="65"/>
      <c r="V276" s="65"/>
      <c r="W276" s="58" t="s">
        <v>263</v>
      </c>
      <c r="X276" s="59">
        <v>0</v>
      </c>
      <c r="Y276" s="60" t="s">
        <v>263</v>
      </c>
      <c r="Z276" s="66">
        <v>0</v>
      </c>
      <c r="AA276" s="65"/>
      <c r="AB276" s="60" t="s">
        <v>263</v>
      </c>
      <c r="AC276" s="59">
        <v>0</v>
      </c>
    </row>
    <row r="277" spans="2:29" x14ac:dyDescent="0.3">
      <c r="B277" s="71" t="s">
        <v>1945</v>
      </c>
      <c r="C277" s="65"/>
      <c r="D277" s="58" t="s">
        <v>263</v>
      </c>
      <c r="E277" s="71" t="s">
        <v>1946</v>
      </c>
      <c r="F277" s="65"/>
      <c r="G277" s="58" t="s">
        <v>263</v>
      </c>
      <c r="H277" s="71" t="s">
        <v>1947</v>
      </c>
      <c r="I277" s="65"/>
      <c r="J277" s="65"/>
      <c r="K277" s="65"/>
      <c r="L277" s="58" t="s">
        <v>263</v>
      </c>
      <c r="M277" s="71" t="s">
        <v>1948</v>
      </c>
      <c r="N277" s="65"/>
      <c r="O277" s="58" t="s">
        <v>263</v>
      </c>
      <c r="P277" s="59">
        <v>1</v>
      </c>
      <c r="Q277" s="58" t="s">
        <v>263</v>
      </c>
      <c r="R277" s="58" t="s">
        <v>918</v>
      </c>
      <c r="S277" s="58" t="s">
        <v>263</v>
      </c>
      <c r="T277" s="66">
        <v>0</v>
      </c>
      <c r="U277" s="65"/>
      <c r="V277" s="65"/>
      <c r="W277" s="58" t="s">
        <v>263</v>
      </c>
      <c r="X277" s="59">
        <v>0</v>
      </c>
      <c r="Y277" s="60" t="s">
        <v>263</v>
      </c>
      <c r="Z277" s="66">
        <v>250</v>
      </c>
      <c r="AA277" s="65"/>
      <c r="AB277" s="60" t="s">
        <v>263</v>
      </c>
      <c r="AC277" s="59">
        <v>0</v>
      </c>
    </row>
    <row r="278" spans="2:29" x14ac:dyDescent="0.3">
      <c r="B278" s="71" t="s">
        <v>1949</v>
      </c>
      <c r="C278" s="65"/>
      <c r="D278" s="58" t="s">
        <v>263</v>
      </c>
      <c r="E278" s="71" t="s">
        <v>1950</v>
      </c>
      <c r="F278" s="65"/>
      <c r="G278" s="58" t="s">
        <v>263</v>
      </c>
      <c r="H278" s="71" t="s">
        <v>1951</v>
      </c>
      <c r="I278" s="65"/>
      <c r="J278" s="65"/>
      <c r="K278" s="65"/>
      <c r="L278" s="58" t="s">
        <v>263</v>
      </c>
      <c r="M278" s="71" t="s">
        <v>1887</v>
      </c>
      <c r="N278" s="65"/>
      <c r="O278" s="58" t="s">
        <v>263</v>
      </c>
      <c r="P278" s="59">
        <v>117</v>
      </c>
      <c r="Q278" s="58" t="s">
        <v>263</v>
      </c>
      <c r="R278" s="58" t="s">
        <v>918</v>
      </c>
      <c r="S278" s="58" t="s">
        <v>263</v>
      </c>
      <c r="T278" s="66">
        <v>0</v>
      </c>
      <c r="U278" s="65"/>
      <c r="V278" s="65"/>
      <c r="W278" s="58" t="s">
        <v>263</v>
      </c>
      <c r="X278" s="59">
        <v>0</v>
      </c>
      <c r="Y278" s="60" t="s">
        <v>263</v>
      </c>
      <c r="Z278" s="66">
        <v>0</v>
      </c>
      <c r="AA278" s="65"/>
      <c r="AB278" s="60" t="s">
        <v>263</v>
      </c>
      <c r="AC278" s="59">
        <v>0</v>
      </c>
    </row>
    <row r="279" spans="2:29" x14ac:dyDescent="0.3">
      <c r="B279" s="71" t="s">
        <v>1952</v>
      </c>
      <c r="C279" s="65"/>
      <c r="D279" s="58" t="s">
        <v>263</v>
      </c>
      <c r="E279" s="71" t="s">
        <v>1953</v>
      </c>
      <c r="F279" s="65"/>
      <c r="G279" s="58" t="s">
        <v>263</v>
      </c>
      <c r="H279" s="71" t="s">
        <v>1954</v>
      </c>
      <c r="I279" s="65"/>
      <c r="J279" s="65"/>
      <c r="K279" s="65"/>
      <c r="L279" s="58" t="s">
        <v>263</v>
      </c>
      <c r="M279" s="71" t="s">
        <v>1887</v>
      </c>
      <c r="N279" s="65"/>
      <c r="O279" s="58" t="s">
        <v>263</v>
      </c>
      <c r="P279" s="59">
        <v>149</v>
      </c>
      <c r="Q279" s="58" t="s">
        <v>263</v>
      </c>
      <c r="R279" s="58" t="s">
        <v>918</v>
      </c>
      <c r="S279" s="58" t="s">
        <v>263</v>
      </c>
      <c r="T279" s="66">
        <v>0</v>
      </c>
      <c r="U279" s="65"/>
      <c r="V279" s="65"/>
      <c r="W279" s="58" t="s">
        <v>263</v>
      </c>
      <c r="X279" s="59">
        <v>0</v>
      </c>
      <c r="Y279" s="60" t="s">
        <v>263</v>
      </c>
      <c r="Z279" s="66">
        <v>0</v>
      </c>
      <c r="AA279" s="65"/>
      <c r="AB279" s="60" t="s">
        <v>263</v>
      </c>
      <c r="AC279" s="59">
        <v>0</v>
      </c>
    </row>
    <row r="280" spans="2:29" x14ac:dyDescent="0.3">
      <c r="B280" s="71" t="s">
        <v>1955</v>
      </c>
      <c r="C280" s="65"/>
      <c r="D280" s="58" t="s">
        <v>263</v>
      </c>
      <c r="E280" s="71" t="s">
        <v>1956</v>
      </c>
      <c r="F280" s="65"/>
      <c r="G280" s="58" t="s">
        <v>263</v>
      </c>
      <c r="H280" s="71" t="s">
        <v>1957</v>
      </c>
      <c r="I280" s="65"/>
      <c r="J280" s="65"/>
      <c r="K280" s="65"/>
      <c r="L280" s="58" t="s">
        <v>263</v>
      </c>
      <c r="M280" s="71" t="s">
        <v>1887</v>
      </c>
      <c r="N280" s="65"/>
      <c r="O280" s="58" t="s">
        <v>263</v>
      </c>
      <c r="P280" s="59">
        <v>197</v>
      </c>
      <c r="Q280" s="58" t="s">
        <v>263</v>
      </c>
      <c r="R280" s="58" t="s">
        <v>918</v>
      </c>
      <c r="S280" s="58" t="s">
        <v>263</v>
      </c>
      <c r="T280" s="66">
        <v>0</v>
      </c>
      <c r="U280" s="65"/>
      <c r="V280" s="65"/>
      <c r="W280" s="58" t="s">
        <v>263</v>
      </c>
      <c r="X280" s="59">
        <v>0</v>
      </c>
      <c r="Y280" s="60" t="s">
        <v>263</v>
      </c>
      <c r="Z280" s="66">
        <v>0</v>
      </c>
      <c r="AA280" s="65"/>
      <c r="AB280" s="60" t="s">
        <v>263</v>
      </c>
      <c r="AC280" s="59">
        <v>0</v>
      </c>
    </row>
    <row r="281" spans="2:29" x14ac:dyDescent="0.3">
      <c r="B281" s="71" t="s">
        <v>1958</v>
      </c>
      <c r="C281" s="65"/>
      <c r="D281" s="58" t="s">
        <v>263</v>
      </c>
      <c r="E281" s="71" t="s">
        <v>1959</v>
      </c>
      <c r="F281" s="65"/>
      <c r="G281" s="58" t="s">
        <v>263</v>
      </c>
      <c r="H281" s="71" t="s">
        <v>1960</v>
      </c>
      <c r="I281" s="65"/>
      <c r="J281" s="65"/>
      <c r="K281" s="65"/>
      <c r="L281" s="58" t="s">
        <v>263</v>
      </c>
      <c r="M281" s="71" t="s">
        <v>1887</v>
      </c>
      <c r="N281" s="65"/>
      <c r="O281" s="58" t="s">
        <v>263</v>
      </c>
      <c r="P281" s="59">
        <v>246</v>
      </c>
      <c r="Q281" s="58" t="s">
        <v>263</v>
      </c>
      <c r="R281" s="58" t="s">
        <v>918</v>
      </c>
      <c r="S281" s="58" t="s">
        <v>263</v>
      </c>
      <c r="T281" s="66">
        <v>0</v>
      </c>
      <c r="U281" s="65"/>
      <c r="V281" s="65"/>
      <c r="W281" s="58" t="s">
        <v>263</v>
      </c>
      <c r="X281" s="59">
        <v>0</v>
      </c>
      <c r="Y281" s="60" t="s">
        <v>263</v>
      </c>
      <c r="Z281" s="66">
        <v>0</v>
      </c>
      <c r="AA281" s="65"/>
      <c r="AB281" s="60" t="s">
        <v>263</v>
      </c>
      <c r="AC281" s="59">
        <v>0</v>
      </c>
    </row>
    <row r="282" spans="2:29" x14ac:dyDescent="0.3">
      <c r="B282" s="71" t="s">
        <v>1961</v>
      </c>
      <c r="C282" s="65"/>
      <c r="D282" s="58" t="s">
        <v>263</v>
      </c>
      <c r="E282" s="71" t="s">
        <v>1962</v>
      </c>
      <c r="F282" s="65"/>
      <c r="G282" s="58" t="s">
        <v>263</v>
      </c>
      <c r="H282" s="71" t="s">
        <v>1963</v>
      </c>
      <c r="I282" s="65"/>
      <c r="J282" s="65"/>
      <c r="K282" s="65"/>
      <c r="L282" s="58" t="s">
        <v>263</v>
      </c>
      <c r="M282" s="71" t="s">
        <v>1964</v>
      </c>
      <c r="N282" s="65"/>
      <c r="O282" s="58" t="s">
        <v>263</v>
      </c>
      <c r="P282" s="59">
        <v>108</v>
      </c>
      <c r="Q282" s="58" t="s">
        <v>263</v>
      </c>
      <c r="R282" s="58" t="s">
        <v>918</v>
      </c>
      <c r="S282" s="58" t="s">
        <v>263</v>
      </c>
      <c r="T282" s="66">
        <v>0</v>
      </c>
      <c r="U282" s="65"/>
      <c r="V282" s="65"/>
      <c r="W282" s="58" t="s">
        <v>263</v>
      </c>
      <c r="X282" s="59">
        <v>0</v>
      </c>
      <c r="Y282" s="60" t="s">
        <v>263</v>
      </c>
      <c r="Z282" s="66">
        <v>0</v>
      </c>
      <c r="AA282" s="65"/>
      <c r="AB282" s="60" t="s">
        <v>263</v>
      </c>
      <c r="AC282" s="59">
        <v>0</v>
      </c>
    </row>
    <row r="283" spans="2:29" x14ac:dyDescent="0.3">
      <c r="B283" s="71" t="s">
        <v>1965</v>
      </c>
      <c r="C283" s="65"/>
      <c r="D283" s="58" t="s">
        <v>263</v>
      </c>
      <c r="E283" s="71" t="s">
        <v>1966</v>
      </c>
      <c r="F283" s="65"/>
      <c r="G283" s="58" t="s">
        <v>263</v>
      </c>
      <c r="H283" s="71" t="s">
        <v>1967</v>
      </c>
      <c r="I283" s="65"/>
      <c r="J283" s="65"/>
      <c r="K283" s="65"/>
      <c r="L283" s="58" t="s">
        <v>263</v>
      </c>
      <c r="M283" s="71" t="s">
        <v>1968</v>
      </c>
      <c r="N283" s="65"/>
      <c r="O283" s="58" t="s">
        <v>263</v>
      </c>
      <c r="P283" s="59">
        <v>172</v>
      </c>
      <c r="Q283" s="58" t="s">
        <v>263</v>
      </c>
      <c r="R283" s="58" t="s">
        <v>918</v>
      </c>
      <c r="S283" s="58" t="s">
        <v>263</v>
      </c>
      <c r="T283" s="66">
        <v>0</v>
      </c>
      <c r="U283" s="65"/>
      <c r="V283" s="65"/>
      <c r="W283" s="58" t="s">
        <v>263</v>
      </c>
      <c r="X283" s="59">
        <v>0</v>
      </c>
      <c r="Y283" s="60" t="s">
        <v>263</v>
      </c>
      <c r="Z283" s="66">
        <v>0</v>
      </c>
      <c r="AA283" s="65"/>
      <c r="AB283" s="60" t="s">
        <v>263</v>
      </c>
      <c r="AC283" s="59">
        <v>0</v>
      </c>
    </row>
    <row r="284" spans="2:29" x14ac:dyDescent="0.3">
      <c r="B284" s="71" t="s">
        <v>1969</v>
      </c>
      <c r="C284" s="65"/>
      <c r="D284" s="58" t="s">
        <v>263</v>
      </c>
      <c r="E284" s="71" t="s">
        <v>1970</v>
      </c>
      <c r="F284" s="65"/>
      <c r="G284" s="58" t="s">
        <v>263</v>
      </c>
      <c r="H284" s="71" t="s">
        <v>1971</v>
      </c>
      <c r="I284" s="65"/>
      <c r="J284" s="65"/>
      <c r="K284" s="65"/>
      <c r="L284" s="58" t="s">
        <v>263</v>
      </c>
      <c r="M284" s="71" t="s">
        <v>1236</v>
      </c>
      <c r="N284" s="65"/>
      <c r="O284" s="58" t="s">
        <v>263</v>
      </c>
      <c r="P284" s="59">
        <v>123</v>
      </c>
      <c r="Q284" s="58" t="s">
        <v>263</v>
      </c>
      <c r="R284" s="58" t="s">
        <v>918</v>
      </c>
      <c r="S284" s="58" t="s">
        <v>263</v>
      </c>
      <c r="T284" s="66">
        <v>0</v>
      </c>
      <c r="U284" s="65"/>
      <c r="V284" s="65"/>
      <c r="W284" s="58" t="s">
        <v>263</v>
      </c>
      <c r="X284" s="59">
        <v>0</v>
      </c>
      <c r="Y284" s="60" t="s">
        <v>263</v>
      </c>
      <c r="Z284" s="66">
        <v>0</v>
      </c>
      <c r="AA284" s="65"/>
      <c r="AB284" s="60" t="s">
        <v>263</v>
      </c>
      <c r="AC284" s="59">
        <v>0</v>
      </c>
    </row>
    <row r="285" spans="2:29" x14ac:dyDescent="0.3">
      <c r="B285" s="71" t="s">
        <v>1972</v>
      </c>
      <c r="C285" s="65"/>
      <c r="D285" s="58" t="s">
        <v>263</v>
      </c>
      <c r="E285" s="71" t="s">
        <v>1973</v>
      </c>
      <c r="F285" s="65"/>
      <c r="G285" s="58" t="s">
        <v>263</v>
      </c>
      <c r="H285" s="71" t="s">
        <v>1974</v>
      </c>
      <c r="I285" s="65"/>
      <c r="J285" s="65"/>
      <c r="K285" s="65"/>
      <c r="L285" s="58" t="s">
        <v>263</v>
      </c>
      <c r="M285" s="71" t="s">
        <v>1975</v>
      </c>
      <c r="N285" s="65"/>
      <c r="O285" s="58" t="s">
        <v>263</v>
      </c>
      <c r="P285" s="59">
        <v>176</v>
      </c>
      <c r="Q285" s="58" t="s">
        <v>263</v>
      </c>
      <c r="R285" s="58" t="s">
        <v>918</v>
      </c>
      <c r="S285" s="58" t="s">
        <v>263</v>
      </c>
      <c r="T285" s="66">
        <v>0</v>
      </c>
      <c r="U285" s="65"/>
      <c r="V285" s="65"/>
      <c r="W285" s="58" t="s">
        <v>263</v>
      </c>
      <c r="X285" s="59">
        <v>0</v>
      </c>
      <c r="Y285" s="60" t="s">
        <v>263</v>
      </c>
      <c r="Z285" s="66">
        <v>0</v>
      </c>
      <c r="AA285" s="65"/>
      <c r="AB285" s="60" t="s">
        <v>263</v>
      </c>
      <c r="AC285" s="59">
        <v>0</v>
      </c>
    </row>
    <row r="286" spans="2:29" x14ac:dyDescent="0.3">
      <c r="B286" s="71" t="s">
        <v>1976</v>
      </c>
      <c r="C286" s="65"/>
      <c r="D286" s="58" t="s">
        <v>263</v>
      </c>
      <c r="E286" s="71" t="s">
        <v>1977</v>
      </c>
      <c r="F286" s="65"/>
      <c r="G286" s="58" t="s">
        <v>263</v>
      </c>
      <c r="H286" s="71" t="s">
        <v>1978</v>
      </c>
      <c r="I286" s="65"/>
      <c r="J286" s="65"/>
      <c r="K286" s="65"/>
      <c r="L286" s="58" t="s">
        <v>263</v>
      </c>
      <c r="M286" s="71" t="s">
        <v>1975</v>
      </c>
      <c r="N286" s="65"/>
      <c r="O286" s="58" t="s">
        <v>263</v>
      </c>
      <c r="P286" s="59">
        <v>170</v>
      </c>
      <c r="Q286" s="58" t="s">
        <v>263</v>
      </c>
      <c r="R286" s="58" t="s">
        <v>918</v>
      </c>
      <c r="S286" s="58" t="s">
        <v>263</v>
      </c>
      <c r="T286" s="66">
        <v>0</v>
      </c>
      <c r="U286" s="65"/>
      <c r="V286" s="65"/>
      <c r="W286" s="58" t="s">
        <v>263</v>
      </c>
      <c r="X286" s="59">
        <v>0</v>
      </c>
      <c r="Y286" s="60" t="s">
        <v>263</v>
      </c>
      <c r="Z286" s="66">
        <v>0</v>
      </c>
      <c r="AA286" s="65"/>
      <c r="AB286" s="60" t="s">
        <v>263</v>
      </c>
      <c r="AC286" s="59">
        <v>0</v>
      </c>
    </row>
    <row r="287" spans="2:29" x14ac:dyDescent="0.3">
      <c r="B287" s="71" t="s">
        <v>1979</v>
      </c>
      <c r="C287" s="65"/>
      <c r="D287" s="58" t="s">
        <v>263</v>
      </c>
      <c r="E287" s="71" t="s">
        <v>1980</v>
      </c>
      <c r="F287" s="65"/>
      <c r="G287" s="58" t="s">
        <v>263</v>
      </c>
      <c r="H287" s="71" t="s">
        <v>1981</v>
      </c>
      <c r="I287" s="65"/>
      <c r="J287" s="65"/>
      <c r="K287" s="65"/>
      <c r="L287" s="58" t="s">
        <v>263</v>
      </c>
      <c r="M287" s="71" t="s">
        <v>1968</v>
      </c>
      <c r="N287" s="65"/>
      <c r="O287" s="58" t="s">
        <v>263</v>
      </c>
      <c r="P287" s="59">
        <v>164</v>
      </c>
      <c r="Q287" s="58" t="s">
        <v>263</v>
      </c>
      <c r="R287" s="58" t="s">
        <v>918</v>
      </c>
      <c r="S287" s="58" t="s">
        <v>263</v>
      </c>
      <c r="T287" s="66">
        <v>0</v>
      </c>
      <c r="U287" s="65"/>
      <c r="V287" s="65"/>
      <c r="W287" s="58" t="s">
        <v>263</v>
      </c>
      <c r="X287" s="59">
        <v>0</v>
      </c>
      <c r="Y287" s="60" t="s">
        <v>263</v>
      </c>
      <c r="Z287" s="66">
        <v>0</v>
      </c>
      <c r="AA287" s="65"/>
      <c r="AB287" s="60" t="s">
        <v>263</v>
      </c>
      <c r="AC287" s="59">
        <v>0</v>
      </c>
    </row>
    <row r="288" spans="2:29" x14ac:dyDescent="0.3">
      <c r="B288" s="71" t="s">
        <v>1982</v>
      </c>
      <c r="C288" s="65"/>
      <c r="D288" s="58" t="s">
        <v>263</v>
      </c>
      <c r="E288" s="71" t="s">
        <v>1983</v>
      </c>
      <c r="F288" s="65"/>
      <c r="G288" s="58" t="s">
        <v>263</v>
      </c>
      <c r="H288" s="71" t="s">
        <v>1984</v>
      </c>
      <c r="I288" s="65"/>
      <c r="J288" s="65"/>
      <c r="K288" s="65"/>
      <c r="L288" s="58" t="s">
        <v>263</v>
      </c>
      <c r="M288" s="71" t="s">
        <v>1238</v>
      </c>
      <c r="N288" s="65"/>
      <c r="O288" s="58" t="s">
        <v>263</v>
      </c>
      <c r="P288" s="59">
        <v>182</v>
      </c>
      <c r="Q288" s="58" t="s">
        <v>263</v>
      </c>
      <c r="R288" s="58" t="s">
        <v>918</v>
      </c>
      <c r="S288" s="58" t="s">
        <v>263</v>
      </c>
      <c r="T288" s="66">
        <v>0</v>
      </c>
      <c r="U288" s="65"/>
      <c r="V288" s="65"/>
      <c r="W288" s="58" t="s">
        <v>263</v>
      </c>
      <c r="X288" s="59">
        <v>0</v>
      </c>
      <c r="Y288" s="60" t="s">
        <v>263</v>
      </c>
      <c r="Z288" s="66">
        <v>0</v>
      </c>
      <c r="AA288" s="65"/>
      <c r="AB288" s="60" t="s">
        <v>263</v>
      </c>
      <c r="AC288" s="59">
        <v>0</v>
      </c>
    </row>
    <row r="289" spans="2:29" x14ac:dyDescent="0.3">
      <c r="B289" s="71" t="s">
        <v>1985</v>
      </c>
      <c r="C289" s="65"/>
      <c r="D289" s="58" t="s">
        <v>263</v>
      </c>
      <c r="E289" s="71" t="s">
        <v>1983</v>
      </c>
      <c r="F289" s="65"/>
      <c r="G289" s="58" t="s">
        <v>263</v>
      </c>
      <c r="H289" s="71" t="s">
        <v>1984</v>
      </c>
      <c r="I289" s="65"/>
      <c r="J289" s="65"/>
      <c r="K289" s="65"/>
      <c r="L289" s="58" t="s">
        <v>263</v>
      </c>
      <c r="M289" s="71" t="s">
        <v>1986</v>
      </c>
      <c r="N289" s="65"/>
      <c r="O289" s="58" t="s">
        <v>263</v>
      </c>
      <c r="P289" s="59">
        <v>301</v>
      </c>
      <c r="Q289" s="58" t="s">
        <v>263</v>
      </c>
      <c r="R289" s="58" t="s">
        <v>918</v>
      </c>
      <c r="S289" s="58" t="s">
        <v>263</v>
      </c>
      <c r="T289" s="66">
        <v>0</v>
      </c>
      <c r="U289" s="65"/>
      <c r="V289" s="65"/>
      <c r="W289" s="58" t="s">
        <v>263</v>
      </c>
      <c r="X289" s="59">
        <v>0</v>
      </c>
      <c r="Y289" s="60" t="s">
        <v>263</v>
      </c>
      <c r="Z289" s="66">
        <v>0</v>
      </c>
      <c r="AA289" s="65"/>
      <c r="AB289" s="60" t="s">
        <v>263</v>
      </c>
      <c r="AC289" s="59">
        <v>0</v>
      </c>
    </row>
    <row r="290" spans="2:29" x14ac:dyDescent="0.3">
      <c r="B290" s="71" t="s">
        <v>1987</v>
      </c>
      <c r="C290" s="65"/>
      <c r="D290" s="58" t="s">
        <v>263</v>
      </c>
      <c r="E290" s="71" t="s">
        <v>1983</v>
      </c>
      <c r="F290" s="65"/>
      <c r="G290" s="58" t="s">
        <v>263</v>
      </c>
      <c r="H290" s="71" t="s">
        <v>1984</v>
      </c>
      <c r="I290" s="65"/>
      <c r="J290" s="65"/>
      <c r="K290" s="65"/>
      <c r="L290" s="58" t="s">
        <v>263</v>
      </c>
      <c r="M290" s="71" t="s">
        <v>1988</v>
      </c>
      <c r="N290" s="65"/>
      <c r="O290" s="58" t="s">
        <v>263</v>
      </c>
      <c r="P290" s="59">
        <v>304</v>
      </c>
      <c r="Q290" s="58" t="s">
        <v>263</v>
      </c>
      <c r="R290" s="58" t="s">
        <v>918</v>
      </c>
      <c r="S290" s="58" t="s">
        <v>263</v>
      </c>
      <c r="T290" s="66">
        <v>0</v>
      </c>
      <c r="U290" s="65"/>
      <c r="V290" s="65"/>
      <c r="W290" s="58" t="s">
        <v>263</v>
      </c>
      <c r="X290" s="59">
        <v>0</v>
      </c>
      <c r="Y290" s="60" t="s">
        <v>263</v>
      </c>
      <c r="Z290" s="66">
        <v>0</v>
      </c>
      <c r="AA290" s="65"/>
      <c r="AB290" s="60" t="s">
        <v>263</v>
      </c>
      <c r="AC290" s="59">
        <v>0</v>
      </c>
    </row>
    <row r="291" spans="2:29" x14ac:dyDescent="0.3">
      <c r="B291" s="71" t="s">
        <v>1989</v>
      </c>
      <c r="C291" s="65"/>
      <c r="D291" s="58" t="s">
        <v>263</v>
      </c>
      <c r="E291" s="71" t="s">
        <v>1990</v>
      </c>
      <c r="F291" s="65"/>
      <c r="G291" s="58" t="s">
        <v>263</v>
      </c>
      <c r="H291" s="71" t="s">
        <v>1991</v>
      </c>
      <c r="I291" s="65"/>
      <c r="J291" s="65"/>
      <c r="K291" s="65"/>
      <c r="L291" s="58" t="s">
        <v>263</v>
      </c>
      <c r="M291" s="71" t="s">
        <v>1992</v>
      </c>
      <c r="N291" s="65"/>
      <c r="O291" s="58" t="s">
        <v>263</v>
      </c>
      <c r="P291" s="59">
        <v>289</v>
      </c>
      <c r="Q291" s="58" t="s">
        <v>263</v>
      </c>
      <c r="R291" s="58" t="s">
        <v>918</v>
      </c>
      <c r="S291" s="58" t="s">
        <v>263</v>
      </c>
      <c r="T291" s="66">
        <v>0</v>
      </c>
      <c r="U291" s="65"/>
      <c r="V291" s="65"/>
      <c r="W291" s="58" t="s">
        <v>263</v>
      </c>
      <c r="X291" s="59">
        <v>0</v>
      </c>
      <c r="Y291" s="60" t="s">
        <v>263</v>
      </c>
      <c r="Z291" s="66">
        <v>0</v>
      </c>
      <c r="AA291" s="65"/>
      <c r="AB291" s="60" t="s">
        <v>263</v>
      </c>
      <c r="AC291" s="59">
        <v>0</v>
      </c>
    </row>
    <row r="292" spans="2:29" x14ac:dyDescent="0.3">
      <c r="B292" s="71" t="s">
        <v>1993</v>
      </c>
      <c r="C292" s="65"/>
      <c r="D292" s="58" t="s">
        <v>263</v>
      </c>
      <c r="E292" s="71" t="s">
        <v>1994</v>
      </c>
      <c r="F292" s="65"/>
      <c r="G292" s="58" t="s">
        <v>263</v>
      </c>
      <c r="H292" s="71" t="s">
        <v>1995</v>
      </c>
      <c r="I292" s="65"/>
      <c r="J292" s="65"/>
      <c r="K292" s="65"/>
      <c r="L292" s="58" t="s">
        <v>263</v>
      </c>
      <c r="M292" s="71" t="s">
        <v>1996</v>
      </c>
      <c r="N292" s="65"/>
      <c r="O292" s="58" t="s">
        <v>263</v>
      </c>
      <c r="P292" s="59">
        <v>280</v>
      </c>
      <c r="Q292" s="58" t="s">
        <v>263</v>
      </c>
      <c r="R292" s="58" t="s">
        <v>918</v>
      </c>
      <c r="S292" s="58" t="s">
        <v>263</v>
      </c>
      <c r="T292" s="66">
        <v>0</v>
      </c>
      <c r="U292" s="65"/>
      <c r="V292" s="65"/>
      <c r="W292" s="58" t="s">
        <v>263</v>
      </c>
      <c r="X292" s="59">
        <v>0</v>
      </c>
      <c r="Y292" s="60" t="s">
        <v>263</v>
      </c>
      <c r="Z292" s="66">
        <v>0</v>
      </c>
      <c r="AA292" s="65"/>
      <c r="AB292" s="60" t="s">
        <v>263</v>
      </c>
      <c r="AC292" s="59">
        <v>0</v>
      </c>
    </row>
    <row r="293" spans="2:29" x14ac:dyDescent="0.3">
      <c r="B293" s="71" t="s">
        <v>1997</v>
      </c>
      <c r="C293" s="65"/>
      <c r="D293" s="58" t="s">
        <v>263</v>
      </c>
      <c r="E293" s="71" t="s">
        <v>1994</v>
      </c>
      <c r="F293" s="65"/>
      <c r="G293" s="58" t="s">
        <v>263</v>
      </c>
      <c r="H293" s="71" t="s">
        <v>1995</v>
      </c>
      <c r="I293" s="65"/>
      <c r="J293" s="65"/>
      <c r="K293" s="65"/>
      <c r="L293" s="58" t="s">
        <v>263</v>
      </c>
      <c r="M293" s="71" t="s">
        <v>1863</v>
      </c>
      <c r="N293" s="65"/>
      <c r="O293" s="58" t="s">
        <v>263</v>
      </c>
      <c r="P293" s="59">
        <v>332</v>
      </c>
      <c r="Q293" s="58" t="s">
        <v>263</v>
      </c>
      <c r="R293" s="58" t="s">
        <v>918</v>
      </c>
      <c r="S293" s="58" t="s">
        <v>263</v>
      </c>
      <c r="T293" s="66">
        <v>0</v>
      </c>
      <c r="U293" s="65"/>
      <c r="V293" s="65"/>
      <c r="W293" s="58" t="s">
        <v>263</v>
      </c>
      <c r="X293" s="59">
        <v>0</v>
      </c>
      <c r="Y293" s="60" t="s">
        <v>263</v>
      </c>
      <c r="Z293" s="66">
        <v>0</v>
      </c>
      <c r="AA293" s="65"/>
      <c r="AB293" s="60" t="s">
        <v>263</v>
      </c>
      <c r="AC293" s="59">
        <v>0</v>
      </c>
    </row>
    <row r="294" spans="2:29" x14ac:dyDescent="0.3">
      <c r="B294" s="71" t="s">
        <v>1998</v>
      </c>
      <c r="C294" s="65"/>
      <c r="D294" s="58" t="s">
        <v>263</v>
      </c>
      <c r="E294" s="71" t="s">
        <v>1999</v>
      </c>
      <c r="F294" s="65"/>
      <c r="G294" s="58" t="s">
        <v>263</v>
      </c>
      <c r="H294" s="71" t="s">
        <v>2000</v>
      </c>
      <c r="I294" s="65"/>
      <c r="J294" s="65"/>
      <c r="K294" s="65"/>
      <c r="L294" s="58" t="s">
        <v>263</v>
      </c>
      <c r="M294" s="71" t="s">
        <v>2001</v>
      </c>
      <c r="N294" s="65"/>
      <c r="O294" s="58" t="s">
        <v>263</v>
      </c>
      <c r="P294" s="59">
        <v>208</v>
      </c>
      <c r="Q294" s="58" t="s">
        <v>263</v>
      </c>
      <c r="R294" s="58" t="s">
        <v>918</v>
      </c>
      <c r="S294" s="58" t="s">
        <v>263</v>
      </c>
      <c r="T294" s="66">
        <v>0</v>
      </c>
      <c r="U294" s="65"/>
      <c r="V294" s="65"/>
      <c r="W294" s="58" t="s">
        <v>263</v>
      </c>
      <c r="X294" s="59">
        <v>0</v>
      </c>
      <c r="Y294" s="60" t="s">
        <v>263</v>
      </c>
      <c r="Z294" s="66">
        <v>0</v>
      </c>
      <c r="AA294" s="65"/>
      <c r="AB294" s="60" t="s">
        <v>263</v>
      </c>
      <c r="AC294" s="59">
        <v>0</v>
      </c>
    </row>
    <row r="295" spans="2:29" x14ac:dyDescent="0.3">
      <c r="B295" s="71" t="s">
        <v>2002</v>
      </c>
      <c r="C295" s="65"/>
      <c r="D295" s="58" t="s">
        <v>263</v>
      </c>
      <c r="E295" s="71" t="s">
        <v>2003</v>
      </c>
      <c r="F295" s="65"/>
      <c r="G295" s="58" t="s">
        <v>263</v>
      </c>
      <c r="H295" s="71" t="s">
        <v>2004</v>
      </c>
      <c r="I295" s="65"/>
      <c r="J295" s="65"/>
      <c r="K295" s="65"/>
      <c r="L295" s="58" t="s">
        <v>263</v>
      </c>
      <c r="M295" s="71" t="s">
        <v>2001</v>
      </c>
      <c r="N295" s="65"/>
      <c r="O295" s="58" t="s">
        <v>263</v>
      </c>
      <c r="P295" s="59">
        <v>208</v>
      </c>
      <c r="Q295" s="58" t="s">
        <v>263</v>
      </c>
      <c r="R295" s="58" t="s">
        <v>918</v>
      </c>
      <c r="S295" s="58" t="s">
        <v>263</v>
      </c>
      <c r="T295" s="66">
        <v>0</v>
      </c>
      <c r="U295" s="65"/>
      <c r="V295" s="65"/>
      <c r="W295" s="58" t="s">
        <v>263</v>
      </c>
      <c r="X295" s="59">
        <v>0</v>
      </c>
      <c r="Y295" s="60" t="s">
        <v>263</v>
      </c>
      <c r="Z295" s="66">
        <v>0</v>
      </c>
      <c r="AA295" s="65"/>
      <c r="AB295" s="60" t="s">
        <v>263</v>
      </c>
      <c r="AC295" s="59">
        <v>0</v>
      </c>
    </row>
    <row r="296" spans="2:29" x14ac:dyDescent="0.3">
      <c r="B296" s="71" t="s">
        <v>2005</v>
      </c>
      <c r="C296" s="65"/>
      <c r="D296" s="58" t="s">
        <v>263</v>
      </c>
      <c r="E296" s="71" t="s">
        <v>2006</v>
      </c>
      <c r="F296" s="65"/>
      <c r="G296" s="58" t="s">
        <v>263</v>
      </c>
      <c r="H296" s="71" t="s">
        <v>2007</v>
      </c>
      <c r="I296" s="65"/>
      <c r="J296" s="65"/>
      <c r="K296" s="65"/>
      <c r="L296" s="58" t="s">
        <v>263</v>
      </c>
      <c r="M296" s="71" t="s">
        <v>2008</v>
      </c>
      <c r="N296" s="65"/>
      <c r="O296" s="58" t="s">
        <v>263</v>
      </c>
      <c r="P296" s="59">
        <v>404</v>
      </c>
      <c r="Q296" s="58" t="s">
        <v>263</v>
      </c>
      <c r="R296" s="58" t="s">
        <v>918</v>
      </c>
      <c r="S296" s="58" t="s">
        <v>263</v>
      </c>
      <c r="T296" s="66">
        <v>0</v>
      </c>
      <c r="U296" s="65"/>
      <c r="V296" s="65"/>
      <c r="W296" s="58" t="s">
        <v>263</v>
      </c>
      <c r="X296" s="59">
        <v>0</v>
      </c>
      <c r="Y296" s="60" t="s">
        <v>263</v>
      </c>
      <c r="Z296" s="66">
        <v>0</v>
      </c>
      <c r="AA296" s="65"/>
      <c r="AB296" s="60" t="s">
        <v>263</v>
      </c>
      <c r="AC296" s="59">
        <v>0</v>
      </c>
    </row>
    <row r="297" spans="2:29" x14ac:dyDescent="0.3">
      <c r="B297" s="71" t="s">
        <v>2009</v>
      </c>
      <c r="C297" s="65"/>
      <c r="D297" s="58" t="s">
        <v>263</v>
      </c>
      <c r="E297" s="71" t="s">
        <v>2010</v>
      </c>
      <c r="F297" s="65"/>
      <c r="G297" s="58" t="s">
        <v>263</v>
      </c>
      <c r="H297" s="71" t="s">
        <v>2011</v>
      </c>
      <c r="I297" s="65"/>
      <c r="J297" s="65"/>
      <c r="K297" s="65"/>
      <c r="L297" s="58" t="s">
        <v>263</v>
      </c>
      <c r="M297" s="71" t="s">
        <v>2012</v>
      </c>
      <c r="N297" s="65"/>
      <c r="O297" s="58" t="s">
        <v>263</v>
      </c>
      <c r="P297" s="59">
        <v>323</v>
      </c>
      <c r="Q297" s="58" t="s">
        <v>263</v>
      </c>
      <c r="R297" s="58" t="s">
        <v>918</v>
      </c>
      <c r="S297" s="58" t="s">
        <v>263</v>
      </c>
      <c r="T297" s="66">
        <v>0</v>
      </c>
      <c r="U297" s="65"/>
      <c r="V297" s="65"/>
      <c r="W297" s="58" t="s">
        <v>263</v>
      </c>
      <c r="X297" s="59">
        <v>0</v>
      </c>
      <c r="Y297" s="60" t="s">
        <v>263</v>
      </c>
      <c r="Z297" s="66">
        <v>0</v>
      </c>
      <c r="AA297" s="65"/>
      <c r="AB297" s="60" t="s">
        <v>263</v>
      </c>
      <c r="AC297" s="59">
        <v>0</v>
      </c>
    </row>
    <row r="298" spans="2:29" x14ac:dyDescent="0.3">
      <c r="B298" s="71" t="s">
        <v>2013</v>
      </c>
      <c r="C298" s="65"/>
      <c r="D298" s="58" t="s">
        <v>263</v>
      </c>
      <c r="E298" s="71" t="s">
        <v>2014</v>
      </c>
      <c r="F298" s="65"/>
      <c r="G298" s="58" t="s">
        <v>263</v>
      </c>
      <c r="H298" s="71" t="s">
        <v>2015</v>
      </c>
      <c r="I298" s="65"/>
      <c r="J298" s="65"/>
      <c r="K298" s="65"/>
      <c r="L298" s="58" t="s">
        <v>263</v>
      </c>
      <c r="M298" s="71" t="s">
        <v>862</v>
      </c>
      <c r="N298" s="65"/>
      <c r="O298" s="58" t="s">
        <v>263</v>
      </c>
      <c r="P298" s="59">
        <v>173</v>
      </c>
      <c r="Q298" s="58" t="s">
        <v>263</v>
      </c>
      <c r="R298" s="58" t="s">
        <v>918</v>
      </c>
      <c r="S298" s="58" t="s">
        <v>263</v>
      </c>
      <c r="T298" s="66">
        <v>0</v>
      </c>
      <c r="U298" s="65"/>
      <c r="V298" s="65"/>
      <c r="W298" s="58" t="s">
        <v>263</v>
      </c>
      <c r="X298" s="59">
        <v>0</v>
      </c>
      <c r="Y298" s="60" t="s">
        <v>263</v>
      </c>
      <c r="Z298" s="66">
        <v>0</v>
      </c>
      <c r="AA298" s="65"/>
      <c r="AB298" s="60" t="s">
        <v>263</v>
      </c>
      <c r="AC298" s="59">
        <v>0</v>
      </c>
    </row>
    <row r="299" spans="2:29" x14ac:dyDescent="0.3">
      <c r="B299" s="71" t="s">
        <v>2016</v>
      </c>
      <c r="C299" s="65"/>
      <c r="D299" s="58" t="s">
        <v>263</v>
      </c>
      <c r="E299" s="71" t="s">
        <v>2017</v>
      </c>
      <c r="F299" s="65"/>
      <c r="G299" s="58" t="s">
        <v>263</v>
      </c>
      <c r="H299" s="71" t="s">
        <v>2018</v>
      </c>
      <c r="I299" s="65"/>
      <c r="J299" s="65"/>
      <c r="K299" s="65"/>
      <c r="L299" s="58" t="s">
        <v>263</v>
      </c>
      <c r="M299" s="71" t="s">
        <v>2019</v>
      </c>
      <c r="N299" s="65"/>
      <c r="O299" s="58" t="s">
        <v>263</v>
      </c>
      <c r="P299" s="59">
        <v>210</v>
      </c>
      <c r="Q299" s="58" t="s">
        <v>263</v>
      </c>
      <c r="R299" s="58" t="s">
        <v>918</v>
      </c>
      <c r="S299" s="58" t="s">
        <v>263</v>
      </c>
      <c r="T299" s="66">
        <v>0</v>
      </c>
      <c r="U299" s="65"/>
      <c r="V299" s="65"/>
      <c r="W299" s="58" t="s">
        <v>263</v>
      </c>
      <c r="X299" s="59">
        <v>0</v>
      </c>
      <c r="Y299" s="60" t="s">
        <v>263</v>
      </c>
      <c r="Z299" s="66">
        <v>0</v>
      </c>
      <c r="AA299" s="65"/>
      <c r="AB299" s="60" t="s">
        <v>263</v>
      </c>
      <c r="AC299" s="59">
        <v>0</v>
      </c>
    </row>
    <row r="300" spans="2:29" x14ac:dyDescent="0.3">
      <c r="B300" s="71" t="s">
        <v>2020</v>
      </c>
      <c r="C300" s="65"/>
      <c r="D300" s="58" t="s">
        <v>263</v>
      </c>
      <c r="E300" s="71" t="s">
        <v>2021</v>
      </c>
      <c r="F300" s="65"/>
      <c r="G300" s="58" t="s">
        <v>263</v>
      </c>
      <c r="H300" s="71" t="s">
        <v>2022</v>
      </c>
      <c r="I300" s="65"/>
      <c r="J300" s="65"/>
      <c r="K300" s="65"/>
      <c r="L300" s="58" t="s">
        <v>263</v>
      </c>
      <c r="M300" s="71" t="s">
        <v>2023</v>
      </c>
      <c r="N300" s="65"/>
      <c r="O300" s="58" t="s">
        <v>263</v>
      </c>
      <c r="P300" s="59">
        <v>228</v>
      </c>
      <c r="Q300" s="58" t="s">
        <v>263</v>
      </c>
      <c r="R300" s="58" t="s">
        <v>918</v>
      </c>
      <c r="S300" s="58" t="s">
        <v>263</v>
      </c>
      <c r="T300" s="66">
        <v>0</v>
      </c>
      <c r="U300" s="65"/>
      <c r="V300" s="65"/>
      <c r="W300" s="58" t="s">
        <v>263</v>
      </c>
      <c r="X300" s="59">
        <v>0</v>
      </c>
      <c r="Y300" s="60" t="s">
        <v>263</v>
      </c>
      <c r="Z300" s="66">
        <v>0</v>
      </c>
      <c r="AA300" s="65"/>
      <c r="AB300" s="60" t="s">
        <v>263</v>
      </c>
      <c r="AC300" s="59">
        <v>0</v>
      </c>
    </row>
    <row r="301" spans="2:29" x14ac:dyDescent="0.3">
      <c r="B301" s="71" t="s">
        <v>2024</v>
      </c>
      <c r="C301" s="65"/>
      <c r="D301" s="58" t="s">
        <v>263</v>
      </c>
      <c r="E301" s="71" t="s">
        <v>2025</v>
      </c>
      <c r="F301" s="65"/>
      <c r="G301" s="58" t="s">
        <v>263</v>
      </c>
      <c r="H301" s="71" t="s">
        <v>2026</v>
      </c>
      <c r="I301" s="65"/>
      <c r="J301" s="65"/>
      <c r="K301" s="65"/>
      <c r="L301" s="58" t="s">
        <v>263</v>
      </c>
      <c r="M301" s="71" t="s">
        <v>2027</v>
      </c>
      <c r="N301" s="65"/>
      <c r="O301" s="58" t="s">
        <v>263</v>
      </c>
      <c r="P301" s="59">
        <v>132</v>
      </c>
      <c r="Q301" s="58" t="s">
        <v>263</v>
      </c>
      <c r="R301" s="58" t="s">
        <v>918</v>
      </c>
      <c r="S301" s="58" t="s">
        <v>263</v>
      </c>
      <c r="T301" s="66">
        <v>0</v>
      </c>
      <c r="U301" s="65"/>
      <c r="V301" s="65"/>
      <c r="W301" s="58" t="s">
        <v>263</v>
      </c>
      <c r="X301" s="59">
        <v>0</v>
      </c>
      <c r="Y301" s="60" t="s">
        <v>263</v>
      </c>
      <c r="Z301" s="66">
        <v>0</v>
      </c>
      <c r="AA301" s="65"/>
      <c r="AB301" s="60" t="s">
        <v>263</v>
      </c>
      <c r="AC301" s="59">
        <v>0</v>
      </c>
    </row>
    <row r="302" spans="2:29" x14ac:dyDescent="0.3">
      <c r="B302" s="71" t="s">
        <v>2028</v>
      </c>
      <c r="C302" s="65"/>
      <c r="D302" s="58" t="s">
        <v>263</v>
      </c>
      <c r="E302" s="71" t="s">
        <v>2029</v>
      </c>
      <c r="F302" s="65"/>
      <c r="G302" s="58" t="s">
        <v>263</v>
      </c>
      <c r="H302" s="71" t="s">
        <v>2030</v>
      </c>
      <c r="I302" s="65"/>
      <c r="J302" s="65"/>
      <c r="K302" s="65"/>
      <c r="L302" s="58" t="s">
        <v>263</v>
      </c>
      <c r="M302" s="71" t="s">
        <v>2031</v>
      </c>
      <c r="N302" s="65"/>
      <c r="O302" s="58" t="s">
        <v>263</v>
      </c>
      <c r="P302" s="59">
        <v>217</v>
      </c>
      <c r="Q302" s="58" t="s">
        <v>263</v>
      </c>
      <c r="R302" s="58" t="s">
        <v>918</v>
      </c>
      <c r="S302" s="58" t="s">
        <v>263</v>
      </c>
      <c r="T302" s="66">
        <v>0</v>
      </c>
      <c r="U302" s="65"/>
      <c r="V302" s="65"/>
      <c r="W302" s="58" t="s">
        <v>263</v>
      </c>
      <c r="X302" s="59">
        <v>0</v>
      </c>
      <c r="Y302" s="60" t="s">
        <v>263</v>
      </c>
      <c r="Z302" s="66">
        <v>0</v>
      </c>
      <c r="AA302" s="65"/>
      <c r="AB302" s="60" t="s">
        <v>263</v>
      </c>
      <c r="AC302" s="59">
        <v>0</v>
      </c>
    </row>
    <row r="303" spans="2:29" x14ac:dyDescent="0.3">
      <c r="B303" s="71" t="s">
        <v>2032</v>
      </c>
      <c r="C303" s="65"/>
      <c r="D303" s="58" t="s">
        <v>263</v>
      </c>
      <c r="E303" s="71" t="s">
        <v>2033</v>
      </c>
      <c r="F303" s="65"/>
      <c r="G303" s="58" t="s">
        <v>263</v>
      </c>
      <c r="H303" s="71" t="s">
        <v>2034</v>
      </c>
      <c r="I303" s="65"/>
      <c r="J303" s="65"/>
      <c r="K303" s="65"/>
      <c r="L303" s="58" t="s">
        <v>263</v>
      </c>
      <c r="M303" s="71" t="s">
        <v>2035</v>
      </c>
      <c r="N303" s="65"/>
      <c r="O303" s="58" t="s">
        <v>263</v>
      </c>
      <c r="P303" s="59">
        <v>173</v>
      </c>
      <c r="Q303" s="58" t="s">
        <v>263</v>
      </c>
      <c r="R303" s="58" t="s">
        <v>918</v>
      </c>
      <c r="S303" s="58" t="s">
        <v>263</v>
      </c>
      <c r="T303" s="66">
        <v>0</v>
      </c>
      <c r="U303" s="65"/>
      <c r="V303" s="65"/>
      <c r="W303" s="58" t="s">
        <v>263</v>
      </c>
      <c r="X303" s="59">
        <v>0</v>
      </c>
      <c r="Y303" s="60" t="s">
        <v>263</v>
      </c>
      <c r="Z303" s="66">
        <v>0</v>
      </c>
      <c r="AA303" s="65"/>
      <c r="AB303" s="60" t="s">
        <v>263</v>
      </c>
      <c r="AC303" s="59">
        <v>0</v>
      </c>
    </row>
    <row r="304" spans="2:29" x14ac:dyDescent="0.3">
      <c r="B304" s="71" t="s">
        <v>2036</v>
      </c>
      <c r="C304" s="65"/>
      <c r="D304" s="58" t="s">
        <v>263</v>
      </c>
      <c r="E304" s="71" t="s">
        <v>2037</v>
      </c>
      <c r="F304" s="65"/>
      <c r="G304" s="58" t="s">
        <v>263</v>
      </c>
      <c r="H304" s="71" t="s">
        <v>2038</v>
      </c>
      <c r="I304" s="65"/>
      <c r="J304" s="65"/>
      <c r="K304" s="65"/>
      <c r="L304" s="58" t="s">
        <v>263</v>
      </c>
      <c r="M304" s="71" t="s">
        <v>2039</v>
      </c>
      <c r="N304" s="65"/>
      <c r="O304" s="58" t="s">
        <v>263</v>
      </c>
      <c r="P304" s="59">
        <v>159</v>
      </c>
      <c r="Q304" s="58" t="s">
        <v>263</v>
      </c>
      <c r="R304" s="58" t="s">
        <v>918</v>
      </c>
      <c r="S304" s="58" t="s">
        <v>263</v>
      </c>
      <c r="T304" s="66">
        <v>0</v>
      </c>
      <c r="U304" s="65"/>
      <c r="V304" s="65"/>
      <c r="W304" s="58" t="s">
        <v>263</v>
      </c>
      <c r="X304" s="59">
        <v>0</v>
      </c>
      <c r="Y304" s="60" t="s">
        <v>263</v>
      </c>
      <c r="Z304" s="66">
        <v>0</v>
      </c>
      <c r="AA304" s="65"/>
      <c r="AB304" s="60" t="s">
        <v>263</v>
      </c>
      <c r="AC304" s="59">
        <v>0</v>
      </c>
    </row>
    <row r="305" spans="2:29" x14ac:dyDescent="0.3">
      <c r="B305" s="71" t="s">
        <v>2040</v>
      </c>
      <c r="C305" s="65"/>
      <c r="D305" s="58" t="s">
        <v>263</v>
      </c>
      <c r="E305" s="71" t="s">
        <v>2041</v>
      </c>
      <c r="F305" s="65"/>
      <c r="G305" s="58" t="s">
        <v>263</v>
      </c>
      <c r="H305" s="71" t="s">
        <v>2042</v>
      </c>
      <c r="I305" s="65"/>
      <c r="J305" s="65"/>
      <c r="K305" s="65"/>
      <c r="L305" s="58" t="s">
        <v>263</v>
      </c>
      <c r="M305" s="71" t="s">
        <v>2043</v>
      </c>
      <c r="N305" s="65"/>
      <c r="O305" s="58" t="s">
        <v>263</v>
      </c>
      <c r="P305" s="59">
        <v>113</v>
      </c>
      <c r="Q305" s="58" t="s">
        <v>263</v>
      </c>
      <c r="R305" s="58" t="s">
        <v>918</v>
      </c>
      <c r="S305" s="58" t="s">
        <v>263</v>
      </c>
      <c r="T305" s="66">
        <v>0</v>
      </c>
      <c r="U305" s="65"/>
      <c r="V305" s="65"/>
      <c r="W305" s="58" t="s">
        <v>263</v>
      </c>
      <c r="X305" s="59">
        <v>0</v>
      </c>
      <c r="Y305" s="60" t="s">
        <v>263</v>
      </c>
      <c r="Z305" s="66">
        <v>0</v>
      </c>
      <c r="AA305" s="65"/>
      <c r="AB305" s="60" t="s">
        <v>263</v>
      </c>
      <c r="AC305" s="59">
        <v>0</v>
      </c>
    </row>
    <row r="306" spans="2:29" x14ac:dyDescent="0.3">
      <c r="B306" s="71" t="s">
        <v>2044</v>
      </c>
      <c r="C306" s="65"/>
      <c r="D306" s="58" t="s">
        <v>263</v>
      </c>
      <c r="E306" s="71" t="s">
        <v>2045</v>
      </c>
      <c r="F306" s="65"/>
      <c r="G306" s="58" t="s">
        <v>263</v>
      </c>
      <c r="H306" s="71" t="s">
        <v>2046</v>
      </c>
      <c r="I306" s="65"/>
      <c r="J306" s="65"/>
      <c r="K306" s="65"/>
      <c r="L306" s="58" t="s">
        <v>263</v>
      </c>
      <c r="M306" s="71" t="s">
        <v>2039</v>
      </c>
      <c r="N306" s="65"/>
      <c r="O306" s="58" t="s">
        <v>263</v>
      </c>
      <c r="P306" s="59">
        <v>181</v>
      </c>
      <c r="Q306" s="58" t="s">
        <v>263</v>
      </c>
      <c r="R306" s="58" t="s">
        <v>918</v>
      </c>
      <c r="S306" s="58" t="s">
        <v>263</v>
      </c>
      <c r="T306" s="66">
        <v>0</v>
      </c>
      <c r="U306" s="65"/>
      <c r="V306" s="65"/>
      <c r="W306" s="58" t="s">
        <v>263</v>
      </c>
      <c r="X306" s="59">
        <v>0</v>
      </c>
      <c r="Y306" s="60" t="s">
        <v>263</v>
      </c>
      <c r="Z306" s="66">
        <v>0</v>
      </c>
      <c r="AA306" s="65"/>
      <c r="AB306" s="60" t="s">
        <v>263</v>
      </c>
      <c r="AC306" s="59">
        <v>0</v>
      </c>
    </row>
    <row r="307" spans="2:29" x14ac:dyDescent="0.3">
      <c r="B307" s="71" t="s">
        <v>2047</v>
      </c>
      <c r="C307" s="65"/>
      <c r="D307" s="58" t="s">
        <v>263</v>
      </c>
      <c r="E307" s="71" t="s">
        <v>2048</v>
      </c>
      <c r="F307" s="65"/>
      <c r="G307" s="58" t="s">
        <v>263</v>
      </c>
      <c r="H307" s="71" t="s">
        <v>2049</v>
      </c>
      <c r="I307" s="65"/>
      <c r="J307" s="65"/>
      <c r="K307" s="65"/>
      <c r="L307" s="58" t="s">
        <v>263</v>
      </c>
      <c r="M307" s="71" t="s">
        <v>2050</v>
      </c>
      <c r="N307" s="65"/>
      <c r="O307" s="58" t="s">
        <v>263</v>
      </c>
      <c r="P307" s="59">
        <v>248</v>
      </c>
      <c r="Q307" s="58" t="s">
        <v>263</v>
      </c>
      <c r="R307" s="58" t="s">
        <v>918</v>
      </c>
      <c r="S307" s="58" t="s">
        <v>263</v>
      </c>
      <c r="T307" s="66">
        <v>0</v>
      </c>
      <c r="U307" s="65"/>
      <c r="V307" s="65"/>
      <c r="W307" s="58" t="s">
        <v>263</v>
      </c>
      <c r="X307" s="59">
        <v>0</v>
      </c>
      <c r="Y307" s="60" t="s">
        <v>263</v>
      </c>
      <c r="Z307" s="66">
        <v>0</v>
      </c>
      <c r="AA307" s="65"/>
      <c r="AB307" s="60" t="s">
        <v>263</v>
      </c>
      <c r="AC307" s="59">
        <v>0</v>
      </c>
    </row>
    <row r="308" spans="2:29" x14ac:dyDescent="0.3">
      <c r="B308" s="71" t="s">
        <v>2051</v>
      </c>
      <c r="C308" s="65"/>
      <c r="D308" s="58" t="s">
        <v>263</v>
      </c>
      <c r="E308" s="71" t="s">
        <v>2052</v>
      </c>
      <c r="F308" s="65"/>
      <c r="G308" s="58" t="s">
        <v>263</v>
      </c>
      <c r="H308" s="71" t="s">
        <v>2053</v>
      </c>
      <c r="I308" s="65"/>
      <c r="J308" s="65"/>
      <c r="K308" s="65"/>
      <c r="L308" s="58" t="s">
        <v>263</v>
      </c>
      <c r="M308" s="71" t="s">
        <v>2054</v>
      </c>
      <c r="N308" s="65"/>
      <c r="O308" s="58" t="s">
        <v>263</v>
      </c>
      <c r="P308" s="59">
        <v>182</v>
      </c>
      <c r="Q308" s="58" t="s">
        <v>263</v>
      </c>
      <c r="R308" s="58" t="s">
        <v>918</v>
      </c>
      <c r="S308" s="58" t="s">
        <v>263</v>
      </c>
      <c r="T308" s="66">
        <v>0</v>
      </c>
      <c r="U308" s="65"/>
      <c r="V308" s="65"/>
      <c r="W308" s="58" t="s">
        <v>263</v>
      </c>
      <c r="X308" s="59">
        <v>0</v>
      </c>
      <c r="Y308" s="60" t="s">
        <v>263</v>
      </c>
      <c r="Z308" s="66">
        <v>0</v>
      </c>
      <c r="AA308" s="65"/>
      <c r="AB308" s="60" t="s">
        <v>263</v>
      </c>
      <c r="AC308" s="59">
        <v>0</v>
      </c>
    </row>
    <row r="309" spans="2:29" x14ac:dyDescent="0.3">
      <c r="B309" s="71" t="s">
        <v>2055</v>
      </c>
      <c r="C309" s="65"/>
      <c r="D309" s="58" t="s">
        <v>263</v>
      </c>
      <c r="E309" s="71" t="s">
        <v>2056</v>
      </c>
      <c r="F309" s="65"/>
      <c r="G309" s="58" t="s">
        <v>263</v>
      </c>
      <c r="H309" s="71" t="s">
        <v>2057</v>
      </c>
      <c r="I309" s="65"/>
      <c r="J309" s="65"/>
      <c r="K309" s="65"/>
      <c r="L309" s="58" t="s">
        <v>263</v>
      </c>
      <c r="M309" s="71" t="s">
        <v>2058</v>
      </c>
      <c r="N309" s="65"/>
      <c r="O309" s="58" t="s">
        <v>263</v>
      </c>
      <c r="P309" s="59">
        <v>226</v>
      </c>
      <c r="Q309" s="58" t="s">
        <v>263</v>
      </c>
      <c r="R309" s="58" t="s">
        <v>664</v>
      </c>
      <c r="S309" s="58" t="s">
        <v>263</v>
      </c>
      <c r="T309" s="66">
        <v>226</v>
      </c>
      <c r="U309" s="65"/>
      <c r="V309" s="65"/>
      <c r="W309" s="58" t="s">
        <v>263</v>
      </c>
      <c r="X309" s="59">
        <v>0</v>
      </c>
      <c r="Y309" s="60" t="s">
        <v>263</v>
      </c>
      <c r="Z309" s="66">
        <v>0</v>
      </c>
      <c r="AA309" s="65"/>
      <c r="AB309" s="60" t="s">
        <v>263</v>
      </c>
      <c r="AC309" s="59">
        <v>0</v>
      </c>
    </row>
    <row r="310" spans="2:29" x14ac:dyDescent="0.3">
      <c r="B310" s="71" t="s">
        <v>2059</v>
      </c>
      <c r="C310" s="65"/>
      <c r="D310" s="58" t="s">
        <v>263</v>
      </c>
      <c r="E310" s="71" t="s">
        <v>2060</v>
      </c>
      <c r="F310" s="65"/>
      <c r="G310" s="58" t="s">
        <v>263</v>
      </c>
      <c r="H310" s="71" t="s">
        <v>2061</v>
      </c>
      <c r="I310" s="65"/>
      <c r="J310" s="65"/>
      <c r="K310" s="65"/>
      <c r="L310" s="58" t="s">
        <v>263</v>
      </c>
      <c r="M310" s="71" t="s">
        <v>2043</v>
      </c>
      <c r="N310" s="65"/>
      <c r="O310" s="58" t="s">
        <v>263</v>
      </c>
      <c r="P310" s="59">
        <v>228</v>
      </c>
      <c r="Q310" s="58" t="s">
        <v>263</v>
      </c>
      <c r="R310" s="58" t="s">
        <v>918</v>
      </c>
      <c r="S310" s="58" t="s">
        <v>263</v>
      </c>
      <c r="T310" s="66">
        <v>0</v>
      </c>
      <c r="U310" s="65"/>
      <c r="V310" s="65"/>
      <c r="W310" s="58" t="s">
        <v>263</v>
      </c>
      <c r="X310" s="59">
        <v>0</v>
      </c>
      <c r="Y310" s="60" t="s">
        <v>263</v>
      </c>
      <c r="Z310" s="66">
        <v>0</v>
      </c>
      <c r="AA310" s="65"/>
      <c r="AB310" s="60" t="s">
        <v>263</v>
      </c>
      <c r="AC310" s="59">
        <v>0</v>
      </c>
    </row>
    <row r="311" spans="2:29" x14ac:dyDescent="0.3">
      <c r="B311" s="71" t="s">
        <v>2062</v>
      </c>
      <c r="C311" s="65"/>
      <c r="D311" s="58" t="s">
        <v>263</v>
      </c>
      <c r="E311" s="71" t="s">
        <v>2063</v>
      </c>
      <c r="F311" s="65"/>
      <c r="G311" s="58" t="s">
        <v>263</v>
      </c>
      <c r="H311" s="71" t="s">
        <v>2064</v>
      </c>
      <c r="I311" s="65"/>
      <c r="J311" s="65"/>
      <c r="K311" s="65"/>
      <c r="L311" s="58" t="s">
        <v>263</v>
      </c>
      <c r="M311" s="71" t="s">
        <v>2065</v>
      </c>
      <c r="N311" s="65"/>
      <c r="O311" s="58" t="s">
        <v>263</v>
      </c>
      <c r="P311" s="59">
        <v>104</v>
      </c>
      <c r="Q311" s="58" t="s">
        <v>263</v>
      </c>
      <c r="R311" s="58" t="s">
        <v>918</v>
      </c>
      <c r="S311" s="58" t="s">
        <v>263</v>
      </c>
      <c r="T311" s="66">
        <v>0</v>
      </c>
      <c r="U311" s="65"/>
      <c r="V311" s="65"/>
      <c r="W311" s="58" t="s">
        <v>263</v>
      </c>
      <c r="X311" s="59">
        <v>0</v>
      </c>
      <c r="Y311" s="60" t="s">
        <v>263</v>
      </c>
      <c r="Z311" s="66">
        <v>0</v>
      </c>
      <c r="AA311" s="65"/>
      <c r="AB311" s="60" t="s">
        <v>263</v>
      </c>
      <c r="AC311" s="59">
        <v>0</v>
      </c>
    </row>
    <row r="312" spans="2:29" x14ac:dyDescent="0.3">
      <c r="B312" s="71" t="s">
        <v>2066</v>
      </c>
      <c r="C312" s="65"/>
      <c r="D312" s="58" t="s">
        <v>263</v>
      </c>
      <c r="E312" s="71" t="s">
        <v>2067</v>
      </c>
      <c r="F312" s="65"/>
      <c r="G312" s="58" t="s">
        <v>263</v>
      </c>
      <c r="H312" s="71" t="s">
        <v>2068</v>
      </c>
      <c r="I312" s="65"/>
      <c r="J312" s="65"/>
      <c r="K312" s="65"/>
      <c r="L312" s="58" t="s">
        <v>263</v>
      </c>
      <c r="M312" s="71" t="s">
        <v>2069</v>
      </c>
      <c r="N312" s="65"/>
      <c r="O312" s="58" t="s">
        <v>263</v>
      </c>
      <c r="P312" s="59">
        <v>227</v>
      </c>
      <c r="Q312" s="58" t="s">
        <v>263</v>
      </c>
      <c r="R312" s="58" t="s">
        <v>918</v>
      </c>
      <c r="S312" s="58" t="s">
        <v>263</v>
      </c>
      <c r="T312" s="66">
        <v>0</v>
      </c>
      <c r="U312" s="65"/>
      <c r="V312" s="65"/>
      <c r="W312" s="58" t="s">
        <v>263</v>
      </c>
      <c r="X312" s="59">
        <v>0</v>
      </c>
      <c r="Y312" s="60" t="s">
        <v>263</v>
      </c>
      <c r="Z312" s="66">
        <v>0</v>
      </c>
      <c r="AA312" s="65"/>
      <c r="AB312" s="60" t="s">
        <v>263</v>
      </c>
      <c r="AC312" s="59">
        <v>0</v>
      </c>
    </row>
    <row r="313" spans="2:29" x14ac:dyDescent="0.3">
      <c r="B313" s="71" t="s">
        <v>2070</v>
      </c>
      <c r="C313" s="65"/>
      <c r="D313" s="58" t="s">
        <v>263</v>
      </c>
      <c r="E313" s="71" t="s">
        <v>2071</v>
      </c>
      <c r="F313" s="65"/>
      <c r="G313" s="58" t="s">
        <v>263</v>
      </c>
      <c r="H313" s="71" t="s">
        <v>2072</v>
      </c>
      <c r="I313" s="65"/>
      <c r="J313" s="65"/>
      <c r="K313" s="65"/>
      <c r="L313" s="58" t="s">
        <v>263</v>
      </c>
      <c r="M313" s="71" t="s">
        <v>1417</v>
      </c>
      <c r="N313" s="65"/>
      <c r="O313" s="58" t="s">
        <v>263</v>
      </c>
      <c r="P313" s="59">
        <v>188</v>
      </c>
      <c r="Q313" s="58" t="s">
        <v>263</v>
      </c>
      <c r="R313" s="58" t="s">
        <v>918</v>
      </c>
      <c r="S313" s="58" t="s">
        <v>263</v>
      </c>
      <c r="T313" s="66">
        <v>0</v>
      </c>
      <c r="U313" s="65"/>
      <c r="V313" s="65"/>
      <c r="W313" s="58" t="s">
        <v>263</v>
      </c>
      <c r="X313" s="59">
        <v>0</v>
      </c>
      <c r="Y313" s="60" t="s">
        <v>263</v>
      </c>
      <c r="Z313" s="66">
        <v>0</v>
      </c>
      <c r="AA313" s="65"/>
      <c r="AB313" s="60" t="s">
        <v>263</v>
      </c>
      <c r="AC313" s="59">
        <v>0</v>
      </c>
    </row>
    <row r="314" spans="2:29" x14ac:dyDescent="0.3">
      <c r="B314" s="71" t="s">
        <v>2073</v>
      </c>
      <c r="C314" s="65"/>
      <c r="D314" s="58" t="s">
        <v>263</v>
      </c>
      <c r="E314" s="71" t="s">
        <v>2074</v>
      </c>
      <c r="F314" s="65"/>
      <c r="G314" s="58" t="s">
        <v>263</v>
      </c>
      <c r="H314" s="71" t="s">
        <v>2075</v>
      </c>
      <c r="I314" s="65"/>
      <c r="J314" s="65"/>
      <c r="K314" s="65"/>
      <c r="L314" s="58" t="s">
        <v>263</v>
      </c>
      <c r="M314" s="71" t="s">
        <v>2076</v>
      </c>
      <c r="N314" s="65"/>
      <c r="O314" s="58" t="s">
        <v>263</v>
      </c>
      <c r="P314" s="59">
        <v>168</v>
      </c>
      <c r="Q314" s="58" t="s">
        <v>263</v>
      </c>
      <c r="R314" s="58" t="s">
        <v>918</v>
      </c>
      <c r="S314" s="58" t="s">
        <v>263</v>
      </c>
      <c r="T314" s="66">
        <v>0</v>
      </c>
      <c r="U314" s="65"/>
      <c r="V314" s="65"/>
      <c r="W314" s="58" t="s">
        <v>263</v>
      </c>
      <c r="X314" s="59">
        <v>0</v>
      </c>
      <c r="Y314" s="60" t="s">
        <v>263</v>
      </c>
      <c r="Z314" s="66">
        <v>0</v>
      </c>
      <c r="AA314" s="65"/>
      <c r="AB314" s="60" t="s">
        <v>263</v>
      </c>
      <c r="AC314" s="59">
        <v>0</v>
      </c>
    </row>
    <row r="315" spans="2:29" x14ac:dyDescent="0.3">
      <c r="B315" s="71" t="s">
        <v>2077</v>
      </c>
      <c r="C315" s="65"/>
      <c r="D315" s="58" t="s">
        <v>263</v>
      </c>
      <c r="E315" s="71" t="s">
        <v>2078</v>
      </c>
      <c r="F315" s="65"/>
      <c r="G315" s="58" t="s">
        <v>263</v>
      </c>
      <c r="H315" s="71" t="s">
        <v>2079</v>
      </c>
      <c r="I315" s="65"/>
      <c r="J315" s="65"/>
      <c r="K315" s="65"/>
      <c r="L315" s="58" t="s">
        <v>263</v>
      </c>
      <c r="M315" s="71" t="s">
        <v>2080</v>
      </c>
      <c r="N315" s="65"/>
      <c r="O315" s="58" t="s">
        <v>263</v>
      </c>
      <c r="P315" s="59">
        <v>179</v>
      </c>
      <c r="Q315" s="58" t="s">
        <v>263</v>
      </c>
      <c r="R315" s="58" t="s">
        <v>918</v>
      </c>
      <c r="S315" s="58" t="s">
        <v>263</v>
      </c>
      <c r="T315" s="66">
        <v>0</v>
      </c>
      <c r="U315" s="65"/>
      <c r="V315" s="65"/>
      <c r="W315" s="58" t="s">
        <v>263</v>
      </c>
      <c r="X315" s="59">
        <v>0</v>
      </c>
      <c r="Y315" s="60" t="s">
        <v>263</v>
      </c>
      <c r="Z315" s="66">
        <v>0</v>
      </c>
      <c r="AA315" s="65"/>
      <c r="AB315" s="60" t="s">
        <v>263</v>
      </c>
      <c r="AC315" s="59">
        <v>0</v>
      </c>
    </row>
    <row r="316" spans="2:29" x14ac:dyDescent="0.3">
      <c r="B316" s="71" t="s">
        <v>2081</v>
      </c>
      <c r="C316" s="65"/>
      <c r="D316" s="58" t="s">
        <v>263</v>
      </c>
      <c r="E316" s="71" t="s">
        <v>2082</v>
      </c>
      <c r="F316" s="65"/>
      <c r="G316" s="58" t="s">
        <v>263</v>
      </c>
      <c r="H316" s="71" t="s">
        <v>2083</v>
      </c>
      <c r="I316" s="65"/>
      <c r="J316" s="65"/>
      <c r="K316" s="65"/>
      <c r="L316" s="58" t="s">
        <v>263</v>
      </c>
      <c r="M316" s="71" t="s">
        <v>2084</v>
      </c>
      <c r="N316" s="65"/>
      <c r="O316" s="58" t="s">
        <v>263</v>
      </c>
      <c r="P316" s="59">
        <v>182</v>
      </c>
      <c r="Q316" s="58" t="s">
        <v>263</v>
      </c>
      <c r="R316" s="58" t="s">
        <v>918</v>
      </c>
      <c r="S316" s="58" t="s">
        <v>263</v>
      </c>
      <c r="T316" s="66">
        <v>0</v>
      </c>
      <c r="U316" s="65"/>
      <c r="V316" s="65"/>
      <c r="W316" s="58" t="s">
        <v>263</v>
      </c>
      <c r="X316" s="59">
        <v>0</v>
      </c>
      <c r="Y316" s="60" t="s">
        <v>263</v>
      </c>
      <c r="Z316" s="66">
        <v>0</v>
      </c>
      <c r="AA316" s="65"/>
      <c r="AB316" s="60" t="s">
        <v>263</v>
      </c>
      <c r="AC316" s="59">
        <v>0</v>
      </c>
    </row>
    <row r="317" spans="2:29" x14ac:dyDescent="0.3">
      <c r="B317" s="71" t="s">
        <v>2085</v>
      </c>
      <c r="C317" s="65"/>
      <c r="D317" s="58" t="s">
        <v>263</v>
      </c>
      <c r="E317" s="71" t="s">
        <v>2086</v>
      </c>
      <c r="F317" s="65"/>
      <c r="G317" s="58" t="s">
        <v>263</v>
      </c>
      <c r="H317" s="71" t="s">
        <v>2087</v>
      </c>
      <c r="I317" s="65"/>
      <c r="J317" s="65"/>
      <c r="K317" s="65"/>
      <c r="L317" s="58" t="s">
        <v>263</v>
      </c>
      <c r="M317" s="71" t="s">
        <v>1417</v>
      </c>
      <c r="N317" s="65"/>
      <c r="O317" s="58" t="s">
        <v>263</v>
      </c>
      <c r="P317" s="59">
        <v>179</v>
      </c>
      <c r="Q317" s="58" t="s">
        <v>263</v>
      </c>
      <c r="R317" s="58" t="s">
        <v>1159</v>
      </c>
      <c r="S317" s="58" t="s">
        <v>263</v>
      </c>
      <c r="T317" s="66">
        <v>0</v>
      </c>
      <c r="U317" s="65"/>
      <c r="V317" s="65"/>
      <c r="W317" s="58" t="s">
        <v>263</v>
      </c>
      <c r="X317" s="59">
        <v>-179</v>
      </c>
      <c r="Y317" s="60" t="s">
        <v>263</v>
      </c>
      <c r="Z317" s="66">
        <v>0</v>
      </c>
      <c r="AA317" s="65"/>
      <c r="AB317" s="60" t="s">
        <v>263</v>
      </c>
      <c r="AC317" s="59">
        <v>0</v>
      </c>
    </row>
    <row r="318" spans="2:29" x14ac:dyDescent="0.3">
      <c r="B318" s="71" t="s">
        <v>2088</v>
      </c>
      <c r="C318" s="65"/>
      <c r="D318" s="58" t="s">
        <v>263</v>
      </c>
      <c r="E318" s="71" t="s">
        <v>2089</v>
      </c>
      <c r="F318" s="65"/>
      <c r="G318" s="58" t="s">
        <v>263</v>
      </c>
      <c r="H318" s="71" t="s">
        <v>2090</v>
      </c>
      <c r="I318" s="65"/>
      <c r="J318" s="65"/>
      <c r="K318" s="65"/>
      <c r="L318" s="58" t="s">
        <v>263</v>
      </c>
      <c r="M318" s="71" t="s">
        <v>2091</v>
      </c>
      <c r="N318" s="65"/>
      <c r="O318" s="58" t="s">
        <v>263</v>
      </c>
      <c r="P318" s="59">
        <v>191</v>
      </c>
      <c r="Q318" s="58" t="s">
        <v>263</v>
      </c>
      <c r="R318" s="58" t="s">
        <v>918</v>
      </c>
      <c r="S318" s="58" t="s">
        <v>263</v>
      </c>
      <c r="T318" s="66">
        <v>0</v>
      </c>
      <c r="U318" s="65"/>
      <c r="V318" s="65"/>
      <c r="W318" s="58" t="s">
        <v>263</v>
      </c>
      <c r="X318" s="59">
        <v>0</v>
      </c>
      <c r="Y318" s="60" t="s">
        <v>263</v>
      </c>
      <c r="Z318" s="66">
        <v>0</v>
      </c>
      <c r="AA318" s="65"/>
      <c r="AB318" s="60" t="s">
        <v>263</v>
      </c>
      <c r="AC318" s="59">
        <v>0</v>
      </c>
    </row>
    <row r="319" spans="2:29" x14ac:dyDescent="0.3">
      <c r="B319" s="71" t="s">
        <v>2092</v>
      </c>
      <c r="C319" s="65"/>
      <c r="D319" s="58" t="s">
        <v>263</v>
      </c>
      <c r="E319" s="71" t="s">
        <v>2093</v>
      </c>
      <c r="F319" s="65"/>
      <c r="G319" s="58" t="s">
        <v>263</v>
      </c>
      <c r="H319" s="71" t="s">
        <v>2094</v>
      </c>
      <c r="I319" s="65"/>
      <c r="J319" s="65"/>
      <c r="K319" s="65"/>
      <c r="L319" s="58" t="s">
        <v>263</v>
      </c>
      <c r="M319" s="71" t="s">
        <v>2095</v>
      </c>
      <c r="N319" s="65"/>
      <c r="O319" s="58" t="s">
        <v>263</v>
      </c>
      <c r="P319" s="59">
        <v>164</v>
      </c>
      <c r="Q319" s="58" t="s">
        <v>263</v>
      </c>
      <c r="R319" s="58" t="s">
        <v>918</v>
      </c>
      <c r="S319" s="58" t="s">
        <v>263</v>
      </c>
      <c r="T319" s="66">
        <v>0</v>
      </c>
      <c r="U319" s="65"/>
      <c r="V319" s="65"/>
      <c r="W319" s="58" t="s">
        <v>263</v>
      </c>
      <c r="X319" s="59">
        <v>0</v>
      </c>
      <c r="Y319" s="60" t="s">
        <v>263</v>
      </c>
      <c r="Z319" s="66">
        <v>0</v>
      </c>
      <c r="AA319" s="65"/>
      <c r="AB319" s="60" t="s">
        <v>263</v>
      </c>
      <c r="AC319" s="59">
        <v>0</v>
      </c>
    </row>
    <row r="320" spans="2:29" x14ac:dyDescent="0.3">
      <c r="B320" s="71" t="s">
        <v>2096</v>
      </c>
      <c r="C320" s="65"/>
      <c r="D320" s="58" t="s">
        <v>263</v>
      </c>
      <c r="E320" s="71" t="s">
        <v>2097</v>
      </c>
      <c r="F320" s="65"/>
      <c r="G320" s="58" t="s">
        <v>263</v>
      </c>
      <c r="H320" s="71" t="s">
        <v>2098</v>
      </c>
      <c r="I320" s="65"/>
      <c r="J320" s="65"/>
      <c r="K320" s="65"/>
      <c r="L320" s="58" t="s">
        <v>263</v>
      </c>
      <c r="M320" s="71" t="s">
        <v>2099</v>
      </c>
      <c r="N320" s="65"/>
      <c r="O320" s="58" t="s">
        <v>263</v>
      </c>
      <c r="P320" s="59">
        <v>193</v>
      </c>
      <c r="Q320" s="58" t="s">
        <v>263</v>
      </c>
      <c r="R320" s="58" t="s">
        <v>1159</v>
      </c>
      <c r="S320" s="58" t="s">
        <v>263</v>
      </c>
      <c r="T320" s="66">
        <v>0</v>
      </c>
      <c r="U320" s="65"/>
      <c r="V320" s="65"/>
      <c r="W320" s="58" t="s">
        <v>263</v>
      </c>
      <c r="X320" s="59">
        <v>-193</v>
      </c>
      <c r="Y320" s="60" t="s">
        <v>263</v>
      </c>
      <c r="Z320" s="66">
        <v>0</v>
      </c>
      <c r="AA320" s="65"/>
      <c r="AB320" s="60" t="s">
        <v>263</v>
      </c>
      <c r="AC320" s="59">
        <v>0</v>
      </c>
    </row>
    <row r="321" spans="2:29" x14ac:dyDescent="0.3">
      <c r="B321" s="71" t="s">
        <v>2100</v>
      </c>
      <c r="C321" s="65"/>
      <c r="D321" s="58" t="s">
        <v>263</v>
      </c>
      <c r="E321" s="71" t="s">
        <v>2101</v>
      </c>
      <c r="F321" s="65"/>
      <c r="G321" s="58" t="s">
        <v>263</v>
      </c>
      <c r="H321" s="71" t="s">
        <v>2102</v>
      </c>
      <c r="I321" s="65"/>
      <c r="J321" s="65"/>
      <c r="K321" s="65"/>
      <c r="L321" s="58" t="s">
        <v>263</v>
      </c>
      <c r="M321" s="71" t="s">
        <v>2103</v>
      </c>
      <c r="N321" s="65"/>
      <c r="O321" s="58" t="s">
        <v>263</v>
      </c>
      <c r="P321" s="59">
        <v>224</v>
      </c>
      <c r="Q321" s="58" t="s">
        <v>263</v>
      </c>
      <c r="R321" s="58" t="s">
        <v>2104</v>
      </c>
      <c r="S321" s="58" t="s">
        <v>263</v>
      </c>
      <c r="T321" s="66">
        <v>672</v>
      </c>
      <c r="U321" s="65"/>
      <c r="V321" s="65"/>
      <c r="W321" s="58" t="s">
        <v>263</v>
      </c>
      <c r="X321" s="59">
        <v>0</v>
      </c>
      <c r="Y321" s="60" t="s">
        <v>263</v>
      </c>
      <c r="Z321" s="66">
        <v>0</v>
      </c>
      <c r="AA321" s="65"/>
      <c r="AB321" s="60" t="s">
        <v>263</v>
      </c>
      <c r="AC321" s="59">
        <v>25</v>
      </c>
    </row>
    <row r="322" spans="2:29" x14ac:dyDescent="0.3">
      <c r="B322" s="71" t="s">
        <v>2105</v>
      </c>
      <c r="C322" s="65"/>
      <c r="D322" s="58" t="s">
        <v>263</v>
      </c>
      <c r="E322" s="71" t="s">
        <v>2101</v>
      </c>
      <c r="F322" s="65"/>
      <c r="G322" s="58" t="s">
        <v>263</v>
      </c>
      <c r="H322" s="71" t="s">
        <v>2102</v>
      </c>
      <c r="I322" s="65"/>
      <c r="J322" s="65"/>
      <c r="K322" s="65"/>
      <c r="L322" s="58" t="s">
        <v>263</v>
      </c>
      <c r="M322" s="71" t="s">
        <v>1124</v>
      </c>
      <c r="N322" s="65"/>
      <c r="O322" s="58" t="s">
        <v>263</v>
      </c>
      <c r="P322" s="59">
        <v>224</v>
      </c>
      <c r="Q322" s="58" t="s">
        <v>263</v>
      </c>
      <c r="R322" s="58" t="s">
        <v>2106</v>
      </c>
      <c r="S322" s="58" t="s">
        <v>263</v>
      </c>
      <c r="T322" s="66">
        <v>372</v>
      </c>
      <c r="U322" s="65"/>
      <c r="V322" s="65"/>
      <c r="W322" s="58" t="s">
        <v>263</v>
      </c>
      <c r="X322" s="59">
        <v>0</v>
      </c>
      <c r="Y322" s="60" t="s">
        <v>263</v>
      </c>
      <c r="Z322" s="66">
        <v>0</v>
      </c>
      <c r="AA322" s="65"/>
      <c r="AB322" s="60" t="s">
        <v>263</v>
      </c>
      <c r="AC322" s="59">
        <v>0</v>
      </c>
    </row>
    <row r="323" spans="2:29" x14ac:dyDescent="0.3">
      <c r="B323" s="71" t="s">
        <v>2107</v>
      </c>
      <c r="C323" s="65"/>
      <c r="D323" s="58" t="s">
        <v>263</v>
      </c>
      <c r="E323" s="71" t="s">
        <v>2108</v>
      </c>
      <c r="F323" s="65"/>
      <c r="G323" s="58" t="s">
        <v>263</v>
      </c>
      <c r="H323" s="71" t="s">
        <v>2109</v>
      </c>
      <c r="I323" s="65"/>
      <c r="J323" s="65"/>
      <c r="K323" s="65"/>
      <c r="L323" s="58" t="s">
        <v>263</v>
      </c>
      <c r="M323" s="71" t="s">
        <v>2110</v>
      </c>
      <c r="N323" s="65"/>
      <c r="O323" s="58" t="s">
        <v>263</v>
      </c>
      <c r="P323" s="59">
        <v>186</v>
      </c>
      <c r="Q323" s="58" t="s">
        <v>263</v>
      </c>
      <c r="R323" s="58" t="s">
        <v>918</v>
      </c>
      <c r="S323" s="58" t="s">
        <v>263</v>
      </c>
      <c r="T323" s="66">
        <v>0</v>
      </c>
      <c r="U323" s="65"/>
      <c r="V323" s="65"/>
      <c r="W323" s="58" t="s">
        <v>263</v>
      </c>
      <c r="X323" s="59">
        <v>0</v>
      </c>
      <c r="Y323" s="60" t="s">
        <v>263</v>
      </c>
      <c r="Z323" s="66">
        <v>0</v>
      </c>
      <c r="AA323" s="65"/>
      <c r="AB323" s="60" t="s">
        <v>263</v>
      </c>
      <c r="AC323" s="59">
        <v>0</v>
      </c>
    </row>
    <row r="324" spans="2:29" x14ac:dyDescent="0.3">
      <c r="B324" s="71" t="s">
        <v>2111</v>
      </c>
      <c r="C324" s="65"/>
      <c r="D324" s="58" t="s">
        <v>263</v>
      </c>
      <c r="E324" s="71" t="s">
        <v>2112</v>
      </c>
      <c r="F324" s="65"/>
      <c r="G324" s="58" t="s">
        <v>263</v>
      </c>
      <c r="H324" s="71" t="s">
        <v>2113</v>
      </c>
      <c r="I324" s="65"/>
      <c r="J324" s="65"/>
      <c r="K324" s="65"/>
      <c r="L324" s="58" t="s">
        <v>263</v>
      </c>
      <c r="M324" s="71" t="s">
        <v>2114</v>
      </c>
      <c r="N324" s="65"/>
      <c r="O324" s="58" t="s">
        <v>263</v>
      </c>
      <c r="P324" s="59">
        <v>113</v>
      </c>
      <c r="Q324" s="58" t="s">
        <v>263</v>
      </c>
      <c r="R324" s="58" t="s">
        <v>918</v>
      </c>
      <c r="S324" s="58" t="s">
        <v>263</v>
      </c>
      <c r="T324" s="66">
        <v>0</v>
      </c>
      <c r="U324" s="65"/>
      <c r="V324" s="65"/>
      <c r="W324" s="58" t="s">
        <v>263</v>
      </c>
      <c r="X324" s="59">
        <v>0</v>
      </c>
      <c r="Y324" s="60" t="s">
        <v>263</v>
      </c>
      <c r="Z324" s="66">
        <v>0</v>
      </c>
      <c r="AA324" s="65"/>
      <c r="AB324" s="60" t="s">
        <v>263</v>
      </c>
      <c r="AC324" s="59">
        <v>0</v>
      </c>
    </row>
    <row r="325" spans="2:29" x14ac:dyDescent="0.3">
      <c r="B325" s="71" t="s">
        <v>2115</v>
      </c>
      <c r="C325" s="65"/>
      <c r="D325" s="58" t="s">
        <v>263</v>
      </c>
      <c r="E325" s="71" t="s">
        <v>2116</v>
      </c>
      <c r="F325" s="65"/>
      <c r="G325" s="58" t="s">
        <v>263</v>
      </c>
      <c r="H325" s="71" t="s">
        <v>2117</v>
      </c>
      <c r="I325" s="65"/>
      <c r="J325" s="65"/>
      <c r="K325" s="65"/>
      <c r="L325" s="58" t="s">
        <v>263</v>
      </c>
      <c r="M325" s="71" t="s">
        <v>1124</v>
      </c>
      <c r="N325" s="65"/>
      <c r="O325" s="58" t="s">
        <v>263</v>
      </c>
      <c r="P325" s="59">
        <v>192</v>
      </c>
      <c r="Q325" s="58" t="s">
        <v>263</v>
      </c>
      <c r="R325" s="58" t="s">
        <v>918</v>
      </c>
      <c r="S325" s="58" t="s">
        <v>263</v>
      </c>
      <c r="T325" s="66">
        <v>0</v>
      </c>
      <c r="U325" s="65"/>
      <c r="V325" s="65"/>
      <c r="W325" s="58" t="s">
        <v>263</v>
      </c>
      <c r="X325" s="59">
        <v>0</v>
      </c>
      <c r="Y325" s="60" t="s">
        <v>263</v>
      </c>
      <c r="Z325" s="66">
        <v>0</v>
      </c>
      <c r="AA325" s="65"/>
      <c r="AB325" s="60" t="s">
        <v>263</v>
      </c>
      <c r="AC325" s="59">
        <v>0</v>
      </c>
    </row>
    <row r="326" spans="2:29" x14ac:dyDescent="0.3">
      <c r="B326" s="71" t="s">
        <v>2118</v>
      </c>
      <c r="C326" s="65"/>
      <c r="D326" s="58" t="s">
        <v>263</v>
      </c>
      <c r="E326" s="71" t="s">
        <v>2119</v>
      </c>
      <c r="F326" s="65"/>
      <c r="G326" s="58" t="s">
        <v>263</v>
      </c>
      <c r="H326" s="71" t="s">
        <v>2120</v>
      </c>
      <c r="I326" s="65"/>
      <c r="J326" s="65"/>
      <c r="K326" s="65"/>
      <c r="L326" s="58" t="s">
        <v>263</v>
      </c>
      <c r="M326" s="71" t="s">
        <v>1863</v>
      </c>
      <c r="N326" s="65"/>
      <c r="O326" s="58" t="s">
        <v>263</v>
      </c>
      <c r="P326" s="59">
        <v>176</v>
      </c>
      <c r="Q326" s="58" t="s">
        <v>263</v>
      </c>
      <c r="R326" s="58" t="s">
        <v>918</v>
      </c>
      <c r="S326" s="58" t="s">
        <v>263</v>
      </c>
      <c r="T326" s="66">
        <v>0</v>
      </c>
      <c r="U326" s="65"/>
      <c r="V326" s="65"/>
      <c r="W326" s="58" t="s">
        <v>263</v>
      </c>
      <c r="X326" s="59">
        <v>0</v>
      </c>
      <c r="Y326" s="60" t="s">
        <v>263</v>
      </c>
      <c r="Z326" s="66">
        <v>0</v>
      </c>
      <c r="AA326" s="65"/>
      <c r="AB326" s="60" t="s">
        <v>263</v>
      </c>
      <c r="AC326" s="59">
        <v>0</v>
      </c>
    </row>
    <row r="327" spans="2:29" x14ac:dyDescent="0.3">
      <c r="B327" s="71" t="s">
        <v>2121</v>
      </c>
      <c r="C327" s="65"/>
      <c r="D327" s="58" t="s">
        <v>263</v>
      </c>
      <c r="E327" s="71" t="s">
        <v>2122</v>
      </c>
      <c r="F327" s="65"/>
      <c r="G327" s="58" t="s">
        <v>263</v>
      </c>
      <c r="H327" s="71" t="s">
        <v>2123</v>
      </c>
      <c r="I327" s="65"/>
      <c r="J327" s="65"/>
      <c r="K327" s="65"/>
      <c r="L327" s="58" t="s">
        <v>263</v>
      </c>
      <c r="M327" s="71" t="s">
        <v>1964</v>
      </c>
      <c r="N327" s="65"/>
      <c r="O327" s="58" t="s">
        <v>263</v>
      </c>
      <c r="P327" s="59">
        <v>121</v>
      </c>
      <c r="Q327" s="58" t="s">
        <v>263</v>
      </c>
      <c r="R327" s="58" t="s">
        <v>918</v>
      </c>
      <c r="S327" s="58" t="s">
        <v>263</v>
      </c>
      <c r="T327" s="66">
        <v>0</v>
      </c>
      <c r="U327" s="65"/>
      <c r="V327" s="65"/>
      <c r="W327" s="58" t="s">
        <v>263</v>
      </c>
      <c r="X327" s="59">
        <v>0</v>
      </c>
      <c r="Y327" s="60" t="s">
        <v>263</v>
      </c>
      <c r="Z327" s="66">
        <v>0</v>
      </c>
      <c r="AA327" s="65"/>
      <c r="AB327" s="60" t="s">
        <v>263</v>
      </c>
      <c r="AC327" s="59">
        <v>0</v>
      </c>
    </row>
    <row r="328" spans="2:29" x14ac:dyDescent="0.3">
      <c r="B328" s="71" t="s">
        <v>2124</v>
      </c>
      <c r="C328" s="65"/>
      <c r="D328" s="58" t="s">
        <v>263</v>
      </c>
      <c r="E328" s="71" t="s">
        <v>2125</v>
      </c>
      <c r="F328" s="65"/>
      <c r="G328" s="58" t="s">
        <v>263</v>
      </c>
      <c r="H328" s="71" t="s">
        <v>2126</v>
      </c>
      <c r="I328" s="65"/>
      <c r="J328" s="65"/>
      <c r="K328" s="65"/>
      <c r="L328" s="58" t="s">
        <v>263</v>
      </c>
      <c r="M328" s="71" t="s">
        <v>2127</v>
      </c>
      <c r="N328" s="65"/>
      <c r="O328" s="58" t="s">
        <v>263</v>
      </c>
      <c r="P328" s="59">
        <v>306</v>
      </c>
      <c r="Q328" s="58" t="s">
        <v>263</v>
      </c>
      <c r="R328" s="58" t="s">
        <v>918</v>
      </c>
      <c r="S328" s="58" t="s">
        <v>263</v>
      </c>
      <c r="T328" s="66">
        <v>0</v>
      </c>
      <c r="U328" s="65"/>
      <c r="V328" s="65"/>
      <c r="W328" s="58" t="s">
        <v>263</v>
      </c>
      <c r="X328" s="59">
        <v>0</v>
      </c>
      <c r="Y328" s="60" t="s">
        <v>263</v>
      </c>
      <c r="Z328" s="66">
        <v>0</v>
      </c>
      <c r="AA328" s="65"/>
      <c r="AB328" s="60" t="s">
        <v>263</v>
      </c>
      <c r="AC328" s="59">
        <v>0</v>
      </c>
    </row>
    <row r="329" spans="2:29" x14ac:dyDescent="0.3">
      <c r="B329" s="71" t="s">
        <v>2128</v>
      </c>
      <c r="C329" s="65"/>
      <c r="D329" s="58" t="s">
        <v>263</v>
      </c>
      <c r="E329" s="71" t="s">
        <v>2125</v>
      </c>
      <c r="F329" s="65"/>
      <c r="G329" s="58" t="s">
        <v>263</v>
      </c>
      <c r="H329" s="71" t="s">
        <v>2126</v>
      </c>
      <c r="I329" s="65"/>
      <c r="J329" s="65"/>
      <c r="K329" s="65"/>
      <c r="L329" s="58" t="s">
        <v>263</v>
      </c>
      <c r="M329" s="71" t="s">
        <v>2129</v>
      </c>
      <c r="N329" s="65"/>
      <c r="O329" s="58" t="s">
        <v>263</v>
      </c>
      <c r="P329" s="59">
        <v>310</v>
      </c>
      <c r="Q329" s="58" t="s">
        <v>263</v>
      </c>
      <c r="R329" s="58" t="s">
        <v>918</v>
      </c>
      <c r="S329" s="58" t="s">
        <v>263</v>
      </c>
      <c r="T329" s="66">
        <v>0</v>
      </c>
      <c r="U329" s="65"/>
      <c r="V329" s="65"/>
      <c r="W329" s="58" t="s">
        <v>263</v>
      </c>
      <c r="X329" s="59">
        <v>0</v>
      </c>
      <c r="Y329" s="60" t="s">
        <v>263</v>
      </c>
      <c r="Z329" s="66">
        <v>0</v>
      </c>
      <c r="AA329" s="65"/>
      <c r="AB329" s="60" t="s">
        <v>263</v>
      </c>
      <c r="AC329" s="59">
        <v>0</v>
      </c>
    </row>
    <row r="330" spans="2:29" x14ac:dyDescent="0.3">
      <c r="B330" s="71" t="s">
        <v>2130</v>
      </c>
      <c r="C330" s="65"/>
      <c r="D330" s="58" t="s">
        <v>263</v>
      </c>
      <c r="E330" s="71" t="s">
        <v>2131</v>
      </c>
      <c r="F330" s="65"/>
      <c r="G330" s="58" t="s">
        <v>263</v>
      </c>
      <c r="H330" s="71" t="s">
        <v>2132</v>
      </c>
      <c r="I330" s="65"/>
      <c r="J330" s="65"/>
      <c r="K330" s="65"/>
      <c r="L330" s="58" t="s">
        <v>263</v>
      </c>
      <c r="M330" s="71" t="s">
        <v>2133</v>
      </c>
      <c r="N330" s="65"/>
      <c r="O330" s="58" t="s">
        <v>263</v>
      </c>
      <c r="P330" s="59">
        <v>456</v>
      </c>
      <c r="Q330" s="58" t="s">
        <v>263</v>
      </c>
      <c r="R330" s="58" t="s">
        <v>918</v>
      </c>
      <c r="S330" s="58" t="s">
        <v>263</v>
      </c>
      <c r="T330" s="66">
        <v>0</v>
      </c>
      <c r="U330" s="65"/>
      <c r="V330" s="65"/>
      <c r="W330" s="58" t="s">
        <v>263</v>
      </c>
      <c r="X330" s="59">
        <v>0</v>
      </c>
      <c r="Y330" s="60" t="s">
        <v>263</v>
      </c>
      <c r="Z330" s="66">
        <v>0</v>
      </c>
      <c r="AA330" s="65"/>
      <c r="AB330" s="60" t="s">
        <v>263</v>
      </c>
      <c r="AC330" s="59">
        <v>0</v>
      </c>
    </row>
    <row r="331" spans="2:29" x14ac:dyDescent="0.3">
      <c r="B331" s="71" t="s">
        <v>2134</v>
      </c>
      <c r="C331" s="65"/>
      <c r="D331" s="58" t="s">
        <v>263</v>
      </c>
      <c r="E331" s="71" t="s">
        <v>2135</v>
      </c>
      <c r="F331" s="65"/>
      <c r="G331" s="58" t="s">
        <v>263</v>
      </c>
      <c r="H331" s="71" t="s">
        <v>2136</v>
      </c>
      <c r="I331" s="65"/>
      <c r="J331" s="65"/>
      <c r="K331" s="65"/>
      <c r="L331" s="58" t="s">
        <v>263</v>
      </c>
      <c r="M331" s="71" t="s">
        <v>2137</v>
      </c>
      <c r="N331" s="65"/>
      <c r="O331" s="58" t="s">
        <v>263</v>
      </c>
      <c r="P331" s="59">
        <v>181</v>
      </c>
      <c r="Q331" s="58" t="s">
        <v>263</v>
      </c>
      <c r="R331" s="58" t="s">
        <v>918</v>
      </c>
      <c r="S331" s="58" t="s">
        <v>263</v>
      </c>
      <c r="T331" s="66">
        <v>0</v>
      </c>
      <c r="U331" s="65"/>
      <c r="V331" s="65"/>
      <c r="W331" s="58" t="s">
        <v>263</v>
      </c>
      <c r="X331" s="59">
        <v>0</v>
      </c>
      <c r="Y331" s="60" t="s">
        <v>263</v>
      </c>
      <c r="Z331" s="66">
        <v>0</v>
      </c>
      <c r="AA331" s="65"/>
      <c r="AB331" s="60" t="s">
        <v>263</v>
      </c>
      <c r="AC331" s="59">
        <v>0</v>
      </c>
    </row>
    <row r="332" spans="2:29" x14ac:dyDescent="0.3">
      <c r="B332" s="71" t="s">
        <v>2138</v>
      </c>
      <c r="C332" s="65"/>
      <c r="D332" s="58" t="s">
        <v>263</v>
      </c>
      <c r="E332" s="71" t="s">
        <v>2139</v>
      </c>
      <c r="F332" s="65"/>
      <c r="G332" s="58" t="s">
        <v>263</v>
      </c>
      <c r="H332" s="71" t="s">
        <v>2140</v>
      </c>
      <c r="I332" s="65"/>
      <c r="J332" s="65"/>
      <c r="K332" s="65"/>
      <c r="L332" s="58" t="s">
        <v>263</v>
      </c>
      <c r="M332" s="71" t="s">
        <v>2133</v>
      </c>
      <c r="N332" s="65"/>
      <c r="O332" s="58" t="s">
        <v>263</v>
      </c>
      <c r="P332" s="59">
        <v>148</v>
      </c>
      <c r="Q332" s="58" t="s">
        <v>263</v>
      </c>
      <c r="R332" s="58" t="s">
        <v>918</v>
      </c>
      <c r="S332" s="58" t="s">
        <v>263</v>
      </c>
      <c r="T332" s="66">
        <v>0</v>
      </c>
      <c r="U332" s="65"/>
      <c r="V332" s="65"/>
      <c r="W332" s="58" t="s">
        <v>263</v>
      </c>
      <c r="X332" s="59">
        <v>0</v>
      </c>
      <c r="Y332" s="60" t="s">
        <v>263</v>
      </c>
      <c r="Z332" s="66">
        <v>0</v>
      </c>
      <c r="AA332" s="65"/>
      <c r="AB332" s="60" t="s">
        <v>263</v>
      </c>
      <c r="AC332" s="59">
        <v>0</v>
      </c>
    </row>
    <row r="333" spans="2:29" x14ac:dyDescent="0.3">
      <c r="B333" s="71" t="s">
        <v>2141</v>
      </c>
      <c r="C333" s="65"/>
      <c r="D333" s="58" t="s">
        <v>263</v>
      </c>
      <c r="E333" s="71" t="s">
        <v>2142</v>
      </c>
      <c r="F333" s="65"/>
      <c r="G333" s="58" t="s">
        <v>263</v>
      </c>
      <c r="H333" s="71" t="s">
        <v>2143</v>
      </c>
      <c r="I333" s="65"/>
      <c r="J333" s="65"/>
      <c r="K333" s="65"/>
      <c r="L333" s="58" t="s">
        <v>263</v>
      </c>
      <c r="M333" s="71" t="s">
        <v>2144</v>
      </c>
      <c r="N333" s="65"/>
      <c r="O333" s="58" t="s">
        <v>263</v>
      </c>
      <c r="P333" s="59">
        <v>365</v>
      </c>
      <c r="Q333" s="58" t="s">
        <v>263</v>
      </c>
      <c r="R333" s="58" t="s">
        <v>918</v>
      </c>
      <c r="S333" s="58" t="s">
        <v>263</v>
      </c>
      <c r="T333" s="66">
        <v>0</v>
      </c>
      <c r="U333" s="65"/>
      <c r="V333" s="65"/>
      <c r="W333" s="58" t="s">
        <v>263</v>
      </c>
      <c r="X333" s="59">
        <v>0</v>
      </c>
      <c r="Y333" s="60" t="s">
        <v>263</v>
      </c>
      <c r="Z333" s="66">
        <v>0</v>
      </c>
      <c r="AA333" s="65"/>
      <c r="AB333" s="60" t="s">
        <v>263</v>
      </c>
      <c r="AC333" s="59">
        <v>0</v>
      </c>
    </row>
    <row r="334" spans="2:29" x14ac:dyDescent="0.3">
      <c r="B334" s="71" t="s">
        <v>2145</v>
      </c>
      <c r="C334" s="65"/>
      <c r="D334" s="58" t="s">
        <v>263</v>
      </c>
      <c r="E334" s="71" t="s">
        <v>2142</v>
      </c>
      <c r="F334" s="65"/>
      <c r="G334" s="58" t="s">
        <v>263</v>
      </c>
      <c r="H334" s="71" t="s">
        <v>2143</v>
      </c>
      <c r="I334" s="65"/>
      <c r="J334" s="65"/>
      <c r="K334" s="65"/>
      <c r="L334" s="58" t="s">
        <v>263</v>
      </c>
      <c r="M334" s="71" t="s">
        <v>2146</v>
      </c>
      <c r="N334" s="65"/>
      <c r="O334" s="58" t="s">
        <v>263</v>
      </c>
      <c r="P334" s="59">
        <v>196</v>
      </c>
      <c r="Q334" s="58" t="s">
        <v>263</v>
      </c>
      <c r="R334" s="58" t="s">
        <v>918</v>
      </c>
      <c r="S334" s="58" t="s">
        <v>263</v>
      </c>
      <c r="T334" s="66">
        <v>0</v>
      </c>
      <c r="U334" s="65"/>
      <c r="V334" s="65"/>
      <c r="W334" s="58" t="s">
        <v>263</v>
      </c>
      <c r="X334" s="59">
        <v>0</v>
      </c>
      <c r="Y334" s="60" t="s">
        <v>263</v>
      </c>
      <c r="Z334" s="66">
        <v>0</v>
      </c>
      <c r="AA334" s="65"/>
      <c r="AB334" s="60" t="s">
        <v>263</v>
      </c>
      <c r="AC334" s="59">
        <v>0</v>
      </c>
    </row>
    <row r="335" spans="2:29" x14ac:dyDescent="0.3">
      <c r="B335" s="71" t="s">
        <v>2147</v>
      </c>
      <c r="C335" s="65"/>
      <c r="D335" s="58" t="s">
        <v>263</v>
      </c>
      <c r="E335" s="71" t="s">
        <v>2148</v>
      </c>
      <c r="F335" s="65"/>
      <c r="G335" s="58" t="s">
        <v>263</v>
      </c>
      <c r="H335" s="71" t="s">
        <v>2149</v>
      </c>
      <c r="I335" s="65"/>
      <c r="J335" s="65"/>
      <c r="K335" s="65"/>
      <c r="L335" s="58" t="s">
        <v>263</v>
      </c>
      <c r="M335" s="71" t="s">
        <v>2150</v>
      </c>
      <c r="N335" s="65"/>
      <c r="O335" s="58" t="s">
        <v>263</v>
      </c>
      <c r="P335" s="59">
        <v>219</v>
      </c>
      <c r="Q335" s="58" t="s">
        <v>263</v>
      </c>
      <c r="R335" s="58" t="s">
        <v>918</v>
      </c>
      <c r="S335" s="58" t="s">
        <v>263</v>
      </c>
      <c r="T335" s="66">
        <v>0</v>
      </c>
      <c r="U335" s="65"/>
      <c r="V335" s="65"/>
      <c r="W335" s="58" t="s">
        <v>263</v>
      </c>
      <c r="X335" s="59">
        <v>0</v>
      </c>
      <c r="Y335" s="60" t="s">
        <v>263</v>
      </c>
      <c r="Z335" s="66">
        <v>0</v>
      </c>
      <c r="AA335" s="65"/>
      <c r="AB335" s="60" t="s">
        <v>263</v>
      </c>
      <c r="AC335" s="59">
        <v>0</v>
      </c>
    </row>
    <row r="336" spans="2:29" x14ac:dyDescent="0.3">
      <c r="B336" s="71" t="s">
        <v>2151</v>
      </c>
      <c r="C336" s="65"/>
      <c r="D336" s="58" t="s">
        <v>263</v>
      </c>
      <c r="E336" s="71" t="s">
        <v>2152</v>
      </c>
      <c r="F336" s="65"/>
      <c r="G336" s="58" t="s">
        <v>263</v>
      </c>
      <c r="H336" s="71" t="s">
        <v>2153</v>
      </c>
      <c r="I336" s="65"/>
      <c r="J336" s="65"/>
      <c r="K336" s="65"/>
      <c r="L336" s="58" t="s">
        <v>263</v>
      </c>
      <c r="M336" s="71" t="s">
        <v>2137</v>
      </c>
      <c r="N336" s="65"/>
      <c r="O336" s="58" t="s">
        <v>263</v>
      </c>
      <c r="P336" s="59">
        <v>120</v>
      </c>
      <c r="Q336" s="58" t="s">
        <v>263</v>
      </c>
      <c r="R336" s="58" t="s">
        <v>918</v>
      </c>
      <c r="S336" s="58" t="s">
        <v>263</v>
      </c>
      <c r="T336" s="66">
        <v>0</v>
      </c>
      <c r="U336" s="65"/>
      <c r="V336" s="65"/>
      <c r="W336" s="58" t="s">
        <v>263</v>
      </c>
      <c r="X336" s="59">
        <v>0</v>
      </c>
      <c r="Y336" s="60" t="s">
        <v>263</v>
      </c>
      <c r="Z336" s="66">
        <v>0</v>
      </c>
      <c r="AA336" s="65"/>
      <c r="AB336" s="60" t="s">
        <v>263</v>
      </c>
      <c r="AC336" s="59">
        <v>0</v>
      </c>
    </row>
    <row r="337" spans="2:29" x14ac:dyDescent="0.3">
      <c r="B337" s="71" t="s">
        <v>2154</v>
      </c>
      <c r="C337" s="65"/>
      <c r="D337" s="58" t="s">
        <v>263</v>
      </c>
      <c r="E337" s="71" t="s">
        <v>2155</v>
      </c>
      <c r="F337" s="65"/>
      <c r="G337" s="58" t="s">
        <v>263</v>
      </c>
      <c r="H337" s="71" t="s">
        <v>2156</v>
      </c>
      <c r="I337" s="65"/>
      <c r="J337" s="65"/>
      <c r="K337" s="65"/>
      <c r="L337" s="58" t="s">
        <v>263</v>
      </c>
      <c r="M337" s="71" t="s">
        <v>2157</v>
      </c>
      <c r="N337" s="65"/>
      <c r="O337" s="58" t="s">
        <v>263</v>
      </c>
      <c r="P337" s="59">
        <v>188</v>
      </c>
      <c r="Q337" s="58" t="s">
        <v>263</v>
      </c>
      <c r="R337" s="58" t="s">
        <v>918</v>
      </c>
      <c r="S337" s="58" t="s">
        <v>263</v>
      </c>
      <c r="T337" s="66">
        <v>0</v>
      </c>
      <c r="U337" s="65"/>
      <c r="V337" s="65"/>
      <c r="W337" s="58" t="s">
        <v>263</v>
      </c>
      <c r="X337" s="59">
        <v>0</v>
      </c>
      <c r="Y337" s="60" t="s">
        <v>263</v>
      </c>
      <c r="Z337" s="66">
        <v>0</v>
      </c>
      <c r="AA337" s="65"/>
      <c r="AB337" s="60" t="s">
        <v>263</v>
      </c>
      <c r="AC337" s="59">
        <v>0</v>
      </c>
    </row>
    <row r="338" spans="2:29" x14ac:dyDescent="0.3">
      <c r="B338" s="71" t="s">
        <v>2158</v>
      </c>
      <c r="C338" s="65"/>
      <c r="D338" s="58" t="s">
        <v>263</v>
      </c>
      <c r="E338" s="71" t="s">
        <v>2159</v>
      </c>
      <c r="F338" s="65"/>
      <c r="G338" s="58" t="s">
        <v>263</v>
      </c>
      <c r="H338" s="71" t="s">
        <v>2160</v>
      </c>
      <c r="I338" s="65"/>
      <c r="J338" s="65"/>
      <c r="K338" s="65"/>
      <c r="L338" s="58" t="s">
        <v>263</v>
      </c>
      <c r="M338" s="71" t="s">
        <v>2161</v>
      </c>
      <c r="N338" s="65"/>
      <c r="O338" s="58" t="s">
        <v>263</v>
      </c>
      <c r="P338" s="59">
        <v>287</v>
      </c>
      <c r="Q338" s="58" t="s">
        <v>263</v>
      </c>
      <c r="R338" s="58" t="s">
        <v>918</v>
      </c>
      <c r="S338" s="58" t="s">
        <v>263</v>
      </c>
      <c r="T338" s="66">
        <v>0</v>
      </c>
      <c r="U338" s="65"/>
      <c r="V338" s="65"/>
      <c r="W338" s="58" t="s">
        <v>263</v>
      </c>
      <c r="X338" s="59">
        <v>0</v>
      </c>
      <c r="Y338" s="60" t="s">
        <v>263</v>
      </c>
      <c r="Z338" s="66">
        <v>0</v>
      </c>
      <c r="AA338" s="65"/>
      <c r="AB338" s="60" t="s">
        <v>263</v>
      </c>
      <c r="AC338" s="59">
        <v>0</v>
      </c>
    </row>
    <row r="339" spans="2:29" x14ac:dyDescent="0.3">
      <c r="B339" s="71" t="s">
        <v>2162</v>
      </c>
      <c r="C339" s="65"/>
      <c r="D339" s="58" t="s">
        <v>263</v>
      </c>
      <c r="E339" s="71" t="s">
        <v>2163</v>
      </c>
      <c r="F339" s="65"/>
      <c r="G339" s="58" t="s">
        <v>263</v>
      </c>
      <c r="H339" s="71" t="s">
        <v>2164</v>
      </c>
      <c r="I339" s="65"/>
      <c r="J339" s="65"/>
      <c r="K339" s="65"/>
      <c r="L339" s="58" t="s">
        <v>263</v>
      </c>
      <c r="M339" s="71" t="s">
        <v>2058</v>
      </c>
      <c r="N339" s="65"/>
      <c r="O339" s="58" t="s">
        <v>263</v>
      </c>
      <c r="P339" s="59">
        <v>244</v>
      </c>
      <c r="Q339" s="58" t="s">
        <v>263</v>
      </c>
      <c r="R339" s="58" t="s">
        <v>918</v>
      </c>
      <c r="S339" s="58" t="s">
        <v>263</v>
      </c>
      <c r="T339" s="66">
        <v>0</v>
      </c>
      <c r="U339" s="65"/>
      <c r="V339" s="65"/>
      <c r="W339" s="58" t="s">
        <v>263</v>
      </c>
      <c r="X339" s="59">
        <v>0</v>
      </c>
      <c r="Y339" s="60" t="s">
        <v>263</v>
      </c>
      <c r="Z339" s="66">
        <v>0</v>
      </c>
      <c r="AA339" s="65"/>
      <c r="AB339" s="60" t="s">
        <v>263</v>
      </c>
      <c r="AC339" s="59">
        <v>0</v>
      </c>
    </row>
    <row r="340" spans="2:29" x14ac:dyDescent="0.3">
      <c r="B340" s="71" t="s">
        <v>2165</v>
      </c>
      <c r="C340" s="65"/>
      <c r="D340" s="58" t="s">
        <v>263</v>
      </c>
      <c r="E340" s="71" t="s">
        <v>2166</v>
      </c>
      <c r="F340" s="65"/>
      <c r="G340" s="58" t="s">
        <v>263</v>
      </c>
      <c r="H340" s="71" t="s">
        <v>2167</v>
      </c>
      <c r="I340" s="65"/>
      <c r="J340" s="65"/>
      <c r="K340" s="65"/>
      <c r="L340" s="58" t="s">
        <v>263</v>
      </c>
      <c r="M340" s="71" t="s">
        <v>2058</v>
      </c>
      <c r="N340" s="65"/>
      <c r="O340" s="58" t="s">
        <v>263</v>
      </c>
      <c r="P340" s="59">
        <v>219</v>
      </c>
      <c r="Q340" s="58" t="s">
        <v>263</v>
      </c>
      <c r="R340" s="58" t="s">
        <v>918</v>
      </c>
      <c r="S340" s="58" t="s">
        <v>263</v>
      </c>
      <c r="T340" s="66">
        <v>0</v>
      </c>
      <c r="U340" s="65"/>
      <c r="V340" s="65"/>
      <c r="W340" s="58" t="s">
        <v>263</v>
      </c>
      <c r="X340" s="59">
        <v>0</v>
      </c>
      <c r="Y340" s="60" t="s">
        <v>263</v>
      </c>
      <c r="Z340" s="66">
        <v>0</v>
      </c>
      <c r="AA340" s="65"/>
      <c r="AB340" s="60" t="s">
        <v>263</v>
      </c>
      <c r="AC340" s="59">
        <v>0</v>
      </c>
    </row>
    <row r="341" spans="2:29" x14ac:dyDescent="0.3">
      <c r="B341" s="71" t="s">
        <v>2168</v>
      </c>
      <c r="C341" s="65"/>
      <c r="D341" s="58" t="s">
        <v>263</v>
      </c>
      <c r="E341" s="71" t="s">
        <v>2166</v>
      </c>
      <c r="F341" s="65"/>
      <c r="G341" s="58" t="s">
        <v>263</v>
      </c>
      <c r="H341" s="71" t="s">
        <v>2167</v>
      </c>
      <c r="I341" s="65"/>
      <c r="J341" s="65"/>
      <c r="K341" s="65"/>
      <c r="L341" s="58" t="s">
        <v>263</v>
      </c>
      <c r="M341" s="71" t="s">
        <v>511</v>
      </c>
      <c r="N341" s="65"/>
      <c r="O341" s="58" t="s">
        <v>263</v>
      </c>
      <c r="P341" s="59">
        <v>274</v>
      </c>
      <c r="Q341" s="58" t="s">
        <v>263</v>
      </c>
      <c r="R341" s="58" t="s">
        <v>918</v>
      </c>
      <c r="S341" s="58" t="s">
        <v>263</v>
      </c>
      <c r="T341" s="66">
        <v>0</v>
      </c>
      <c r="U341" s="65"/>
      <c r="V341" s="65"/>
      <c r="W341" s="58" t="s">
        <v>263</v>
      </c>
      <c r="X341" s="59">
        <v>0</v>
      </c>
      <c r="Y341" s="60" t="s">
        <v>263</v>
      </c>
      <c r="Z341" s="66">
        <v>0</v>
      </c>
      <c r="AA341" s="65"/>
      <c r="AB341" s="60" t="s">
        <v>263</v>
      </c>
      <c r="AC341" s="59">
        <v>0</v>
      </c>
    </row>
    <row r="342" spans="2:29" x14ac:dyDescent="0.3">
      <c r="B342" s="71" t="s">
        <v>2169</v>
      </c>
      <c r="C342" s="65"/>
      <c r="D342" s="58" t="s">
        <v>263</v>
      </c>
      <c r="E342" s="71" t="s">
        <v>2170</v>
      </c>
      <c r="F342" s="65"/>
      <c r="G342" s="58" t="s">
        <v>263</v>
      </c>
      <c r="H342" s="71" t="s">
        <v>2171</v>
      </c>
      <c r="I342" s="65"/>
      <c r="J342" s="65"/>
      <c r="K342" s="65"/>
      <c r="L342" s="58" t="s">
        <v>263</v>
      </c>
      <c r="M342" s="71" t="s">
        <v>2172</v>
      </c>
      <c r="N342" s="65"/>
      <c r="O342" s="58" t="s">
        <v>263</v>
      </c>
      <c r="P342" s="59">
        <v>133</v>
      </c>
      <c r="Q342" s="58" t="s">
        <v>263</v>
      </c>
      <c r="R342" s="58" t="s">
        <v>918</v>
      </c>
      <c r="S342" s="58" t="s">
        <v>263</v>
      </c>
      <c r="T342" s="66">
        <v>0</v>
      </c>
      <c r="U342" s="65"/>
      <c r="V342" s="65"/>
      <c r="W342" s="58" t="s">
        <v>263</v>
      </c>
      <c r="X342" s="59">
        <v>0</v>
      </c>
      <c r="Y342" s="60" t="s">
        <v>263</v>
      </c>
      <c r="Z342" s="66">
        <v>0</v>
      </c>
      <c r="AA342" s="65"/>
      <c r="AB342" s="60" t="s">
        <v>263</v>
      </c>
      <c r="AC342" s="59">
        <v>0</v>
      </c>
    </row>
    <row r="343" spans="2:29" x14ac:dyDescent="0.3">
      <c r="B343" s="71" t="s">
        <v>2173</v>
      </c>
      <c r="C343" s="65"/>
      <c r="D343" s="58" t="s">
        <v>263</v>
      </c>
      <c r="E343" s="71" t="s">
        <v>2174</v>
      </c>
      <c r="F343" s="65"/>
      <c r="G343" s="58" t="s">
        <v>263</v>
      </c>
      <c r="H343" s="71" t="s">
        <v>2175</v>
      </c>
      <c r="I343" s="65"/>
      <c r="J343" s="65"/>
      <c r="K343" s="65"/>
      <c r="L343" s="58" t="s">
        <v>263</v>
      </c>
      <c r="M343" s="71" t="s">
        <v>2172</v>
      </c>
      <c r="N343" s="65"/>
      <c r="O343" s="58" t="s">
        <v>263</v>
      </c>
      <c r="P343" s="59">
        <v>244</v>
      </c>
      <c r="Q343" s="58" t="s">
        <v>263</v>
      </c>
      <c r="R343" s="58" t="s">
        <v>918</v>
      </c>
      <c r="S343" s="58" t="s">
        <v>263</v>
      </c>
      <c r="T343" s="66">
        <v>0</v>
      </c>
      <c r="U343" s="65"/>
      <c r="V343" s="65"/>
      <c r="W343" s="58" t="s">
        <v>263</v>
      </c>
      <c r="X343" s="59">
        <v>0</v>
      </c>
      <c r="Y343" s="60" t="s">
        <v>263</v>
      </c>
      <c r="Z343" s="66">
        <v>0</v>
      </c>
      <c r="AA343" s="65"/>
      <c r="AB343" s="60" t="s">
        <v>263</v>
      </c>
      <c r="AC343" s="59">
        <v>0</v>
      </c>
    </row>
    <row r="344" spans="2:29" x14ac:dyDescent="0.3">
      <c r="B344" s="71" t="s">
        <v>2176</v>
      </c>
      <c r="C344" s="65"/>
      <c r="D344" s="58" t="s">
        <v>263</v>
      </c>
      <c r="E344" s="71" t="s">
        <v>2177</v>
      </c>
      <c r="F344" s="65"/>
      <c r="G344" s="58" t="s">
        <v>263</v>
      </c>
      <c r="H344" s="71" t="s">
        <v>2178</v>
      </c>
      <c r="I344" s="65"/>
      <c r="J344" s="65"/>
      <c r="K344" s="65"/>
      <c r="L344" s="58" t="s">
        <v>263</v>
      </c>
      <c r="M344" s="71" t="s">
        <v>2179</v>
      </c>
      <c r="N344" s="65"/>
      <c r="O344" s="58" t="s">
        <v>263</v>
      </c>
      <c r="P344" s="59">
        <v>120</v>
      </c>
      <c r="Q344" s="58" t="s">
        <v>263</v>
      </c>
      <c r="R344" s="58" t="s">
        <v>918</v>
      </c>
      <c r="S344" s="58" t="s">
        <v>263</v>
      </c>
      <c r="T344" s="66">
        <v>0</v>
      </c>
      <c r="U344" s="65"/>
      <c r="V344" s="65"/>
      <c r="W344" s="58" t="s">
        <v>263</v>
      </c>
      <c r="X344" s="59">
        <v>0</v>
      </c>
      <c r="Y344" s="60" t="s">
        <v>263</v>
      </c>
      <c r="Z344" s="66">
        <v>0</v>
      </c>
      <c r="AA344" s="65"/>
      <c r="AB344" s="60" t="s">
        <v>263</v>
      </c>
      <c r="AC344" s="59">
        <v>0</v>
      </c>
    </row>
    <row r="345" spans="2:29" x14ac:dyDescent="0.3">
      <c r="B345" s="71" t="s">
        <v>2180</v>
      </c>
      <c r="C345" s="65"/>
      <c r="D345" s="58" t="s">
        <v>263</v>
      </c>
      <c r="E345" s="71" t="s">
        <v>2181</v>
      </c>
      <c r="F345" s="65"/>
      <c r="G345" s="58" t="s">
        <v>263</v>
      </c>
      <c r="H345" s="71" t="s">
        <v>2182</v>
      </c>
      <c r="I345" s="65"/>
      <c r="J345" s="65"/>
      <c r="K345" s="65"/>
      <c r="L345" s="58" t="s">
        <v>263</v>
      </c>
      <c r="M345" s="71" t="s">
        <v>2183</v>
      </c>
      <c r="N345" s="65"/>
      <c r="O345" s="58" t="s">
        <v>263</v>
      </c>
      <c r="P345" s="59">
        <v>206</v>
      </c>
      <c r="Q345" s="58" t="s">
        <v>263</v>
      </c>
      <c r="R345" s="58" t="s">
        <v>918</v>
      </c>
      <c r="S345" s="58" t="s">
        <v>263</v>
      </c>
      <c r="T345" s="66">
        <v>0</v>
      </c>
      <c r="U345" s="65"/>
      <c r="V345" s="65"/>
      <c r="W345" s="58" t="s">
        <v>263</v>
      </c>
      <c r="X345" s="59">
        <v>0</v>
      </c>
      <c r="Y345" s="60" t="s">
        <v>263</v>
      </c>
      <c r="Z345" s="66">
        <v>0</v>
      </c>
      <c r="AA345" s="65"/>
      <c r="AB345" s="60" t="s">
        <v>263</v>
      </c>
      <c r="AC345" s="59">
        <v>0</v>
      </c>
    </row>
    <row r="346" spans="2:29" x14ac:dyDescent="0.3">
      <c r="B346" s="71" t="s">
        <v>2184</v>
      </c>
      <c r="C346" s="65"/>
      <c r="D346" s="58" t="s">
        <v>263</v>
      </c>
      <c r="E346" s="71" t="s">
        <v>2185</v>
      </c>
      <c r="F346" s="65"/>
      <c r="G346" s="58" t="s">
        <v>263</v>
      </c>
      <c r="H346" s="71" t="s">
        <v>2186</v>
      </c>
      <c r="I346" s="65"/>
      <c r="J346" s="65"/>
      <c r="K346" s="65"/>
      <c r="L346" s="58" t="s">
        <v>263</v>
      </c>
      <c r="M346" s="71" t="s">
        <v>2187</v>
      </c>
      <c r="N346" s="65"/>
      <c r="O346" s="58" t="s">
        <v>263</v>
      </c>
      <c r="P346" s="59">
        <v>217</v>
      </c>
      <c r="Q346" s="58" t="s">
        <v>263</v>
      </c>
      <c r="R346" s="58" t="s">
        <v>918</v>
      </c>
      <c r="S346" s="58" t="s">
        <v>263</v>
      </c>
      <c r="T346" s="66">
        <v>0</v>
      </c>
      <c r="U346" s="65"/>
      <c r="V346" s="65"/>
      <c r="W346" s="58" t="s">
        <v>263</v>
      </c>
      <c r="X346" s="59">
        <v>0</v>
      </c>
      <c r="Y346" s="60" t="s">
        <v>263</v>
      </c>
      <c r="Z346" s="66">
        <v>0</v>
      </c>
      <c r="AA346" s="65"/>
      <c r="AB346" s="60" t="s">
        <v>263</v>
      </c>
      <c r="AC346" s="59">
        <v>0</v>
      </c>
    </row>
    <row r="347" spans="2:29" x14ac:dyDescent="0.3">
      <c r="B347" s="71" t="s">
        <v>2188</v>
      </c>
      <c r="C347" s="65"/>
      <c r="D347" s="58" t="s">
        <v>263</v>
      </c>
      <c r="E347" s="71" t="s">
        <v>2189</v>
      </c>
      <c r="F347" s="65"/>
      <c r="G347" s="58" t="s">
        <v>263</v>
      </c>
      <c r="H347" s="71" t="s">
        <v>2190</v>
      </c>
      <c r="I347" s="65"/>
      <c r="J347" s="65"/>
      <c r="K347" s="65"/>
      <c r="L347" s="58" t="s">
        <v>263</v>
      </c>
      <c r="M347" s="71" t="s">
        <v>2187</v>
      </c>
      <c r="N347" s="65"/>
      <c r="O347" s="58" t="s">
        <v>263</v>
      </c>
      <c r="P347" s="59">
        <v>168</v>
      </c>
      <c r="Q347" s="58" t="s">
        <v>263</v>
      </c>
      <c r="R347" s="58" t="s">
        <v>918</v>
      </c>
      <c r="S347" s="58" t="s">
        <v>263</v>
      </c>
      <c r="T347" s="66">
        <v>0</v>
      </c>
      <c r="U347" s="65"/>
      <c r="V347" s="65"/>
      <c r="W347" s="58" t="s">
        <v>263</v>
      </c>
      <c r="X347" s="59">
        <v>0</v>
      </c>
      <c r="Y347" s="60" t="s">
        <v>263</v>
      </c>
      <c r="Z347" s="66">
        <v>0</v>
      </c>
      <c r="AA347" s="65"/>
      <c r="AB347" s="60" t="s">
        <v>263</v>
      </c>
      <c r="AC347" s="59">
        <v>0</v>
      </c>
    </row>
    <row r="348" spans="2:29" x14ac:dyDescent="0.3">
      <c r="B348" s="71" t="s">
        <v>2191</v>
      </c>
      <c r="C348" s="65"/>
      <c r="D348" s="58" t="s">
        <v>263</v>
      </c>
      <c r="E348" s="71" t="s">
        <v>2192</v>
      </c>
      <c r="F348" s="65"/>
      <c r="G348" s="58" t="s">
        <v>263</v>
      </c>
      <c r="H348" s="71" t="s">
        <v>2193</v>
      </c>
      <c r="I348" s="65"/>
      <c r="J348" s="65"/>
      <c r="K348" s="65"/>
      <c r="L348" s="58" t="s">
        <v>263</v>
      </c>
      <c r="M348" s="71" t="s">
        <v>2194</v>
      </c>
      <c r="N348" s="65"/>
      <c r="O348" s="58" t="s">
        <v>263</v>
      </c>
      <c r="P348" s="59">
        <v>234</v>
      </c>
      <c r="Q348" s="58" t="s">
        <v>263</v>
      </c>
      <c r="R348" s="58" t="s">
        <v>918</v>
      </c>
      <c r="S348" s="58" t="s">
        <v>263</v>
      </c>
      <c r="T348" s="66">
        <v>0</v>
      </c>
      <c r="U348" s="65"/>
      <c r="V348" s="65"/>
      <c r="W348" s="58" t="s">
        <v>263</v>
      </c>
      <c r="X348" s="59">
        <v>0</v>
      </c>
      <c r="Y348" s="60" t="s">
        <v>263</v>
      </c>
      <c r="Z348" s="66">
        <v>0</v>
      </c>
      <c r="AA348" s="65"/>
      <c r="AB348" s="60" t="s">
        <v>263</v>
      </c>
      <c r="AC348" s="59">
        <v>0</v>
      </c>
    </row>
    <row r="349" spans="2:29" x14ac:dyDescent="0.3">
      <c r="B349" s="71" t="s">
        <v>2195</v>
      </c>
      <c r="C349" s="65"/>
      <c r="D349" s="58" t="s">
        <v>263</v>
      </c>
      <c r="E349" s="71" t="s">
        <v>2196</v>
      </c>
      <c r="F349" s="65"/>
      <c r="G349" s="58" t="s">
        <v>263</v>
      </c>
      <c r="H349" s="71" t="s">
        <v>2197</v>
      </c>
      <c r="I349" s="65"/>
      <c r="J349" s="65"/>
      <c r="K349" s="65"/>
      <c r="L349" s="58" t="s">
        <v>263</v>
      </c>
      <c r="M349" s="71" t="s">
        <v>2198</v>
      </c>
      <c r="N349" s="65"/>
      <c r="O349" s="58" t="s">
        <v>263</v>
      </c>
      <c r="P349" s="59">
        <v>408</v>
      </c>
      <c r="Q349" s="58" t="s">
        <v>263</v>
      </c>
      <c r="R349" s="58" t="s">
        <v>918</v>
      </c>
      <c r="S349" s="58" t="s">
        <v>263</v>
      </c>
      <c r="T349" s="66">
        <v>0</v>
      </c>
      <c r="U349" s="65"/>
      <c r="V349" s="65"/>
      <c r="W349" s="58" t="s">
        <v>263</v>
      </c>
      <c r="X349" s="59">
        <v>0</v>
      </c>
      <c r="Y349" s="60" t="s">
        <v>263</v>
      </c>
      <c r="Z349" s="66">
        <v>0</v>
      </c>
      <c r="AA349" s="65"/>
      <c r="AB349" s="60" t="s">
        <v>263</v>
      </c>
      <c r="AC349" s="59">
        <v>0</v>
      </c>
    </row>
    <row r="350" spans="2:29" x14ac:dyDescent="0.3">
      <c r="B350" s="71" t="s">
        <v>2199</v>
      </c>
      <c r="C350" s="65"/>
      <c r="D350" s="58" t="s">
        <v>263</v>
      </c>
      <c r="E350" s="71" t="s">
        <v>2200</v>
      </c>
      <c r="F350" s="65"/>
      <c r="G350" s="58" t="s">
        <v>263</v>
      </c>
      <c r="H350" s="71" t="s">
        <v>2201</v>
      </c>
      <c r="I350" s="65"/>
      <c r="J350" s="65"/>
      <c r="K350" s="65"/>
      <c r="L350" s="58" t="s">
        <v>263</v>
      </c>
      <c r="M350" s="71" t="s">
        <v>2202</v>
      </c>
      <c r="N350" s="65"/>
      <c r="O350" s="58" t="s">
        <v>263</v>
      </c>
      <c r="P350" s="59">
        <v>187</v>
      </c>
      <c r="Q350" s="58" t="s">
        <v>263</v>
      </c>
      <c r="R350" s="58" t="s">
        <v>918</v>
      </c>
      <c r="S350" s="58" t="s">
        <v>263</v>
      </c>
      <c r="T350" s="66">
        <v>0</v>
      </c>
      <c r="U350" s="65"/>
      <c r="V350" s="65"/>
      <c r="W350" s="58" t="s">
        <v>263</v>
      </c>
      <c r="X350" s="59">
        <v>0</v>
      </c>
      <c r="Y350" s="60" t="s">
        <v>263</v>
      </c>
      <c r="Z350" s="66">
        <v>0</v>
      </c>
      <c r="AA350" s="65"/>
      <c r="AB350" s="60" t="s">
        <v>263</v>
      </c>
      <c r="AC350" s="59">
        <v>0</v>
      </c>
    </row>
    <row r="351" spans="2:29" x14ac:dyDescent="0.3">
      <c r="B351" s="71" t="s">
        <v>2203</v>
      </c>
      <c r="C351" s="65"/>
      <c r="D351" s="58" t="s">
        <v>263</v>
      </c>
      <c r="E351" s="71" t="s">
        <v>2204</v>
      </c>
      <c r="F351" s="65"/>
      <c r="G351" s="58" t="s">
        <v>263</v>
      </c>
      <c r="H351" s="71" t="s">
        <v>2205</v>
      </c>
      <c r="I351" s="65"/>
      <c r="J351" s="65"/>
      <c r="K351" s="65"/>
      <c r="L351" s="58" t="s">
        <v>263</v>
      </c>
      <c r="M351" s="71" t="s">
        <v>2206</v>
      </c>
      <c r="N351" s="65"/>
      <c r="O351" s="58" t="s">
        <v>263</v>
      </c>
      <c r="P351" s="59">
        <v>167</v>
      </c>
      <c r="Q351" s="58" t="s">
        <v>263</v>
      </c>
      <c r="R351" s="58" t="s">
        <v>918</v>
      </c>
      <c r="S351" s="58" t="s">
        <v>263</v>
      </c>
      <c r="T351" s="66">
        <v>0</v>
      </c>
      <c r="U351" s="65"/>
      <c r="V351" s="65"/>
      <c r="W351" s="58" t="s">
        <v>263</v>
      </c>
      <c r="X351" s="59">
        <v>0</v>
      </c>
      <c r="Y351" s="60" t="s">
        <v>263</v>
      </c>
      <c r="Z351" s="66">
        <v>0</v>
      </c>
      <c r="AA351" s="65"/>
      <c r="AB351" s="60" t="s">
        <v>263</v>
      </c>
      <c r="AC351" s="59">
        <v>0</v>
      </c>
    </row>
    <row r="352" spans="2:29" x14ac:dyDescent="0.3">
      <c r="B352" s="71" t="s">
        <v>2207</v>
      </c>
      <c r="C352" s="65"/>
      <c r="D352" s="58" t="s">
        <v>263</v>
      </c>
      <c r="E352" s="71" t="s">
        <v>2208</v>
      </c>
      <c r="F352" s="65"/>
      <c r="G352" s="58" t="s">
        <v>263</v>
      </c>
      <c r="H352" s="71" t="s">
        <v>2209</v>
      </c>
      <c r="I352" s="65"/>
      <c r="J352" s="65"/>
      <c r="K352" s="65"/>
      <c r="L352" s="58" t="s">
        <v>263</v>
      </c>
      <c r="M352" s="71" t="s">
        <v>2210</v>
      </c>
      <c r="N352" s="65"/>
      <c r="O352" s="58" t="s">
        <v>263</v>
      </c>
      <c r="P352" s="59">
        <v>246</v>
      </c>
      <c r="Q352" s="58" t="s">
        <v>263</v>
      </c>
      <c r="R352" s="58" t="s">
        <v>918</v>
      </c>
      <c r="S352" s="58" t="s">
        <v>263</v>
      </c>
      <c r="T352" s="66">
        <v>0</v>
      </c>
      <c r="U352" s="65"/>
      <c r="V352" s="65"/>
      <c r="W352" s="58" t="s">
        <v>263</v>
      </c>
      <c r="X352" s="59">
        <v>0</v>
      </c>
      <c r="Y352" s="60" t="s">
        <v>263</v>
      </c>
      <c r="Z352" s="66">
        <v>0</v>
      </c>
      <c r="AA352" s="65"/>
      <c r="AB352" s="60" t="s">
        <v>263</v>
      </c>
      <c r="AC352" s="59">
        <v>0</v>
      </c>
    </row>
    <row r="353" spans="2:29" x14ac:dyDescent="0.3">
      <c r="B353" s="71" t="s">
        <v>2211</v>
      </c>
      <c r="C353" s="65"/>
      <c r="D353" s="58" t="s">
        <v>263</v>
      </c>
      <c r="E353" s="71" t="s">
        <v>2212</v>
      </c>
      <c r="F353" s="65"/>
      <c r="G353" s="58" t="s">
        <v>263</v>
      </c>
      <c r="H353" s="71" t="s">
        <v>2213</v>
      </c>
      <c r="I353" s="65"/>
      <c r="J353" s="65"/>
      <c r="K353" s="65"/>
      <c r="L353" s="58" t="s">
        <v>263</v>
      </c>
      <c r="M353" s="71" t="s">
        <v>2214</v>
      </c>
      <c r="N353" s="65"/>
      <c r="O353" s="58" t="s">
        <v>263</v>
      </c>
      <c r="P353" s="59">
        <v>246</v>
      </c>
      <c r="Q353" s="58" t="s">
        <v>263</v>
      </c>
      <c r="R353" s="58" t="s">
        <v>918</v>
      </c>
      <c r="S353" s="58" t="s">
        <v>263</v>
      </c>
      <c r="T353" s="66">
        <v>0</v>
      </c>
      <c r="U353" s="65"/>
      <c r="V353" s="65"/>
      <c r="W353" s="58" t="s">
        <v>263</v>
      </c>
      <c r="X353" s="59">
        <v>0</v>
      </c>
      <c r="Y353" s="60" t="s">
        <v>263</v>
      </c>
      <c r="Z353" s="66">
        <v>0</v>
      </c>
      <c r="AA353" s="65"/>
      <c r="AB353" s="60" t="s">
        <v>263</v>
      </c>
      <c r="AC353" s="59">
        <v>0</v>
      </c>
    </row>
    <row r="354" spans="2:29" x14ac:dyDescent="0.3">
      <c r="B354" s="71" t="s">
        <v>2215</v>
      </c>
      <c r="C354" s="65"/>
      <c r="D354" s="58" t="s">
        <v>263</v>
      </c>
      <c r="E354" s="71" t="s">
        <v>2216</v>
      </c>
      <c r="F354" s="65"/>
      <c r="G354" s="58" t="s">
        <v>263</v>
      </c>
      <c r="H354" s="71" t="s">
        <v>2217</v>
      </c>
      <c r="I354" s="65"/>
      <c r="J354" s="65"/>
      <c r="K354" s="65"/>
      <c r="L354" s="58" t="s">
        <v>263</v>
      </c>
      <c r="M354" s="71" t="s">
        <v>2218</v>
      </c>
      <c r="N354" s="65"/>
      <c r="O354" s="58" t="s">
        <v>263</v>
      </c>
      <c r="P354" s="59">
        <v>190</v>
      </c>
      <c r="Q354" s="58" t="s">
        <v>263</v>
      </c>
      <c r="R354" s="58" t="s">
        <v>918</v>
      </c>
      <c r="S354" s="58" t="s">
        <v>263</v>
      </c>
      <c r="T354" s="66">
        <v>0</v>
      </c>
      <c r="U354" s="65"/>
      <c r="V354" s="65"/>
      <c r="W354" s="58" t="s">
        <v>263</v>
      </c>
      <c r="X354" s="59">
        <v>0</v>
      </c>
      <c r="Y354" s="60" t="s">
        <v>263</v>
      </c>
      <c r="Z354" s="66">
        <v>0</v>
      </c>
      <c r="AA354" s="65"/>
      <c r="AB354" s="60" t="s">
        <v>263</v>
      </c>
      <c r="AC354" s="59">
        <v>0</v>
      </c>
    </row>
    <row r="355" spans="2:29" x14ac:dyDescent="0.3">
      <c r="B355" s="71" t="s">
        <v>2219</v>
      </c>
      <c r="C355" s="65"/>
      <c r="D355" s="58" t="s">
        <v>263</v>
      </c>
      <c r="E355" s="71" t="s">
        <v>2220</v>
      </c>
      <c r="F355" s="65"/>
      <c r="G355" s="58" t="s">
        <v>263</v>
      </c>
      <c r="H355" s="71" t="s">
        <v>2221</v>
      </c>
      <c r="I355" s="65"/>
      <c r="J355" s="65"/>
      <c r="K355" s="65"/>
      <c r="L355" s="58" t="s">
        <v>263</v>
      </c>
      <c r="M355" s="71" t="s">
        <v>2206</v>
      </c>
      <c r="N355" s="65"/>
      <c r="O355" s="58" t="s">
        <v>263</v>
      </c>
      <c r="P355" s="59">
        <v>121</v>
      </c>
      <c r="Q355" s="58" t="s">
        <v>263</v>
      </c>
      <c r="R355" s="58" t="s">
        <v>918</v>
      </c>
      <c r="S355" s="58" t="s">
        <v>263</v>
      </c>
      <c r="T355" s="66">
        <v>0</v>
      </c>
      <c r="U355" s="65"/>
      <c r="V355" s="65"/>
      <c r="W355" s="58" t="s">
        <v>263</v>
      </c>
      <c r="X355" s="59">
        <v>0</v>
      </c>
      <c r="Y355" s="60" t="s">
        <v>263</v>
      </c>
      <c r="Z355" s="66">
        <v>0</v>
      </c>
      <c r="AA355" s="65"/>
      <c r="AB355" s="60" t="s">
        <v>263</v>
      </c>
      <c r="AC355" s="59">
        <v>0</v>
      </c>
    </row>
    <row r="356" spans="2:29" x14ac:dyDescent="0.3">
      <c r="B356" s="71" t="s">
        <v>2222</v>
      </c>
      <c r="C356" s="65"/>
      <c r="D356" s="58" t="s">
        <v>263</v>
      </c>
      <c r="E356" s="71" t="s">
        <v>2223</v>
      </c>
      <c r="F356" s="65"/>
      <c r="G356" s="58" t="s">
        <v>263</v>
      </c>
      <c r="H356" s="71" t="s">
        <v>2224</v>
      </c>
      <c r="I356" s="65"/>
      <c r="J356" s="65"/>
      <c r="K356" s="65"/>
      <c r="L356" s="58" t="s">
        <v>263</v>
      </c>
      <c r="M356" s="71" t="s">
        <v>2206</v>
      </c>
      <c r="N356" s="65"/>
      <c r="O356" s="58" t="s">
        <v>263</v>
      </c>
      <c r="P356" s="59">
        <v>135</v>
      </c>
      <c r="Q356" s="58" t="s">
        <v>263</v>
      </c>
      <c r="R356" s="58" t="s">
        <v>918</v>
      </c>
      <c r="S356" s="58" t="s">
        <v>263</v>
      </c>
      <c r="T356" s="66">
        <v>0</v>
      </c>
      <c r="U356" s="65"/>
      <c r="V356" s="65"/>
      <c r="W356" s="58" t="s">
        <v>263</v>
      </c>
      <c r="X356" s="59">
        <v>0</v>
      </c>
      <c r="Y356" s="60" t="s">
        <v>263</v>
      </c>
      <c r="Z356" s="66">
        <v>0</v>
      </c>
      <c r="AA356" s="65"/>
      <c r="AB356" s="60" t="s">
        <v>263</v>
      </c>
      <c r="AC356" s="59">
        <v>0</v>
      </c>
    </row>
    <row r="357" spans="2:29" x14ac:dyDescent="0.3">
      <c r="B357" s="71" t="s">
        <v>2225</v>
      </c>
      <c r="C357" s="65"/>
      <c r="D357" s="58" t="s">
        <v>263</v>
      </c>
      <c r="E357" s="71" t="s">
        <v>2226</v>
      </c>
      <c r="F357" s="65"/>
      <c r="G357" s="58" t="s">
        <v>263</v>
      </c>
      <c r="H357" s="71" t="s">
        <v>2227</v>
      </c>
      <c r="I357" s="65"/>
      <c r="J357" s="65"/>
      <c r="K357" s="65"/>
      <c r="L357" s="58" t="s">
        <v>263</v>
      </c>
      <c r="M357" s="71" t="s">
        <v>2228</v>
      </c>
      <c r="N357" s="65"/>
      <c r="O357" s="58" t="s">
        <v>263</v>
      </c>
      <c r="P357" s="59">
        <v>251</v>
      </c>
      <c r="Q357" s="58" t="s">
        <v>263</v>
      </c>
      <c r="R357" s="58" t="s">
        <v>918</v>
      </c>
      <c r="S357" s="58" t="s">
        <v>263</v>
      </c>
      <c r="T357" s="66">
        <v>0</v>
      </c>
      <c r="U357" s="65"/>
      <c r="V357" s="65"/>
      <c r="W357" s="58" t="s">
        <v>263</v>
      </c>
      <c r="X357" s="59">
        <v>0</v>
      </c>
      <c r="Y357" s="60" t="s">
        <v>263</v>
      </c>
      <c r="Z357" s="66">
        <v>0</v>
      </c>
      <c r="AA357" s="65"/>
      <c r="AB357" s="60" t="s">
        <v>263</v>
      </c>
      <c r="AC357" s="59">
        <v>0</v>
      </c>
    </row>
    <row r="358" spans="2:29" x14ac:dyDescent="0.3">
      <c r="B358" s="71" t="s">
        <v>2229</v>
      </c>
      <c r="C358" s="65"/>
      <c r="D358" s="58" t="s">
        <v>263</v>
      </c>
      <c r="E358" s="71" t="s">
        <v>2230</v>
      </c>
      <c r="F358" s="65"/>
      <c r="G358" s="58" t="s">
        <v>263</v>
      </c>
      <c r="H358" s="71" t="s">
        <v>2231</v>
      </c>
      <c r="I358" s="65"/>
      <c r="J358" s="65"/>
      <c r="K358" s="65"/>
      <c r="L358" s="58" t="s">
        <v>263</v>
      </c>
      <c r="M358" s="71" t="s">
        <v>2232</v>
      </c>
      <c r="N358" s="65"/>
      <c r="O358" s="58" t="s">
        <v>263</v>
      </c>
      <c r="P358" s="59">
        <v>257</v>
      </c>
      <c r="Q358" s="58" t="s">
        <v>263</v>
      </c>
      <c r="R358" s="58" t="s">
        <v>918</v>
      </c>
      <c r="S358" s="58" t="s">
        <v>263</v>
      </c>
      <c r="T358" s="66">
        <v>0</v>
      </c>
      <c r="U358" s="65"/>
      <c r="V358" s="65"/>
      <c r="W358" s="58" t="s">
        <v>263</v>
      </c>
      <c r="X358" s="59">
        <v>0</v>
      </c>
      <c r="Y358" s="60" t="s">
        <v>263</v>
      </c>
      <c r="Z358" s="66">
        <v>0</v>
      </c>
      <c r="AA358" s="65"/>
      <c r="AB358" s="60" t="s">
        <v>263</v>
      </c>
      <c r="AC358" s="59">
        <v>0</v>
      </c>
    </row>
    <row r="359" spans="2:29" x14ac:dyDescent="0.3">
      <c r="B359" s="71" t="s">
        <v>2233</v>
      </c>
      <c r="C359" s="65"/>
      <c r="D359" s="58" t="s">
        <v>263</v>
      </c>
      <c r="E359" s="71" t="s">
        <v>2234</v>
      </c>
      <c r="F359" s="65"/>
      <c r="G359" s="58" t="s">
        <v>263</v>
      </c>
      <c r="H359" s="71" t="s">
        <v>2235</v>
      </c>
      <c r="I359" s="65"/>
      <c r="J359" s="65"/>
      <c r="K359" s="65"/>
      <c r="L359" s="58" t="s">
        <v>263</v>
      </c>
      <c r="M359" s="71" t="s">
        <v>2236</v>
      </c>
      <c r="N359" s="65"/>
      <c r="O359" s="58" t="s">
        <v>263</v>
      </c>
      <c r="P359" s="59">
        <v>350</v>
      </c>
      <c r="Q359" s="58" t="s">
        <v>263</v>
      </c>
      <c r="R359" s="58" t="s">
        <v>918</v>
      </c>
      <c r="S359" s="58" t="s">
        <v>263</v>
      </c>
      <c r="T359" s="66">
        <v>0</v>
      </c>
      <c r="U359" s="65"/>
      <c r="V359" s="65"/>
      <c r="W359" s="58" t="s">
        <v>263</v>
      </c>
      <c r="X359" s="59">
        <v>0</v>
      </c>
      <c r="Y359" s="60" t="s">
        <v>263</v>
      </c>
      <c r="Z359" s="66">
        <v>0</v>
      </c>
      <c r="AA359" s="65"/>
      <c r="AB359" s="60" t="s">
        <v>263</v>
      </c>
      <c r="AC359" s="59">
        <v>0</v>
      </c>
    </row>
    <row r="360" spans="2:29" x14ac:dyDescent="0.3">
      <c r="B360" s="71" t="s">
        <v>2237</v>
      </c>
      <c r="C360" s="65"/>
      <c r="D360" s="58" t="s">
        <v>263</v>
      </c>
      <c r="E360" s="71" t="s">
        <v>2238</v>
      </c>
      <c r="F360" s="65"/>
      <c r="G360" s="58" t="s">
        <v>263</v>
      </c>
      <c r="H360" s="71" t="s">
        <v>2239</v>
      </c>
      <c r="I360" s="65"/>
      <c r="J360" s="65"/>
      <c r="K360" s="65"/>
      <c r="L360" s="58" t="s">
        <v>263</v>
      </c>
      <c r="M360" s="71" t="s">
        <v>2240</v>
      </c>
      <c r="N360" s="65"/>
      <c r="O360" s="58" t="s">
        <v>263</v>
      </c>
      <c r="P360" s="59">
        <v>159</v>
      </c>
      <c r="Q360" s="58" t="s">
        <v>263</v>
      </c>
      <c r="R360" s="58" t="s">
        <v>918</v>
      </c>
      <c r="S360" s="58" t="s">
        <v>263</v>
      </c>
      <c r="T360" s="66">
        <v>0</v>
      </c>
      <c r="U360" s="65"/>
      <c r="V360" s="65"/>
      <c r="W360" s="58" t="s">
        <v>263</v>
      </c>
      <c r="X360" s="59">
        <v>0</v>
      </c>
      <c r="Y360" s="60" t="s">
        <v>263</v>
      </c>
      <c r="Z360" s="66">
        <v>0</v>
      </c>
      <c r="AA360" s="65"/>
      <c r="AB360" s="60" t="s">
        <v>263</v>
      </c>
      <c r="AC360" s="59">
        <v>0</v>
      </c>
    </row>
    <row r="361" spans="2:29" x14ac:dyDescent="0.3">
      <c r="B361" s="71" t="s">
        <v>2241</v>
      </c>
      <c r="C361" s="65"/>
      <c r="D361" s="58" t="s">
        <v>263</v>
      </c>
      <c r="E361" s="71" t="s">
        <v>2242</v>
      </c>
      <c r="F361" s="65"/>
      <c r="G361" s="58" t="s">
        <v>263</v>
      </c>
      <c r="H361" s="71" t="s">
        <v>2243</v>
      </c>
      <c r="I361" s="65"/>
      <c r="J361" s="65"/>
      <c r="K361" s="65"/>
      <c r="L361" s="58" t="s">
        <v>263</v>
      </c>
      <c r="M361" s="71" t="s">
        <v>2244</v>
      </c>
      <c r="N361" s="65"/>
      <c r="O361" s="58" t="s">
        <v>263</v>
      </c>
      <c r="P361" s="59">
        <v>185</v>
      </c>
      <c r="Q361" s="58" t="s">
        <v>263</v>
      </c>
      <c r="R361" s="58" t="s">
        <v>918</v>
      </c>
      <c r="S361" s="58" t="s">
        <v>263</v>
      </c>
      <c r="T361" s="66">
        <v>0</v>
      </c>
      <c r="U361" s="65"/>
      <c r="V361" s="65"/>
      <c r="W361" s="58" t="s">
        <v>263</v>
      </c>
      <c r="X361" s="59">
        <v>0</v>
      </c>
      <c r="Y361" s="60" t="s">
        <v>263</v>
      </c>
      <c r="Z361" s="66">
        <v>0</v>
      </c>
      <c r="AA361" s="65"/>
      <c r="AB361" s="60" t="s">
        <v>263</v>
      </c>
      <c r="AC361" s="59">
        <v>0</v>
      </c>
    </row>
    <row r="362" spans="2:29" x14ac:dyDescent="0.3">
      <c r="B362" s="71" t="s">
        <v>2245</v>
      </c>
      <c r="C362" s="65"/>
      <c r="D362" s="58" t="s">
        <v>263</v>
      </c>
      <c r="E362" s="71" t="s">
        <v>2242</v>
      </c>
      <c r="F362" s="65"/>
      <c r="G362" s="58" t="s">
        <v>263</v>
      </c>
      <c r="H362" s="71" t="s">
        <v>2243</v>
      </c>
      <c r="I362" s="65"/>
      <c r="J362" s="65"/>
      <c r="K362" s="65"/>
      <c r="L362" s="58" t="s">
        <v>263</v>
      </c>
      <c r="M362" s="71" t="s">
        <v>2065</v>
      </c>
      <c r="N362" s="65"/>
      <c r="O362" s="58" t="s">
        <v>263</v>
      </c>
      <c r="P362" s="59">
        <v>81</v>
      </c>
      <c r="Q362" s="58" t="s">
        <v>263</v>
      </c>
      <c r="R362" s="58" t="s">
        <v>918</v>
      </c>
      <c r="S362" s="58" t="s">
        <v>263</v>
      </c>
      <c r="T362" s="66">
        <v>0</v>
      </c>
      <c r="U362" s="65"/>
      <c r="V362" s="65"/>
      <c r="W362" s="58" t="s">
        <v>263</v>
      </c>
      <c r="X362" s="59">
        <v>0</v>
      </c>
      <c r="Y362" s="60" t="s">
        <v>263</v>
      </c>
      <c r="Z362" s="66">
        <v>0</v>
      </c>
      <c r="AA362" s="65"/>
      <c r="AB362" s="60" t="s">
        <v>263</v>
      </c>
      <c r="AC362" s="59">
        <v>0</v>
      </c>
    </row>
    <row r="363" spans="2:29" x14ac:dyDescent="0.3">
      <c r="B363" s="71" t="s">
        <v>2246</v>
      </c>
      <c r="C363" s="65"/>
      <c r="D363" s="58" t="s">
        <v>263</v>
      </c>
      <c r="E363" s="71" t="s">
        <v>2247</v>
      </c>
      <c r="F363" s="65"/>
      <c r="G363" s="58" t="s">
        <v>263</v>
      </c>
      <c r="H363" s="71" t="s">
        <v>2248</v>
      </c>
      <c r="I363" s="65"/>
      <c r="J363" s="65"/>
      <c r="K363" s="65"/>
      <c r="L363" s="58" t="s">
        <v>263</v>
      </c>
      <c r="M363" s="71" t="s">
        <v>2244</v>
      </c>
      <c r="N363" s="65"/>
      <c r="O363" s="58" t="s">
        <v>263</v>
      </c>
      <c r="P363" s="59">
        <v>254</v>
      </c>
      <c r="Q363" s="58" t="s">
        <v>263</v>
      </c>
      <c r="R363" s="58" t="s">
        <v>918</v>
      </c>
      <c r="S363" s="58" t="s">
        <v>263</v>
      </c>
      <c r="T363" s="66">
        <v>0</v>
      </c>
      <c r="U363" s="65"/>
      <c r="V363" s="65"/>
      <c r="W363" s="58" t="s">
        <v>263</v>
      </c>
      <c r="X363" s="59">
        <v>0</v>
      </c>
      <c r="Y363" s="60" t="s">
        <v>263</v>
      </c>
      <c r="Z363" s="66">
        <v>0</v>
      </c>
      <c r="AA363" s="65"/>
      <c r="AB363" s="60" t="s">
        <v>263</v>
      </c>
      <c r="AC363" s="59">
        <v>0</v>
      </c>
    </row>
    <row r="364" spans="2:29" x14ac:dyDescent="0.3">
      <c r="B364" s="71" t="s">
        <v>2249</v>
      </c>
      <c r="C364" s="65"/>
      <c r="D364" s="58" t="s">
        <v>263</v>
      </c>
      <c r="E364" s="71" t="s">
        <v>2250</v>
      </c>
      <c r="F364" s="65"/>
      <c r="G364" s="58" t="s">
        <v>263</v>
      </c>
      <c r="H364" s="71" t="s">
        <v>2251</v>
      </c>
      <c r="I364" s="65"/>
      <c r="J364" s="65"/>
      <c r="K364" s="65"/>
      <c r="L364" s="58" t="s">
        <v>263</v>
      </c>
      <c r="M364" s="71" t="s">
        <v>2252</v>
      </c>
      <c r="N364" s="65"/>
      <c r="O364" s="58" t="s">
        <v>263</v>
      </c>
      <c r="P364" s="59">
        <v>254</v>
      </c>
      <c r="Q364" s="58" t="s">
        <v>263</v>
      </c>
      <c r="R364" s="58" t="s">
        <v>918</v>
      </c>
      <c r="S364" s="58" t="s">
        <v>263</v>
      </c>
      <c r="T364" s="66">
        <v>0</v>
      </c>
      <c r="U364" s="65"/>
      <c r="V364" s="65"/>
      <c r="W364" s="58" t="s">
        <v>263</v>
      </c>
      <c r="X364" s="59">
        <v>0</v>
      </c>
      <c r="Y364" s="60" t="s">
        <v>263</v>
      </c>
      <c r="Z364" s="66">
        <v>0</v>
      </c>
      <c r="AA364" s="65"/>
      <c r="AB364" s="60" t="s">
        <v>263</v>
      </c>
      <c r="AC364" s="59">
        <v>0</v>
      </c>
    </row>
    <row r="365" spans="2:29" x14ac:dyDescent="0.3">
      <c r="B365" s="71" t="s">
        <v>2253</v>
      </c>
      <c r="C365" s="65"/>
      <c r="D365" s="58" t="s">
        <v>263</v>
      </c>
      <c r="E365" s="71" t="s">
        <v>2254</v>
      </c>
      <c r="F365" s="65"/>
      <c r="G365" s="58" t="s">
        <v>263</v>
      </c>
      <c r="H365" s="71" t="s">
        <v>2255</v>
      </c>
      <c r="I365" s="65"/>
      <c r="J365" s="65"/>
      <c r="K365" s="65"/>
      <c r="L365" s="58" t="s">
        <v>263</v>
      </c>
      <c r="M365" s="71" t="s">
        <v>2244</v>
      </c>
      <c r="N365" s="65"/>
      <c r="O365" s="58" t="s">
        <v>263</v>
      </c>
      <c r="P365" s="59">
        <v>207</v>
      </c>
      <c r="Q365" s="58" t="s">
        <v>263</v>
      </c>
      <c r="R365" s="58" t="s">
        <v>918</v>
      </c>
      <c r="S365" s="58" t="s">
        <v>263</v>
      </c>
      <c r="T365" s="66">
        <v>0</v>
      </c>
      <c r="U365" s="65"/>
      <c r="V365" s="65"/>
      <c r="W365" s="58" t="s">
        <v>263</v>
      </c>
      <c r="X365" s="59">
        <v>0</v>
      </c>
      <c r="Y365" s="60" t="s">
        <v>263</v>
      </c>
      <c r="Z365" s="66">
        <v>0</v>
      </c>
      <c r="AA365" s="65"/>
      <c r="AB365" s="60" t="s">
        <v>263</v>
      </c>
      <c r="AC365" s="59">
        <v>0</v>
      </c>
    </row>
    <row r="366" spans="2:29" x14ac:dyDescent="0.3">
      <c r="B366" s="71" t="s">
        <v>2256</v>
      </c>
      <c r="C366" s="65"/>
      <c r="D366" s="58" t="s">
        <v>263</v>
      </c>
      <c r="E366" s="71" t="s">
        <v>2257</v>
      </c>
      <c r="F366" s="65"/>
      <c r="G366" s="58" t="s">
        <v>263</v>
      </c>
      <c r="H366" s="71" t="s">
        <v>2258</v>
      </c>
      <c r="I366" s="65"/>
      <c r="J366" s="65"/>
      <c r="K366" s="65"/>
      <c r="L366" s="58" t="s">
        <v>263</v>
      </c>
      <c r="M366" s="71" t="s">
        <v>2259</v>
      </c>
      <c r="N366" s="65"/>
      <c r="O366" s="58" t="s">
        <v>263</v>
      </c>
      <c r="P366" s="59">
        <v>234</v>
      </c>
      <c r="Q366" s="58" t="s">
        <v>263</v>
      </c>
      <c r="R366" s="58" t="s">
        <v>918</v>
      </c>
      <c r="S366" s="58" t="s">
        <v>263</v>
      </c>
      <c r="T366" s="66">
        <v>0</v>
      </c>
      <c r="U366" s="65"/>
      <c r="V366" s="65"/>
      <c r="W366" s="58" t="s">
        <v>263</v>
      </c>
      <c r="X366" s="59">
        <v>0</v>
      </c>
      <c r="Y366" s="60" t="s">
        <v>263</v>
      </c>
      <c r="Z366" s="66">
        <v>0</v>
      </c>
      <c r="AA366" s="65"/>
      <c r="AB366" s="60" t="s">
        <v>263</v>
      </c>
      <c r="AC366" s="59">
        <v>0</v>
      </c>
    </row>
    <row r="367" spans="2:29" x14ac:dyDescent="0.3">
      <c r="B367" s="71" t="s">
        <v>2260</v>
      </c>
      <c r="C367" s="65"/>
      <c r="D367" s="58" t="s">
        <v>263</v>
      </c>
      <c r="E367" s="71" t="s">
        <v>2261</v>
      </c>
      <c r="F367" s="65"/>
      <c r="G367" s="58" t="s">
        <v>263</v>
      </c>
      <c r="H367" s="71" t="s">
        <v>2262</v>
      </c>
      <c r="I367" s="65"/>
      <c r="J367" s="65"/>
      <c r="K367" s="65"/>
      <c r="L367" s="58" t="s">
        <v>263</v>
      </c>
      <c r="M367" s="71" t="s">
        <v>2263</v>
      </c>
      <c r="N367" s="65"/>
      <c r="O367" s="58" t="s">
        <v>263</v>
      </c>
      <c r="P367" s="59">
        <v>254</v>
      </c>
      <c r="Q367" s="58" t="s">
        <v>263</v>
      </c>
      <c r="R367" s="58" t="s">
        <v>918</v>
      </c>
      <c r="S367" s="58" t="s">
        <v>263</v>
      </c>
      <c r="T367" s="66">
        <v>0</v>
      </c>
      <c r="U367" s="65"/>
      <c r="V367" s="65"/>
      <c r="W367" s="58" t="s">
        <v>263</v>
      </c>
      <c r="X367" s="59">
        <v>0</v>
      </c>
      <c r="Y367" s="60" t="s">
        <v>263</v>
      </c>
      <c r="Z367" s="66">
        <v>0</v>
      </c>
      <c r="AA367" s="65"/>
      <c r="AB367" s="60" t="s">
        <v>263</v>
      </c>
      <c r="AC367" s="59">
        <v>0</v>
      </c>
    </row>
    <row r="368" spans="2:29" x14ac:dyDescent="0.3">
      <c r="B368" s="71" t="s">
        <v>2264</v>
      </c>
      <c r="C368" s="65"/>
      <c r="D368" s="58" t="s">
        <v>263</v>
      </c>
      <c r="E368" s="71" t="s">
        <v>2265</v>
      </c>
      <c r="F368" s="65"/>
      <c r="G368" s="58" t="s">
        <v>263</v>
      </c>
      <c r="H368" s="71" t="s">
        <v>2266</v>
      </c>
      <c r="I368" s="65"/>
      <c r="J368" s="65"/>
      <c r="K368" s="65"/>
      <c r="L368" s="58" t="s">
        <v>263</v>
      </c>
      <c r="M368" s="71" t="s">
        <v>2252</v>
      </c>
      <c r="N368" s="65"/>
      <c r="O368" s="58" t="s">
        <v>263</v>
      </c>
      <c r="P368" s="59">
        <v>146</v>
      </c>
      <c r="Q368" s="58" t="s">
        <v>263</v>
      </c>
      <c r="R368" s="58" t="s">
        <v>918</v>
      </c>
      <c r="S368" s="58" t="s">
        <v>263</v>
      </c>
      <c r="T368" s="66">
        <v>0</v>
      </c>
      <c r="U368" s="65"/>
      <c r="V368" s="65"/>
      <c r="W368" s="58" t="s">
        <v>263</v>
      </c>
      <c r="X368" s="59">
        <v>0</v>
      </c>
      <c r="Y368" s="60" t="s">
        <v>263</v>
      </c>
      <c r="Z368" s="66">
        <v>0</v>
      </c>
      <c r="AA368" s="65"/>
      <c r="AB368" s="60" t="s">
        <v>263</v>
      </c>
      <c r="AC368" s="59">
        <v>0</v>
      </c>
    </row>
    <row r="369" spans="2:29" x14ac:dyDescent="0.3">
      <c r="B369" s="71" t="s">
        <v>2267</v>
      </c>
      <c r="C369" s="65"/>
      <c r="D369" s="58" t="s">
        <v>263</v>
      </c>
      <c r="E369" s="71" t="s">
        <v>2268</v>
      </c>
      <c r="F369" s="65"/>
      <c r="G369" s="58" t="s">
        <v>263</v>
      </c>
      <c r="H369" s="71" t="s">
        <v>2269</v>
      </c>
      <c r="I369" s="65"/>
      <c r="J369" s="65"/>
      <c r="K369" s="65"/>
      <c r="L369" s="58" t="s">
        <v>263</v>
      </c>
      <c r="M369" s="71" t="s">
        <v>2270</v>
      </c>
      <c r="N369" s="65"/>
      <c r="O369" s="58" t="s">
        <v>263</v>
      </c>
      <c r="P369" s="59">
        <v>211</v>
      </c>
      <c r="Q369" s="58" t="s">
        <v>263</v>
      </c>
      <c r="R369" s="58" t="s">
        <v>918</v>
      </c>
      <c r="S369" s="58" t="s">
        <v>263</v>
      </c>
      <c r="T369" s="66">
        <v>0</v>
      </c>
      <c r="U369" s="65"/>
      <c r="V369" s="65"/>
      <c r="W369" s="58" t="s">
        <v>263</v>
      </c>
      <c r="X369" s="59">
        <v>0</v>
      </c>
      <c r="Y369" s="60" t="s">
        <v>263</v>
      </c>
      <c r="Z369" s="66">
        <v>0</v>
      </c>
      <c r="AA369" s="65"/>
      <c r="AB369" s="60" t="s">
        <v>263</v>
      </c>
      <c r="AC369" s="59">
        <v>0</v>
      </c>
    </row>
    <row r="370" spans="2:29" x14ac:dyDescent="0.3">
      <c r="B370" s="71" t="s">
        <v>2271</v>
      </c>
      <c r="C370" s="65"/>
      <c r="D370" s="58" t="s">
        <v>263</v>
      </c>
      <c r="E370" s="71" t="s">
        <v>2272</v>
      </c>
      <c r="F370" s="65"/>
      <c r="G370" s="58" t="s">
        <v>263</v>
      </c>
      <c r="H370" s="71" t="s">
        <v>2273</v>
      </c>
      <c r="I370" s="65"/>
      <c r="J370" s="65"/>
      <c r="K370" s="65"/>
      <c r="L370" s="58" t="s">
        <v>263</v>
      </c>
      <c r="M370" s="71" t="s">
        <v>2274</v>
      </c>
      <c r="N370" s="65"/>
      <c r="O370" s="58" t="s">
        <v>263</v>
      </c>
      <c r="P370" s="59">
        <v>146</v>
      </c>
      <c r="Q370" s="58" t="s">
        <v>263</v>
      </c>
      <c r="R370" s="58" t="s">
        <v>918</v>
      </c>
      <c r="S370" s="58" t="s">
        <v>263</v>
      </c>
      <c r="T370" s="66">
        <v>0</v>
      </c>
      <c r="U370" s="65"/>
      <c r="V370" s="65"/>
      <c r="W370" s="58" t="s">
        <v>263</v>
      </c>
      <c r="X370" s="59">
        <v>0</v>
      </c>
      <c r="Y370" s="60" t="s">
        <v>263</v>
      </c>
      <c r="Z370" s="66">
        <v>0</v>
      </c>
      <c r="AA370" s="65"/>
      <c r="AB370" s="60" t="s">
        <v>263</v>
      </c>
      <c r="AC370" s="59">
        <v>0</v>
      </c>
    </row>
    <row r="371" spans="2:29" x14ac:dyDescent="0.3">
      <c r="B371" s="71" t="s">
        <v>2275</v>
      </c>
      <c r="C371" s="65"/>
      <c r="D371" s="58" t="s">
        <v>263</v>
      </c>
      <c r="E371" s="71" t="s">
        <v>2276</v>
      </c>
      <c r="F371" s="65"/>
      <c r="G371" s="58" t="s">
        <v>263</v>
      </c>
      <c r="H371" s="71" t="s">
        <v>2277</v>
      </c>
      <c r="I371" s="65"/>
      <c r="J371" s="65"/>
      <c r="K371" s="65"/>
      <c r="L371" s="58" t="s">
        <v>263</v>
      </c>
      <c r="M371" s="71" t="s">
        <v>814</v>
      </c>
      <c r="N371" s="65"/>
      <c r="O371" s="58" t="s">
        <v>263</v>
      </c>
      <c r="P371" s="59">
        <v>121</v>
      </c>
      <c r="Q371" s="58" t="s">
        <v>263</v>
      </c>
      <c r="R371" s="58" t="s">
        <v>918</v>
      </c>
      <c r="S371" s="58" t="s">
        <v>263</v>
      </c>
      <c r="T371" s="66">
        <v>0</v>
      </c>
      <c r="U371" s="65"/>
      <c r="V371" s="65"/>
      <c r="W371" s="58" t="s">
        <v>263</v>
      </c>
      <c r="X371" s="59">
        <v>-96.8</v>
      </c>
      <c r="Y371" s="60" t="s">
        <v>263</v>
      </c>
      <c r="Z371" s="66">
        <v>0</v>
      </c>
      <c r="AA371" s="65"/>
      <c r="AB371" s="60" t="s">
        <v>263</v>
      </c>
      <c r="AC371" s="59">
        <v>0</v>
      </c>
    </row>
    <row r="372" spans="2:29" x14ac:dyDescent="0.3">
      <c r="B372" s="71" t="s">
        <v>2278</v>
      </c>
      <c r="C372" s="65"/>
      <c r="D372" s="58" t="s">
        <v>263</v>
      </c>
      <c r="E372" s="71" t="s">
        <v>2279</v>
      </c>
      <c r="F372" s="65"/>
      <c r="G372" s="58" t="s">
        <v>263</v>
      </c>
      <c r="H372" s="71" t="s">
        <v>2280</v>
      </c>
      <c r="I372" s="65"/>
      <c r="J372" s="65"/>
      <c r="K372" s="65"/>
      <c r="L372" s="58" t="s">
        <v>263</v>
      </c>
      <c r="M372" s="71" t="s">
        <v>2281</v>
      </c>
      <c r="N372" s="65"/>
      <c r="O372" s="58" t="s">
        <v>263</v>
      </c>
      <c r="P372" s="59">
        <v>432</v>
      </c>
      <c r="Q372" s="58" t="s">
        <v>263</v>
      </c>
      <c r="R372" s="58" t="s">
        <v>918</v>
      </c>
      <c r="S372" s="58" t="s">
        <v>263</v>
      </c>
      <c r="T372" s="66">
        <v>0</v>
      </c>
      <c r="U372" s="65"/>
      <c r="V372" s="65"/>
      <c r="W372" s="58" t="s">
        <v>263</v>
      </c>
      <c r="X372" s="59">
        <v>0</v>
      </c>
      <c r="Y372" s="60" t="s">
        <v>263</v>
      </c>
      <c r="Z372" s="66">
        <v>0</v>
      </c>
      <c r="AA372" s="65"/>
      <c r="AB372" s="60" t="s">
        <v>263</v>
      </c>
      <c r="AC372" s="59">
        <v>0</v>
      </c>
    </row>
    <row r="373" spans="2:29" x14ac:dyDescent="0.3">
      <c r="B373" s="71" t="s">
        <v>2282</v>
      </c>
      <c r="C373" s="65"/>
      <c r="D373" s="58" t="s">
        <v>263</v>
      </c>
      <c r="E373" s="71" t="s">
        <v>2283</v>
      </c>
      <c r="F373" s="65"/>
      <c r="G373" s="58" t="s">
        <v>263</v>
      </c>
      <c r="H373" s="71" t="s">
        <v>2284</v>
      </c>
      <c r="I373" s="65"/>
      <c r="J373" s="65"/>
      <c r="K373" s="65"/>
      <c r="L373" s="58" t="s">
        <v>263</v>
      </c>
      <c r="M373" s="71" t="s">
        <v>2285</v>
      </c>
      <c r="N373" s="65"/>
      <c r="O373" s="58" t="s">
        <v>263</v>
      </c>
      <c r="P373" s="59">
        <v>179</v>
      </c>
      <c r="Q373" s="58" t="s">
        <v>263</v>
      </c>
      <c r="R373" s="58" t="s">
        <v>918</v>
      </c>
      <c r="S373" s="58" t="s">
        <v>263</v>
      </c>
      <c r="T373" s="66">
        <v>0</v>
      </c>
      <c r="U373" s="65"/>
      <c r="V373" s="65"/>
      <c r="W373" s="58" t="s">
        <v>263</v>
      </c>
      <c r="X373" s="59">
        <v>0</v>
      </c>
      <c r="Y373" s="60" t="s">
        <v>263</v>
      </c>
      <c r="Z373" s="66">
        <v>0</v>
      </c>
      <c r="AA373" s="65"/>
      <c r="AB373" s="60" t="s">
        <v>263</v>
      </c>
      <c r="AC373" s="59">
        <v>0</v>
      </c>
    </row>
    <row r="374" spans="2:29" x14ac:dyDescent="0.3">
      <c r="B374" s="71" t="s">
        <v>2286</v>
      </c>
      <c r="C374" s="65"/>
      <c r="D374" s="58" t="s">
        <v>263</v>
      </c>
      <c r="E374" s="71" t="s">
        <v>2287</v>
      </c>
      <c r="F374" s="65"/>
      <c r="G374" s="58" t="s">
        <v>263</v>
      </c>
      <c r="H374" s="71" t="s">
        <v>2288</v>
      </c>
      <c r="I374" s="65"/>
      <c r="J374" s="65"/>
      <c r="K374" s="65"/>
      <c r="L374" s="58" t="s">
        <v>263</v>
      </c>
      <c r="M374" s="71" t="s">
        <v>2289</v>
      </c>
      <c r="N374" s="65"/>
      <c r="O374" s="58" t="s">
        <v>263</v>
      </c>
      <c r="P374" s="59">
        <v>192</v>
      </c>
      <c r="Q374" s="58" t="s">
        <v>263</v>
      </c>
      <c r="R374" s="58" t="s">
        <v>918</v>
      </c>
      <c r="S374" s="58" t="s">
        <v>263</v>
      </c>
      <c r="T374" s="66">
        <v>0</v>
      </c>
      <c r="U374" s="65"/>
      <c r="V374" s="65"/>
      <c r="W374" s="58" t="s">
        <v>263</v>
      </c>
      <c r="X374" s="59">
        <v>0</v>
      </c>
      <c r="Y374" s="60" t="s">
        <v>263</v>
      </c>
      <c r="Z374" s="66">
        <v>0</v>
      </c>
      <c r="AA374" s="65"/>
      <c r="AB374" s="60" t="s">
        <v>263</v>
      </c>
      <c r="AC374" s="59">
        <v>0</v>
      </c>
    </row>
    <row r="375" spans="2:29" x14ac:dyDescent="0.3">
      <c r="B375" s="71" t="s">
        <v>2290</v>
      </c>
      <c r="C375" s="65"/>
      <c r="D375" s="58" t="s">
        <v>263</v>
      </c>
      <c r="E375" s="71" t="s">
        <v>2291</v>
      </c>
      <c r="F375" s="65"/>
      <c r="G375" s="58" t="s">
        <v>263</v>
      </c>
      <c r="H375" s="71" t="s">
        <v>2292</v>
      </c>
      <c r="I375" s="65"/>
      <c r="J375" s="65"/>
      <c r="K375" s="65"/>
      <c r="L375" s="58" t="s">
        <v>263</v>
      </c>
      <c r="M375" s="71" t="s">
        <v>2293</v>
      </c>
      <c r="N375" s="65"/>
      <c r="O375" s="58" t="s">
        <v>263</v>
      </c>
      <c r="P375" s="59">
        <v>127</v>
      </c>
      <c r="Q375" s="58" t="s">
        <v>263</v>
      </c>
      <c r="R375" s="58" t="s">
        <v>1159</v>
      </c>
      <c r="S375" s="58" t="s">
        <v>263</v>
      </c>
      <c r="T375" s="66">
        <v>0</v>
      </c>
      <c r="U375" s="65"/>
      <c r="V375" s="65"/>
      <c r="W375" s="58" t="s">
        <v>263</v>
      </c>
      <c r="X375" s="59">
        <v>-127</v>
      </c>
      <c r="Y375" s="60" t="s">
        <v>263</v>
      </c>
      <c r="Z375" s="66">
        <v>0</v>
      </c>
      <c r="AA375" s="65"/>
      <c r="AB375" s="60" t="s">
        <v>263</v>
      </c>
      <c r="AC375" s="59">
        <v>0</v>
      </c>
    </row>
    <row r="376" spans="2:29" x14ac:dyDescent="0.3">
      <c r="B376" s="71" t="s">
        <v>2294</v>
      </c>
      <c r="C376" s="65"/>
      <c r="D376" s="58" t="s">
        <v>263</v>
      </c>
      <c r="E376" s="71" t="s">
        <v>2295</v>
      </c>
      <c r="F376" s="65"/>
      <c r="G376" s="58" t="s">
        <v>263</v>
      </c>
      <c r="H376" s="71" t="s">
        <v>2296</v>
      </c>
      <c r="I376" s="65"/>
      <c r="J376" s="65"/>
      <c r="K376" s="65"/>
      <c r="L376" s="58" t="s">
        <v>263</v>
      </c>
      <c r="M376" s="71" t="s">
        <v>2297</v>
      </c>
      <c r="N376" s="65"/>
      <c r="O376" s="58" t="s">
        <v>263</v>
      </c>
      <c r="P376" s="59">
        <v>253</v>
      </c>
      <c r="Q376" s="58" t="s">
        <v>263</v>
      </c>
      <c r="R376" s="58" t="s">
        <v>918</v>
      </c>
      <c r="S376" s="58" t="s">
        <v>263</v>
      </c>
      <c r="T376" s="66">
        <v>0</v>
      </c>
      <c r="U376" s="65"/>
      <c r="V376" s="65"/>
      <c r="W376" s="58" t="s">
        <v>263</v>
      </c>
      <c r="X376" s="59">
        <v>0</v>
      </c>
      <c r="Y376" s="60" t="s">
        <v>263</v>
      </c>
      <c r="Z376" s="66">
        <v>0</v>
      </c>
      <c r="AA376" s="65"/>
      <c r="AB376" s="60" t="s">
        <v>263</v>
      </c>
      <c r="AC376" s="59">
        <v>0</v>
      </c>
    </row>
    <row r="377" spans="2:29" x14ac:dyDescent="0.3">
      <c r="B377" s="71" t="s">
        <v>2298</v>
      </c>
      <c r="C377" s="65"/>
      <c r="D377" s="58" t="s">
        <v>263</v>
      </c>
      <c r="E377" s="71" t="s">
        <v>2299</v>
      </c>
      <c r="F377" s="65"/>
      <c r="G377" s="58" t="s">
        <v>263</v>
      </c>
      <c r="H377" s="71" t="s">
        <v>2300</v>
      </c>
      <c r="I377" s="65"/>
      <c r="J377" s="65"/>
      <c r="K377" s="65"/>
      <c r="L377" s="58" t="s">
        <v>263</v>
      </c>
      <c r="M377" s="71" t="s">
        <v>2301</v>
      </c>
      <c r="N377" s="65"/>
      <c r="O377" s="58" t="s">
        <v>263</v>
      </c>
      <c r="P377" s="59">
        <v>257</v>
      </c>
      <c r="Q377" s="58" t="s">
        <v>263</v>
      </c>
      <c r="R377" s="58" t="s">
        <v>918</v>
      </c>
      <c r="S377" s="58" t="s">
        <v>263</v>
      </c>
      <c r="T377" s="66">
        <v>0</v>
      </c>
      <c r="U377" s="65"/>
      <c r="V377" s="65"/>
      <c r="W377" s="58" t="s">
        <v>263</v>
      </c>
      <c r="X377" s="59">
        <v>0</v>
      </c>
      <c r="Y377" s="60" t="s">
        <v>263</v>
      </c>
      <c r="Z377" s="66">
        <v>0</v>
      </c>
      <c r="AA377" s="65"/>
      <c r="AB377" s="60" t="s">
        <v>263</v>
      </c>
      <c r="AC377" s="59">
        <v>0</v>
      </c>
    </row>
    <row r="378" spans="2:29" x14ac:dyDescent="0.3">
      <c r="B378" s="71" t="s">
        <v>2302</v>
      </c>
      <c r="C378" s="65"/>
      <c r="D378" s="58" t="s">
        <v>263</v>
      </c>
      <c r="E378" s="71" t="s">
        <v>2303</v>
      </c>
      <c r="F378" s="65"/>
      <c r="G378" s="58" t="s">
        <v>263</v>
      </c>
      <c r="H378" s="71" t="s">
        <v>2304</v>
      </c>
      <c r="I378" s="65"/>
      <c r="J378" s="65"/>
      <c r="K378" s="65"/>
      <c r="L378" s="58" t="s">
        <v>263</v>
      </c>
      <c r="M378" s="71" t="s">
        <v>2305</v>
      </c>
      <c r="N378" s="65"/>
      <c r="O378" s="58" t="s">
        <v>263</v>
      </c>
      <c r="P378" s="59">
        <v>182</v>
      </c>
      <c r="Q378" s="58" t="s">
        <v>263</v>
      </c>
      <c r="R378" s="58" t="s">
        <v>918</v>
      </c>
      <c r="S378" s="58" t="s">
        <v>263</v>
      </c>
      <c r="T378" s="66">
        <v>0</v>
      </c>
      <c r="U378" s="65"/>
      <c r="V378" s="65"/>
      <c r="W378" s="58" t="s">
        <v>263</v>
      </c>
      <c r="X378" s="59">
        <v>0</v>
      </c>
      <c r="Y378" s="60" t="s">
        <v>263</v>
      </c>
      <c r="Z378" s="66">
        <v>0</v>
      </c>
      <c r="AA378" s="65"/>
      <c r="AB378" s="60" t="s">
        <v>263</v>
      </c>
      <c r="AC378" s="59">
        <v>0</v>
      </c>
    </row>
    <row r="379" spans="2:29" x14ac:dyDescent="0.3">
      <c r="B379" s="71" t="s">
        <v>2306</v>
      </c>
      <c r="C379" s="65"/>
      <c r="D379" s="58" t="s">
        <v>263</v>
      </c>
      <c r="E379" s="71" t="s">
        <v>2307</v>
      </c>
      <c r="F379" s="65"/>
      <c r="G379" s="58" t="s">
        <v>263</v>
      </c>
      <c r="H379" s="71" t="s">
        <v>2308</v>
      </c>
      <c r="I379" s="65"/>
      <c r="J379" s="65"/>
      <c r="K379" s="65"/>
      <c r="L379" s="58" t="s">
        <v>263</v>
      </c>
      <c r="M379" s="71" t="s">
        <v>2309</v>
      </c>
      <c r="N379" s="65"/>
      <c r="O379" s="58" t="s">
        <v>263</v>
      </c>
      <c r="P379" s="59">
        <v>204</v>
      </c>
      <c r="Q379" s="58" t="s">
        <v>263</v>
      </c>
      <c r="R379" s="58" t="s">
        <v>918</v>
      </c>
      <c r="S379" s="58" t="s">
        <v>263</v>
      </c>
      <c r="T379" s="66">
        <v>0</v>
      </c>
      <c r="U379" s="65"/>
      <c r="V379" s="65"/>
      <c r="W379" s="58" t="s">
        <v>263</v>
      </c>
      <c r="X379" s="59">
        <v>0</v>
      </c>
      <c r="Y379" s="60" t="s">
        <v>263</v>
      </c>
      <c r="Z379" s="66">
        <v>0</v>
      </c>
      <c r="AA379" s="65"/>
      <c r="AB379" s="60" t="s">
        <v>263</v>
      </c>
      <c r="AC379" s="59">
        <v>0</v>
      </c>
    </row>
    <row r="380" spans="2:29" x14ac:dyDescent="0.3">
      <c r="B380" s="71" t="s">
        <v>2310</v>
      </c>
      <c r="C380" s="65"/>
      <c r="D380" s="58" t="s">
        <v>263</v>
      </c>
      <c r="E380" s="71" t="s">
        <v>2311</v>
      </c>
      <c r="F380" s="65"/>
      <c r="G380" s="58" t="s">
        <v>263</v>
      </c>
      <c r="H380" s="71" t="s">
        <v>2312</v>
      </c>
      <c r="I380" s="65"/>
      <c r="J380" s="65"/>
      <c r="K380" s="65"/>
      <c r="L380" s="58" t="s">
        <v>263</v>
      </c>
      <c r="M380" s="71" t="s">
        <v>2313</v>
      </c>
      <c r="N380" s="65"/>
      <c r="O380" s="58" t="s">
        <v>263</v>
      </c>
      <c r="P380" s="59">
        <v>192</v>
      </c>
      <c r="Q380" s="58" t="s">
        <v>263</v>
      </c>
      <c r="R380" s="58" t="s">
        <v>918</v>
      </c>
      <c r="S380" s="58" t="s">
        <v>263</v>
      </c>
      <c r="T380" s="66">
        <v>0</v>
      </c>
      <c r="U380" s="65"/>
      <c r="V380" s="65"/>
      <c r="W380" s="58" t="s">
        <v>263</v>
      </c>
      <c r="X380" s="59">
        <v>0</v>
      </c>
      <c r="Y380" s="60" t="s">
        <v>263</v>
      </c>
      <c r="Z380" s="66">
        <v>0</v>
      </c>
      <c r="AA380" s="65"/>
      <c r="AB380" s="60" t="s">
        <v>263</v>
      </c>
      <c r="AC380" s="59">
        <v>0</v>
      </c>
    </row>
    <row r="381" spans="2:29" x14ac:dyDescent="0.3">
      <c r="B381" s="71" t="s">
        <v>2314</v>
      </c>
      <c r="C381" s="65"/>
      <c r="D381" s="58" t="s">
        <v>263</v>
      </c>
      <c r="E381" s="71" t="s">
        <v>2315</v>
      </c>
      <c r="F381" s="65"/>
      <c r="G381" s="58" t="s">
        <v>263</v>
      </c>
      <c r="H381" s="71" t="s">
        <v>2316</v>
      </c>
      <c r="I381" s="65"/>
      <c r="J381" s="65"/>
      <c r="K381" s="65"/>
      <c r="L381" s="58" t="s">
        <v>263</v>
      </c>
      <c r="M381" s="71" t="s">
        <v>2317</v>
      </c>
      <c r="N381" s="65"/>
      <c r="O381" s="58" t="s">
        <v>263</v>
      </c>
      <c r="P381" s="59">
        <v>235</v>
      </c>
      <c r="Q381" s="58" t="s">
        <v>263</v>
      </c>
      <c r="R381" s="58" t="s">
        <v>918</v>
      </c>
      <c r="S381" s="58" t="s">
        <v>263</v>
      </c>
      <c r="T381" s="66">
        <v>0</v>
      </c>
      <c r="U381" s="65"/>
      <c r="V381" s="65"/>
      <c r="W381" s="58" t="s">
        <v>263</v>
      </c>
      <c r="X381" s="59">
        <v>0</v>
      </c>
      <c r="Y381" s="60" t="s">
        <v>263</v>
      </c>
      <c r="Z381" s="66">
        <v>0</v>
      </c>
      <c r="AA381" s="65"/>
      <c r="AB381" s="60" t="s">
        <v>263</v>
      </c>
      <c r="AC381" s="59">
        <v>0</v>
      </c>
    </row>
    <row r="382" spans="2:29" x14ac:dyDescent="0.3">
      <c r="B382" s="71" t="s">
        <v>2318</v>
      </c>
      <c r="C382" s="65"/>
      <c r="D382" s="58" t="s">
        <v>263</v>
      </c>
      <c r="E382" s="71" t="s">
        <v>2319</v>
      </c>
      <c r="F382" s="65"/>
      <c r="G382" s="58" t="s">
        <v>263</v>
      </c>
      <c r="H382" s="71" t="s">
        <v>2320</v>
      </c>
      <c r="I382" s="65"/>
      <c r="J382" s="65"/>
      <c r="K382" s="65"/>
      <c r="L382" s="58" t="s">
        <v>263</v>
      </c>
      <c r="M382" s="71" t="s">
        <v>2321</v>
      </c>
      <c r="N382" s="65"/>
      <c r="O382" s="58" t="s">
        <v>263</v>
      </c>
      <c r="P382" s="59">
        <v>207</v>
      </c>
      <c r="Q382" s="58" t="s">
        <v>263</v>
      </c>
      <c r="R382" s="58" t="s">
        <v>918</v>
      </c>
      <c r="S382" s="58" t="s">
        <v>263</v>
      </c>
      <c r="T382" s="66">
        <v>0</v>
      </c>
      <c r="U382" s="65"/>
      <c r="V382" s="65"/>
      <c r="W382" s="58" t="s">
        <v>263</v>
      </c>
      <c r="X382" s="59">
        <v>0</v>
      </c>
      <c r="Y382" s="60" t="s">
        <v>263</v>
      </c>
      <c r="Z382" s="66">
        <v>0</v>
      </c>
      <c r="AA382" s="65"/>
      <c r="AB382" s="60" t="s">
        <v>263</v>
      </c>
      <c r="AC382" s="59">
        <v>0</v>
      </c>
    </row>
    <row r="383" spans="2:29" x14ac:dyDescent="0.3">
      <c r="B383" s="71" t="s">
        <v>2322</v>
      </c>
      <c r="C383" s="65"/>
      <c r="D383" s="58" t="s">
        <v>263</v>
      </c>
      <c r="E383" s="71" t="s">
        <v>2323</v>
      </c>
      <c r="F383" s="65"/>
      <c r="G383" s="58" t="s">
        <v>263</v>
      </c>
      <c r="H383" s="71" t="s">
        <v>2324</v>
      </c>
      <c r="I383" s="65"/>
      <c r="J383" s="65"/>
      <c r="K383" s="65"/>
      <c r="L383" s="58" t="s">
        <v>263</v>
      </c>
      <c r="M383" s="71" t="s">
        <v>2325</v>
      </c>
      <c r="N383" s="65"/>
      <c r="O383" s="58" t="s">
        <v>263</v>
      </c>
      <c r="P383" s="59">
        <v>188</v>
      </c>
      <c r="Q383" s="58" t="s">
        <v>263</v>
      </c>
      <c r="R383" s="58" t="s">
        <v>918</v>
      </c>
      <c r="S383" s="58" t="s">
        <v>263</v>
      </c>
      <c r="T383" s="66">
        <v>0</v>
      </c>
      <c r="U383" s="65"/>
      <c r="V383" s="65"/>
      <c r="W383" s="58" t="s">
        <v>263</v>
      </c>
      <c r="X383" s="59">
        <v>0</v>
      </c>
      <c r="Y383" s="60" t="s">
        <v>263</v>
      </c>
      <c r="Z383" s="66">
        <v>0</v>
      </c>
      <c r="AA383" s="65"/>
      <c r="AB383" s="60" t="s">
        <v>263</v>
      </c>
      <c r="AC383" s="59">
        <v>0</v>
      </c>
    </row>
    <row r="384" spans="2:29" x14ac:dyDescent="0.3">
      <c r="B384" s="71" t="s">
        <v>2326</v>
      </c>
      <c r="C384" s="65"/>
      <c r="D384" s="58" t="s">
        <v>263</v>
      </c>
      <c r="E384" s="71" t="s">
        <v>2327</v>
      </c>
      <c r="F384" s="65"/>
      <c r="G384" s="58" t="s">
        <v>263</v>
      </c>
      <c r="H384" s="71" t="s">
        <v>2328</v>
      </c>
      <c r="I384" s="65"/>
      <c r="J384" s="65"/>
      <c r="K384" s="65"/>
      <c r="L384" s="58" t="s">
        <v>263</v>
      </c>
      <c r="M384" s="71" t="s">
        <v>2329</v>
      </c>
      <c r="N384" s="65"/>
      <c r="O384" s="58" t="s">
        <v>263</v>
      </c>
      <c r="P384" s="59">
        <v>200</v>
      </c>
      <c r="Q384" s="58" t="s">
        <v>263</v>
      </c>
      <c r="R384" s="58" t="s">
        <v>918</v>
      </c>
      <c r="S384" s="58" t="s">
        <v>263</v>
      </c>
      <c r="T384" s="66">
        <v>0</v>
      </c>
      <c r="U384" s="65"/>
      <c r="V384" s="65"/>
      <c r="W384" s="58" t="s">
        <v>263</v>
      </c>
      <c r="X384" s="59">
        <v>0</v>
      </c>
      <c r="Y384" s="60" t="s">
        <v>263</v>
      </c>
      <c r="Z384" s="66">
        <v>0</v>
      </c>
      <c r="AA384" s="65"/>
      <c r="AB384" s="60" t="s">
        <v>263</v>
      </c>
      <c r="AC384" s="59">
        <v>0</v>
      </c>
    </row>
    <row r="385" spans="2:29" x14ac:dyDescent="0.3">
      <c r="B385" s="71" t="s">
        <v>2330</v>
      </c>
      <c r="C385" s="65"/>
      <c r="D385" s="58" t="s">
        <v>263</v>
      </c>
      <c r="E385" s="71" t="s">
        <v>2331</v>
      </c>
      <c r="F385" s="65"/>
      <c r="G385" s="58" t="s">
        <v>263</v>
      </c>
      <c r="H385" s="71" t="s">
        <v>2332</v>
      </c>
      <c r="I385" s="65"/>
      <c r="J385" s="65"/>
      <c r="K385" s="65"/>
      <c r="L385" s="58" t="s">
        <v>263</v>
      </c>
      <c r="M385" s="71" t="s">
        <v>2333</v>
      </c>
      <c r="N385" s="65"/>
      <c r="O385" s="58" t="s">
        <v>263</v>
      </c>
      <c r="P385" s="59">
        <v>193</v>
      </c>
      <c r="Q385" s="58" t="s">
        <v>263</v>
      </c>
      <c r="R385" s="58" t="s">
        <v>1246</v>
      </c>
      <c r="S385" s="58" t="s">
        <v>263</v>
      </c>
      <c r="T385" s="66">
        <v>790.42</v>
      </c>
      <c r="U385" s="65"/>
      <c r="V385" s="65"/>
      <c r="W385" s="58" t="s">
        <v>263</v>
      </c>
      <c r="X385" s="59">
        <v>0</v>
      </c>
      <c r="Y385" s="60" t="s">
        <v>263</v>
      </c>
      <c r="Z385" s="66">
        <v>0</v>
      </c>
      <c r="AA385" s="65"/>
      <c r="AB385" s="60" t="s">
        <v>263</v>
      </c>
      <c r="AC385" s="59">
        <v>75</v>
      </c>
    </row>
    <row r="386" spans="2:29" x14ac:dyDescent="0.3">
      <c r="B386" s="71" t="s">
        <v>2334</v>
      </c>
      <c r="C386" s="65"/>
      <c r="D386" s="58" t="s">
        <v>263</v>
      </c>
      <c r="E386" s="71" t="s">
        <v>2335</v>
      </c>
      <c r="F386" s="65"/>
      <c r="G386" s="58" t="s">
        <v>263</v>
      </c>
      <c r="H386" s="71" t="s">
        <v>2336</v>
      </c>
      <c r="I386" s="65"/>
      <c r="J386" s="65"/>
      <c r="K386" s="65"/>
      <c r="L386" s="58" t="s">
        <v>263</v>
      </c>
      <c r="M386" s="71" t="s">
        <v>2337</v>
      </c>
      <c r="N386" s="65"/>
      <c r="O386" s="58" t="s">
        <v>263</v>
      </c>
      <c r="P386" s="59">
        <v>236</v>
      </c>
      <c r="Q386" s="58" t="s">
        <v>263</v>
      </c>
      <c r="R386" s="58" t="s">
        <v>918</v>
      </c>
      <c r="S386" s="58" t="s">
        <v>263</v>
      </c>
      <c r="T386" s="66">
        <v>0</v>
      </c>
      <c r="U386" s="65"/>
      <c r="V386" s="65"/>
      <c r="W386" s="58" t="s">
        <v>263</v>
      </c>
      <c r="X386" s="59">
        <v>0</v>
      </c>
      <c r="Y386" s="60" t="s">
        <v>263</v>
      </c>
      <c r="Z386" s="66">
        <v>0</v>
      </c>
      <c r="AA386" s="65"/>
      <c r="AB386" s="60" t="s">
        <v>263</v>
      </c>
      <c r="AC386" s="59">
        <v>0</v>
      </c>
    </row>
    <row r="387" spans="2:29" x14ac:dyDescent="0.3">
      <c r="B387" s="71" t="s">
        <v>2338</v>
      </c>
      <c r="C387" s="65"/>
      <c r="D387" s="58" t="s">
        <v>263</v>
      </c>
      <c r="E387" s="71" t="s">
        <v>2339</v>
      </c>
      <c r="F387" s="65"/>
      <c r="G387" s="58" t="s">
        <v>263</v>
      </c>
      <c r="H387" s="71" t="s">
        <v>2340</v>
      </c>
      <c r="I387" s="65"/>
      <c r="J387" s="65"/>
      <c r="K387" s="65"/>
      <c r="L387" s="58" t="s">
        <v>263</v>
      </c>
      <c r="M387" s="71" t="s">
        <v>2341</v>
      </c>
      <c r="N387" s="65"/>
      <c r="O387" s="58" t="s">
        <v>263</v>
      </c>
      <c r="P387" s="59">
        <v>196</v>
      </c>
      <c r="Q387" s="58" t="s">
        <v>263</v>
      </c>
      <c r="R387" s="58" t="s">
        <v>918</v>
      </c>
      <c r="S387" s="58" t="s">
        <v>263</v>
      </c>
      <c r="T387" s="66">
        <v>0</v>
      </c>
      <c r="U387" s="65"/>
      <c r="V387" s="65"/>
      <c r="W387" s="58" t="s">
        <v>263</v>
      </c>
      <c r="X387" s="59">
        <v>0</v>
      </c>
      <c r="Y387" s="60" t="s">
        <v>263</v>
      </c>
      <c r="Z387" s="66">
        <v>0</v>
      </c>
      <c r="AA387" s="65"/>
      <c r="AB387" s="60" t="s">
        <v>263</v>
      </c>
      <c r="AC387" s="59">
        <v>0</v>
      </c>
    </row>
    <row r="388" spans="2:29" x14ac:dyDescent="0.3">
      <c r="B388" s="71" t="s">
        <v>2342</v>
      </c>
      <c r="C388" s="65"/>
      <c r="D388" s="58" t="s">
        <v>263</v>
      </c>
      <c r="E388" s="71" t="s">
        <v>2343</v>
      </c>
      <c r="F388" s="65"/>
      <c r="G388" s="58" t="s">
        <v>263</v>
      </c>
      <c r="H388" s="71" t="s">
        <v>2344</v>
      </c>
      <c r="I388" s="65"/>
      <c r="J388" s="65"/>
      <c r="K388" s="65"/>
      <c r="L388" s="58" t="s">
        <v>263</v>
      </c>
      <c r="M388" s="71" t="s">
        <v>2337</v>
      </c>
      <c r="N388" s="65"/>
      <c r="O388" s="58" t="s">
        <v>263</v>
      </c>
      <c r="P388" s="59">
        <v>468</v>
      </c>
      <c r="Q388" s="58" t="s">
        <v>263</v>
      </c>
      <c r="R388" s="58" t="s">
        <v>918</v>
      </c>
      <c r="S388" s="58" t="s">
        <v>263</v>
      </c>
      <c r="T388" s="66">
        <v>0</v>
      </c>
      <c r="U388" s="65"/>
      <c r="V388" s="65"/>
      <c r="W388" s="58" t="s">
        <v>263</v>
      </c>
      <c r="X388" s="59">
        <v>0</v>
      </c>
      <c r="Y388" s="60" t="s">
        <v>263</v>
      </c>
      <c r="Z388" s="66">
        <v>0</v>
      </c>
      <c r="AA388" s="65"/>
      <c r="AB388" s="60" t="s">
        <v>263</v>
      </c>
      <c r="AC388" s="59">
        <v>0</v>
      </c>
    </row>
    <row r="389" spans="2:29" x14ac:dyDescent="0.3">
      <c r="B389" s="71" t="s">
        <v>2345</v>
      </c>
      <c r="C389" s="65"/>
      <c r="D389" s="58" t="s">
        <v>263</v>
      </c>
      <c r="E389" s="71" t="s">
        <v>2346</v>
      </c>
      <c r="F389" s="65"/>
      <c r="G389" s="58" t="s">
        <v>263</v>
      </c>
      <c r="H389" s="71" t="s">
        <v>2347</v>
      </c>
      <c r="I389" s="65"/>
      <c r="J389" s="65"/>
      <c r="K389" s="65"/>
      <c r="L389" s="58" t="s">
        <v>263</v>
      </c>
      <c r="M389" s="71" t="s">
        <v>2341</v>
      </c>
      <c r="N389" s="65"/>
      <c r="O389" s="58" t="s">
        <v>263</v>
      </c>
      <c r="P389" s="59">
        <v>240</v>
      </c>
      <c r="Q389" s="58" t="s">
        <v>263</v>
      </c>
      <c r="R389" s="58" t="s">
        <v>2106</v>
      </c>
      <c r="S389" s="58" t="s">
        <v>263</v>
      </c>
      <c r="T389" s="66">
        <v>418</v>
      </c>
      <c r="U389" s="65"/>
      <c r="V389" s="65"/>
      <c r="W389" s="58" t="s">
        <v>263</v>
      </c>
      <c r="X389" s="59">
        <v>0</v>
      </c>
      <c r="Y389" s="60" t="s">
        <v>263</v>
      </c>
      <c r="Z389" s="66">
        <v>0</v>
      </c>
      <c r="AA389" s="65"/>
      <c r="AB389" s="60" t="s">
        <v>263</v>
      </c>
      <c r="AC389" s="59">
        <v>25</v>
      </c>
    </row>
    <row r="390" spans="2:29" x14ac:dyDescent="0.3">
      <c r="B390" s="71" t="s">
        <v>2348</v>
      </c>
      <c r="C390" s="65"/>
      <c r="D390" s="58" t="s">
        <v>263</v>
      </c>
      <c r="E390" s="71" t="s">
        <v>2349</v>
      </c>
      <c r="F390" s="65"/>
      <c r="G390" s="58" t="s">
        <v>263</v>
      </c>
      <c r="H390" s="71" t="s">
        <v>2350</v>
      </c>
      <c r="I390" s="65"/>
      <c r="J390" s="65"/>
      <c r="K390" s="65"/>
      <c r="L390" s="58" t="s">
        <v>263</v>
      </c>
      <c r="M390" s="71" t="s">
        <v>2351</v>
      </c>
      <c r="N390" s="65"/>
      <c r="O390" s="58" t="s">
        <v>263</v>
      </c>
      <c r="P390" s="59">
        <v>216</v>
      </c>
      <c r="Q390" s="58" t="s">
        <v>263</v>
      </c>
      <c r="R390" s="58" t="s">
        <v>918</v>
      </c>
      <c r="S390" s="58" t="s">
        <v>263</v>
      </c>
      <c r="T390" s="66">
        <v>0</v>
      </c>
      <c r="U390" s="65"/>
      <c r="V390" s="65"/>
      <c r="W390" s="58" t="s">
        <v>263</v>
      </c>
      <c r="X390" s="59">
        <v>0</v>
      </c>
      <c r="Y390" s="60" t="s">
        <v>263</v>
      </c>
      <c r="Z390" s="66">
        <v>0</v>
      </c>
      <c r="AA390" s="65"/>
      <c r="AB390" s="60" t="s">
        <v>263</v>
      </c>
      <c r="AC390" s="59">
        <v>0</v>
      </c>
    </row>
    <row r="391" spans="2:29" x14ac:dyDescent="0.3">
      <c r="B391" s="71" t="s">
        <v>2352</v>
      </c>
      <c r="C391" s="65"/>
      <c r="D391" s="58" t="s">
        <v>263</v>
      </c>
      <c r="E391" s="71" t="s">
        <v>2349</v>
      </c>
      <c r="F391" s="65"/>
      <c r="G391" s="58" t="s">
        <v>263</v>
      </c>
      <c r="H391" s="71" t="s">
        <v>2350</v>
      </c>
      <c r="I391" s="65"/>
      <c r="J391" s="65"/>
      <c r="K391" s="65"/>
      <c r="L391" s="58" t="s">
        <v>263</v>
      </c>
      <c r="M391" s="71" t="s">
        <v>1246</v>
      </c>
      <c r="N391" s="65"/>
      <c r="O391" s="58" t="s">
        <v>263</v>
      </c>
      <c r="P391" s="59">
        <v>159</v>
      </c>
      <c r="Q391" s="58" t="s">
        <v>263</v>
      </c>
      <c r="R391" s="58" t="s">
        <v>918</v>
      </c>
      <c r="S391" s="58" t="s">
        <v>263</v>
      </c>
      <c r="T391" s="66">
        <v>0</v>
      </c>
      <c r="U391" s="65"/>
      <c r="V391" s="65"/>
      <c r="W391" s="58" t="s">
        <v>263</v>
      </c>
      <c r="X391" s="59">
        <v>0</v>
      </c>
      <c r="Y391" s="60" t="s">
        <v>263</v>
      </c>
      <c r="Z391" s="66">
        <v>0</v>
      </c>
      <c r="AA391" s="65"/>
      <c r="AB391" s="60" t="s">
        <v>263</v>
      </c>
      <c r="AC391" s="59">
        <v>0</v>
      </c>
    </row>
    <row r="392" spans="2:29" x14ac:dyDescent="0.3">
      <c r="B392" s="71" t="s">
        <v>2353</v>
      </c>
      <c r="C392" s="65"/>
      <c r="D392" s="58" t="s">
        <v>263</v>
      </c>
      <c r="E392" s="71" t="s">
        <v>2354</v>
      </c>
      <c r="F392" s="65"/>
      <c r="G392" s="58" t="s">
        <v>263</v>
      </c>
      <c r="H392" s="71" t="s">
        <v>2355</v>
      </c>
      <c r="I392" s="65"/>
      <c r="J392" s="65"/>
      <c r="K392" s="65"/>
      <c r="L392" s="58" t="s">
        <v>263</v>
      </c>
      <c r="M392" s="71" t="s">
        <v>2356</v>
      </c>
      <c r="N392" s="65"/>
      <c r="O392" s="58" t="s">
        <v>263</v>
      </c>
      <c r="P392" s="59">
        <v>210</v>
      </c>
      <c r="Q392" s="58" t="s">
        <v>263</v>
      </c>
      <c r="R392" s="58" t="s">
        <v>918</v>
      </c>
      <c r="S392" s="58" t="s">
        <v>263</v>
      </c>
      <c r="T392" s="66">
        <v>0</v>
      </c>
      <c r="U392" s="65"/>
      <c r="V392" s="65"/>
      <c r="W392" s="58" t="s">
        <v>263</v>
      </c>
      <c r="X392" s="59">
        <v>0</v>
      </c>
      <c r="Y392" s="60" t="s">
        <v>263</v>
      </c>
      <c r="Z392" s="66">
        <v>0</v>
      </c>
      <c r="AA392" s="65"/>
      <c r="AB392" s="60" t="s">
        <v>263</v>
      </c>
      <c r="AC392" s="59">
        <v>0</v>
      </c>
    </row>
    <row r="393" spans="2:29" x14ac:dyDescent="0.3">
      <c r="B393" s="71" t="s">
        <v>2357</v>
      </c>
      <c r="C393" s="65"/>
      <c r="D393" s="58" t="s">
        <v>263</v>
      </c>
      <c r="E393" s="71" t="s">
        <v>2358</v>
      </c>
      <c r="F393" s="65"/>
      <c r="G393" s="58" t="s">
        <v>263</v>
      </c>
      <c r="H393" s="71" t="s">
        <v>2359</v>
      </c>
      <c r="I393" s="65"/>
      <c r="J393" s="65"/>
      <c r="K393" s="65"/>
      <c r="L393" s="58" t="s">
        <v>263</v>
      </c>
      <c r="M393" s="71" t="s">
        <v>2360</v>
      </c>
      <c r="N393" s="65"/>
      <c r="O393" s="58" t="s">
        <v>263</v>
      </c>
      <c r="P393" s="59">
        <v>99</v>
      </c>
      <c r="Q393" s="58" t="s">
        <v>263</v>
      </c>
      <c r="R393" s="58" t="s">
        <v>1159</v>
      </c>
      <c r="S393" s="58" t="s">
        <v>263</v>
      </c>
      <c r="T393" s="66">
        <v>0</v>
      </c>
      <c r="U393" s="65"/>
      <c r="V393" s="65"/>
      <c r="W393" s="58" t="s">
        <v>263</v>
      </c>
      <c r="X393" s="59">
        <v>-99</v>
      </c>
      <c r="Y393" s="60" t="s">
        <v>263</v>
      </c>
      <c r="Z393" s="66">
        <v>0</v>
      </c>
      <c r="AA393" s="65"/>
      <c r="AB393" s="60" t="s">
        <v>263</v>
      </c>
      <c r="AC393" s="59">
        <v>0</v>
      </c>
    </row>
    <row r="394" spans="2:29" x14ac:dyDescent="0.3">
      <c r="B394" s="71" t="s">
        <v>2361</v>
      </c>
      <c r="C394" s="65"/>
      <c r="D394" s="58" t="s">
        <v>263</v>
      </c>
      <c r="E394" s="71" t="s">
        <v>2362</v>
      </c>
      <c r="F394" s="65"/>
      <c r="G394" s="58" t="s">
        <v>263</v>
      </c>
      <c r="H394" s="71" t="s">
        <v>2363</v>
      </c>
      <c r="I394" s="65"/>
      <c r="J394" s="65"/>
      <c r="K394" s="65"/>
      <c r="L394" s="58" t="s">
        <v>263</v>
      </c>
      <c r="M394" s="71" t="s">
        <v>2364</v>
      </c>
      <c r="N394" s="65"/>
      <c r="O394" s="58" t="s">
        <v>263</v>
      </c>
      <c r="P394" s="59">
        <v>73</v>
      </c>
      <c r="Q394" s="58" t="s">
        <v>263</v>
      </c>
      <c r="R394" s="58" t="s">
        <v>918</v>
      </c>
      <c r="S394" s="58" t="s">
        <v>263</v>
      </c>
      <c r="T394" s="66">
        <v>0</v>
      </c>
      <c r="U394" s="65"/>
      <c r="V394" s="65"/>
      <c r="W394" s="58" t="s">
        <v>263</v>
      </c>
      <c r="X394" s="59">
        <v>0</v>
      </c>
      <c r="Y394" s="60" t="s">
        <v>263</v>
      </c>
      <c r="Z394" s="66">
        <v>0</v>
      </c>
      <c r="AA394" s="65"/>
      <c r="AB394" s="60" t="s">
        <v>263</v>
      </c>
      <c r="AC394" s="59">
        <v>0</v>
      </c>
    </row>
    <row r="395" spans="2:29" x14ac:dyDescent="0.3">
      <c r="B395" s="71" t="s">
        <v>2365</v>
      </c>
      <c r="C395" s="65"/>
      <c r="D395" s="58" t="s">
        <v>263</v>
      </c>
      <c r="E395" s="71" t="s">
        <v>2366</v>
      </c>
      <c r="F395" s="65"/>
      <c r="G395" s="58" t="s">
        <v>263</v>
      </c>
      <c r="H395" s="71" t="s">
        <v>2367</v>
      </c>
      <c r="I395" s="65"/>
      <c r="J395" s="65"/>
      <c r="K395" s="65"/>
      <c r="L395" s="58" t="s">
        <v>263</v>
      </c>
      <c r="M395" s="71" t="s">
        <v>2368</v>
      </c>
      <c r="N395" s="65"/>
      <c r="O395" s="58" t="s">
        <v>263</v>
      </c>
      <c r="P395" s="59">
        <v>189</v>
      </c>
      <c r="Q395" s="58" t="s">
        <v>263</v>
      </c>
      <c r="R395" s="58" t="s">
        <v>918</v>
      </c>
      <c r="S395" s="58" t="s">
        <v>263</v>
      </c>
      <c r="T395" s="66">
        <v>0</v>
      </c>
      <c r="U395" s="65"/>
      <c r="V395" s="65"/>
      <c r="W395" s="58" t="s">
        <v>263</v>
      </c>
      <c r="X395" s="59">
        <v>0</v>
      </c>
      <c r="Y395" s="60" t="s">
        <v>263</v>
      </c>
      <c r="Z395" s="66">
        <v>0</v>
      </c>
      <c r="AA395" s="65"/>
      <c r="AB395" s="60" t="s">
        <v>263</v>
      </c>
      <c r="AC395" s="59">
        <v>0</v>
      </c>
    </row>
    <row r="396" spans="2:29" x14ac:dyDescent="0.3">
      <c r="B396" s="71" t="s">
        <v>2369</v>
      </c>
      <c r="C396" s="65"/>
      <c r="D396" s="58" t="s">
        <v>263</v>
      </c>
      <c r="E396" s="71" t="s">
        <v>2370</v>
      </c>
      <c r="F396" s="65"/>
      <c r="G396" s="58" t="s">
        <v>263</v>
      </c>
      <c r="H396" s="71" t="s">
        <v>2371</v>
      </c>
      <c r="I396" s="65"/>
      <c r="J396" s="65"/>
      <c r="K396" s="65"/>
      <c r="L396" s="58" t="s">
        <v>263</v>
      </c>
      <c r="M396" s="71" t="s">
        <v>2372</v>
      </c>
      <c r="N396" s="65"/>
      <c r="O396" s="58" t="s">
        <v>263</v>
      </c>
      <c r="P396" s="59">
        <v>164</v>
      </c>
      <c r="Q396" s="58" t="s">
        <v>263</v>
      </c>
      <c r="R396" s="58" t="s">
        <v>918</v>
      </c>
      <c r="S396" s="58" t="s">
        <v>263</v>
      </c>
      <c r="T396" s="66">
        <v>0</v>
      </c>
      <c r="U396" s="65"/>
      <c r="V396" s="65"/>
      <c r="W396" s="58" t="s">
        <v>263</v>
      </c>
      <c r="X396" s="59">
        <v>0</v>
      </c>
      <c r="Y396" s="60" t="s">
        <v>263</v>
      </c>
      <c r="Z396" s="66">
        <v>0</v>
      </c>
      <c r="AA396" s="65"/>
      <c r="AB396" s="60" t="s">
        <v>263</v>
      </c>
      <c r="AC396" s="59">
        <v>0</v>
      </c>
    </row>
    <row r="397" spans="2:29" x14ac:dyDescent="0.3">
      <c r="B397" s="71" t="s">
        <v>2373</v>
      </c>
      <c r="C397" s="65"/>
      <c r="D397" s="58" t="s">
        <v>263</v>
      </c>
      <c r="E397" s="71" t="s">
        <v>2374</v>
      </c>
      <c r="F397" s="65"/>
      <c r="G397" s="58" t="s">
        <v>263</v>
      </c>
      <c r="H397" s="71" t="s">
        <v>2375</v>
      </c>
      <c r="I397" s="65"/>
      <c r="J397" s="65"/>
      <c r="K397" s="65"/>
      <c r="L397" s="58" t="s">
        <v>263</v>
      </c>
      <c r="M397" s="71" t="s">
        <v>2372</v>
      </c>
      <c r="N397" s="65"/>
      <c r="O397" s="58" t="s">
        <v>263</v>
      </c>
      <c r="P397" s="59">
        <v>227</v>
      </c>
      <c r="Q397" s="58" t="s">
        <v>263</v>
      </c>
      <c r="R397" s="58" t="s">
        <v>918</v>
      </c>
      <c r="S397" s="58" t="s">
        <v>263</v>
      </c>
      <c r="T397" s="66">
        <v>0</v>
      </c>
      <c r="U397" s="65"/>
      <c r="V397" s="65"/>
      <c r="W397" s="58" t="s">
        <v>263</v>
      </c>
      <c r="X397" s="59">
        <v>0</v>
      </c>
      <c r="Y397" s="60" t="s">
        <v>263</v>
      </c>
      <c r="Z397" s="66">
        <v>0</v>
      </c>
      <c r="AA397" s="65"/>
      <c r="AB397" s="60" t="s">
        <v>263</v>
      </c>
      <c r="AC397" s="59">
        <v>0</v>
      </c>
    </row>
    <row r="398" spans="2:29" x14ac:dyDescent="0.3">
      <c r="B398" s="71" t="s">
        <v>2376</v>
      </c>
      <c r="C398" s="65"/>
      <c r="D398" s="58" t="s">
        <v>263</v>
      </c>
      <c r="E398" s="71" t="s">
        <v>2377</v>
      </c>
      <c r="F398" s="65"/>
      <c r="G398" s="58" t="s">
        <v>263</v>
      </c>
      <c r="H398" s="71" t="s">
        <v>2378</v>
      </c>
      <c r="I398" s="65"/>
      <c r="J398" s="65"/>
      <c r="K398" s="65"/>
      <c r="L398" s="58" t="s">
        <v>263</v>
      </c>
      <c r="M398" s="71" t="s">
        <v>2372</v>
      </c>
      <c r="N398" s="65"/>
      <c r="O398" s="58" t="s">
        <v>263</v>
      </c>
      <c r="P398" s="59">
        <v>130</v>
      </c>
      <c r="Q398" s="58" t="s">
        <v>263</v>
      </c>
      <c r="R398" s="58" t="s">
        <v>1159</v>
      </c>
      <c r="S398" s="58" t="s">
        <v>263</v>
      </c>
      <c r="T398" s="66">
        <v>0</v>
      </c>
      <c r="U398" s="65"/>
      <c r="V398" s="65"/>
      <c r="W398" s="58" t="s">
        <v>263</v>
      </c>
      <c r="X398" s="59">
        <v>-130</v>
      </c>
      <c r="Y398" s="60" t="s">
        <v>263</v>
      </c>
      <c r="Z398" s="66">
        <v>0</v>
      </c>
      <c r="AA398" s="65"/>
      <c r="AB398" s="60" t="s">
        <v>263</v>
      </c>
      <c r="AC398" s="59">
        <v>0</v>
      </c>
    </row>
    <row r="399" spans="2:29" x14ac:dyDescent="0.3">
      <c r="B399" s="71" t="s">
        <v>2379</v>
      </c>
      <c r="C399" s="65"/>
      <c r="D399" s="58" t="s">
        <v>263</v>
      </c>
      <c r="E399" s="71" t="s">
        <v>2380</v>
      </c>
      <c r="F399" s="65"/>
      <c r="G399" s="58" t="s">
        <v>263</v>
      </c>
      <c r="H399" s="71" t="s">
        <v>2381</v>
      </c>
      <c r="I399" s="65"/>
      <c r="J399" s="65"/>
      <c r="K399" s="65"/>
      <c r="L399" s="58" t="s">
        <v>263</v>
      </c>
      <c r="M399" s="71" t="s">
        <v>2372</v>
      </c>
      <c r="N399" s="65"/>
      <c r="O399" s="58" t="s">
        <v>263</v>
      </c>
      <c r="P399" s="59">
        <v>172</v>
      </c>
      <c r="Q399" s="58" t="s">
        <v>263</v>
      </c>
      <c r="R399" s="58" t="s">
        <v>918</v>
      </c>
      <c r="S399" s="58" t="s">
        <v>263</v>
      </c>
      <c r="T399" s="66">
        <v>0</v>
      </c>
      <c r="U399" s="65"/>
      <c r="V399" s="65"/>
      <c r="W399" s="58" t="s">
        <v>263</v>
      </c>
      <c r="X399" s="59">
        <v>0</v>
      </c>
      <c r="Y399" s="60" t="s">
        <v>263</v>
      </c>
      <c r="Z399" s="66">
        <v>0</v>
      </c>
      <c r="AA399" s="65"/>
      <c r="AB399" s="60" t="s">
        <v>263</v>
      </c>
      <c r="AC399" s="59">
        <v>0</v>
      </c>
    </row>
    <row r="400" spans="2:29" x14ac:dyDescent="0.3">
      <c r="B400" s="71" t="s">
        <v>2382</v>
      </c>
      <c r="C400" s="65"/>
      <c r="D400" s="58" t="s">
        <v>263</v>
      </c>
      <c r="E400" s="71" t="s">
        <v>2383</v>
      </c>
      <c r="F400" s="65"/>
      <c r="G400" s="58" t="s">
        <v>263</v>
      </c>
      <c r="H400" s="71" t="s">
        <v>2384</v>
      </c>
      <c r="I400" s="65"/>
      <c r="J400" s="65"/>
      <c r="K400" s="65"/>
      <c r="L400" s="58" t="s">
        <v>263</v>
      </c>
      <c r="M400" s="71" t="s">
        <v>2351</v>
      </c>
      <c r="N400" s="65"/>
      <c r="O400" s="58" t="s">
        <v>263</v>
      </c>
      <c r="P400" s="59">
        <v>335</v>
      </c>
      <c r="Q400" s="58" t="s">
        <v>263</v>
      </c>
      <c r="R400" s="58" t="s">
        <v>918</v>
      </c>
      <c r="S400" s="58" t="s">
        <v>263</v>
      </c>
      <c r="T400" s="66">
        <v>0</v>
      </c>
      <c r="U400" s="65"/>
      <c r="V400" s="65"/>
      <c r="W400" s="58" t="s">
        <v>263</v>
      </c>
      <c r="X400" s="59">
        <v>0</v>
      </c>
      <c r="Y400" s="60" t="s">
        <v>263</v>
      </c>
      <c r="Z400" s="66">
        <v>0</v>
      </c>
      <c r="AA400" s="65"/>
      <c r="AB400" s="60" t="s">
        <v>263</v>
      </c>
      <c r="AC400" s="59">
        <v>0</v>
      </c>
    </row>
    <row r="401" spans="2:29" x14ac:dyDescent="0.3">
      <c r="B401" s="71" t="s">
        <v>2385</v>
      </c>
      <c r="C401" s="65"/>
      <c r="D401" s="58" t="s">
        <v>263</v>
      </c>
      <c r="E401" s="71" t="s">
        <v>2386</v>
      </c>
      <c r="F401" s="65"/>
      <c r="G401" s="58" t="s">
        <v>263</v>
      </c>
      <c r="H401" s="71" t="s">
        <v>2387</v>
      </c>
      <c r="I401" s="65"/>
      <c r="J401" s="65"/>
      <c r="K401" s="65"/>
      <c r="L401" s="58" t="s">
        <v>263</v>
      </c>
      <c r="M401" s="71" t="s">
        <v>2388</v>
      </c>
      <c r="N401" s="65"/>
      <c r="O401" s="58" t="s">
        <v>263</v>
      </c>
      <c r="P401" s="59">
        <v>181</v>
      </c>
      <c r="Q401" s="58" t="s">
        <v>263</v>
      </c>
      <c r="R401" s="58" t="s">
        <v>918</v>
      </c>
      <c r="S401" s="58" t="s">
        <v>263</v>
      </c>
      <c r="T401" s="66">
        <v>0</v>
      </c>
      <c r="U401" s="65"/>
      <c r="V401" s="65"/>
      <c r="W401" s="58" t="s">
        <v>263</v>
      </c>
      <c r="X401" s="59">
        <v>0</v>
      </c>
      <c r="Y401" s="60" t="s">
        <v>263</v>
      </c>
      <c r="Z401" s="66">
        <v>0</v>
      </c>
      <c r="AA401" s="65"/>
      <c r="AB401" s="60" t="s">
        <v>263</v>
      </c>
      <c r="AC401" s="59">
        <v>0</v>
      </c>
    </row>
    <row r="402" spans="2:29" x14ac:dyDescent="0.3">
      <c r="B402" s="71" t="s">
        <v>2389</v>
      </c>
      <c r="C402" s="65"/>
      <c r="D402" s="58" t="s">
        <v>263</v>
      </c>
      <c r="E402" s="71" t="s">
        <v>2390</v>
      </c>
      <c r="F402" s="65"/>
      <c r="G402" s="58" t="s">
        <v>263</v>
      </c>
      <c r="H402" s="71" t="s">
        <v>2391</v>
      </c>
      <c r="I402" s="65"/>
      <c r="J402" s="65"/>
      <c r="K402" s="65"/>
      <c r="L402" s="58" t="s">
        <v>263</v>
      </c>
      <c r="M402" s="71" t="s">
        <v>2392</v>
      </c>
      <c r="N402" s="65"/>
      <c r="O402" s="58" t="s">
        <v>263</v>
      </c>
      <c r="P402" s="59">
        <v>240</v>
      </c>
      <c r="Q402" s="58" t="s">
        <v>263</v>
      </c>
      <c r="R402" s="58" t="s">
        <v>918</v>
      </c>
      <c r="S402" s="58" t="s">
        <v>263</v>
      </c>
      <c r="T402" s="66">
        <v>0</v>
      </c>
      <c r="U402" s="65"/>
      <c r="V402" s="65"/>
      <c r="W402" s="58" t="s">
        <v>263</v>
      </c>
      <c r="X402" s="59">
        <v>0</v>
      </c>
      <c r="Y402" s="60" t="s">
        <v>263</v>
      </c>
      <c r="Z402" s="66">
        <v>0</v>
      </c>
      <c r="AA402" s="65"/>
      <c r="AB402" s="60" t="s">
        <v>263</v>
      </c>
      <c r="AC402" s="59">
        <v>0</v>
      </c>
    </row>
    <row r="403" spans="2:29" x14ac:dyDescent="0.3">
      <c r="B403" s="71" t="s">
        <v>2393</v>
      </c>
      <c r="C403" s="65"/>
      <c r="D403" s="58" t="s">
        <v>263</v>
      </c>
      <c r="E403" s="71" t="s">
        <v>2394</v>
      </c>
      <c r="F403" s="65"/>
      <c r="G403" s="58" t="s">
        <v>263</v>
      </c>
      <c r="H403" s="71" t="s">
        <v>2395</v>
      </c>
      <c r="I403" s="65"/>
      <c r="J403" s="65"/>
      <c r="K403" s="65"/>
      <c r="L403" s="58" t="s">
        <v>263</v>
      </c>
      <c r="M403" s="71" t="s">
        <v>2392</v>
      </c>
      <c r="N403" s="65"/>
      <c r="O403" s="58" t="s">
        <v>263</v>
      </c>
      <c r="P403" s="59">
        <v>142</v>
      </c>
      <c r="Q403" s="58" t="s">
        <v>263</v>
      </c>
      <c r="R403" s="58" t="s">
        <v>918</v>
      </c>
      <c r="S403" s="58" t="s">
        <v>263</v>
      </c>
      <c r="T403" s="66">
        <v>0</v>
      </c>
      <c r="U403" s="65"/>
      <c r="V403" s="65"/>
      <c r="W403" s="58" t="s">
        <v>263</v>
      </c>
      <c r="X403" s="59">
        <v>-40</v>
      </c>
      <c r="Y403" s="60" t="s">
        <v>263</v>
      </c>
      <c r="Z403" s="66">
        <v>0</v>
      </c>
      <c r="AA403" s="65"/>
      <c r="AB403" s="60" t="s">
        <v>263</v>
      </c>
      <c r="AC403" s="59">
        <v>0</v>
      </c>
    </row>
    <row r="404" spans="2:29" x14ac:dyDescent="0.3">
      <c r="B404" s="71" t="s">
        <v>2396</v>
      </c>
      <c r="C404" s="65"/>
      <c r="D404" s="58" t="s">
        <v>263</v>
      </c>
      <c r="E404" s="71" t="s">
        <v>2397</v>
      </c>
      <c r="F404" s="65"/>
      <c r="G404" s="58" t="s">
        <v>263</v>
      </c>
      <c r="H404" s="71" t="s">
        <v>2398</v>
      </c>
      <c r="I404" s="65"/>
      <c r="J404" s="65"/>
      <c r="K404" s="65"/>
      <c r="L404" s="58" t="s">
        <v>263</v>
      </c>
      <c r="M404" s="71" t="s">
        <v>2399</v>
      </c>
      <c r="N404" s="65"/>
      <c r="O404" s="58" t="s">
        <v>263</v>
      </c>
      <c r="P404" s="59">
        <v>338</v>
      </c>
      <c r="Q404" s="58" t="s">
        <v>263</v>
      </c>
      <c r="R404" s="58" t="s">
        <v>918</v>
      </c>
      <c r="S404" s="58" t="s">
        <v>263</v>
      </c>
      <c r="T404" s="66">
        <v>0</v>
      </c>
      <c r="U404" s="65"/>
      <c r="V404" s="65"/>
      <c r="W404" s="58" t="s">
        <v>263</v>
      </c>
      <c r="X404" s="59">
        <v>0</v>
      </c>
      <c r="Y404" s="60" t="s">
        <v>263</v>
      </c>
      <c r="Z404" s="66">
        <v>0</v>
      </c>
      <c r="AA404" s="65"/>
      <c r="AB404" s="60" t="s">
        <v>263</v>
      </c>
      <c r="AC404" s="59">
        <v>0</v>
      </c>
    </row>
    <row r="405" spans="2:29" x14ac:dyDescent="0.3">
      <c r="B405" s="71" t="s">
        <v>2400</v>
      </c>
      <c r="C405" s="65"/>
      <c r="D405" s="58" t="s">
        <v>263</v>
      </c>
      <c r="E405" s="71" t="s">
        <v>2401</v>
      </c>
      <c r="F405" s="65"/>
      <c r="G405" s="58" t="s">
        <v>263</v>
      </c>
      <c r="H405" s="71" t="s">
        <v>2402</v>
      </c>
      <c r="I405" s="65"/>
      <c r="J405" s="65"/>
      <c r="K405" s="65"/>
      <c r="L405" s="58" t="s">
        <v>263</v>
      </c>
      <c r="M405" s="71" t="s">
        <v>2403</v>
      </c>
      <c r="N405" s="65"/>
      <c r="O405" s="58" t="s">
        <v>263</v>
      </c>
      <c r="P405" s="59">
        <v>206</v>
      </c>
      <c r="Q405" s="58" t="s">
        <v>263</v>
      </c>
      <c r="R405" s="58" t="s">
        <v>918</v>
      </c>
      <c r="S405" s="58" t="s">
        <v>263</v>
      </c>
      <c r="T405" s="66">
        <v>0</v>
      </c>
      <c r="U405" s="65"/>
      <c r="V405" s="65"/>
      <c r="W405" s="58" t="s">
        <v>263</v>
      </c>
      <c r="X405" s="59">
        <v>0</v>
      </c>
      <c r="Y405" s="60" t="s">
        <v>263</v>
      </c>
      <c r="Z405" s="66">
        <v>0</v>
      </c>
      <c r="AA405" s="65"/>
      <c r="AB405" s="60" t="s">
        <v>263</v>
      </c>
      <c r="AC405" s="59">
        <v>0</v>
      </c>
    </row>
    <row r="406" spans="2:29" x14ac:dyDescent="0.3">
      <c r="B406" s="71" t="s">
        <v>2404</v>
      </c>
      <c r="C406" s="65"/>
      <c r="D406" s="58" t="s">
        <v>263</v>
      </c>
      <c r="E406" s="71" t="s">
        <v>2405</v>
      </c>
      <c r="F406" s="65"/>
      <c r="G406" s="58" t="s">
        <v>263</v>
      </c>
      <c r="H406" s="71" t="s">
        <v>2406</v>
      </c>
      <c r="I406" s="65"/>
      <c r="J406" s="65"/>
      <c r="K406" s="65"/>
      <c r="L406" s="58" t="s">
        <v>263</v>
      </c>
      <c r="M406" s="71" t="s">
        <v>2351</v>
      </c>
      <c r="N406" s="65"/>
      <c r="O406" s="58" t="s">
        <v>263</v>
      </c>
      <c r="P406" s="59">
        <v>255</v>
      </c>
      <c r="Q406" s="58" t="s">
        <v>263</v>
      </c>
      <c r="R406" s="58" t="s">
        <v>918</v>
      </c>
      <c r="S406" s="58" t="s">
        <v>263</v>
      </c>
      <c r="T406" s="66">
        <v>0</v>
      </c>
      <c r="U406" s="65"/>
      <c r="V406" s="65"/>
      <c r="W406" s="58" t="s">
        <v>263</v>
      </c>
      <c r="X406" s="59">
        <v>0</v>
      </c>
      <c r="Y406" s="60" t="s">
        <v>263</v>
      </c>
      <c r="Z406" s="66">
        <v>0</v>
      </c>
      <c r="AA406" s="65"/>
      <c r="AB406" s="60" t="s">
        <v>263</v>
      </c>
      <c r="AC406" s="59">
        <v>0</v>
      </c>
    </row>
    <row r="407" spans="2:29" x14ac:dyDescent="0.3">
      <c r="B407" s="71" t="s">
        <v>2407</v>
      </c>
      <c r="C407" s="65"/>
      <c r="D407" s="58" t="s">
        <v>263</v>
      </c>
      <c r="E407" s="71" t="s">
        <v>2408</v>
      </c>
      <c r="F407" s="65"/>
      <c r="G407" s="58" t="s">
        <v>263</v>
      </c>
      <c r="H407" s="71" t="s">
        <v>2409</v>
      </c>
      <c r="I407" s="65"/>
      <c r="J407" s="65"/>
      <c r="K407" s="65"/>
      <c r="L407" s="58" t="s">
        <v>263</v>
      </c>
      <c r="M407" s="71" t="s">
        <v>2410</v>
      </c>
      <c r="N407" s="65"/>
      <c r="O407" s="58" t="s">
        <v>263</v>
      </c>
      <c r="P407" s="59">
        <v>181</v>
      </c>
      <c r="Q407" s="58" t="s">
        <v>263</v>
      </c>
      <c r="R407" s="58" t="s">
        <v>918</v>
      </c>
      <c r="S407" s="58" t="s">
        <v>263</v>
      </c>
      <c r="T407" s="66">
        <v>0</v>
      </c>
      <c r="U407" s="65"/>
      <c r="V407" s="65"/>
      <c r="W407" s="58" t="s">
        <v>263</v>
      </c>
      <c r="X407" s="59">
        <v>0</v>
      </c>
      <c r="Y407" s="60" t="s">
        <v>263</v>
      </c>
      <c r="Z407" s="66">
        <v>0</v>
      </c>
      <c r="AA407" s="65"/>
      <c r="AB407" s="60" t="s">
        <v>263</v>
      </c>
      <c r="AC407" s="59">
        <v>0</v>
      </c>
    </row>
    <row r="408" spans="2:29" x14ac:dyDescent="0.3">
      <c r="B408" s="71" t="s">
        <v>2411</v>
      </c>
      <c r="C408" s="65"/>
      <c r="D408" s="58" t="s">
        <v>263</v>
      </c>
      <c r="E408" s="71" t="s">
        <v>2412</v>
      </c>
      <c r="F408" s="65"/>
      <c r="G408" s="58" t="s">
        <v>263</v>
      </c>
      <c r="H408" s="71" t="s">
        <v>2413</v>
      </c>
      <c r="I408" s="65"/>
      <c r="J408" s="65"/>
      <c r="K408" s="65"/>
      <c r="L408" s="58" t="s">
        <v>263</v>
      </c>
      <c r="M408" s="71" t="s">
        <v>2414</v>
      </c>
      <c r="N408" s="65"/>
      <c r="O408" s="58" t="s">
        <v>263</v>
      </c>
      <c r="P408" s="59">
        <v>207</v>
      </c>
      <c r="Q408" s="58" t="s">
        <v>263</v>
      </c>
      <c r="R408" s="58" t="s">
        <v>918</v>
      </c>
      <c r="S408" s="58" t="s">
        <v>263</v>
      </c>
      <c r="T408" s="66">
        <v>0</v>
      </c>
      <c r="U408" s="65"/>
      <c r="V408" s="65"/>
      <c r="W408" s="58" t="s">
        <v>263</v>
      </c>
      <c r="X408" s="59">
        <v>0</v>
      </c>
      <c r="Y408" s="60" t="s">
        <v>263</v>
      </c>
      <c r="Z408" s="66">
        <v>0</v>
      </c>
      <c r="AA408" s="65"/>
      <c r="AB408" s="60" t="s">
        <v>263</v>
      </c>
      <c r="AC408" s="59">
        <v>0</v>
      </c>
    </row>
    <row r="409" spans="2:29" x14ac:dyDescent="0.3">
      <c r="B409" s="71" t="s">
        <v>2415</v>
      </c>
      <c r="C409" s="65"/>
      <c r="D409" s="58" t="s">
        <v>263</v>
      </c>
      <c r="E409" s="71" t="s">
        <v>2412</v>
      </c>
      <c r="F409" s="65"/>
      <c r="G409" s="58" t="s">
        <v>263</v>
      </c>
      <c r="H409" s="71" t="s">
        <v>2413</v>
      </c>
      <c r="I409" s="65"/>
      <c r="J409" s="65"/>
      <c r="K409" s="65"/>
      <c r="L409" s="58" t="s">
        <v>263</v>
      </c>
      <c r="M409" s="71" t="s">
        <v>800</v>
      </c>
      <c r="N409" s="65"/>
      <c r="O409" s="58" t="s">
        <v>263</v>
      </c>
      <c r="P409" s="59">
        <v>149</v>
      </c>
      <c r="Q409" s="58" t="s">
        <v>263</v>
      </c>
      <c r="R409" s="58" t="s">
        <v>918</v>
      </c>
      <c r="S409" s="58" t="s">
        <v>263</v>
      </c>
      <c r="T409" s="66">
        <v>0</v>
      </c>
      <c r="U409" s="65"/>
      <c r="V409" s="65"/>
      <c r="W409" s="58" t="s">
        <v>263</v>
      </c>
      <c r="X409" s="59">
        <v>-114.23</v>
      </c>
      <c r="Y409" s="60" t="s">
        <v>263</v>
      </c>
      <c r="Z409" s="66">
        <v>0</v>
      </c>
      <c r="AA409" s="65"/>
      <c r="AB409" s="60" t="s">
        <v>263</v>
      </c>
      <c r="AC409" s="59">
        <v>0</v>
      </c>
    </row>
    <row r="410" spans="2:29" x14ac:dyDescent="0.3">
      <c r="B410" s="71" t="s">
        <v>2416</v>
      </c>
      <c r="C410" s="65"/>
      <c r="D410" s="58" t="s">
        <v>263</v>
      </c>
      <c r="E410" s="71" t="s">
        <v>2417</v>
      </c>
      <c r="F410" s="65"/>
      <c r="G410" s="58" t="s">
        <v>263</v>
      </c>
      <c r="H410" s="71" t="s">
        <v>2418</v>
      </c>
      <c r="I410" s="65"/>
      <c r="J410" s="65"/>
      <c r="K410" s="65"/>
      <c r="L410" s="58" t="s">
        <v>263</v>
      </c>
      <c r="M410" s="71" t="s">
        <v>2414</v>
      </c>
      <c r="N410" s="65"/>
      <c r="O410" s="58" t="s">
        <v>263</v>
      </c>
      <c r="P410" s="59">
        <v>159</v>
      </c>
      <c r="Q410" s="58" t="s">
        <v>263</v>
      </c>
      <c r="R410" s="58" t="s">
        <v>1892</v>
      </c>
      <c r="S410" s="58" t="s">
        <v>263</v>
      </c>
      <c r="T410" s="66">
        <v>0</v>
      </c>
      <c r="U410" s="65"/>
      <c r="V410" s="65"/>
      <c r="W410" s="58" t="s">
        <v>263</v>
      </c>
      <c r="X410" s="59">
        <v>0</v>
      </c>
      <c r="Y410" s="60" t="s">
        <v>263</v>
      </c>
      <c r="Z410" s="66">
        <v>0</v>
      </c>
      <c r="AA410" s="65"/>
      <c r="AB410" s="60" t="s">
        <v>263</v>
      </c>
      <c r="AC410" s="59">
        <v>0</v>
      </c>
    </row>
    <row r="411" spans="2:29" x14ac:dyDescent="0.3">
      <c r="B411" s="71" t="s">
        <v>2419</v>
      </c>
      <c r="C411" s="65"/>
      <c r="D411" s="58" t="s">
        <v>263</v>
      </c>
      <c r="E411" s="71" t="s">
        <v>2420</v>
      </c>
      <c r="F411" s="65"/>
      <c r="G411" s="58" t="s">
        <v>263</v>
      </c>
      <c r="H411" s="71" t="s">
        <v>2421</v>
      </c>
      <c r="I411" s="65"/>
      <c r="J411" s="65"/>
      <c r="K411" s="65"/>
      <c r="L411" s="58" t="s">
        <v>263</v>
      </c>
      <c r="M411" s="71" t="s">
        <v>1940</v>
      </c>
      <c r="N411" s="65"/>
      <c r="O411" s="58" t="s">
        <v>263</v>
      </c>
      <c r="P411" s="59">
        <v>203</v>
      </c>
      <c r="Q411" s="58" t="s">
        <v>263</v>
      </c>
      <c r="R411" s="58" t="s">
        <v>918</v>
      </c>
      <c r="S411" s="58" t="s">
        <v>263</v>
      </c>
      <c r="T411" s="66">
        <v>0</v>
      </c>
      <c r="U411" s="65"/>
      <c r="V411" s="65"/>
      <c r="W411" s="58" t="s">
        <v>263</v>
      </c>
      <c r="X411" s="59">
        <v>0</v>
      </c>
      <c r="Y411" s="60" t="s">
        <v>263</v>
      </c>
      <c r="Z411" s="66">
        <v>0</v>
      </c>
      <c r="AA411" s="65"/>
      <c r="AB411" s="60" t="s">
        <v>263</v>
      </c>
      <c r="AC411" s="59">
        <v>0</v>
      </c>
    </row>
    <row r="412" spans="2:29" x14ac:dyDescent="0.3">
      <c r="B412" s="71" t="s">
        <v>2422</v>
      </c>
      <c r="C412" s="65"/>
      <c r="D412" s="58" t="s">
        <v>263</v>
      </c>
      <c r="E412" s="71" t="s">
        <v>2423</v>
      </c>
      <c r="F412" s="65"/>
      <c r="G412" s="58" t="s">
        <v>263</v>
      </c>
      <c r="H412" s="71" t="s">
        <v>2424</v>
      </c>
      <c r="I412" s="65"/>
      <c r="J412" s="65"/>
      <c r="K412" s="65"/>
      <c r="L412" s="58" t="s">
        <v>263</v>
      </c>
      <c r="M412" s="71" t="s">
        <v>1940</v>
      </c>
      <c r="N412" s="65"/>
      <c r="O412" s="58" t="s">
        <v>263</v>
      </c>
      <c r="P412" s="59">
        <v>381</v>
      </c>
      <c r="Q412" s="58" t="s">
        <v>263</v>
      </c>
      <c r="R412" s="58" t="s">
        <v>918</v>
      </c>
      <c r="S412" s="58" t="s">
        <v>263</v>
      </c>
      <c r="T412" s="66">
        <v>0</v>
      </c>
      <c r="U412" s="65"/>
      <c r="V412" s="65"/>
      <c r="W412" s="58" t="s">
        <v>263</v>
      </c>
      <c r="X412" s="59">
        <v>0</v>
      </c>
      <c r="Y412" s="60" t="s">
        <v>263</v>
      </c>
      <c r="Z412" s="66">
        <v>0</v>
      </c>
      <c r="AA412" s="65"/>
      <c r="AB412" s="60" t="s">
        <v>263</v>
      </c>
      <c r="AC412" s="59">
        <v>0</v>
      </c>
    </row>
    <row r="413" spans="2:29" x14ac:dyDescent="0.3">
      <c r="B413" s="71" t="s">
        <v>2425</v>
      </c>
      <c r="C413" s="65"/>
      <c r="D413" s="58" t="s">
        <v>263</v>
      </c>
      <c r="E413" s="71" t="s">
        <v>2426</v>
      </c>
      <c r="F413" s="65"/>
      <c r="G413" s="58" t="s">
        <v>263</v>
      </c>
      <c r="H413" s="71" t="s">
        <v>2427</v>
      </c>
      <c r="I413" s="65"/>
      <c r="J413" s="65"/>
      <c r="K413" s="65"/>
      <c r="L413" s="58" t="s">
        <v>263</v>
      </c>
      <c r="M413" s="71" t="s">
        <v>2428</v>
      </c>
      <c r="N413" s="65"/>
      <c r="O413" s="58" t="s">
        <v>263</v>
      </c>
      <c r="P413" s="59">
        <v>187</v>
      </c>
      <c r="Q413" s="58" t="s">
        <v>263</v>
      </c>
      <c r="R413" s="58" t="s">
        <v>918</v>
      </c>
      <c r="S413" s="58" t="s">
        <v>263</v>
      </c>
      <c r="T413" s="66">
        <v>0</v>
      </c>
      <c r="U413" s="65"/>
      <c r="V413" s="65"/>
      <c r="W413" s="58" t="s">
        <v>263</v>
      </c>
      <c r="X413" s="59">
        <v>0</v>
      </c>
      <c r="Y413" s="60" t="s">
        <v>263</v>
      </c>
      <c r="Z413" s="66">
        <v>0</v>
      </c>
      <c r="AA413" s="65"/>
      <c r="AB413" s="60" t="s">
        <v>263</v>
      </c>
      <c r="AC413" s="59">
        <v>0</v>
      </c>
    </row>
    <row r="414" spans="2:29" x14ac:dyDescent="0.3">
      <c r="B414" s="71" t="s">
        <v>2429</v>
      </c>
      <c r="C414" s="65"/>
      <c r="D414" s="58" t="s">
        <v>263</v>
      </c>
      <c r="E414" s="71" t="s">
        <v>2430</v>
      </c>
      <c r="F414" s="65"/>
      <c r="G414" s="58" t="s">
        <v>263</v>
      </c>
      <c r="H414" s="71" t="s">
        <v>2431</v>
      </c>
      <c r="I414" s="65"/>
      <c r="J414" s="65"/>
      <c r="K414" s="65"/>
      <c r="L414" s="58" t="s">
        <v>263</v>
      </c>
      <c r="M414" s="71" t="s">
        <v>2432</v>
      </c>
      <c r="N414" s="65"/>
      <c r="O414" s="58" t="s">
        <v>263</v>
      </c>
      <c r="P414" s="59">
        <v>110</v>
      </c>
      <c r="Q414" s="58" t="s">
        <v>263</v>
      </c>
      <c r="R414" s="58" t="s">
        <v>918</v>
      </c>
      <c r="S414" s="58" t="s">
        <v>263</v>
      </c>
      <c r="T414" s="66">
        <v>0</v>
      </c>
      <c r="U414" s="65"/>
      <c r="V414" s="65"/>
      <c r="W414" s="58" t="s">
        <v>263</v>
      </c>
      <c r="X414" s="59">
        <v>0</v>
      </c>
      <c r="Y414" s="60" t="s">
        <v>263</v>
      </c>
      <c r="Z414" s="66">
        <v>0</v>
      </c>
      <c r="AA414" s="65"/>
      <c r="AB414" s="60" t="s">
        <v>263</v>
      </c>
      <c r="AC414" s="59">
        <v>0</v>
      </c>
    </row>
    <row r="415" spans="2:29" x14ac:dyDescent="0.3">
      <c r="B415" s="71" t="s">
        <v>2433</v>
      </c>
      <c r="C415" s="65"/>
      <c r="D415" s="58" t="s">
        <v>263</v>
      </c>
      <c r="E415" s="71" t="s">
        <v>2434</v>
      </c>
      <c r="F415" s="65"/>
      <c r="G415" s="58" t="s">
        <v>263</v>
      </c>
      <c r="H415" s="71" t="s">
        <v>2435</v>
      </c>
      <c r="I415" s="65"/>
      <c r="J415" s="65"/>
      <c r="K415" s="65"/>
      <c r="L415" s="58" t="s">
        <v>263</v>
      </c>
      <c r="M415" s="71" t="s">
        <v>2436</v>
      </c>
      <c r="N415" s="65"/>
      <c r="O415" s="58" t="s">
        <v>263</v>
      </c>
      <c r="P415" s="59">
        <v>207</v>
      </c>
      <c r="Q415" s="58" t="s">
        <v>263</v>
      </c>
      <c r="R415" s="58" t="s">
        <v>918</v>
      </c>
      <c r="S415" s="58" t="s">
        <v>263</v>
      </c>
      <c r="T415" s="66">
        <v>0</v>
      </c>
      <c r="U415" s="65"/>
      <c r="V415" s="65"/>
      <c r="W415" s="58" t="s">
        <v>263</v>
      </c>
      <c r="X415" s="59">
        <v>0</v>
      </c>
      <c r="Y415" s="60" t="s">
        <v>263</v>
      </c>
      <c r="Z415" s="66">
        <v>0</v>
      </c>
      <c r="AA415" s="65"/>
      <c r="AB415" s="60" t="s">
        <v>263</v>
      </c>
      <c r="AC415" s="59">
        <v>0</v>
      </c>
    </row>
    <row r="416" spans="2:29" x14ac:dyDescent="0.3">
      <c r="B416" s="71" t="s">
        <v>2437</v>
      </c>
      <c r="C416" s="65"/>
      <c r="D416" s="58" t="s">
        <v>263</v>
      </c>
      <c r="E416" s="71" t="s">
        <v>2438</v>
      </c>
      <c r="F416" s="65"/>
      <c r="G416" s="58" t="s">
        <v>263</v>
      </c>
      <c r="H416" s="71" t="s">
        <v>2439</v>
      </c>
      <c r="I416" s="65"/>
      <c r="J416" s="65"/>
      <c r="K416" s="65"/>
      <c r="L416" s="58" t="s">
        <v>263</v>
      </c>
      <c r="M416" s="71" t="s">
        <v>2428</v>
      </c>
      <c r="N416" s="65"/>
      <c r="O416" s="58" t="s">
        <v>263</v>
      </c>
      <c r="P416" s="59">
        <v>178</v>
      </c>
      <c r="Q416" s="58" t="s">
        <v>263</v>
      </c>
      <c r="R416" s="58" t="s">
        <v>918</v>
      </c>
      <c r="S416" s="58" t="s">
        <v>263</v>
      </c>
      <c r="T416" s="66">
        <v>0</v>
      </c>
      <c r="U416" s="65"/>
      <c r="V416" s="65"/>
      <c r="W416" s="58" t="s">
        <v>263</v>
      </c>
      <c r="X416" s="59">
        <v>0</v>
      </c>
      <c r="Y416" s="60" t="s">
        <v>263</v>
      </c>
      <c r="Z416" s="66">
        <v>0</v>
      </c>
      <c r="AA416" s="65"/>
      <c r="AB416" s="60" t="s">
        <v>263</v>
      </c>
      <c r="AC416" s="59">
        <v>0</v>
      </c>
    </row>
    <row r="417" spans="2:29" x14ac:dyDescent="0.3">
      <c r="B417" s="71" t="s">
        <v>2440</v>
      </c>
      <c r="C417" s="65"/>
      <c r="D417" s="58" t="s">
        <v>263</v>
      </c>
      <c r="E417" s="71" t="s">
        <v>2441</v>
      </c>
      <c r="F417" s="65"/>
      <c r="G417" s="58" t="s">
        <v>263</v>
      </c>
      <c r="H417" s="71" t="s">
        <v>2442</v>
      </c>
      <c r="I417" s="65"/>
      <c r="J417" s="65"/>
      <c r="K417" s="65"/>
      <c r="L417" s="58" t="s">
        <v>263</v>
      </c>
      <c r="M417" s="71" t="s">
        <v>2443</v>
      </c>
      <c r="N417" s="65"/>
      <c r="O417" s="58" t="s">
        <v>263</v>
      </c>
      <c r="P417" s="59">
        <v>136</v>
      </c>
      <c r="Q417" s="58" t="s">
        <v>263</v>
      </c>
      <c r="R417" s="58" t="s">
        <v>664</v>
      </c>
      <c r="S417" s="58" t="s">
        <v>263</v>
      </c>
      <c r="T417" s="66">
        <v>136</v>
      </c>
      <c r="U417" s="65"/>
      <c r="V417" s="65"/>
      <c r="W417" s="58" t="s">
        <v>263</v>
      </c>
      <c r="X417" s="59">
        <v>0</v>
      </c>
      <c r="Y417" s="60" t="s">
        <v>263</v>
      </c>
      <c r="Z417" s="66">
        <v>0</v>
      </c>
      <c r="AA417" s="65"/>
      <c r="AB417" s="60" t="s">
        <v>263</v>
      </c>
      <c r="AC417" s="59">
        <v>0</v>
      </c>
    </row>
    <row r="418" spans="2:29" x14ac:dyDescent="0.3">
      <c r="B418" s="71" t="s">
        <v>2444</v>
      </c>
      <c r="C418" s="65"/>
      <c r="D418" s="58" t="s">
        <v>263</v>
      </c>
      <c r="E418" s="71" t="s">
        <v>2445</v>
      </c>
      <c r="F418" s="65"/>
      <c r="G418" s="58" t="s">
        <v>263</v>
      </c>
      <c r="H418" s="71" t="s">
        <v>2446</v>
      </c>
      <c r="I418" s="65"/>
      <c r="J418" s="65"/>
      <c r="K418" s="65"/>
      <c r="L418" s="58" t="s">
        <v>263</v>
      </c>
      <c r="M418" s="71" t="s">
        <v>2447</v>
      </c>
      <c r="N418" s="65"/>
      <c r="O418" s="58" t="s">
        <v>263</v>
      </c>
      <c r="P418" s="59">
        <v>330</v>
      </c>
      <c r="Q418" s="58" t="s">
        <v>263</v>
      </c>
      <c r="R418" s="58" t="s">
        <v>918</v>
      </c>
      <c r="S418" s="58" t="s">
        <v>263</v>
      </c>
      <c r="T418" s="66">
        <v>0</v>
      </c>
      <c r="U418" s="65"/>
      <c r="V418" s="65"/>
      <c r="W418" s="58" t="s">
        <v>263</v>
      </c>
      <c r="X418" s="59">
        <v>0</v>
      </c>
      <c r="Y418" s="60" t="s">
        <v>263</v>
      </c>
      <c r="Z418" s="66">
        <v>0</v>
      </c>
      <c r="AA418" s="65"/>
      <c r="AB418" s="60" t="s">
        <v>263</v>
      </c>
      <c r="AC418" s="59">
        <v>0</v>
      </c>
    </row>
    <row r="419" spans="2:29" x14ac:dyDescent="0.3">
      <c r="B419" s="71" t="s">
        <v>2448</v>
      </c>
      <c r="C419" s="65"/>
      <c r="D419" s="58" t="s">
        <v>263</v>
      </c>
      <c r="E419" s="71" t="s">
        <v>2449</v>
      </c>
      <c r="F419" s="65"/>
      <c r="G419" s="58" t="s">
        <v>263</v>
      </c>
      <c r="H419" s="71" t="s">
        <v>2450</v>
      </c>
      <c r="I419" s="65"/>
      <c r="J419" s="65"/>
      <c r="K419" s="65"/>
      <c r="L419" s="58" t="s">
        <v>263</v>
      </c>
      <c r="M419" s="71" t="s">
        <v>2451</v>
      </c>
      <c r="N419" s="65"/>
      <c r="O419" s="58" t="s">
        <v>263</v>
      </c>
      <c r="P419" s="59">
        <v>193</v>
      </c>
      <c r="Q419" s="58" t="s">
        <v>263</v>
      </c>
      <c r="R419" s="58" t="s">
        <v>918</v>
      </c>
      <c r="S419" s="58" t="s">
        <v>263</v>
      </c>
      <c r="T419" s="66">
        <v>0</v>
      </c>
      <c r="U419" s="65"/>
      <c r="V419" s="65"/>
      <c r="W419" s="58" t="s">
        <v>263</v>
      </c>
      <c r="X419" s="59">
        <v>0</v>
      </c>
      <c r="Y419" s="60" t="s">
        <v>263</v>
      </c>
      <c r="Z419" s="66">
        <v>0</v>
      </c>
      <c r="AA419" s="65"/>
      <c r="AB419" s="60" t="s">
        <v>263</v>
      </c>
      <c r="AC419" s="59">
        <v>0</v>
      </c>
    </row>
    <row r="420" spans="2:29" x14ac:dyDescent="0.3">
      <c r="B420" s="71" t="s">
        <v>2452</v>
      </c>
      <c r="C420" s="65"/>
      <c r="D420" s="58" t="s">
        <v>263</v>
      </c>
      <c r="E420" s="71" t="s">
        <v>2453</v>
      </c>
      <c r="F420" s="65"/>
      <c r="G420" s="58" t="s">
        <v>263</v>
      </c>
      <c r="H420" s="71" t="s">
        <v>2454</v>
      </c>
      <c r="I420" s="65"/>
      <c r="J420" s="65"/>
      <c r="K420" s="65"/>
      <c r="L420" s="58" t="s">
        <v>263</v>
      </c>
      <c r="M420" s="71" t="s">
        <v>2451</v>
      </c>
      <c r="N420" s="65"/>
      <c r="O420" s="58" t="s">
        <v>263</v>
      </c>
      <c r="P420" s="59">
        <v>200</v>
      </c>
      <c r="Q420" s="58" t="s">
        <v>263</v>
      </c>
      <c r="R420" s="58" t="s">
        <v>1159</v>
      </c>
      <c r="S420" s="58" t="s">
        <v>263</v>
      </c>
      <c r="T420" s="66">
        <v>0</v>
      </c>
      <c r="U420" s="65"/>
      <c r="V420" s="65"/>
      <c r="W420" s="58" t="s">
        <v>263</v>
      </c>
      <c r="X420" s="59">
        <v>-200</v>
      </c>
      <c r="Y420" s="60" t="s">
        <v>263</v>
      </c>
      <c r="Z420" s="66">
        <v>0</v>
      </c>
      <c r="AA420" s="65"/>
      <c r="AB420" s="60" t="s">
        <v>263</v>
      </c>
      <c r="AC420" s="59">
        <v>0</v>
      </c>
    </row>
    <row r="421" spans="2:29" x14ac:dyDescent="0.3">
      <c r="B421" s="71" t="s">
        <v>2455</v>
      </c>
      <c r="C421" s="65"/>
      <c r="D421" s="58" t="s">
        <v>263</v>
      </c>
      <c r="E421" s="71" t="s">
        <v>2456</v>
      </c>
      <c r="F421" s="65"/>
      <c r="G421" s="58" t="s">
        <v>263</v>
      </c>
      <c r="H421" s="71" t="s">
        <v>2457</v>
      </c>
      <c r="I421" s="65"/>
      <c r="J421" s="65"/>
      <c r="K421" s="65"/>
      <c r="L421" s="58" t="s">
        <v>263</v>
      </c>
      <c r="M421" s="71" t="s">
        <v>2458</v>
      </c>
      <c r="N421" s="65"/>
      <c r="O421" s="58" t="s">
        <v>263</v>
      </c>
      <c r="P421" s="59">
        <v>262</v>
      </c>
      <c r="Q421" s="58" t="s">
        <v>263</v>
      </c>
      <c r="R421" s="58" t="s">
        <v>1159</v>
      </c>
      <c r="S421" s="58" t="s">
        <v>263</v>
      </c>
      <c r="T421" s="66">
        <v>0</v>
      </c>
      <c r="U421" s="65"/>
      <c r="V421" s="65"/>
      <c r="W421" s="58" t="s">
        <v>263</v>
      </c>
      <c r="X421" s="59">
        <v>-186</v>
      </c>
      <c r="Y421" s="60" t="s">
        <v>263</v>
      </c>
      <c r="Z421" s="66">
        <v>0</v>
      </c>
      <c r="AA421" s="65"/>
      <c r="AB421" s="60" t="s">
        <v>263</v>
      </c>
      <c r="AC421" s="59">
        <v>0</v>
      </c>
    </row>
    <row r="422" spans="2:29" x14ac:dyDescent="0.3">
      <c r="B422" s="71" t="s">
        <v>2459</v>
      </c>
      <c r="C422" s="65"/>
      <c r="D422" s="58" t="s">
        <v>263</v>
      </c>
      <c r="E422" s="71" t="s">
        <v>2460</v>
      </c>
      <c r="F422" s="65"/>
      <c r="G422" s="58" t="s">
        <v>263</v>
      </c>
      <c r="H422" s="71" t="s">
        <v>2461</v>
      </c>
      <c r="I422" s="65"/>
      <c r="J422" s="65"/>
      <c r="K422" s="65"/>
      <c r="L422" s="58" t="s">
        <v>263</v>
      </c>
      <c r="M422" s="71" t="s">
        <v>2458</v>
      </c>
      <c r="N422" s="65"/>
      <c r="O422" s="58" t="s">
        <v>263</v>
      </c>
      <c r="P422" s="59">
        <v>283</v>
      </c>
      <c r="Q422" s="58" t="s">
        <v>263</v>
      </c>
      <c r="R422" s="58" t="s">
        <v>918</v>
      </c>
      <c r="S422" s="58" t="s">
        <v>263</v>
      </c>
      <c r="T422" s="66">
        <v>0</v>
      </c>
      <c r="U422" s="65"/>
      <c r="V422" s="65"/>
      <c r="W422" s="58" t="s">
        <v>263</v>
      </c>
      <c r="X422" s="59">
        <v>0</v>
      </c>
      <c r="Y422" s="60" t="s">
        <v>263</v>
      </c>
      <c r="Z422" s="66">
        <v>0</v>
      </c>
      <c r="AA422" s="65"/>
      <c r="AB422" s="60" t="s">
        <v>263</v>
      </c>
      <c r="AC422" s="59">
        <v>0</v>
      </c>
    </row>
    <row r="423" spans="2:29" x14ac:dyDescent="0.3">
      <c r="B423" s="71" t="s">
        <v>2462</v>
      </c>
      <c r="C423" s="65"/>
      <c r="D423" s="58" t="s">
        <v>263</v>
      </c>
      <c r="E423" s="71" t="s">
        <v>2463</v>
      </c>
      <c r="F423" s="65"/>
      <c r="G423" s="58" t="s">
        <v>263</v>
      </c>
      <c r="H423" s="71" t="s">
        <v>2464</v>
      </c>
      <c r="I423" s="65"/>
      <c r="J423" s="65"/>
      <c r="K423" s="65"/>
      <c r="L423" s="58" t="s">
        <v>263</v>
      </c>
      <c r="M423" s="71" t="s">
        <v>2465</v>
      </c>
      <c r="N423" s="65"/>
      <c r="O423" s="58" t="s">
        <v>263</v>
      </c>
      <c r="P423" s="59">
        <v>247</v>
      </c>
      <c r="Q423" s="58" t="s">
        <v>263</v>
      </c>
      <c r="R423" s="58" t="s">
        <v>918</v>
      </c>
      <c r="S423" s="58" t="s">
        <v>263</v>
      </c>
      <c r="T423" s="66">
        <v>0</v>
      </c>
      <c r="U423" s="65"/>
      <c r="V423" s="65"/>
      <c r="W423" s="58" t="s">
        <v>263</v>
      </c>
      <c r="X423" s="59">
        <v>0</v>
      </c>
      <c r="Y423" s="60" t="s">
        <v>263</v>
      </c>
      <c r="Z423" s="66">
        <v>0</v>
      </c>
      <c r="AA423" s="65"/>
      <c r="AB423" s="60" t="s">
        <v>263</v>
      </c>
      <c r="AC423" s="59">
        <v>0</v>
      </c>
    </row>
    <row r="424" spans="2:29" x14ac:dyDescent="0.3">
      <c r="B424" s="71" t="s">
        <v>2466</v>
      </c>
      <c r="C424" s="65"/>
      <c r="D424" s="58" t="s">
        <v>263</v>
      </c>
      <c r="E424" s="71" t="s">
        <v>2467</v>
      </c>
      <c r="F424" s="65"/>
      <c r="G424" s="58" t="s">
        <v>263</v>
      </c>
      <c r="H424" s="71" t="s">
        <v>2468</v>
      </c>
      <c r="I424" s="65"/>
      <c r="J424" s="65"/>
      <c r="K424" s="65"/>
      <c r="L424" s="58" t="s">
        <v>263</v>
      </c>
      <c r="M424" s="71" t="s">
        <v>2469</v>
      </c>
      <c r="N424" s="65"/>
      <c r="O424" s="58" t="s">
        <v>263</v>
      </c>
      <c r="P424" s="59">
        <v>239</v>
      </c>
      <c r="Q424" s="58" t="s">
        <v>263</v>
      </c>
      <c r="R424" s="58" t="s">
        <v>1159</v>
      </c>
      <c r="S424" s="58" t="s">
        <v>263</v>
      </c>
      <c r="T424" s="66">
        <v>0</v>
      </c>
      <c r="U424" s="65"/>
      <c r="V424" s="65"/>
      <c r="W424" s="58" t="s">
        <v>263</v>
      </c>
      <c r="X424" s="59">
        <v>-239</v>
      </c>
      <c r="Y424" s="60" t="s">
        <v>263</v>
      </c>
      <c r="Z424" s="66">
        <v>0</v>
      </c>
      <c r="AA424" s="65"/>
      <c r="AB424" s="60" t="s">
        <v>263</v>
      </c>
      <c r="AC424" s="59">
        <v>0</v>
      </c>
    </row>
    <row r="425" spans="2:29" x14ac:dyDescent="0.3">
      <c r="B425" s="71" t="s">
        <v>2470</v>
      </c>
      <c r="C425" s="65"/>
      <c r="D425" s="58" t="s">
        <v>263</v>
      </c>
      <c r="E425" s="71" t="s">
        <v>2471</v>
      </c>
      <c r="F425" s="65"/>
      <c r="G425" s="58" t="s">
        <v>263</v>
      </c>
      <c r="H425" s="71" t="s">
        <v>2472</v>
      </c>
      <c r="I425" s="65"/>
      <c r="J425" s="65"/>
      <c r="K425" s="65"/>
      <c r="L425" s="58" t="s">
        <v>263</v>
      </c>
      <c r="M425" s="71" t="s">
        <v>2473</v>
      </c>
      <c r="N425" s="65"/>
      <c r="O425" s="58" t="s">
        <v>263</v>
      </c>
      <c r="P425" s="59">
        <v>228</v>
      </c>
      <c r="Q425" s="58" t="s">
        <v>263</v>
      </c>
      <c r="R425" s="58" t="s">
        <v>918</v>
      </c>
      <c r="S425" s="58" t="s">
        <v>263</v>
      </c>
      <c r="T425" s="66">
        <v>0</v>
      </c>
      <c r="U425" s="65"/>
      <c r="V425" s="65"/>
      <c r="W425" s="58" t="s">
        <v>263</v>
      </c>
      <c r="X425" s="59">
        <v>0</v>
      </c>
      <c r="Y425" s="60" t="s">
        <v>263</v>
      </c>
      <c r="Z425" s="66">
        <v>0</v>
      </c>
      <c r="AA425" s="65"/>
      <c r="AB425" s="60" t="s">
        <v>263</v>
      </c>
      <c r="AC425" s="59">
        <v>0</v>
      </c>
    </row>
    <row r="426" spans="2:29" x14ac:dyDescent="0.3">
      <c r="B426" s="71" t="s">
        <v>2474</v>
      </c>
      <c r="C426" s="65"/>
      <c r="D426" s="58" t="s">
        <v>263</v>
      </c>
      <c r="E426" s="71" t="s">
        <v>2475</v>
      </c>
      <c r="F426" s="65"/>
      <c r="G426" s="58" t="s">
        <v>263</v>
      </c>
      <c r="H426" s="71" t="s">
        <v>2476</v>
      </c>
      <c r="I426" s="65"/>
      <c r="J426" s="65"/>
      <c r="K426" s="65"/>
      <c r="L426" s="58" t="s">
        <v>263</v>
      </c>
      <c r="M426" s="71" t="s">
        <v>2477</v>
      </c>
      <c r="N426" s="65"/>
      <c r="O426" s="58" t="s">
        <v>263</v>
      </c>
      <c r="P426" s="59">
        <v>129</v>
      </c>
      <c r="Q426" s="58" t="s">
        <v>263</v>
      </c>
      <c r="R426" s="58" t="s">
        <v>918</v>
      </c>
      <c r="S426" s="58" t="s">
        <v>263</v>
      </c>
      <c r="T426" s="66">
        <v>0</v>
      </c>
      <c r="U426" s="65"/>
      <c r="V426" s="65"/>
      <c r="W426" s="58" t="s">
        <v>263</v>
      </c>
      <c r="X426" s="59">
        <v>0</v>
      </c>
      <c r="Y426" s="60" t="s">
        <v>263</v>
      </c>
      <c r="Z426" s="66">
        <v>0</v>
      </c>
      <c r="AA426" s="65"/>
      <c r="AB426" s="60" t="s">
        <v>263</v>
      </c>
      <c r="AC426" s="59">
        <v>0</v>
      </c>
    </row>
    <row r="427" spans="2:29" x14ac:dyDescent="0.3">
      <c r="B427" s="71" t="s">
        <v>2478</v>
      </c>
      <c r="C427" s="65"/>
      <c r="D427" s="58" t="s">
        <v>263</v>
      </c>
      <c r="E427" s="71" t="s">
        <v>2479</v>
      </c>
      <c r="F427" s="65"/>
      <c r="G427" s="58" t="s">
        <v>263</v>
      </c>
      <c r="H427" s="71" t="s">
        <v>2480</v>
      </c>
      <c r="I427" s="65"/>
      <c r="J427" s="65"/>
      <c r="K427" s="65"/>
      <c r="L427" s="58" t="s">
        <v>263</v>
      </c>
      <c r="M427" s="71" t="s">
        <v>2481</v>
      </c>
      <c r="N427" s="65"/>
      <c r="O427" s="58" t="s">
        <v>263</v>
      </c>
      <c r="P427" s="59">
        <v>58</v>
      </c>
      <c r="Q427" s="58" t="s">
        <v>263</v>
      </c>
      <c r="R427" s="58" t="s">
        <v>918</v>
      </c>
      <c r="S427" s="58" t="s">
        <v>263</v>
      </c>
      <c r="T427" s="66">
        <v>0</v>
      </c>
      <c r="U427" s="65"/>
      <c r="V427" s="65"/>
      <c r="W427" s="58" t="s">
        <v>263</v>
      </c>
      <c r="X427" s="59">
        <v>0</v>
      </c>
      <c r="Y427" s="60" t="s">
        <v>263</v>
      </c>
      <c r="Z427" s="66">
        <v>0</v>
      </c>
      <c r="AA427" s="65"/>
      <c r="AB427" s="60" t="s">
        <v>263</v>
      </c>
      <c r="AC427" s="59">
        <v>0</v>
      </c>
    </row>
    <row r="428" spans="2:29" x14ac:dyDescent="0.3">
      <c r="B428" s="71" t="s">
        <v>2482</v>
      </c>
      <c r="C428" s="65"/>
      <c r="D428" s="58" t="s">
        <v>263</v>
      </c>
      <c r="E428" s="71" t="s">
        <v>2483</v>
      </c>
      <c r="F428" s="65"/>
      <c r="G428" s="58" t="s">
        <v>263</v>
      </c>
      <c r="H428" s="71" t="s">
        <v>2484</v>
      </c>
      <c r="I428" s="65"/>
      <c r="J428" s="65"/>
      <c r="K428" s="65"/>
      <c r="L428" s="58" t="s">
        <v>263</v>
      </c>
      <c r="M428" s="71" t="s">
        <v>2485</v>
      </c>
      <c r="N428" s="65"/>
      <c r="O428" s="58" t="s">
        <v>263</v>
      </c>
      <c r="P428" s="59">
        <v>167</v>
      </c>
      <c r="Q428" s="58" t="s">
        <v>263</v>
      </c>
      <c r="R428" s="58" t="s">
        <v>918</v>
      </c>
      <c r="S428" s="58" t="s">
        <v>263</v>
      </c>
      <c r="T428" s="66">
        <v>0</v>
      </c>
      <c r="U428" s="65"/>
      <c r="V428" s="65"/>
      <c r="W428" s="58" t="s">
        <v>263</v>
      </c>
      <c r="X428" s="59">
        <v>0</v>
      </c>
      <c r="Y428" s="60" t="s">
        <v>263</v>
      </c>
      <c r="Z428" s="66">
        <v>0</v>
      </c>
      <c r="AA428" s="65"/>
      <c r="AB428" s="60" t="s">
        <v>263</v>
      </c>
      <c r="AC428" s="59">
        <v>0</v>
      </c>
    </row>
    <row r="429" spans="2:29" x14ac:dyDescent="0.3">
      <c r="B429" s="71" t="s">
        <v>2486</v>
      </c>
      <c r="C429" s="65"/>
      <c r="D429" s="58" t="s">
        <v>263</v>
      </c>
      <c r="E429" s="71" t="s">
        <v>2487</v>
      </c>
      <c r="F429" s="65"/>
      <c r="G429" s="58" t="s">
        <v>263</v>
      </c>
      <c r="H429" s="71" t="s">
        <v>2488</v>
      </c>
      <c r="I429" s="65"/>
      <c r="J429" s="65"/>
      <c r="K429" s="65"/>
      <c r="L429" s="58" t="s">
        <v>263</v>
      </c>
      <c r="M429" s="71" t="s">
        <v>2489</v>
      </c>
      <c r="N429" s="65"/>
      <c r="O429" s="58" t="s">
        <v>263</v>
      </c>
      <c r="P429" s="59">
        <v>184</v>
      </c>
      <c r="Q429" s="58" t="s">
        <v>263</v>
      </c>
      <c r="R429" s="58" t="s">
        <v>918</v>
      </c>
      <c r="S429" s="58" t="s">
        <v>263</v>
      </c>
      <c r="T429" s="66">
        <v>0</v>
      </c>
      <c r="U429" s="65"/>
      <c r="V429" s="65"/>
      <c r="W429" s="58" t="s">
        <v>263</v>
      </c>
      <c r="X429" s="59">
        <v>0</v>
      </c>
      <c r="Y429" s="60" t="s">
        <v>263</v>
      </c>
      <c r="Z429" s="66">
        <v>0</v>
      </c>
      <c r="AA429" s="65"/>
      <c r="AB429" s="60" t="s">
        <v>263</v>
      </c>
      <c r="AC429" s="59">
        <v>0</v>
      </c>
    </row>
    <row r="430" spans="2:29" x14ac:dyDescent="0.3">
      <c r="B430" s="71" t="s">
        <v>2490</v>
      </c>
      <c r="C430" s="65"/>
      <c r="D430" s="58" t="s">
        <v>263</v>
      </c>
      <c r="E430" s="71" t="s">
        <v>2491</v>
      </c>
      <c r="F430" s="65"/>
      <c r="G430" s="58" t="s">
        <v>263</v>
      </c>
      <c r="H430" s="71" t="s">
        <v>2492</v>
      </c>
      <c r="I430" s="65"/>
      <c r="J430" s="65"/>
      <c r="K430" s="65"/>
      <c r="L430" s="58" t="s">
        <v>263</v>
      </c>
      <c r="M430" s="71" t="s">
        <v>2493</v>
      </c>
      <c r="N430" s="65"/>
      <c r="O430" s="58" t="s">
        <v>263</v>
      </c>
      <c r="P430" s="59">
        <v>136</v>
      </c>
      <c r="Q430" s="58" t="s">
        <v>263</v>
      </c>
      <c r="R430" s="58" t="s">
        <v>918</v>
      </c>
      <c r="S430" s="58" t="s">
        <v>263</v>
      </c>
      <c r="T430" s="66">
        <v>0</v>
      </c>
      <c r="U430" s="65"/>
      <c r="V430" s="65"/>
      <c r="W430" s="58" t="s">
        <v>263</v>
      </c>
      <c r="X430" s="59">
        <v>0</v>
      </c>
      <c r="Y430" s="60" t="s">
        <v>263</v>
      </c>
      <c r="Z430" s="66">
        <v>0</v>
      </c>
      <c r="AA430" s="65"/>
      <c r="AB430" s="60" t="s">
        <v>263</v>
      </c>
      <c r="AC430" s="59">
        <v>0</v>
      </c>
    </row>
    <row r="431" spans="2:29" x14ac:dyDescent="0.3">
      <c r="B431" s="71" t="s">
        <v>2494</v>
      </c>
      <c r="C431" s="65"/>
      <c r="D431" s="58" t="s">
        <v>263</v>
      </c>
      <c r="E431" s="71" t="s">
        <v>2495</v>
      </c>
      <c r="F431" s="65"/>
      <c r="G431" s="58" t="s">
        <v>263</v>
      </c>
      <c r="H431" s="71" t="s">
        <v>2496</v>
      </c>
      <c r="I431" s="65"/>
      <c r="J431" s="65"/>
      <c r="K431" s="65"/>
      <c r="L431" s="58" t="s">
        <v>263</v>
      </c>
      <c r="M431" s="71" t="s">
        <v>2497</v>
      </c>
      <c r="N431" s="65"/>
      <c r="O431" s="58" t="s">
        <v>263</v>
      </c>
      <c r="P431" s="59">
        <v>126</v>
      </c>
      <c r="Q431" s="58" t="s">
        <v>263</v>
      </c>
      <c r="R431" s="58" t="s">
        <v>918</v>
      </c>
      <c r="S431" s="58" t="s">
        <v>263</v>
      </c>
      <c r="T431" s="66">
        <v>0</v>
      </c>
      <c r="U431" s="65"/>
      <c r="V431" s="65"/>
      <c r="W431" s="58" t="s">
        <v>263</v>
      </c>
      <c r="X431" s="59">
        <v>0</v>
      </c>
      <c r="Y431" s="60" t="s">
        <v>263</v>
      </c>
      <c r="Z431" s="66">
        <v>0</v>
      </c>
      <c r="AA431" s="65"/>
      <c r="AB431" s="60" t="s">
        <v>263</v>
      </c>
      <c r="AC431" s="59">
        <v>0</v>
      </c>
    </row>
    <row r="432" spans="2:29" x14ac:dyDescent="0.3">
      <c r="B432" s="71" t="s">
        <v>2498</v>
      </c>
      <c r="C432" s="65"/>
      <c r="D432" s="58" t="s">
        <v>263</v>
      </c>
      <c r="E432" s="71" t="s">
        <v>2499</v>
      </c>
      <c r="F432" s="65"/>
      <c r="G432" s="58" t="s">
        <v>263</v>
      </c>
      <c r="H432" s="71" t="s">
        <v>2500</v>
      </c>
      <c r="I432" s="65"/>
      <c r="J432" s="65"/>
      <c r="K432" s="65"/>
      <c r="L432" s="58" t="s">
        <v>263</v>
      </c>
      <c r="M432" s="71" t="s">
        <v>2501</v>
      </c>
      <c r="N432" s="65"/>
      <c r="O432" s="58" t="s">
        <v>263</v>
      </c>
      <c r="P432" s="59">
        <v>219</v>
      </c>
      <c r="Q432" s="58" t="s">
        <v>263</v>
      </c>
      <c r="R432" s="58" t="s">
        <v>918</v>
      </c>
      <c r="S432" s="58" t="s">
        <v>263</v>
      </c>
      <c r="T432" s="66">
        <v>0</v>
      </c>
      <c r="U432" s="65"/>
      <c r="V432" s="65"/>
      <c r="W432" s="58" t="s">
        <v>263</v>
      </c>
      <c r="X432" s="59">
        <v>0</v>
      </c>
      <c r="Y432" s="60" t="s">
        <v>263</v>
      </c>
      <c r="Z432" s="66">
        <v>0</v>
      </c>
      <c r="AA432" s="65"/>
      <c r="AB432" s="60" t="s">
        <v>263</v>
      </c>
      <c r="AC432" s="59">
        <v>0</v>
      </c>
    </row>
    <row r="433" spans="2:29" x14ac:dyDescent="0.3">
      <c r="B433" s="71" t="s">
        <v>2502</v>
      </c>
      <c r="C433" s="65"/>
      <c r="D433" s="58" t="s">
        <v>263</v>
      </c>
      <c r="E433" s="71" t="s">
        <v>2503</v>
      </c>
      <c r="F433" s="65"/>
      <c r="G433" s="58" t="s">
        <v>263</v>
      </c>
      <c r="H433" s="71" t="s">
        <v>2504</v>
      </c>
      <c r="I433" s="65"/>
      <c r="J433" s="65"/>
      <c r="K433" s="65"/>
      <c r="L433" s="58" t="s">
        <v>263</v>
      </c>
      <c r="M433" s="71" t="s">
        <v>2505</v>
      </c>
      <c r="N433" s="65"/>
      <c r="O433" s="58" t="s">
        <v>263</v>
      </c>
      <c r="P433" s="59">
        <v>158</v>
      </c>
      <c r="Q433" s="58" t="s">
        <v>263</v>
      </c>
      <c r="R433" s="58" t="s">
        <v>918</v>
      </c>
      <c r="S433" s="58" t="s">
        <v>263</v>
      </c>
      <c r="T433" s="66">
        <v>0</v>
      </c>
      <c r="U433" s="65"/>
      <c r="V433" s="65"/>
      <c r="W433" s="58" t="s">
        <v>263</v>
      </c>
      <c r="X433" s="59">
        <v>0</v>
      </c>
      <c r="Y433" s="60" t="s">
        <v>263</v>
      </c>
      <c r="Z433" s="66">
        <v>0</v>
      </c>
      <c r="AA433" s="65"/>
      <c r="AB433" s="60" t="s">
        <v>263</v>
      </c>
      <c r="AC433" s="59">
        <v>0</v>
      </c>
    </row>
    <row r="434" spans="2:29" x14ac:dyDescent="0.3">
      <c r="B434" s="71" t="s">
        <v>2506</v>
      </c>
      <c r="C434" s="65"/>
      <c r="D434" s="58" t="s">
        <v>263</v>
      </c>
      <c r="E434" s="71" t="s">
        <v>2507</v>
      </c>
      <c r="F434" s="65"/>
      <c r="G434" s="58" t="s">
        <v>263</v>
      </c>
      <c r="H434" s="71" t="s">
        <v>2508</v>
      </c>
      <c r="I434" s="65"/>
      <c r="J434" s="65"/>
      <c r="K434" s="65"/>
      <c r="L434" s="58" t="s">
        <v>263</v>
      </c>
      <c r="M434" s="71" t="s">
        <v>2501</v>
      </c>
      <c r="N434" s="65"/>
      <c r="O434" s="58" t="s">
        <v>263</v>
      </c>
      <c r="P434" s="59">
        <v>219</v>
      </c>
      <c r="Q434" s="58" t="s">
        <v>263</v>
      </c>
      <c r="R434" s="58" t="s">
        <v>918</v>
      </c>
      <c r="S434" s="58" t="s">
        <v>263</v>
      </c>
      <c r="T434" s="66">
        <v>0</v>
      </c>
      <c r="U434" s="65"/>
      <c r="V434" s="65"/>
      <c r="W434" s="58" t="s">
        <v>263</v>
      </c>
      <c r="X434" s="59">
        <v>0</v>
      </c>
      <c r="Y434" s="60" t="s">
        <v>263</v>
      </c>
      <c r="Z434" s="66">
        <v>0</v>
      </c>
      <c r="AA434" s="65"/>
      <c r="AB434" s="60" t="s">
        <v>263</v>
      </c>
      <c r="AC434" s="59">
        <v>0</v>
      </c>
    </row>
    <row r="435" spans="2:29" x14ac:dyDescent="0.3">
      <c r="B435" s="71" t="s">
        <v>2509</v>
      </c>
      <c r="C435" s="65"/>
      <c r="D435" s="58" t="s">
        <v>263</v>
      </c>
      <c r="E435" s="71" t="s">
        <v>2510</v>
      </c>
      <c r="F435" s="65"/>
      <c r="G435" s="58" t="s">
        <v>263</v>
      </c>
      <c r="H435" s="71" t="s">
        <v>2511</v>
      </c>
      <c r="I435" s="65"/>
      <c r="J435" s="65"/>
      <c r="K435" s="65"/>
      <c r="L435" s="58" t="s">
        <v>263</v>
      </c>
      <c r="M435" s="71" t="s">
        <v>2501</v>
      </c>
      <c r="N435" s="65"/>
      <c r="O435" s="58" t="s">
        <v>263</v>
      </c>
      <c r="P435" s="59">
        <v>170</v>
      </c>
      <c r="Q435" s="58" t="s">
        <v>263</v>
      </c>
      <c r="R435" s="58" t="s">
        <v>918</v>
      </c>
      <c r="S435" s="58" t="s">
        <v>263</v>
      </c>
      <c r="T435" s="66">
        <v>0</v>
      </c>
      <c r="U435" s="65"/>
      <c r="V435" s="65"/>
      <c r="W435" s="58" t="s">
        <v>263</v>
      </c>
      <c r="X435" s="59">
        <v>0</v>
      </c>
      <c r="Y435" s="60" t="s">
        <v>263</v>
      </c>
      <c r="Z435" s="66">
        <v>0</v>
      </c>
      <c r="AA435" s="65"/>
      <c r="AB435" s="60" t="s">
        <v>263</v>
      </c>
      <c r="AC435" s="59">
        <v>0</v>
      </c>
    </row>
    <row r="436" spans="2:29" x14ac:dyDescent="0.3">
      <c r="B436" s="71" t="s">
        <v>2512</v>
      </c>
      <c r="C436" s="65"/>
      <c r="D436" s="58" t="s">
        <v>263</v>
      </c>
      <c r="E436" s="71" t="s">
        <v>2513</v>
      </c>
      <c r="F436" s="65"/>
      <c r="G436" s="58" t="s">
        <v>263</v>
      </c>
      <c r="H436" s="71" t="s">
        <v>2514</v>
      </c>
      <c r="I436" s="65"/>
      <c r="J436" s="65"/>
      <c r="K436" s="65"/>
      <c r="L436" s="58" t="s">
        <v>263</v>
      </c>
      <c r="M436" s="71" t="s">
        <v>2497</v>
      </c>
      <c r="N436" s="65"/>
      <c r="O436" s="58" t="s">
        <v>263</v>
      </c>
      <c r="P436" s="59">
        <v>197</v>
      </c>
      <c r="Q436" s="58" t="s">
        <v>263</v>
      </c>
      <c r="R436" s="58" t="s">
        <v>918</v>
      </c>
      <c r="S436" s="58" t="s">
        <v>263</v>
      </c>
      <c r="T436" s="66">
        <v>0</v>
      </c>
      <c r="U436" s="65"/>
      <c r="V436" s="65"/>
      <c r="W436" s="58" t="s">
        <v>263</v>
      </c>
      <c r="X436" s="59">
        <v>0</v>
      </c>
      <c r="Y436" s="60" t="s">
        <v>263</v>
      </c>
      <c r="Z436" s="66">
        <v>0</v>
      </c>
      <c r="AA436" s="65"/>
      <c r="AB436" s="60" t="s">
        <v>263</v>
      </c>
      <c r="AC436" s="59">
        <v>0</v>
      </c>
    </row>
    <row r="437" spans="2:29" x14ac:dyDescent="0.3">
      <c r="B437" s="71" t="s">
        <v>2515</v>
      </c>
      <c r="C437" s="65"/>
      <c r="D437" s="58" t="s">
        <v>263</v>
      </c>
      <c r="E437" s="71" t="s">
        <v>2516</v>
      </c>
      <c r="F437" s="65"/>
      <c r="G437" s="58" t="s">
        <v>263</v>
      </c>
      <c r="H437" s="71" t="s">
        <v>2517</v>
      </c>
      <c r="I437" s="65"/>
      <c r="J437" s="65"/>
      <c r="K437" s="65"/>
      <c r="L437" s="58" t="s">
        <v>263</v>
      </c>
      <c r="M437" s="71" t="s">
        <v>2518</v>
      </c>
      <c r="N437" s="65"/>
      <c r="O437" s="58" t="s">
        <v>263</v>
      </c>
      <c r="P437" s="59">
        <v>158</v>
      </c>
      <c r="Q437" s="58" t="s">
        <v>263</v>
      </c>
      <c r="R437" s="58" t="s">
        <v>918</v>
      </c>
      <c r="S437" s="58" t="s">
        <v>263</v>
      </c>
      <c r="T437" s="66">
        <v>0</v>
      </c>
      <c r="U437" s="65"/>
      <c r="V437" s="65"/>
      <c r="W437" s="58" t="s">
        <v>263</v>
      </c>
      <c r="X437" s="59">
        <v>0</v>
      </c>
      <c r="Y437" s="60" t="s">
        <v>263</v>
      </c>
      <c r="Z437" s="66">
        <v>0</v>
      </c>
      <c r="AA437" s="65"/>
      <c r="AB437" s="60" t="s">
        <v>263</v>
      </c>
      <c r="AC437" s="59">
        <v>0</v>
      </c>
    </row>
    <row r="438" spans="2:29" x14ac:dyDescent="0.3">
      <c r="B438" s="71" t="s">
        <v>2519</v>
      </c>
      <c r="C438" s="65"/>
      <c r="D438" s="58" t="s">
        <v>263</v>
      </c>
      <c r="E438" s="71" t="s">
        <v>2520</v>
      </c>
      <c r="F438" s="65"/>
      <c r="G438" s="58" t="s">
        <v>263</v>
      </c>
      <c r="H438" s="71" t="s">
        <v>2521</v>
      </c>
      <c r="I438" s="65"/>
      <c r="J438" s="65"/>
      <c r="K438" s="65"/>
      <c r="L438" s="58" t="s">
        <v>263</v>
      </c>
      <c r="M438" s="71" t="s">
        <v>2518</v>
      </c>
      <c r="N438" s="65"/>
      <c r="O438" s="58" t="s">
        <v>263</v>
      </c>
      <c r="P438" s="59">
        <v>136</v>
      </c>
      <c r="Q438" s="58" t="s">
        <v>263</v>
      </c>
      <c r="R438" s="58" t="s">
        <v>1159</v>
      </c>
      <c r="S438" s="58" t="s">
        <v>263</v>
      </c>
      <c r="T438" s="66">
        <v>0</v>
      </c>
      <c r="U438" s="65"/>
      <c r="V438" s="65"/>
      <c r="W438" s="58" t="s">
        <v>263</v>
      </c>
      <c r="X438" s="59">
        <v>-136</v>
      </c>
      <c r="Y438" s="60" t="s">
        <v>263</v>
      </c>
      <c r="Z438" s="66">
        <v>0</v>
      </c>
      <c r="AA438" s="65"/>
      <c r="AB438" s="60" t="s">
        <v>263</v>
      </c>
      <c r="AC438" s="59">
        <v>0</v>
      </c>
    </row>
    <row r="439" spans="2:29" x14ac:dyDescent="0.3">
      <c r="B439" s="71" t="s">
        <v>2522</v>
      </c>
      <c r="C439" s="65"/>
      <c r="D439" s="58" t="s">
        <v>263</v>
      </c>
      <c r="E439" s="71" t="s">
        <v>2523</v>
      </c>
      <c r="F439" s="65"/>
      <c r="G439" s="58" t="s">
        <v>263</v>
      </c>
      <c r="H439" s="71" t="s">
        <v>2524</v>
      </c>
      <c r="I439" s="65"/>
      <c r="J439" s="65"/>
      <c r="K439" s="65"/>
      <c r="L439" s="58" t="s">
        <v>263</v>
      </c>
      <c r="M439" s="71" t="s">
        <v>2525</v>
      </c>
      <c r="N439" s="65"/>
      <c r="O439" s="58" t="s">
        <v>263</v>
      </c>
      <c r="P439" s="59">
        <v>170</v>
      </c>
      <c r="Q439" s="58" t="s">
        <v>263</v>
      </c>
      <c r="R439" s="58" t="s">
        <v>918</v>
      </c>
      <c r="S439" s="58" t="s">
        <v>263</v>
      </c>
      <c r="T439" s="66">
        <v>0</v>
      </c>
      <c r="U439" s="65"/>
      <c r="V439" s="65"/>
      <c r="W439" s="58" t="s">
        <v>263</v>
      </c>
      <c r="X439" s="59">
        <v>0</v>
      </c>
      <c r="Y439" s="60" t="s">
        <v>263</v>
      </c>
      <c r="Z439" s="66">
        <v>0</v>
      </c>
      <c r="AA439" s="65"/>
      <c r="AB439" s="60" t="s">
        <v>263</v>
      </c>
      <c r="AC439" s="59">
        <v>0</v>
      </c>
    </row>
    <row r="440" spans="2:29" x14ac:dyDescent="0.3">
      <c r="B440" s="71" t="s">
        <v>2526</v>
      </c>
      <c r="C440" s="65"/>
      <c r="D440" s="58" t="s">
        <v>263</v>
      </c>
      <c r="E440" s="71" t="s">
        <v>2527</v>
      </c>
      <c r="F440" s="65"/>
      <c r="G440" s="58" t="s">
        <v>263</v>
      </c>
      <c r="H440" s="71" t="s">
        <v>2528</v>
      </c>
      <c r="I440" s="65"/>
      <c r="J440" s="65"/>
      <c r="K440" s="65"/>
      <c r="L440" s="58" t="s">
        <v>263</v>
      </c>
      <c r="M440" s="71" t="s">
        <v>2529</v>
      </c>
      <c r="N440" s="65"/>
      <c r="O440" s="58" t="s">
        <v>263</v>
      </c>
      <c r="P440" s="59">
        <v>219</v>
      </c>
      <c r="Q440" s="58" t="s">
        <v>263</v>
      </c>
      <c r="R440" s="58" t="s">
        <v>918</v>
      </c>
      <c r="S440" s="58" t="s">
        <v>263</v>
      </c>
      <c r="T440" s="66">
        <v>0</v>
      </c>
      <c r="U440" s="65"/>
      <c r="V440" s="65"/>
      <c r="W440" s="58" t="s">
        <v>263</v>
      </c>
      <c r="X440" s="59">
        <v>0</v>
      </c>
      <c r="Y440" s="60" t="s">
        <v>263</v>
      </c>
      <c r="Z440" s="66">
        <v>0</v>
      </c>
      <c r="AA440" s="65"/>
      <c r="AB440" s="60" t="s">
        <v>263</v>
      </c>
      <c r="AC440" s="59">
        <v>0</v>
      </c>
    </row>
    <row r="441" spans="2:29" x14ac:dyDescent="0.3">
      <c r="B441" s="71" t="s">
        <v>2530</v>
      </c>
      <c r="C441" s="65"/>
      <c r="D441" s="58" t="s">
        <v>263</v>
      </c>
      <c r="E441" s="71" t="s">
        <v>2527</v>
      </c>
      <c r="F441" s="65"/>
      <c r="G441" s="58" t="s">
        <v>263</v>
      </c>
      <c r="H441" s="71" t="s">
        <v>2528</v>
      </c>
      <c r="I441" s="65"/>
      <c r="J441" s="65"/>
      <c r="K441" s="65"/>
      <c r="L441" s="58" t="s">
        <v>263</v>
      </c>
      <c r="M441" s="71" t="s">
        <v>2531</v>
      </c>
      <c r="N441" s="65"/>
      <c r="O441" s="58" t="s">
        <v>263</v>
      </c>
      <c r="P441" s="59">
        <v>197</v>
      </c>
      <c r="Q441" s="58" t="s">
        <v>263</v>
      </c>
      <c r="R441" s="58" t="s">
        <v>918</v>
      </c>
      <c r="S441" s="58" t="s">
        <v>263</v>
      </c>
      <c r="T441" s="66">
        <v>0</v>
      </c>
      <c r="U441" s="65"/>
      <c r="V441" s="65"/>
      <c r="W441" s="58" t="s">
        <v>263</v>
      </c>
      <c r="X441" s="59">
        <v>0</v>
      </c>
      <c r="Y441" s="60" t="s">
        <v>263</v>
      </c>
      <c r="Z441" s="66">
        <v>0</v>
      </c>
      <c r="AA441" s="65"/>
      <c r="AB441" s="60" t="s">
        <v>263</v>
      </c>
      <c r="AC441" s="59">
        <v>0</v>
      </c>
    </row>
    <row r="442" spans="2:29" x14ac:dyDescent="0.3">
      <c r="B442" s="71" t="s">
        <v>2532</v>
      </c>
      <c r="C442" s="65"/>
      <c r="D442" s="58" t="s">
        <v>263</v>
      </c>
      <c r="E442" s="71" t="s">
        <v>2533</v>
      </c>
      <c r="F442" s="65"/>
      <c r="G442" s="58" t="s">
        <v>263</v>
      </c>
      <c r="H442" s="71" t="s">
        <v>2534</v>
      </c>
      <c r="I442" s="65"/>
      <c r="J442" s="65"/>
      <c r="K442" s="65"/>
      <c r="L442" s="58" t="s">
        <v>263</v>
      </c>
      <c r="M442" s="71" t="s">
        <v>2505</v>
      </c>
      <c r="N442" s="65"/>
      <c r="O442" s="58" t="s">
        <v>263</v>
      </c>
      <c r="P442" s="59">
        <v>117</v>
      </c>
      <c r="Q442" s="58" t="s">
        <v>263</v>
      </c>
      <c r="R442" s="58" t="s">
        <v>918</v>
      </c>
      <c r="S442" s="58" t="s">
        <v>263</v>
      </c>
      <c r="T442" s="66">
        <v>0</v>
      </c>
      <c r="U442" s="65"/>
      <c r="V442" s="65"/>
      <c r="W442" s="58" t="s">
        <v>263</v>
      </c>
      <c r="X442" s="59">
        <v>0</v>
      </c>
      <c r="Y442" s="60" t="s">
        <v>263</v>
      </c>
      <c r="Z442" s="66">
        <v>0</v>
      </c>
      <c r="AA442" s="65"/>
      <c r="AB442" s="60" t="s">
        <v>263</v>
      </c>
      <c r="AC442" s="59">
        <v>0</v>
      </c>
    </row>
    <row r="443" spans="2:29" x14ac:dyDescent="0.3">
      <c r="B443" s="71" t="s">
        <v>2535</v>
      </c>
      <c r="C443" s="65"/>
      <c r="D443" s="58" t="s">
        <v>263</v>
      </c>
      <c r="E443" s="71" t="s">
        <v>2536</v>
      </c>
      <c r="F443" s="65"/>
      <c r="G443" s="58" t="s">
        <v>263</v>
      </c>
      <c r="H443" s="71" t="s">
        <v>2537</v>
      </c>
      <c r="I443" s="65"/>
      <c r="J443" s="65"/>
      <c r="K443" s="65"/>
      <c r="L443" s="58" t="s">
        <v>263</v>
      </c>
      <c r="M443" s="71" t="s">
        <v>2538</v>
      </c>
      <c r="N443" s="65"/>
      <c r="O443" s="58" t="s">
        <v>263</v>
      </c>
      <c r="P443" s="59">
        <v>136</v>
      </c>
      <c r="Q443" s="58" t="s">
        <v>263</v>
      </c>
      <c r="R443" s="58" t="s">
        <v>918</v>
      </c>
      <c r="S443" s="58" t="s">
        <v>263</v>
      </c>
      <c r="T443" s="66">
        <v>0</v>
      </c>
      <c r="U443" s="65"/>
      <c r="V443" s="65"/>
      <c r="W443" s="58" t="s">
        <v>263</v>
      </c>
      <c r="X443" s="59">
        <v>0</v>
      </c>
      <c r="Y443" s="60" t="s">
        <v>263</v>
      </c>
      <c r="Z443" s="66">
        <v>0</v>
      </c>
      <c r="AA443" s="65"/>
      <c r="AB443" s="60" t="s">
        <v>263</v>
      </c>
      <c r="AC443" s="59">
        <v>0</v>
      </c>
    </row>
    <row r="444" spans="2:29" x14ac:dyDescent="0.3">
      <c r="B444" s="71" t="s">
        <v>2539</v>
      </c>
      <c r="C444" s="65"/>
      <c r="D444" s="58" t="s">
        <v>263</v>
      </c>
      <c r="E444" s="71" t="s">
        <v>2540</v>
      </c>
      <c r="F444" s="65"/>
      <c r="G444" s="58" t="s">
        <v>263</v>
      </c>
      <c r="H444" s="71" t="s">
        <v>2541</v>
      </c>
      <c r="I444" s="65"/>
      <c r="J444" s="65"/>
      <c r="K444" s="65"/>
      <c r="L444" s="58" t="s">
        <v>263</v>
      </c>
      <c r="M444" s="71" t="s">
        <v>2542</v>
      </c>
      <c r="N444" s="65"/>
      <c r="O444" s="58" t="s">
        <v>263</v>
      </c>
      <c r="P444" s="59">
        <v>219</v>
      </c>
      <c r="Q444" s="58" t="s">
        <v>263</v>
      </c>
      <c r="R444" s="58" t="s">
        <v>918</v>
      </c>
      <c r="S444" s="58" t="s">
        <v>263</v>
      </c>
      <c r="T444" s="66">
        <v>0</v>
      </c>
      <c r="U444" s="65"/>
      <c r="V444" s="65"/>
      <c r="W444" s="58" t="s">
        <v>263</v>
      </c>
      <c r="X444" s="59">
        <v>0</v>
      </c>
      <c r="Y444" s="60" t="s">
        <v>263</v>
      </c>
      <c r="Z444" s="66">
        <v>0</v>
      </c>
      <c r="AA444" s="65"/>
      <c r="AB444" s="60" t="s">
        <v>263</v>
      </c>
      <c r="AC444" s="59">
        <v>0</v>
      </c>
    </row>
    <row r="445" spans="2:29" x14ac:dyDescent="0.3">
      <c r="B445" s="71" t="s">
        <v>2543</v>
      </c>
      <c r="C445" s="65"/>
      <c r="D445" s="58" t="s">
        <v>263</v>
      </c>
      <c r="E445" s="71" t="s">
        <v>2540</v>
      </c>
      <c r="F445" s="65"/>
      <c r="G445" s="58" t="s">
        <v>263</v>
      </c>
      <c r="H445" s="71" t="s">
        <v>2541</v>
      </c>
      <c r="I445" s="65"/>
      <c r="J445" s="65"/>
      <c r="K445" s="65"/>
      <c r="L445" s="58" t="s">
        <v>263</v>
      </c>
      <c r="M445" s="71" t="s">
        <v>2544</v>
      </c>
      <c r="N445" s="65"/>
      <c r="O445" s="58" t="s">
        <v>263</v>
      </c>
      <c r="P445" s="59">
        <v>204</v>
      </c>
      <c r="Q445" s="58" t="s">
        <v>263</v>
      </c>
      <c r="R445" s="58" t="s">
        <v>918</v>
      </c>
      <c r="S445" s="58" t="s">
        <v>263</v>
      </c>
      <c r="T445" s="66">
        <v>0</v>
      </c>
      <c r="U445" s="65"/>
      <c r="V445" s="65"/>
      <c r="W445" s="58" t="s">
        <v>263</v>
      </c>
      <c r="X445" s="59">
        <v>0</v>
      </c>
      <c r="Y445" s="60" t="s">
        <v>263</v>
      </c>
      <c r="Z445" s="66">
        <v>0</v>
      </c>
      <c r="AA445" s="65"/>
      <c r="AB445" s="60" t="s">
        <v>263</v>
      </c>
      <c r="AC445" s="59">
        <v>0</v>
      </c>
    </row>
    <row r="446" spans="2:29" x14ac:dyDescent="0.3">
      <c r="B446" s="71" t="s">
        <v>2545</v>
      </c>
      <c r="C446" s="65"/>
      <c r="D446" s="58" t="s">
        <v>263</v>
      </c>
      <c r="E446" s="71" t="s">
        <v>2546</v>
      </c>
      <c r="F446" s="65"/>
      <c r="G446" s="58" t="s">
        <v>263</v>
      </c>
      <c r="H446" s="71" t="s">
        <v>2547</v>
      </c>
      <c r="I446" s="65"/>
      <c r="J446" s="65"/>
      <c r="K446" s="65"/>
      <c r="L446" s="58" t="s">
        <v>263</v>
      </c>
      <c r="M446" s="71" t="s">
        <v>2542</v>
      </c>
      <c r="N446" s="65"/>
      <c r="O446" s="58" t="s">
        <v>263</v>
      </c>
      <c r="P446" s="59">
        <v>47</v>
      </c>
      <c r="Q446" s="58" t="s">
        <v>263</v>
      </c>
      <c r="R446" s="58" t="s">
        <v>918</v>
      </c>
      <c r="S446" s="58" t="s">
        <v>263</v>
      </c>
      <c r="T446" s="66">
        <v>0</v>
      </c>
      <c r="U446" s="65"/>
      <c r="V446" s="65"/>
      <c r="W446" s="58" t="s">
        <v>263</v>
      </c>
      <c r="X446" s="59">
        <v>0</v>
      </c>
      <c r="Y446" s="60" t="s">
        <v>263</v>
      </c>
      <c r="Z446" s="66">
        <v>0</v>
      </c>
      <c r="AA446" s="65"/>
      <c r="AB446" s="60" t="s">
        <v>263</v>
      </c>
      <c r="AC446" s="59">
        <v>0</v>
      </c>
    </row>
    <row r="447" spans="2:29" x14ac:dyDescent="0.3">
      <c r="B447" s="71" t="s">
        <v>2548</v>
      </c>
      <c r="C447" s="65"/>
      <c r="D447" s="58" t="s">
        <v>263</v>
      </c>
      <c r="E447" s="71" t="s">
        <v>2549</v>
      </c>
      <c r="F447" s="65"/>
      <c r="G447" s="58" t="s">
        <v>263</v>
      </c>
      <c r="H447" s="71" t="s">
        <v>2550</v>
      </c>
      <c r="I447" s="65"/>
      <c r="J447" s="65"/>
      <c r="K447" s="65"/>
      <c r="L447" s="58" t="s">
        <v>263</v>
      </c>
      <c r="M447" s="71" t="s">
        <v>2551</v>
      </c>
      <c r="N447" s="65"/>
      <c r="O447" s="58" t="s">
        <v>263</v>
      </c>
      <c r="P447" s="59">
        <v>158</v>
      </c>
      <c r="Q447" s="58" t="s">
        <v>263</v>
      </c>
      <c r="R447" s="58" t="s">
        <v>918</v>
      </c>
      <c r="S447" s="58" t="s">
        <v>263</v>
      </c>
      <c r="T447" s="66">
        <v>0</v>
      </c>
      <c r="U447" s="65"/>
      <c r="V447" s="65"/>
      <c r="W447" s="58" t="s">
        <v>263</v>
      </c>
      <c r="X447" s="59">
        <v>0</v>
      </c>
      <c r="Y447" s="60" t="s">
        <v>263</v>
      </c>
      <c r="Z447" s="66">
        <v>0</v>
      </c>
      <c r="AA447" s="65"/>
      <c r="AB447" s="60" t="s">
        <v>263</v>
      </c>
      <c r="AC447" s="59">
        <v>0</v>
      </c>
    </row>
    <row r="448" spans="2:29" x14ac:dyDescent="0.3">
      <c r="B448" s="71" t="s">
        <v>2552</v>
      </c>
      <c r="C448" s="65"/>
      <c r="D448" s="58" t="s">
        <v>263</v>
      </c>
      <c r="E448" s="71" t="s">
        <v>2553</v>
      </c>
      <c r="F448" s="65"/>
      <c r="G448" s="58" t="s">
        <v>263</v>
      </c>
      <c r="H448" s="71" t="s">
        <v>2554</v>
      </c>
      <c r="I448" s="65"/>
      <c r="J448" s="65"/>
      <c r="K448" s="65"/>
      <c r="L448" s="58" t="s">
        <v>263</v>
      </c>
      <c r="M448" s="71" t="s">
        <v>1044</v>
      </c>
      <c r="N448" s="65"/>
      <c r="O448" s="58" t="s">
        <v>263</v>
      </c>
      <c r="P448" s="59">
        <v>197</v>
      </c>
      <c r="Q448" s="58" t="s">
        <v>263</v>
      </c>
      <c r="R448" s="58" t="s">
        <v>918</v>
      </c>
      <c r="S448" s="58" t="s">
        <v>263</v>
      </c>
      <c r="T448" s="66">
        <v>0</v>
      </c>
      <c r="U448" s="65"/>
      <c r="V448" s="65"/>
      <c r="W448" s="58" t="s">
        <v>263</v>
      </c>
      <c r="X448" s="59">
        <v>0</v>
      </c>
      <c r="Y448" s="60" t="s">
        <v>263</v>
      </c>
      <c r="Z448" s="66">
        <v>0</v>
      </c>
      <c r="AA448" s="65"/>
      <c r="AB448" s="60" t="s">
        <v>263</v>
      </c>
      <c r="AC448" s="59">
        <v>0</v>
      </c>
    </row>
    <row r="449" spans="2:29" x14ac:dyDescent="0.3">
      <c r="B449" s="71" t="s">
        <v>2555</v>
      </c>
      <c r="C449" s="65"/>
      <c r="D449" s="58" t="s">
        <v>263</v>
      </c>
      <c r="E449" s="71" t="s">
        <v>2556</v>
      </c>
      <c r="F449" s="65"/>
      <c r="G449" s="58" t="s">
        <v>263</v>
      </c>
      <c r="H449" s="71" t="s">
        <v>2557</v>
      </c>
      <c r="I449" s="65"/>
      <c r="J449" s="65"/>
      <c r="K449" s="65"/>
      <c r="L449" s="58" t="s">
        <v>263</v>
      </c>
      <c r="M449" s="71" t="s">
        <v>2558</v>
      </c>
      <c r="N449" s="65"/>
      <c r="O449" s="58" t="s">
        <v>263</v>
      </c>
      <c r="P449" s="59">
        <v>117</v>
      </c>
      <c r="Q449" s="58" t="s">
        <v>263</v>
      </c>
      <c r="R449" s="58" t="s">
        <v>918</v>
      </c>
      <c r="S449" s="58" t="s">
        <v>263</v>
      </c>
      <c r="T449" s="66">
        <v>0</v>
      </c>
      <c r="U449" s="65"/>
      <c r="V449" s="65"/>
      <c r="W449" s="58" t="s">
        <v>263</v>
      </c>
      <c r="X449" s="59">
        <v>0</v>
      </c>
      <c r="Y449" s="60" t="s">
        <v>263</v>
      </c>
      <c r="Z449" s="66">
        <v>0</v>
      </c>
      <c r="AA449" s="65"/>
      <c r="AB449" s="60" t="s">
        <v>263</v>
      </c>
      <c r="AC449" s="59">
        <v>0</v>
      </c>
    </row>
    <row r="450" spans="2:29" x14ac:dyDescent="0.3">
      <c r="B450" s="71" t="s">
        <v>2559</v>
      </c>
      <c r="C450" s="65"/>
      <c r="D450" s="58" t="s">
        <v>263</v>
      </c>
      <c r="E450" s="71" t="s">
        <v>2560</v>
      </c>
      <c r="F450" s="65"/>
      <c r="G450" s="58" t="s">
        <v>263</v>
      </c>
      <c r="H450" s="71" t="s">
        <v>2561</v>
      </c>
      <c r="I450" s="65"/>
      <c r="J450" s="65"/>
      <c r="K450" s="65"/>
      <c r="L450" s="58" t="s">
        <v>263</v>
      </c>
      <c r="M450" s="71" t="s">
        <v>2562</v>
      </c>
      <c r="N450" s="65"/>
      <c r="O450" s="58" t="s">
        <v>263</v>
      </c>
      <c r="P450" s="59">
        <v>59</v>
      </c>
      <c r="Q450" s="58" t="s">
        <v>263</v>
      </c>
      <c r="R450" s="58" t="s">
        <v>664</v>
      </c>
      <c r="S450" s="58" t="s">
        <v>263</v>
      </c>
      <c r="T450" s="66">
        <v>59</v>
      </c>
      <c r="U450" s="65"/>
      <c r="V450" s="65"/>
      <c r="W450" s="58" t="s">
        <v>263</v>
      </c>
      <c r="X450" s="59">
        <v>0</v>
      </c>
      <c r="Y450" s="60" t="s">
        <v>263</v>
      </c>
      <c r="Z450" s="66">
        <v>0</v>
      </c>
      <c r="AA450" s="65"/>
      <c r="AB450" s="60" t="s">
        <v>263</v>
      </c>
      <c r="AC450" s="59">
        <v>0</v>
      </c>
    </row>
    <row r="451" spans="2:29" x14ac:dyDescent="0.3">
      <c r="B451" s="71" t="s">
        <v>2563</v>
      </c>
      <c r="C451" s="65"/>
      <c r="D451" s="58" t="s">
        <v>263</v>
      </c>
      <c r="E451" s="71" t="s">
        <v>2564</v>
      </c>
      <c r="F451" s="65"/>
      <c r="G451" s="58" t="s">
        <v>263</v>
      </c>
      <c r="H451" s="71" t="s">
        <v>2565</v>
      </c>
      <c r="I451" s="65"/>
      <c r="J451" s="65"/>
      <c r="K451" s="65"/>
      <c r="L451" s="58" t="s">
        <v>263</v>
      </c>
      <c r="M451" s="71" t="s">
        <v>2566</v>
      </c>
      <c r="N451" s="65"/>
      <c r="O451" s="58" t="s">
        <v>263</v>
      </c>
      <c r="P451" s="59">
        <v>197</v>
      </c>
      <c r="Q451" s="58" t="s">
        <v>263</v>
      </c>
      <c r="R451" s="58" t="s">
        <v>918</v>
      </c>
      <c r="S451" s="58" t="s">
        <v>263</v>
      </c>
      <c r="T451" s="66">
        <v>0</v>
      </c>
      <c r="U451" s="65"/>
      <c r="V451" s="65"/>
      <c r="W451" s="58" t="s">
        <v>263</v>
      </c>
      <c r="X451" s="59">
        <v>0</v>
      </c>
      <c r="Y451" s="60" t="s">
        <v>263</v>
      </c>
      <c r="Z451" s="66">
        <v>0</v>
      </c>
      <c r="AA451" s="65"/>
      <c r="AB451" s="60" t="s">
        <v>263</v>
      </c>
      <c r="AC451" s="59">
        <v>0</v>
      </c>
    </row>
    <row r="452" spans="2:29" x14ac:dyDescent="0.3">
      <c r="B452" s="71" t="s">
        <v>2567</v>
      </c>
      <c r="C452" s="65"/>
      <c r="D452" s="58" t="s">
        <v>263</v>
      </c>
      <c r="E452" s="71" t="s">
        <v>2568</v>
      </c>
      <c r="F452" s="65"/>
      <c r="G452" s="58" t="s">
        <v>263</v>
      </c>
      <c r="H452" s="71" t="s">
        <v>2569</v>
      </c>
      <c r="I452" s="65"/>
      <c r="J452" s="65"/>
      <c r="K452" s="65"/>
      <c r="L452" s="58" t="s">
        <v>263</v>
      </c>
      <c r="M452" s="71" t="s">
        <v>2562</v>
      </c>
      <c r="N452" s="65"/>
      <c r="O452" s="58" t="s">
        <v>263</v>
      </c>
      <c r="P452" s="59">
        <v>136</v>
      </c>
      <c r="Q452" s="58" t="s">
        <v>263</v>
      </c>
      <c r="R452" s="58" t="s">
        <v>918</v>
      </c>
      <c r="S452" s="58" t="s">
        <v>263</v>
      </c>
      <c r="T452" s="66">
        <v>0</v>
      </c>
      <c r="U452" s="65"/>
      <c r="V452" s="65"/>
      <c r="W452" s="58" t="s">
        <v>263</v>
      </c>
      <c r="X452" s="59">
        <v>0</v>
      </c>
      <c r="Y452" s="60" t="s">
        <v>263</v>
      </c>
      <c r="Z452" s="66">
        <v>0</v>
      </c>
      <c r="AA452" s="65"/>
      <c r="AB452" s="60" t="s">
        <v>263</v>
      </c>
      <c r="AC452" s="59">
        <v>0</v>
      </c>
    </row>
    <row r="453" spans="2:29" x14ac:dyDescent="0.3">
      <c r="B453" s="71" t="s">
        <v>2570</v>
      </c>
      <c r="C453" s="65"/>
      <c r="D453" s="58" t="s">
        <v>263</v>
      </c>
      <c r="E453" s="71" t="s">
        <v>2571</v>
      </c>
      <c r="F453" s="65"/>
      <c r="G453" s="58" t="s">
        <v>263</v>
      </c>
      <c r="H453" s="71" t="s">
        <v>2572</v>
      </c>
      <c r="I453" s="65"/>
      <c r="J453" s="65"/>
      <c r="K453" s="65"/>
      <c r="L453" s="58" t="s">
        <v>263</v>
      </c>
      <c r="M453" s="71" t="s">
        <v>2573</v>
      </c>
      <c r="N453" s="65"/>
      <c r="O453" s="58" t="s">
        <v>263</v>
      </c>
      <c r="P453" s="59">
        <v>136</v>
      </c>
      <c r="Q453" s="58" t="s">
        <v>263</v>
      </c>
      <c r="R453" s="58" t="s">
        <v>918</v>
      </c>
      <c r="S453" s="58" t="s">
        <v>263</v>
      </c>
      <c r="T453" s="66">
        <v>0</v>
      </c>
      <c r="U453" s="65"/>
      <c r="V453" s="65"/>
      <c r="W453" s="58" t="s">
        <v>263</v>
      </c>
      <c r="X453" s="59">
        <v>0</v>
      </c>
      <c r="Y453" s="60" t="s">
        <v>263</v>
      </c>
      <c r="Z453" s="66">
        <v>0</v>
      </c>
      <c r="AA453" s="65"/>
      <c r="AB453" s="60" t="s">
        <v>263</v>
      </c>
      <c r="AC453" s="59">
        <v>0</v>
      </c>
    </row>
    <row r="454" spans="2:29" x14ac:dyDescent="0.3">
      <c r="B454" s="71" t="s">
        <v>2574</v>
      </c>
      <c r="C454" s="65"/>
      <c r="D454" s="58" t="s">
        <v>263</v>
      </c>
      <c r="E454" s="71" t="s">
        <v>2575</v>
      </c>
      <c r="F454" s="65"/>
      <c r="G454" s="58" t="s">
        <v>263</v>
      </c>
      <c r="H454" s="71" t="s">
        <v>2576</v>
      </c>
      <c r="I454" s="65"/>
      <c r="J454" s="65"/>
      <c r="K454" s="65"/>
      <c r="L454" s="58" t="s">
        <v>263</v>
      </c>
      <c r="M454" s="71" t="s">
        <v>2531</v>
      </c>
      <c r="N454" s="65"/>
      <c r="O454" s="58" t="s">
        <v>263</v>
      </c>
      <c r="P454" s="59">
        <v>146</v>
      </c>
      <c r="Q454" s="58" t="s">
        <v>263</v>
      </c>
      <c r="R454" s="58" t="s">
        <v>918</v>
      </c>
      <c r="S454" s="58" t="s">
        <v>263</v>
      </c>
      <c r="T454" s="66">
        <v>0</v>
      </c>
      <c r="U454" s="65"/>
      <c r="V454" s="65"/>
      <c r="W454" s="58" t="s">
        <v>263</v>
      </c>
      <c r="X454" s="59">
        <v>0</v>
      </c>
      <c r="Y454" s="60" t="s">
        <v>263</v>
      </c>
      <c r="Z454" s="66">
        <v>0</v>
      </c>
      <c r="AA454" s="65"/>
      <c r="AB454" s="60" t="s">
        <v>263</v>
      </c>
      <c r="AC454" s="59">
        <v>0</v>
      </c>
    </row>
    <row r="455" spans="2:29" x14ac:dyDescent="0.3">
      <c r="B455" s="71" t="s">
        <v>2577</v>
      </c>
      <c r="C455" s="65"/>
      <c r="D455" s="58" t="s">
        <v>263</v>
      </c>
      <c r="E455" s="71" t="s">
        <v>2578</v>
      </c>
      <c r="F455" s="65"/>
      <c r="G455" s="58" t="s">
        <v>263</v>
      </c>
      <c r="H455" s="71" t="s">
        <v>2579</v>
      </c>
      <c r="I455" s="65"/>
      <c r="J455" s="65"/>
      <c r="K455" s="65"/>
      <c r="L455" s="58" t="s">
        <v>263</v>
      </c>
      <c r="M455" s="71" t="s">
        <v>2531</v>
      </c>
      <c r="N455" s="65"/>
      <c r="O455" s="58" t="s">
        <v>263</v>
      </c>
      <c r="P455" s="59">
        <v>136</v>
      </c>
      <c r="Q455" s="58" t="s">
        <v>263</v>
      </c>
      <c r="R455" s="58" t="s">
        <v>918</v>
      </c>
      <c r="S455" s="58" t="s">
        <v>263</v>
      </c>
      <c r="T455" s="66">
        <v>0</v>
      </c>
      <c r="U455" s="65"/>
      <c r="V455" s="65"/>
      <c r="W455" s="58" t="s">
        <v>263</v>
      </c>
      <c r="X455" s="59">
        <v>0</v>
      </c>
      <c r="Y455" s="60" t="s">
        <v>263</v>
      </c>
      <c r="Z455" s="66">
        <v>0</v>
      </c>
      <c r="AA455" s="65"/>
      <c r="AB455" s="60" t="s">
        <v>263</v>
      </c>
      <c r="AC455" s="59">
        <v>0</v>
      </c>
    </row>
    <row r="456" spans="2:29" x14ac:dyDescent="0.3">
      <c r="B456" s="71" t="s">
        <v>2580</v>
      </c>
      <c r="C456" s="65"/>
      <c r="D456" s="58" t="s">
        <v>263</v>
      </c>
      <c r="E456" s="71" t="s">
        <v>2581</v>
      </c>
      <c r="F456" s="65"/>
      <c r="G456" s="58" t="s">
        <v>263</v>
      </c>
      <c r="H456" s="71" t="s">
        <v>2582</v>
      </c>
      <c r="I456" s="65"/>
      <c r="J456" s="65"/>
      <c r="K456" s="65"/>
      <c r="L456" s="58" t="s">
        <v>263</v>
      </c>
      <c r="M456" s="71" t="s">
        <v>2573</v>
      </c>
      <c r="N456" s="65"/>
      <c r="O456" s="58" t="s">
        <v>263</v>
      </c>
      <c r="P456" s="59">
        <v>117</v>
      </c>
      <c r="Q456" s="58" t="s">
        <v>263</v>
      </c>
      <c r="R456" s="58" t="s">
        <v>918</v>
      </c>
      <c r="S456" s="58" t="s">
        <v>263</v>
      </c>
      <c r="T456" s="66">
        <v>0</v>
      </c>
      <c r="U456" s="65"/>
      <c r="V456" s="65"/>
      <c r="W456" s="58" t="s">
        <v>263</v>
      </c>
      <c r="X456" s="59">
        <v>0</v>
      </c>
      <c r="Y456" s="60" t="s">
        <v>263</v>
      </c>
      <c r="Z456" s="66">
        <v>0</v>
      </c>
      <c r="AA456" s="65"/>
      <c r="AB456" s="60" t="s">
        <v>263</v>
      </c>
      <c r="AC456" s="59">
        <v>0</v>
      </c>
    </row>
    <row r="457" spans="2:29" x14ac:dyDescent="0.3">
      <c r="B457" s="71" t="s">
        <v>2583</v>
      </c>
      <c r="C457" s="65"/>
      <c r="D457" s="58" t="s">
        <v>263</v>
      </c>
      <c r="E457" s="71" t="s">
        <v>2584</v>
      </c>
      <c r="F457" s="65"/>
      <c r="G457" s="58" t="s">
        <v>263</v>
      </c>
      <c r="H457" s="71" t="s">
        <v>2585</v>
      </c>
      <c r="I457" s="65"/>
      <c r="J457" s="65"/>
      <c r="K457" s="65"/>
      <c r="L457" s="58" t="s">
        <v>263</v>
      </c>
      <c r="M457" s="71" t="s">
        <v>2586</v>
      </c>
      <c r="N457" s="65"/>
      <c r="O457" s="58" t="s">
        <v>263</v>
      </c>
      <c r="P457" s="59">
        <v>136</v>
      </c>
      <c r="Q457" s="58" t="s">
        <v>263</v>
      </c>
      <c r="R457" s="58" t="s">
        <v>918</v>
      </c>
      <c r="S457" s="58" t="s">
        <v>263</v>
      </c>
      <c r="T457" s="66">
        <v>0</v>
      </c>
      <c r="U457" s="65"/>
      <c r="V457" s="65"/>
      <c r="W457" s="58" t="s">
        <v>263</v>
      </c>
      <c r="X457" s="59">
        <v>0</v>
      </c>
      <c r="Y457" s="60" t="s">
        <v>263</v>
      </c>
      <c r="Z457" s="66">
        <v>0</v>
      </c>
      <c r="AA457" s="65"/>
      <c r="AB457" s="60" t="s">
        <v>263</v>
      </c>
      <c r="AC457" s="59">
        <v>0</v>
      </c>
    </row>
    <row r="458" spans="2:29" x14ac:dyDescent="0.3">
      <c r="B458" s="71" t="s">
        <v>2587</v>
      </c>
      <c r="C458" s="65"/>
      <c r="D458" s="58" t="s">
        <v>263</v>
      </c>
      <c r="E458" s="71" t="s">
        <v>2588</v>
      </c>
      <c r="F458" s="65"/>
      <c r="G458" s="58" t="s">
        <v>263</v>
      </c>
      <c r="H458" s="71" t="s">
        <v>2589</v>
      </c>
      <c r="I458" s="65"/>
      <c r="J458" s="65"/>
      <c r="K458" s="65"/>
      <c r="L458" s="58" t="s">
        <v>263</v>
      </c>
      <c r="M458" s="71" t="s">
        <v>2590</v>
      </c>
      <c r="N458" s="65"/>
      <c r="O458" s="58" t="s">
        <v>263</v>
      </c>
      <c r="P458" s="59">
        <v>136</v>
      </c>
      <c r="Q458" s="58" t="s">
        <v>263</v>
      </c>
      <c r="R458" s="58" t="s">
        <v>918</v>
      </c>
      <c r="S458" s="58" t="s">
        <v>263</v>
      </c>
      <c r="T458" s="66">
        <v>0</v>
      </c>
      <c r="U458" s="65"/>
      <c r="V458" s="65"/>
      <c r="W458" s="58" t="s">
        <v>263</v>
      </c>
      <c r="X458" s="59">
        <v>0</v>
      </c>
      <c r="Y458" s="60" t="s">
        <v>263</v>
      </c>
      <c r="Z458" s="66">
        <v>0</v>
      </c>
      <c r="AA458" s="65"/>
      <c r="AB458" s="60" t="s">
        <v>263</v>
      </c>
      <c r="AC458" s="59">
        <v>0</v>
      </c>
    </row>
    <row r="459" spans="2:29" x14ac:dyDescent="0.3">
      <c r="B459" s="71" t="s">
        <v>2591</v>
      </c>
      <c r="C459" s="65"/>
      <c r="D459" s="58" t="s">
        <v>263</v>
      </c>
      <c r="E459" s="71" t="s">
        <v>2592</v>
      </c>
      <c r="F459" s="65"/>
      <c r="G459" s="58" t="s">
        <v>263</v>
      </c>
      <c r="H459" s="71" t="s">
        <v>2593</v>
      </c>
      <c r="I459" s="65"/>
      <c r="J459" s="65"/>
      <c r="K459" s="65"/>
      <c r="L459" s="58" t="s">
        <v>263</v>
      </c>
      <c r="M459" s="71" t="s">
        <v>789</v>
      </c>
      <c r="N459" s="65"/>
      <c r="O459" s="58" t="s">
        <v>263</v>
      </c>
      <c r="P459" s="59">
        <v>240</v>
      </c>
      <c r="Q459" s="58" t="s">
        <v>263</v>
      </c>
      <c r="R459" s="58" t="s">
        <v>918</v>
      </c>
      <c r="S459" s="58" t="s">
        <v>263</v>
      </c>
      <c r="T459" s="66">
        <v>0</v>
      </c>
      <c r="U459" s="65"/>
      <c r="V459" s="65"/>
      <c r="W459" s="58" t="s">
        <v>263</v>
      </c>
      <c r="X459" s="59">
        <v>0</v>
      </c>
      <c r="Y459" s="60" t="s">
        <v>263</v>
      </c>
      <c r="Z459" s="66">
        <v>0</v>
      </c>
      <c r="AA459" s="65"/>
      <c r="AB459" s="60" t="s">
        <v>263</v>
      </c>
      <c r="AC459" s="59">
        <v>0</v>
      </c>
    </row>
    <row r="460" spans="2:29" x14ac:dyDescent="0.3">
      <c r="B460" s="71" t="s">
        <v>2594</v>
      </c>
      <c r="C460" s="65"/>
      <c r="D460" s="58" t="s">
        <v>263</v>
      </c>
      <c r="E460" s="71" t="s">
        <v>2595</v>
      </c>
      <c r="F460" s="65"/>
      <c r="G460" s="58" t="s">
        <v>263</v>
      </c>
      <c r="H460" s="71" t="s">
        <v>2596</v>
      </c>
      <c r="I460" s="65"/>
      <c r="J460" s="65"/>
      <c r="K460" s="65"/>
      <c r="L460" s="58" t="s">
        <v>263</v>
      </c>
      <c r="M460" s="71" t="s">
        <v>2597</v>
      </c>
      <c r="N460" s="65"/>
      <c r="O460" s="58" t="s">
        <v>263</v>
      </c>
      <c r="P460" s="59">
        <v>117</v>
      </c>
      <c r="Q460" s="58" t="s">
        <v>263</v>
      </c>
      <c r="R460" s="58" t="s">
        <v>918</v>
      </c>
      <c r="S460" s="58" t="s">
        <v>263</v>
      </c>
      <c r="T460" s="66">
        <v>0</v>
      </c>
      <c r="U460" s="65"/>
      <c r="V460" s="65"/>
      <c r="W460" s="58" t="s">
        <v>263</v>
      </c>
      <c r="X460" s="59">
        <v>0</v>
      </c>
      <c r="Y460" s="60" t="s">
        <v>263</v>
      </c>
      <c r="Z460" s="66">
        <v>0</v>
      </c>
      <c r="AA460" s="65"/>
      <c r="AB460" s="60" t="s">
        <v>263</v>
      </c>
      <c r="AC460" s="59">
        <v>0</v>
      </c>
    </row>
    <row r="461" spans="2:29" x14ac:dyDescent="0.3">
      <c r="B461" s="71" t="s">
        <v>2598</v>
      </c>
      <c r="C461" s="65"/>
      <c r="D461" s="58" t="s">
        <v>263</v>
      </c>
      <c r="E461" s="71" t="s">
        <v>2599</v>
      </c>
      <c r="F461" s="65"/>
      <c r="G461" s="58" t="s">
        <v>263</v>
      </c>
      <c r="H461" s="71" t="s">
        <v>2600</v>
      </c>
      <c r="I461" s="65"/>
      <c r="J461" s="65"/>
      <c r="K461" s="65"/>
      <c r="L461" s="58" t="s">
        <v>263</v>
      </c>
      <c r="M461" s="71" t="s">
        <v>2597</v>
      </c>
      <c r="N461" s="65"/>
      <c r="O461" s="58" t="s">
        <v>263</v>
      </c>
      <c r="P461" s="59">
        <v>158</v>
      </c>
      <c r="Q461" s="58" t="s">
        <v>263</v>
      </c>
      <c r="R461" s="58" t="s">
        <v>918</v>
      </c>
      <c r="S461" s="58" t="s">
        <v>263</v>
      </c>
      <c r="T461" s="66">
        <v>0</v>
      </c>
      <c r="U461" s="65"/>
      <c r="V461" s="65"/>
      <c r="W461" s="58" t="s">
        <v>263</v>
      </c>
      <c r="X461" s="59">
        <v>0</v>
      </c>
      <c r="Y461" s="60" t="s">
        <v>263</v>
      </c>
      <c r="Z461" s="66">
        <v>0</v>
      </c>
      <c r="AA461" s="65"/>
      <c r="AB461" s="60" t="s">
        <v>263</v>
      </c>
      <c r="AC461" s="59">
        <v>0</v>
      </c>
    </row>
    <row r="462" spans="2:29" x14ac:dyDescent="0.3">
      <c r="B462" s="71" t="s">
        <v>2601</v>
      </c>
      <c r="C462" s="65"/>
      <c r="D462" s="58" t="s">
        <v>263</v>
      </c>
      <c r="E462" s="71" t="s">
        <v>2602</v>
      </c>
      <c r="F462" s="65"/>
      <c r="G462" s="58" t="s">
        <v>263</v>
      </c>
      <c r="H462" s="71" t="s">
        <v>2603</v>
      </c>
      <c r="I462" s="65"/>
      <c r="J462" s="65"/>
      <c r="K462" s="65"/>
      <c r="L462" s="58" t="s">
        <v>263</v>
      </c>
      <c r="M462" s="71" t="s">
        <v>2183</v>
      </c>
      <c r="N462" s="65"/>
      <c r="O462" s="58" t="s">
        <v>263</v>
      </c>
      <c r="P462" s="59">
        <v>158</v>
      </c>
      <c r="Q462" s="58" t="s">
        <v>263</v>
      </c>
      <c r="R462" s="58" t="s">
        <v>918</v>
      </c>
      <c r="S462" s="58" t="s">
        <v>263</v>
      </c>
      <c r="T462" s="66">
        <v>0</v>
      </c>
      <c r="U462" s="65"/>
      <c r="V462" s="65"/>
      <c r="W462" s="58" t="s">
        <v>263</v>
      </c>
      <c r="X462" s="59">
        <v>0</v>
      </c>
      <c r="Y462" s="60" t="s">
        <v>263</v>
      </c>
      <c r="Z462" s="66">
        <v>0</v>
      </c>
      <c r="AA462" s="65"/>
      <c r="AB462" s="60" t="s">
        <v>263</v>
      </c>
      <c r="AC462" s="59">
        <v>0</v>
      </c>
    </row>
    <row r="463" spans="2:29" x14ac:dyDescent="0.3">
      <c r="B463" s="71" t="s">
        <v>2604</v>
      </c>
      <c r="C463" s="65"/>
      <c r="D463" s="58" t="s">
        <v>263</v>
      </c>
      <c r="E463" s="71" t="s">
        <v>2605</v>
      </c>
      <c r="F463" s="65"/>
      <c r="G463" s="58" t="s">
        <v>263</v>
      </c>
      <c r="H463" s="71" t="s">
        <v>2606</v>
      </c>
      <c r="I463" s="65"/>
      <c r="J463" s="65"/>
      <c r="K463" s="65"/>
      <c r="L463" s="58" t="s">
        <v>263</v>
      </c>
      <c r="M463" s="71" t="s">
        <v>2183</v>
      </c>
      <c r="N463" s="65"/>
      <c r="O463" s="58" t="s">
        <v>263</v>
      </c>
      <c r="P463" s="59">
        <v>219</v>
      </c>
      <c r="Q463" s="58" t="s">
        <v>263</v>
      </c>
      <c r="R463" s="58" t="s">
        <v>918</v>
      </c>
      <c r="S463" s="58" t="s">
        <v>263</v>
      </c>
      <c r="T463" s="66">
        <v>0</v>
      </c>
      <c r="U463" s="65"/>
      <c r="V463" s="65"/>
      <c r="W463" s="58" t="s">
        <v>263</v>
      </c>
      <c r="X463" s="59">
        <v>0</v>
      </c>
      <c r="Y463" s="60" t="s">
        <v>263</v>
      </c>
      <c r="Z463" s="66">
        <v>0</v>
      </c>
      <c r="AA463" s="65"/>
      <c r="AB463" s="60" t="s">
        <v>263</v>
      </c>
      <c r="AC463" s="59">
        <v>0</v>
      </c>
    </row>
    <row r="464" spans="2:29" x14ac:dyDescent="0.3">
      <c r="B464" s="71" t="s">
        <v>2607</v>
      </c>
      <c r="C464" s="65"/>
      <c r="D464" s="58" t="s">
        <v>263</v>
      </c>
      <c r="E464" s="71" t="s">
        <v>2608</v>
      </c>
      <c r="F464" s="65"/>
      <c r="G464" s="58" t="s">
        <v>263</v>
      </c>
      <c r="H464" s="71" t="s">
        <v>2609</v>
      </c>
      <c r="I464" s="65"/>
      <c r="J464" s="65"/>
      <c r="K464" s="65"/>
      <c r="L464" s="58" t="s">
        <v>263</v>
      </c>
      <c r="M464" s="71" t="s">
        <v>2610</v>
      </c>
      <c r="N464" s="65"/>
      <c r="O464" s="58" t="s">
        <v>263</v>
      </c>
      <c r="P464" s="59">
        <v>415</v>
      </c>
      <c r="Q464" s="58" t="s">
        <v>263</v>
      </c>
      <c r="R464" s="58" t="s">
        <v>918</v>
      </c>
      <c r="S464" s="58" t="s">
        <v>263</v>
      </c>
      <c r="T464" s="66">
        <v>0</v>
      </c>
      <c r="U464" s="65"/>
      <c r="V464" s="65"/>
      <c r="W464" s="58" t="s">
        <v>263</v>
      </c>
      <c r="X464" s="59">
        <v>0</v>
      </c>
      <c r="Y464" s="60" t="s">
        <v>263</v>
      </c>
      <c r="Z464" s="66">
        <v>0</v>
      </c>
      <c r="AA464" s="65"/>
      <c r="AB464" s="60" t="s">
        <v>263</v>
      </c>
      <c r="AC464" s="59">
        <v>0</v>
      </c>
    </row>
    <row r="465" spans="2:29" x14ac:dyDescent="0.3">
      <c r="B465" s="71" t="s">
        <v>2611</v>
      </c>
      <c r="C465" s="65"/>
      <c r="D465" s="58" t="s">
        <v>263</v>
      </c>
      <c r="E465" s="71" t="s">
        <v>2612</v>
      </c>
      <c r="F465" s="65"/>
      <c r="G465" s="58" t="s">
        <v>263</v>
      </c>
      <c r="H465" s="71" t="s">
        <v>2613</v>
      </c>
      <c r="I465" s="65"/>
      <c r="J465" s="65"/>
      <c r="K465" s="65"/>
      <c r="L465" s="58" t="s">
        <v>263</v>
      </c>
      <c r="M465" s="71" t="s">
        <v>2614</v>
      </c>
      <c r="N465" s="65"/>
      <c r="O465" s="58" t="s">
        <v>263</v>
      </c>
      <c r="P465" s="59">
        <v>204</v>
      </c>
      <c r="Q465" s="58" t="s">
        <v>263</v>
      </c>
      <c r="R465" s="58" t="s">
        <v>918</v>
      </c>
      <c r="S465" s="58" t="s">
        <v>263</v>
      </c>
      <c r="T465" s="66">
        <v>0</v>
      </c>
      <c r="U465" s="65"/>
      <c r="V465" s="65"/>
      <c r="W465" s="58" t="s">
        <v>263</v>
      </c>
      <c r="X465" s="59">
        <v>0</v>
      </c>
      <c r="Y465" s="60" t="s">
        <v>263</v>
      </c>
      <c r="Z465" s="66">
        <v>0</v>
      </c>
      <c r="AA465" s="65"/>
      <c r="AB465" s="60" t="s">
        <v>263</v>
      </c>
      <c r="AC465" s="59">
        <v>0</v>
      </c>
    </row>
    <row r="466" spans="2:29" x14ac:dyDescent="0.3">
      <c r="B466" s="71" t="s">
        <v>2615</v>
      </c>
      <c r="C466" s="65"/>
      <c r="D466" s="58" t="s">
        <v>263</v>
      </c>
      <c r="E466" s="71" t="s">
        <v>2616</v>
      </c>
      <c r="F466" s="65"/>
      <c r="G466" s="58" t="s">
        <v>263</v>
      </c>
      <c r="H466" s="71" t="s">
        <v>2617</v>
      </c>
      <c r="I466" s="65"/>
      <c r="J466" s="65"/>
      <c r="K466" s="65"/>
      <c r="L466" s="58" t="s">
        <v>263</v>
      </c>
      <c r="M466" s="71" t="s">
        <v>2618</v>
      </c>
      <c r="N466" s="65"/>
      <c r="O466" s="58" t="s">
        <v>263</v>
      </c>
      <c r="P466" s="59">
        <v>255</v>
      </c>
      <c r="Q466" s="58" t="s">
        <v>263</v>
      </c>
      <c r="R466" s="58" t="s">
        <v>664</v>
      </c>
      <c r="S466" s="58" t="s">
        <v>263</v>
      </c>
      <c r="T466" s="66">
        <v>255</v>
      </c>
      <c r="U466" s="65"/>
      <c r="V466" s="65"/>
      <c r="W466" s="58" t="s">
        <v>263</v>
      </c>
      <c r="X466" s="59">
        <v>0</v>
      </c>
      <c r="Y466" s="60" t="s">
        <v>263</v>
      </c>
      <c r="Z466" s="66">
        <v>0</v>
      </c>
      <c r="AA466" s="65"/>
      <c r="AB466" s="60" t="s">
        <v>263</v>
      </c>
      <c r="AC466" s="59">
        <v>0</v>
      </c>
    </row>
    <row r="467" spans="2:29" x14ac:dyDescent="0.3">
      <c r="B467" s="71" t="s">
        <v>2619</v>
      </c>
      <c r="C467" s="65"/>
      <c r="D467" s="58" t="s">
        <v>263</v>
      </c>
      <c r="E467" s="71" t="s">
        <v>2620</v>
      </c>
      <c r="F467" s="65"/>
      <c r="G467" s="58" t="s">
        <v>263</v>
      </c>
      <c r="H467" s="71" t="s">
        <v>2621</v>
      </c>
      <c r="I467" s="65"/>
      <c r="J467" s="65"/>
      <c r="K467" s="65"/>
      <c r="L467" s="58" t="s">
        <v>263</v>
      </c>
      <c r="M467" s="71" t="s">
        <v>2622</v>
      </c>
      <c r="N467" s="65"/>
      <c r="O467" s="58" t="s">
        <v>263</v>
      </c>
      <c r="P467" s="59">
        <v>51</v>
      </c>
      <c r="Q467" s="58" t="s">
        <v>263</v>
      </c>
      <c r="R467" s="58" t="s">
        <v>918</v>
      </c>
      <c r="S467" s="58" t="s">
        <v>263</v>
      </c>
      <c r="T467" s="66">
        <v>0</v>
      </c>
      <c r="U467" s="65"/>
      <c r="V467" s="65"/>
      <c r="W467" s="58" t="s">
        <v>263</v>
      </c>
      <c r="X467" s="59">
        <v>0</v>
      </c>
      <c r="Y467" s="60" t="s">
        <v>263</v>
      </c>
      <c r="Z467" s="66">
        <v>0</v>
      </c>
      <c r="AA467" s="65"/>
      <c r="AB467" s="60" t="s">
        <v>263</v>
      </c>
      <c r="AC467" s="59">
        <v>0</v>
      </c>
    </row>
    <row r="468" spans="2:29" x14ac:dyDescent="0.3">
      <c r="B468" s="71" t="s">
        <v>2623</v>
      </c>
      <c r="C468" s="65"/>
      <c r="D468" s="58" t="s">
        <v>263</v>
      </c>
      <c r="E468" s="71" t="s">
        <v>2624</v>
      </c>
      <c r="F468" s="65"/>
      <c r="G468" s="58" t="s">
        <v>263</v>
      </c>
      <c r="H468" s="71" t="s">
        <v>2625</v>
      </c>
      <c r="I468" s="65"/>
      <c r="J468" s="65"/>
      <c r="K468" s="65"/>
      <c r="L468" s="58" t="s">
        <v>263</v>
      </c>
      <c r="M468" s="71" t="s">
        <v>2544</v>
      </c>
      <c r="N468" s="65"/>
      <c r="O468" s="58" t="s">
        <v>263</v>
      </c>
      <c r="P468" s="59">
        <v>204</v>
      </c>
      <c r="Q468" s="58" t="s">
        <v>263</v>
      </c>
      <c r="R468" s="58" t="s">
        <v>918</v>
      </c>
      <c r="S468" s="58" t="s">
        <v>263</v>
      </c>
      <c r="T468" s="66">
        <v>0</v>
      </c>
      <c r="U468" s="65"/>
      <c r="V468" s="65"/>
      <c r="W468" s="58" t="s">
        <v>263</v>
      </c>
      <c r="X468" s="59">
        <v>0</v>
      </c>
      <c r="Y468" s="60" t="s">
        <v>263</v>
      </c>
      <c r="Z468" s="66">
        <v>0</v>
      </c>
      <c r="AA468" s="65"/>
      <c r="AB468" s="60" t="s">
        <v>263</v>
      </c>
      <c r="AC468" s="59">
        <v>0</v>
      </c>
    </row>
    <row r="469" spans="2:29" x14ac:dyDescent="0.3">
      <c r="B469" s="71" t="s">
        <v>2626</v>
      </c>
      <c r="C469" s="65"/>
      <c r="D469" s="58" t="s">
        <v>263</v>
      </c>
      <c r="E469" s="71" t="s">
        <v>2627</v>
      </c>
      <c r="F469" s="65"/>
      <c r="G469" s="58" t="s">
        <v>263</v>
      </c>
      <c r="H469" s="71" t="s">
        <v>2628</v>
      </c>
      <c r="I469" s="65"/>
      <c r="J469" s="65"/>
      <c r="K469" s="65"/>
      <c r="L469" s="58" t="s">
        <v>263</v>
      </c>
      <c r="M469" s="71" t="s">
        <v>2629</v>
      </c>
      <c r="N469" s="65"/>
      <c r="O469" s="58" t="s">
        <v>263</v>
      </c>
      <c r="P469" s="59">
        <v>108</v>
      </c>
      <c r="Q469" s="58" t="s">
        <v>263</v>
      </c>
      <c r="R469" s="58" t="s">
        <v>918</v>
      </c>
      <c r="S469" s="58" t="s">
        <v>263</v>
      </c>
      <c r="T469" s="66">
        <v>0</v>
      </c>
      <c r="U469" s="65"/>
      <c r="V469" s="65"/>
      <c r="W469" s="58" t="s">
        <v>263</v>
      </c>
      <c r="X469" s="59">
        <v>0</v>
      </c>
      <c r="Y469" s="60" t="s">
        <v>263</v>
      </c>
      <c r="Z469" s="66">
        <v>0</v>
      </c>
      <c r="AA469" s="65"/>
      <c r="AB469" s="60" t="s">
        <v>263</v>
      </c>
      <c r="AC469" s="59">
        <v>0</v>
      </c>
    </row>
    <row r="470" spans="2:29" x14ac:dyDescent="0.3">
      <c r="B470" s="71" t="s">
        <v>2630</v>
      </c>
      <c r="C470" s="65"/>
      <c r="D470" s="58" t="s">
        <v>263</v>
      </c>
      <c r="E470" s="71" t="s">
        <v>2631</v>
      </c>
      <c r="F470" s="65"/>
      <c r="G470" s="58" t="s">
        <v>263</v>
      </c>
      <c r="H470" s="71" t="s">
        <v>2632</v>
      </c>
      <c r="I470" s="65"/>
      <c r="J470" s="65"/>
      <c r="K470" s="65"/>
      <c r="L470" s="58" t="s">
        <v>263</v>
      </c>
      <c r="M470" s="71" t="s">
        <v>2633</v>
      </c>
      <c r="N470" s="65"/>
      <c r="O470" s="58" t="s">
        <v>263</v>
      </c>
      <c r="P470" s="59">
        <v>109</v>
      </c>
      <c r="Q470" s="58" t="s">
        <v>263</v>
      </c>
      <c r="R470" s="58" t="s">
        <v>918</v>
      </c>
      <c r="S470" s="58" t="s">
        <v>263</v>
      </c>
      <c r="T470" s="66">
        <v>0</v>
      </c>
      <c r="U470" s="65"/>
      <c r="V470" s="65"/>
      <c r="W470" s="58" t="s">
        <v>263</v>
      </c>
      <c r="X470" s="59">
        <v>0</v>
      </c>
      <c r="Y470" s="60" t="s">
        <v>263</v>
      </c>
      <c r="Z470" s="66">
        <v>0</v>
      </c>
      <c r="AA470" s="65"/>
      <c r="AB470" s="60" t="s">
        <v>263</v>
      </c>
      <c r="AC470" s="59">
        <v>0</v>
      </c>
    </row>
    <row r="471" spans="2:29" x14ac:dyDescent="0.3">
      <c r="B471" s="71" t="s">
        <v>2634</v>
      </c>
      <c r="C471" s="65"/>
      <c r="D471" s="58" t="s">
        <v>263</v>
      </c>
      <c r="E471" s="71" t="s">
        <v>2635</v>
      </c>
      <c r="F471" s="65"/>
      <c r="G471" s="58" t="s">
        <v>263</v>
      </c>
      <c r="H471" s="71" t="s">
        <v>2636</v>
      </c>
      <c r="I471" s="65"/>
      <c r="J471" s="65"/>
      <c r="K471" s="65"/>
      <c r="L471" s="58" t="s">
        <v>263</v>
      </c>
      <c r="M471" s="71" t="s">
        <v>2629</v>
      </c>
      <c r="N471" s="65"/>
      <c r="O471" s="58" t="s">
        <v>263</v>
      </c>
      <c r="P471" s="59">
        <v>157</v>
      </c>
      <c r="Q471" s="58" t="s">
        <v>263</v>
      </c>
      <c r="R471" s="58" t="s">
        <v>918</v>
      </c>
      <c r="S471" s="58" t="s">
        <v>263</v>
      </c>
      <c r="T471" s="66">
        <v>0</v>
      </c>
      <c r="U471" s="65"/>
      <c r="V471" s="65"/>
      <c r="W471" s="58" t="s">
        <v>263</v>
      </c>
      <c r="X471" s="59">
        <v>0</v>
      </c>
      <c r="Y471" s="60" t="s">
        <v>263</v>
      </c>
      <c r="Z471" s="66">
        <v>0</v>
      </c>
      <c r="AA471" s="65"/>
      <c r="AB471" s="60" t="s">
        <v>263</v>
      </c>
      <c r="AC471" s="59">
        <v>0</v>
      </c>
    </row>
    <row r="472" spans="2:29" x14ac:dyDescent="0.3">
      <c r="B472" s="71" t="s">
        <v>2637</v>
      </c>
      <c r="C472" s="65"/>
      <c r="D472" s="58" t="s">
        <v>263</v>
      </c>
      <c r="E472" s="71" t="s">
        <v>2638</v>
      </c>
      <c r="F472" s="65"/>
      <c r="G472" s="58" t="s">
        <v>263</v>
      </c>
      <c r="H472" s="71" t="s">
        <v>2639</v>
      </c>
      <c r="I472" s="65"/>
      <c r="J472" s="65"/>
      <c r="K472" s="65"/>
      <c r="L472" s="58" t="s">
        <v>263</v>
      </c>
      <c r="M472" s="71" t="s">
        <v>2640</v>
      </c>
      <c r="N472" s="65"/>
      <c r="O472" s="58" t="s">
        <v>263</v>
      </c>
      <c r="P472" s="59">
        <v>92</v>
      </c>
      <c r="Q472" s="58" t="s">
        <v>263</v>
      </c>
      <c r="R472" s="58" t="s">
        <v>918</v>
      </c>
      <c r="S472" s="58" t="s">
        <v>263</v>
      </c>
      <c r="T472" s="66">
        <v>0</v>
      </c>
      <c r="U472" s="65"/>
      <c r="V472" s="65"/>
      <c r="W472" s="58" t="s">
        <v>263</v>
      </c>
      <c r="X472" s="59">
        <v>0</v>
      </c>
      <c r="Y472" s="60" t="s">
        <v>263</v>
      </c>
      <c r="Z472" s="66">
        <v>0</v>
      </c>
      <c r="AA472" s="65"/>
      <c r="AB472" s="60" t="s">
        <v>263</v>
      </c>
      <c r="AC472" s="59">
        <v>0</v>
      </c>
    </row>
    <row r="473" spans="2:29" x14ac:dyDescent="0.3">
      <c r="B473" s="71" t="s">
        <v>2641</v>
      </c>
      <c r="C473" s="65"/>
      <c r="D473" s="58" t="s">
        <v>263</v>
      </c>
      <c r="E473" s="71" t="s">
        <v>2642</v>
      </c>
      <c r="F473" s="65"/>
      <c r="G473" s="58" t="s">
        <v>263</v>
      </c>
      <c r="H473" s="71" t="s">
        <v>2643</v>
      </c>
      <c r="I473" s="65"/>
      <c r="J473" s="65"/>
      <c r="K473" s="65"/>
      <c r="L473" s="58" t="s">
        <v>263</v>
      </c>
      <c r="M473" s="71" t="s">
        <v>2644</v>
      </c>
      <c r="N473" s="65"/>
      <c r="O473" s="58" t="s">
        <v>263</v>
      </c>
      <c r="P473" s="59">
        <v>230</v>
      </c>
      <c r="Q473" s="58" t="s">
        <v>263</v>
      </c>
      <c r="R473" s="58" t="s">
        <v>918</v>
      </c>
      <c r="S473" s="58" t="s">
        <v>263</v>
      </c>
      <c r="T473" s="66">
        <v>0</v>
      </c>
      <c r="U473" s="65"/>
      <c r="V473" s="65"/>
      <c r="W473" s="58" t="s">
        <v>263</v>
      </c>
      <c r="X473" s="59">
        <v>0</v>
      </c>
      <c r="Y473" s="60" t="s">
        <v>263</v>
      </c>
      <c r="Z473" s="66">
        <v>0</v>
      </c>
      <c r="AA473" s="65"/>
      <c r="AB473" s="60" t="s">
        <v>263</v>
      </c>
      <c r="AC473" s="59">
        <v>0</v>
      </c>
    </row>
    <row r="474" spans="2:29" x14ac:dyDescent="0.3">
      <c r="B474" s="71" t="s">
        <v>2645</v>
      </c>
      <c r="C474" s="65"/>
      <c r="D474" s="58" t="s">
        <v>263</v>
      </c>
      <c r="E474" s="71" t="s">
        <v>2646</v>
      </c>
      <c r="F474" s="65"/>
      <c r="G474" s="58" t="s">
        <v>263</v>
      </c>
      <c r="H474" s="71" t="s">
        <v>2647</v>
      </c>
      <c r="I474" s="65"/>
      <c r="J474" s="65"/>
      <c r="K474" s="65"/>
      <c r="L474" s="58" t="s">
        <v>263</v>
      </c>
      <c r="M474" s="71" t="s">
        <v>2640</v>
      </c>
      <c r="N474" s="65"/>
      <c r="O474" s="58" t="s">
        <v>263</v>
      </c>
      <c r="P474" s="59">
        <v>115</v>
      </c>
      <c r="Q474" s="58" t="s">
        <v>263</v>
      </c>
      <c r="R474" s="58" t="s">
        <v>918</v>
      </c>
      <c r="S474" s="58" t="s">
        <v>263</v>
      </c>
      <c r="T474" s="66">
        <v>0</v>
      </c>
      <c r="U474" s="65"/>
      <c r="V474" s="65"/>
      <c r="W474" s="58" t="s">
        <v>263</v>
      </c>
      <c r="X474" s="59">
        <v>0</v>
      </c>
      <c r="Y474" s="60" t="s">
        <v>263</v>
      </c>
      <c r="Z474" s="66">
        <v>0</v>
      </c>
      <c r="AA474" s="65"/>
      <c r="AB474" s="60" t="s">
        <v>263</v>
      </c>
      <c r="AC474" s="59">
        <v>0</v>
      </c>
    </row>
    <row r="475" spans="2:29" x14ac:dyDescent="0.3">
      <c r="B475" s="71" t="s">
        <v>2648</v>
      </c>
      <c r="C475" s="65"/>
      <c r="D475" s="58" t="s">
        <v>263</v>
      </c>
      <c r="E475" s="71" t="s">
        <v>2649</v>
      </c>
      <c r="F475" s="65"/>
      <c r="G475" s="58" t="s">
        <v>263</v>
      </c>
      <c r="H475" s="71" t="s">
        <v>2650</v>
      </c>
      <c r="I475" s="65"/>
      <c r="J475" s="65"/>
      <c r="K475" s="65"/>
      <c r="L475" s="58" t="s">
        <v>263</v>
      </c>
      <c r="M475" s="71" t="s">
        <v>2651</v>
      </c>
      <c r="N475" s="65"/>
      <c r="O475" s="58" t="s">
        <v>263</v>
      </c>
      <c r="P475" s="59">
        <v>116</v>
      </c>
      <c r="Q475" s="58" t="s">
        <v>263</v>
      </c>
      <c r="R475" s="58" t="s">
        <v>918</v>
      </c>
      <c r="S475" s="58" t="s">
        <v>263</v>
      </c>
      <c r="T475" s="66">
        <v>0</v>
      </c>
      <c r="U475" s="65"/>
      <c r="V475" s="65"/>
      <c r="W475" s="58" t="s">
        <v>263</v>
      </c>
      <c r="X475" s="59">
        <v>0</v>
      </c>
      <c r="Y475" s="60" t="s">
        <v>263</v>
      </c>
      <c r="Z475" s="66">
        <v>0</v>
      </c>
      <c r="AA475" s="65"/>
      <c r="AB475" s="60" t="s">
        <v>263</v>
      </c>
      <c r="AC475" s="59">
        <v>0</v>
      </c>
    </row>
    <row r="476" spans="2:29" x14ac:dyDescent="0.3">
      <c r="B476" s="71" t="s">
        <v>2652</v>
      </c>
      <c r="C476" s="65"/>
      <c r="D476" s="58" t="s">
        <v>263</v>
      </c>
      <c r="E476" s="71" t="s">
        <v>2653</v>
      </c>
      <c r="F476" s="65"/>
      <c r="G476" s="58" t="s">
        <v>263</v>
      </c>
      <c r="H476" s="71" t="s">
        <v>2654</v>
      </c>
      <c r="I476" s="65"/>
      <c r="J476" s="65"/>
      <c r="K476" s="65"/>
      <c r="L476" s="58" t="s">
        <v>263</v>
      </c>
      <c r="M476" s="71" t="s">
        <v>2651</v>
      </c>
      <c r="N476" s="65"/>
      <c r="O476" s="58" t="s">
        <v>263</v>
      </c>
      <c r="P476" s="59">
        <v>92</v>
      </c>
      <c r="Q476" s="58" t="s">
        <v>263</v>
      </c>
      <c r="R476" s="58" t="s">
        <v>918</v>
      </c>
      <c r="S476" s="58" t="s">
        <v>263</v>
      </c>
      <c r="T476" s="66">
        <v>0</v>
      </c>
      <c r="U476" s="65"/>
      <c r="V476" s="65"/>
      <c r="W476" s="58" t="s">
        <v>263</v>
      </c>
      <c r="X476" s="59">
        <v>0</v>
      </c>
      <c r="Y476" s="60" t="s">
        <v>263</v>
      </c>
      <c r="Z476" s="66">
        <v>0</v>
      </c>
      <c r="AA476" s="65"/>
      <c r="AB476" s="60" t="s">
        <v>263</v>
      </c>
      <c r="AC476" s="59">
        <v>0</v>
      </c>
    </row>
    <row r="477" spans="2:29" x14ac:dyDescent="0.3">
      <c r="B477" s="71" t="s">
        <v>2655</v>
      </c>
      <c r="C477" s="65"/>
      <c r="D477" s="58" t="s">
        <v>263</v>
      </c>
      <c r="E477" s="71" t="s">
        <v>2656</v>
      </c>
      <c r="F477" s="65"/>
      <c r="G477" s="58" t="s">
        <v>263</v>
      </c>
      <c r="H477" s="71" t="s">
        <v>2657</v>
      </c>
      <c r="I477" s="65"/>
      <c r="J477" s="65"/>
      <c r="K477" s="65"/>
      <c r="L477" s="58" t="s">
        <v>263</v>
      </c>
      <c r="M477" s="71" t="s">
        <v>2658</v>
      </c>
      <c r="N477" s="65"/>
      <c r="O477" s="58" t="s">
        <v>263</v>
      </c>
      <c r="P477" s="59">
        <v>157</v>
      </c>
      <c r="Q477" s="58" t="s">
        <v>263</v>
      </c>
      <c r="R477" s="58" t="s">
        <v>1609</v>
      </c>
      <c r="S477" s="58" t="s">
        <v>263</v>
      </c>
      <c r="T477" s="66">
        <v>0</v>
      </c>
      <c r="U477" s="65"/>
      <c r="V477" s="65"/>
      <c r="W477" s="58" t="s">
        <v>263</v>
      </c>
      <c r="X477" s="59">
        <v>-471</v>
      </c>
      <c r="Y477" s="60" t="s">
        <v>263</v>
      </c>
      <c r="Z477" s="66">
        <v>0</v>
      </c>
      <c r="AA477" s="65"/>
      <c r="AB477" s="60" t="s">
        <v>263</v>
      </c>
      <c r="AC477" s="59">
        <v>0</v>
      </c>
    </row>
    <row r="478" spans="2:29" x14ac:dyDescent="0.3">
      <c r="B478" s="71" t="s">
        <v>2659</v>
      </c>
      <c r="C478" s="65"/>
      <c r="D478" s="58" t="s">
        <v>263</v>
      </c>
      <c r="E478" s="71" t="s">
        <v>2660</v>
      </c>
      <c r="F478" s="65"/>
      <c r="G478" s="58" t="s">
        <v>263</v>
      </c>
      <c r="H478" s="71" t="s">
        <v>2661</v>
      </c>
      <c r="I478" s="65"/>
      <c r="J478" s="65"/>
      <c r="K478" s="65"/>
      <c r="L478" s="58" t="s">
        <v>263</v>
      </c>
      <c r="M478" s="71" t="s">
        <v>2662</v>
      </c>
      <c r="N478" s="65"/>
      <c r="O478" s="58" t="s">
        <v>263</v>
      </c>
      <c r="P478" s="59">
        <v>157</v>
      </c>
      <c r="Q478" s="58" t="s">
        <v>263</v>
      </c>
      <c r="R478" s="58" t="s">
        <v>918</v>
      </c>
      <c r="S478" s="58" t="s">
        <v>263</v>
      </c>
      <c r="T478" s="66">
        <v>0</v>
      </c>
      <c r="U478" s="65"/>
      <c r="V478" s="65"/>
      <c r="W478" s="58" t="s">
        <v>263</v>
      </c>
      <c r="X478" s="59">
        <v>0</v>
      </c>
      <c r="Y478" s="60" t="s">
        <v>263</v>
      </c>
      <c r="Z478" s="66">
        <v>0</v>
      </c>
      <c r="AA478" s="65"/>
      <c r="AB478" s="60" t="s">
        <v>263</v>
      </c>
      <c r="AC478" s="59">
        <v>0</v>
      </c>
    </row>
    <row r="479" spans="2:29" x14ac:dyDescent="0.3">
      <c r="B479" s="71" t="s">
        <v>2663</v>
      </c>
      <c r="C479" s="65"/>
      <c r="D479" s="58" t="s">
        <v>263</v>
      </c>
      <c r="E479" s="71" t="s">
        <v>2664</v>
      </c>
      <c r="F479" s="65"/>
      <c r="G479" s="58" t="s">
        <v>263</v>
      </c>
      <c r="H479" s="71" t="s">
        <v>2665</v>
      </c>
      <c r="I479" s="65"/>
      <c r="J479" s="65"/>
      <c r="K479" s="65"/>
      <c r="L479" s="58" t="s">
        <v>263</v>
      </c>
      <c r="M479" s="71" t="s">
        <v>2629</v>
      </c>
      <c r="N479" s="65"/>
      <c r="O479" s="58" t="s">
        <v>263</v>
      </c>
      <c r="P479" s="59">
        <v>136</v>
      </c>
      <c r="Q479" s="58" t="s">
        <v>263</v>
      </c>
      <c r="R479" s="58" t="s">
        <v>1159</v>
      </c>
      <c r="S479" s="58" t="s">
        <v>263</v>
      </c>
      <c r="T479" s="66">
        <v>0</v>
      </c>
      <c r="U479" s="65"/>
      <c r="V479" s="65"/>
      <c r="W479" s="58" t="s">
        <v>263</v>
      </c>
      <c r="X479" s="59">
        <v>-136</v>
      </c>
      <c r="Y479" s="60" t="s">
        <v>263</v>
      </c>
      <c r="Z479" s="66">
        <v>0</v>
      </c>
      <c r="AA479" s="65"/>
      <c r="AB479" s="60" t="s">
        <v>263</v>
      </c>
      <c r="AC479" s="59">
        <v>0</v>
      </c>
    </row>
    <row r="480" spans="2:29" x14ac:dyDescent="0.3">
      <c r="B480" s="71" t="s">
        <v>2666</v>
      </c>
      <c r="C480" s="65"/>
      <c r="D480" s="58" t="s">
        <v>263</v>
      </c>
      <c r="E480" s="71" t="s">
        <v>2667</v>
      </c>
      <c r="F480" s="65"/>
      <c r="G480" s="58" t="s">
        <v>263</v>
      </c>
      <c r="H480" s="71" t="s">
        <v>2668</v>
      </c>
      <c r="I480" s="65"/>
      <c r="J480" s="65"/>
      <c r="K480" s="65"/>
      <c r="L480" s="58" t="s">
        <v>263</v>
      </c>
      <c r="M480" s="71" t="s">
        <v>2662</v>
      </c>
      <c r="N480" s="65"/>
      <c r="O480" s="58" t="s">
        <v>263</v>
      </c>
      <c r="P480" s="59">
        <v>78</v>
      </c>
      <c r="Q480" s="58" t="s">
        <v>263</v>
      </c>
      <c r="R480" s="58" t="s">
        <v>1159</v>
      </c>
      <c r="S480" s="58" t="s">
        <v>263</v>
      </c>
      <c r="T480" s="66">
        <v>0</v>
      </c>
      <c r="U480" s="65"/>
      <c r="V480" s="65"/>
      <c r="W480" s="58" t="s">
        <v>263</v>
      </c>
      <c r="X480" s="59">
        <v>-78</v>
      </c>
      <c r="Y480" s="60" t="s">
        <v>263</v>
      </c>
      <c r="Z480" s="66">
        <v>0</v>
      </c>
      <c r="AA480" s="65"/>
      <c r="AB480" s="60" t="s">
        <v>263</v>
      </c>
      <c r="AC480" s="59">
        <v>0</v>
      </c>
    </row>
    <row r="481" spans="2:29" x14ac:dyDescent="0.3">
      <c r="B481" s="71" t="s">
        <v>2669</v>
      </c>
      <c r="C481" s="65"/>
      <c r="D481" s="58" t="s">
        <v>263</v>
      </c>
      <c r="E481" s="71" t="s">
        <v>2670</v>
      </c>
      <c r="F481" s="65"/>
      <c r="G481" s="58" t="s">
        <v>263</v>
      </c>
      <c r="H481" s="71" t="s">
        <v>2671</v>
      </c>
      <c r="I481" s="65"/>
      <c r="J481" s="65"/>
      <c r="K481" s="65"/>
      <c r="L481" s="58" t="s">
        <v>263</v>
      </c>
      <c r="M481" s="71" t="s">
        <v>2672</v>
      </c>
      <c r="N481" s="65"/>
      <c r="O481" s="58" t="s">
        <v>263</v>
      </c>
      <c r="P481" s="59">
        <v>101</v>
      </c>
      <c r="Q481" s="58" t="s">
        <v>263</v>
      </c>
      <c r="R481" s="58" t="s">
        <v>918</v>
      </c>
      <c r="S481" s="58" t="s">
        <v>263</v>
      </c>
      <c r="T481" s="66">
        <v>0</v>
      </c>
      <c r="U481" s="65"/>
      <c r="V481" s="65"/>
      <c r="W481" s="58" t="s">
        <v>263</v>
      </c>
      <c r="X481" s="59">
        <v>0</v>
      </c>
      <c r="Y481" s="60" t="s">
        <v>263</v>
      </c>
      <c r="Z481" s="66">
        <v>0</v>
      </c>
      <c r="AA481" s="65"/>
      <c r="AB481" s="60" t="s">
        <v>263</v>
      </c>
      <c r="AC481" s="59">
        <v>0</v>
      </c>
    </row>
    <row r="482" spans="2:29" x14ac:dyDescent="0.3">
      <c r="B482" s="71" t="s">
        <v>2673</v>
      </c>
      <c r="C482" s="65"/>
      <c r="D482" s="58" t="s">
        <v>263</v>
      </c>
      <c r="E482" s="71" t="s">
        <v>2674</v>
      </c>
      <c r="F482" s="65"/>
      <c r="G482" s="58" t="s">
        <v>263</v>
      </c>
      <c r="H482" s="71" t="s">
        <v>2675</v>
      </c>
      <c r="I482" s="65"/>
      <c r="J482" s="65"/>
      <c r="K482" s="65"/>
      <c r="L482" s="58" t="s">
        <v>263</v>
      </c>
      <c r="M482" s="71" t="s">
        <v>2106</v>
      </c>
      <c r="N482" s="65"/>
      <c r="O482" s="58" t="s">
        <v>263</v>
      </c>
      <c r="P482" s="59">
        <v>98</v>
      </c>
      <c r="Q482" s="58" t="s">
        <v>263</v>
      </c>
      <c r="R482" s="58" t="s">
        <v>1159</v>
      </c>
      <c r="S482" s="58" t="s">
        <v>263</v>
      </c>
      <c r="T482" s="66">
        <v>0</v>
      </c>
      <c r="U482" s="65"/>
      <c r="V482" s="65"/>
      <c r="W482" s="58" t="s">
        <v>263</v>
      </c>
      <c r="X482" s="59">
        <v>-98</v>
      </c>
      <c r="Y482" s="60" t="s">
        <v>263</v>
      </c>
      <c r="Z482" s="66">
        <v>0</v>
      </c>
      <c r="AA482" s="65"/>
      <c r="AB482" s="60" t="s">
        <v>263</v>
      </c>
      <c r="AC482" s="59">
        <v>0</v>
      </c>
    </row>
    <row r="483" spans="2:29" x14ac:dyDescent="0.3">
      <c r="B483" s="71" t="s">
        <v>2676</v>
      </c>
      <c r="C483" s="65"/>
      <c r="D483" s="58" t="s">
        <v>263</v>
      </c>
      <c r="E483" s="71" t="s">
        <v>2677</v>
      </c>
      <c r="F483" s="65"/>
      <c r="G483" s="58" t="s">
        <v>263</v>
      </c>
      <c r="H483" s="71" t="s">
        <v>2678</v>
      </c>
      <c r="I483" s="65"/>
      <c r="J483" s="65"/>
      <c r="K483" s="65"/>
      <c r="L483" s="58" t="s">
        <v>263</v>
      </c>
      <c r="M483" s="71" t="s">
        <v>2679</v>
      </c>
      <c r="N483" s="65"/>
      <c r="O483" s="58" t="s">
        <v>263</v>
      </c>
      <c r="P483" s="59">
        <v>78</v>
      </c>
      <c r="Q483" s="58" t="s">
        <v>263</v>
      </c>
      <c r="R483" s="58" t="s">
        <v>1159</v>
      </c>
      <c r="S483" s="58" t="s">
        <v>263</v>
      </c>
      <c r="T483" s="66">
        <v>0</v>
      </c>
      <c r="U483" s="65"/>
      <c r="V483" s="65"/>
      <c r="W483" s="58" t="s">
        <v>263</v>
      </c>
      <c r="X483" s="59">
        <v>-78</v>
      </c>
      <c r="Y483" s="60" t="s">
        <v>263</v>
      </c>
      <c r="Z483" s="66">
        <v>0</v>
      </c>
      <c r="AA483" s="65"/>
      <c r="AB483" s="60" t="s">
        <v>263</v>
      </c>
      <c r="AC483" s="59">
        <v>0</v>
      </c>
    </row>
    <row r="484" spans="2:29" x14ac:dyDescent="0.3">
      <c r="B484" s="71" t="s">
        <v>2680</v>
      </c>
      <c r="C484" s="65"/>
      <c r="D484" s="58" t="s">
        <v>263</v>
      </c>
      <c r="E484" s="71" t="s">
        <v>2681</v>
      </c>
      <c r="F484" s="65"/>
      <c r="G484" s="58" t="s">
        <v>263</v>
      </c>
      <c r="H484" s="71" t="s">
        <v>2682</v>
      </c>
      <c r="I484" s="65"/>
      <c r="J484" s="65"/>
      <c r="K484" s="65"/>
      <c r="L484" s="58" t="s">
        <v>263</v>
      </c>
      <c r="M484" s="71" t="s">
        <v>2683</v>
      </c>
      <c r="N484" s="65"/>
      <c r="O484" s="58" t="s">
        <v>263</v>
      </c>
      <c r="P484" s="59">
        <v>154</v>
      </c>
      <c r="Q484" s="58" t="s">
        <v>263</v>
      </c>
      <c r="R484" s="58" t="s">
        <v>918</v>
      </c>
      <c r="S484" s="58" t="s">
        <v>263</v>
      </c>
      <c r="T484" s="66">
        <v>0</v>
      </c>
      <c r="U484" s="65"/>
      <c r="V484" s="65"/>
      <c r="W484" s="58" t="s">
        <v>263</v>
      </c>
      <c r="X484" s="59">
        <v>0</v>
      </c>
      <c r="Y484" s="60" t="s">
        <v>263</v>
      </c>
      <c r="Z484" s="66">
        <v>0</v>
      </c>
      <c r="AA484" s="65"/>
      <c r="AB484" s="60" t="s">
        <v>263</v>
      </c>
      <c r="AC484" s="59">
        <v>0</v>
      </c>
    </row>
    <row r="485" spans="2:29" x14ac:dyDescent="0.3">
      <c r="B485" s="71" t="s">
        <v>2684</v>
      </c>
      <c r="C485" s="65"/>
      <c r="D485" s="58" t="s">
        <v>263</v>
      </c>
      <c r="E485" s="71" t="s">
        <v>2685</v>
      </c>
      <c r="F485" s="65"/>
      <c r="G485" s="58" t="s">
        <v>263</v>
      </c>
      <c r="H485" s="71" t="s">
        <v>2686</v>
      </c>
      <c r="I485" s="65"/>
      <c r="J485" s="65"/>
      <c r="K485" s="65"/>
      <c r="L485" s="58" t="s">
        <v>263</v>
      </c>
      <c r="M485" s="71" t="s">
        <v>789</v>
      </c>
      <c r="N485" s="65"/>
      <c r="O485" s="58" t="s">
        <v>263</v>
      </c>
      <c r="P485" s="59">
        <v>78</v>
      </c>
      <c r="Q485" s="58" t="s">
        <v>263</v>
      </c>
      <c r="R485" s="58" t="s">
        <v>918</v>
      </c>
      <c r="S485" s="58" t="s">
        <v>263</v>
      </c>
      <c r="T485" s="66">
        <v>0</v>
      </c>
      <c r="U485" s="65"/>
      <c r="V485" s="65"/>
      <c r="W485" s="58" t="s">
        <v>263</v>
      </c>
      <c r="X485" s="59">
        <v>0</v>
      </c>
      <c r="Y485" s="60" t="s">
        <v>263</v>
      </c>
      <c r="Z485" s="66">
        <v>0</v>
      </c>
      <c r="AA485" s="65"/>
      <c r="AB485" s="60" t="s">
        <v>263</v>
      </c>
      <c r="AC485" s="59">
        <v>0</v>
      </c>
    </row>
    <row r="486" spans="2:29" x14ac:dyDescent="0.3">
      <c r="B486" s="71" t="s">
        <v>2687</v>
      </c>
      <c r="C486" s="65"/>
      <c r="D486" s="58" t="s">
        <v>263</v>
      </c>
      <c r="E486" s="71" t="s">
        <v>2688</v>
      </c>
      <c r="F486" s="65"/>
      <c r="G486" s="58" t="s">
        <v>263</v>
      </c>
      <c r="H486" s="71" t="s">
        <v>2689</v>
      </c>
      <c r="I486" s="65"/>
      <c r="J486" s="65"/>
      <c r="K486" s="65"/>
      <c r="L486" s="58" t="s">
        <v>263</v>
      </c>
      <c r="M486" s="71" t="s">
        <v>2690</v>
      </c>
      <c r="N486" s="65"/>
      <c r="O486" s="58" t="s">
        <v>263</v>
      </c>
      <c r="P486" s="59">
        <v>130</v>
      </c>
      <c r="Q486" s="58" t="s">
        <v>263</v>
      </c>
      <c r="R486" s="58" t="s">
        <v>918</v>
      </c>
      <c r="S486" s="58" t="s">
        <v>263</v>
      </c>
      <c r="T486" s="66">
        <v>0</v>
      </c>
      <c r="U486" s="65"/>
      <c r="V486" s="65"/>
      <c r="W486" s="58" t="s">
        <v>263</v>
      </c>
      <c r="X486" s="59">
        <v>0</v>
      </c>
      <c r="Y486" s="60" t="s">
        <v>263</v>
      </c>
      <c r="Z486" s="66">
        <v>0</v>
      </c>
      <c r="AA486" s="65"/>
      <c r="AB486" s="60" t="s">
        <v>263</v>
      </c>
      <c r="AC486" s="59">
        <v>0</v>
      </c>
    </row>
    <row r="487" spans="2:29" x14ac:dyDescent="0.3">
      <c r="B487" s="71" t="s">
        <v>2691</v>
      </c>
      <c r="C487" s="65"/>
      <c r="D487" s="58" t="s">
        <v>263</v>
      </c>
      <c r="E487" s="71" t="s">
        <v>2692</v>
      </c>
      <c r="F487" s="65"/>
      <c r="G487" s="58" t="s">
        <v>263</v>
      </c>
      <c r="H487" s="71" t="s">
        <v>2693</v>
      </c>
      <c r="I487" s="65"/>
      <c r="J487" s="65"/>
      <c r="K487" s="65"/>
      <c r="L487" s="58" t="s">
        <v>263</v>
      </c>
      <c r="M487" s="71" t="s">
        <v>2694</v>
      </c>
      <c r="N487" s="65"/>
      <c r="O487" s="58" t="s">
        <v>263</v>
      </c>
      <c r="P487" s="59">
        <v>72</v>
      </c>
      <c r="Q487" s="58" t="s">
        <v>263</v>
      </c>
      <c r="R487" s="58" t="s">
        <v>918</v>
      </c>
      <c r="S487" s="58" t="s">
        <v>263</v>
      </c>
      <c r="T487" s="66">
        <v>0</v>
      </c>
      <c r="U487" s="65"/>
      <c r="V487" s="65"/>
      <c r="W487" s="58" t="s">
        <v>263</v>
      </c>
      <c r="X487" s="59">
        <v>0</v>
      </c>
      <c r="Y487" s="60" t="s">
        <v>263</v>
      </c>
      <c r="Z487" s="66">
        <v>0</v>
      </c>
      <c r="AA487" s="65"/>
      <c r="AB487" s="60" t="s">
        <v>263</v>
      </c>
      <c r="AC487" s="59">
        <v>0</v>
      </c>
    </row>
    <row r="488" spans="2:29" x14ac:dyDescent="0.3">
      <c r="B488" s="71" t="s">
        <v>2695</v>
      </c>
      <c r="C488" s="65"/>
      <c r="D488" s="58" t="s">
        <v>263</v>
      </c>
      <c r="E488" s="71" t="s">
        <v>2696</v>
      </c>
      <c r="F488" s="65"/>
      <c r="G488" s="58" t="s">
        <v>263</v>
      </c>
      <c r="H488" s="71" t="s">
        <v>2697</v>
      </c>
      <c r="I488" s="65"/>
      <c r="J488" s="65"/>
      <c r="K488" s="65"/>
      <c r="L488" s="58" t="s">
        <v>263</v>
      </c>
      <c r="M488" s="71" t="s">
        <v>2694</v>
      </c>
      <c r="N488" s="65"/>
      <c r="O488" s="58" t="s">
        <v>263</v>
      </c>
      <c r="P488" s="59">
        <v>49</v>
      </c>
      <c r="Q488" s="58" t="s">
        <v>263</v>
      </c>
      <c r="R488" s="58" t="s">
        <v>918</v>
      </c>
      <c r="S488" s="58" t="s">
        <v>263</v>
      </c>
      <c r="T488" s="66">
        <v>0</v>
      </c>
      <c r="U488" s="65"/>
      <c r="V488" s="65"/>
      <c r="W488" s="58" t="s">
        <v>263</v>
      </c>
      <c r="X488" s="59">
        <v>0</v>
      </c>
      <c r="Y488" s="60" t="s">
        <v>263</v>
      </c>
      <c r="Z488" s="66">
        <v>0</v>
      </c>
      <c r="AA488" s="65"/>
      <c r="AB488" s="60" t="s">
        <v>263</v>
      </c>
      <c r="AC488" s="59">
        <v>0</v>
      </c>
    </row>
    <row r="489" spans="2:29" x14ac:dyDescent="0.3">
      <c r="B489" s="71" t="s">
        <v>2698</v>
      </c>
      <c r="C489" s="65"/>
      <c r="D489" s="58" t="s">
        <v>263</v>
      </c>
      <c r="E489" s="71" t="s">
        <v>2699</v>
      </c>
      <c r="F489" s="65"/>
      <c r="G489" s="58" t="s">
        <v>263</v>
      </c>
      <c r="H489" s="71" t="s">
        <v>2700</v>
      </c>
      <c r="I489" s="65"/>
      <c r="J489" s="65"/>
      <c r="K489" s="65"/>
      <c r="L489" s="58" t="s">
        <v>263</v>
      </c>
      <c r="M489" s="71" t="s">
        <v>2679</v>
      </c>
      <c r="N489" s="65"/>
      <c r="O489" s="58" t="s">
        <v>263</v>
      </c>
      <c r="P489" s="59">
        <v>109</v>
      </c>
      <c r="Q489" s="58" t="s">
        <v>263</v>
      </c>
      <c r="R489" s="58" t="s">
        <v>918</v>
      </c>
      <c r="S489" s="58" t="s">
        <v>263</v>
      </c>
      <c r="T489" s="66">
        <v>0</v>
      </c>
      <c r="U489" s="65"/>
      <c r="V489" s="65"/>
      <c r="W489" s="58" t="s">
        <v>263</v>
      </c>
      <c r="X489" s="59">
        <v>0</v>
      </c>
      <c r="Y489" s="60" t="s">
        <v>263</v>
      </c>
      <c r="Z489" s="66">
        <v>0</v>
      </c>
      <c r="AA489" s="65"/>
      <c r="AB489" s="60" t="s">
        <v>263</v>
      </c>
      <c r="AC489" s="59">
        <v>0</v>
      </c>
    </row>
    <row r="490" spans="2:29" x14ac:dyDescent="0.3">
      <c r="B490" s="71" t="s">
        <v>2701</v>
      </c>
      <c r="C490" s="65"/>
      <c r="D490" s="58" t="s">
        <v>263</v>
      </c>
      <c r="E490" s="71" t="s">
        <v>2702</v>
      </c>
      <c r="F490" s="65"/>
      <c r="G490" s="58" t="s">
        <v>263</v>
      </c>
      <c r="H490" s="71" t="s">
        <v>2703</v>
      </c>
      <c r="I490" s="65"/>
      <c r="J490" s="65"/>
      <c r="K490" s="65"/>
      <c r="L490" s="58" t="s">
        <v>263</v>
      </c>
      <c r="M490" s="71" t="s">
        <v>2146</v>
      </c>
      <c r="N490" s="65"/>
      <c r="O490" s="58" t="s">
        <v>263</v>
      </c>
      <c r="P490" s="59">
        <v>86</v>
      </c>
      <c r="Q490" s="58" t="s">
        <v>263</v>
      </c>
      <c r="R490" s="58" t="s">
        <v>918</v>
      </c>
      <c r="S490" s="58" t="s">
        <v>263</v>
      </c>
      <c r="T490" s="66">
        <v>0</v>
      </c>
      <c r="U490" s="65"/>
      <c r="V490" s="65"/>
      <c r="W490" s="58" t="s">
        <v>263</v>
      </c>
      <c r="X490" s="59">
        <v>0</v>
      </c>
      <c r="Y490" s="60" t="s">
        <v>263</v>
      </c>
      <c r="Z490" s="66">
        <v>0</v>
      </c>
      <c r="AA490" s="65"/>
      <c r="AB490" s="60" t="s">
        <v>263</v>
      </c>
      <c r="AC490" s="59">
        <v>0</v>
      </c>
    </row>
    <row r="491" spans="2:29" x14ac:dyDescent="0.3">
      <c r="B491" s="71" t="s">
        <v>2704</v>
      </c>
      <c r="C491" s="65"/>
      <c r="D491" s="58" t="s">
        <v>263</v>
      </c>
      <c r="E491" s="71" t="s">
        <v>2705</v>
      </c>
      <c r="F491" s="65"/>
      <c r="G491" s="58" t="s">
        <v>263</v>
      </c>
      <c r="H491" s="71" t="s">
        <v>2706</v>
      </c>
      <c r="I491" s="65"/>
      <c r="J491" s="65"/>
      <c r="K491" s="65"/>
      <c r="L491" s="58" t="s">
        <v>263</v>
      </c>
      <c r="M491" s="71" t="s">
        <v>2707</v>
      </c>
      <c r="N491" s="65"/>
      <c r="O491" s="58" t="s">
        <v>263</v>
      </c>
      <c r="P491" s="59">
        <v>70</v>
      </c>
      <c r="Q491" s="58" t="s">
        <v>263</v>
      </c>
      <c r="R491" s="58" t="s">
        <v>918</v>
      </c>
      <c r="S491" s="58" t="s">
        <v>263</v>
      </c>
      <c r="T491" s="66">
        <v>0</v>
      </c>
      <c r="U491" s="65"/>
      <c r="V491" s="65"/>
      <c r="W491" s="58" t="s">
        <v>263</v>
      </c>
      <c r="X491" s="59">
        <v>0</v>
      </c>
      <c r="Y491" s="60" t="s">
        <v>263</v>
      </c>
      <c r="Z491" s="66">
        <v>0</v>
      </c>
      <c r="AA491" s="65"/>
      <c r="AB491" s="60" t="s">
        <v>263</v>
      </c>
      <c r="AC491" s="59">
        <v>0</v>
      </c>
    </row>
    <row r="492" spans="2:29" x14ac:dyDescent="0.3">
      <c r="B492" s="71" t="s">
        <v>2708</v>
      </c>
      <c r="C492" s="65"/>
      <c r="D492" s="58" t="s">
        <v>263</v>
      </c>
      <c r="E492" s="71" t="s">
        <v>2709</v>
      </c>
      <c r="F492" s="65"/>
      <c r="G492" s="58" t="s">
        <v>263</v>
      </c>
      <c r="H492" s="71" t="s">
        <v>2710</v>
      </c>
      <c r="I492" s="65"/>
      <c r="J492" s="65"/>
      <c r="K492" s="65"/>
      <c r="L492" s="58" t="s">
        <v>263</v>
      </c>
      <c r="M492" s="71" t="s">
        <v>2146</v>
      </c>
      <c r="N492" s="65"/>
      <c r="O492" s="58" t="s">
        <v>263</v>
      </c>
      <c r="P492" s="59">
        <v>79</v>
      </c>
      <c r="Q492" s="58" t="s">
        <v>263</v>
      </c>
      <c r="R492" s="58" t="s">
        <v>918</v>
      </c>
      <c r="S492" s="58" t="s">
        <v>263</v>
      </c>
      <c r="T492" s="66">
        <v>0</v>
      </c>
      <c r="U492" s="65"/>
      <c r="V492" s="65"/>
      <c r="W492" s="58" t="s">
        <v>263</v>
      </c>
      <c r="X492" s="59">
        <v>0</v>
      </c>
      <c r="Y492" s="60" t="s">
        <v>263</v>
      </c>
      <c r="Z492" s="66">
        <v>0</v>
      </c>
      <c r="AA492" s="65"/>
      <c r="AB492" s="60" t="s">
        <v>263</v>
      </c>
      <c r="AC492" s="59">
        <v>0</v>
      </c>
    </row>
    <row r="493" spans="2:29" x14ac:dyDescent="0.3">
      <c r="B493" s="71" t="s">
        <v>2711</v>
      </c>
      <c r="C493" s="65"/>
      <c r="D493" s="58" t="s">
        <v>263</v>
      </c>
      <c r="E493" s="71" t="s">
        <v>2712</v>
      </c>
      <c r="F493" s="65"/>
      <c r="G493" s="58" t="s">
        <v>263</v>
      </c>
      <c r="H493" s="71" t="s">
        <v>2713</v>
      </c>
      <c r="I493" s="65"/>
      <c r="J493" s="65"/>
      <c r="K493" s="65"/>
      <c r="L493" s="58" t="s">
        <v>263</v>
      </c>
      <c r="M493" s="71" t="s">
        <v>2146</v>
      </c>
      <c r="N493" s="65"/>
      <c r="O493" s="58" t="s">
        <v>263</v>
      </c>
      <c r="P493" s="59">
        <v>103</v>
      </c>
      <c r="Q493" s="58" t="s">
        <v>263</v>
      </c>
      <c r="R493" s="58" t="s">
        <v>918</v>
      </c>
      <c r="S493" s="58" t="s">
        <v>263</v>
      </c>
      <c r="T493" s="66">
        <v>0</v>
      </c>
      <c r="U493" s="65"/>
      <c r="V493" s="65"/>
      <c r="W493" s="58" t="s">
        <v>263</v>
      </c>
      <c r="X493" s="59">
        <v>0</v>
      </c>
      <c r="Y493" s="60" t="s">
        <v>263</v>
      </c>
      <c r="Z493" s="66">
        <v>0</v>
      </c>
      <c r="AA493" s="65"/>
      <c r="AB493" s="60" t="s">
        <v>263</v>
      </c>
      <c r="AC493" s="59">
        <v>0</v>
      </c>
    </row>
    <row r="494" spans="2:29" x14ac:dyDescent="0.3">
      <c r="B494" s="71" t="s">
        <v>2714</v>
      </c>
      <c r="C494" s="65"/>
      <c r="D494" s="58" t="s">
        <v>263</v>
      </c>
      <c r="E494" s="71" t="s">
        <v>2715</v>
      </c>
      <c r="F494" s="65"/>
      <c r="G494" s="58" t="s">
        <v>263</v>
      </c>
      <c r="H494" s="71" t="s">
        <v>2716</v>
      </c>
      <c r="I494" s="65"/>
      <c r="J494" s="65"/>
      <c r="K494" s="65"/>
      <c r="L494" s="58" t="s">
        <v>263</v>
      </c>
      <c r="M494" s="71" t="s">
        <v>621</v>
      </c>
      <c r="N494" s="65"/>
      <c r="O494" s="58" t="s">
        <v>263</v>
      </c>
      <c r="P494" s="59">
        <v>157</v>
      </c>
      <c r="Q494" s="58" t="s">
        <v>263</v>
      </c>
      <c r="R494" s="58" t="s">
        <v>1609</v>
      </c>
      <c r="S494" s="58" t="s">
        <v>263</v>
      </c>
      <c r="T494" s="66">
        <v>0</v>
      </c>
      <c r="U494" s="65"/>
      <c r="V494" s="65"/>
      <c r="W494" s="58" t="s">
        <v>263</v>
      </c>
      <c r="X494" s="59">
        <v>-429.13</v>
      </c>
      <c r="Y494" s="60" t="s">
        <v>263</v>
      </c>
      <c r="Z494" s="66">
        <v>0</v>
      </c>
      <c r="AA494" s="65"/>
      <c r="AB494" s="60" t="s">
        <v>263</v>
      </c>
      <c r="AC494" s="59">
        <v>0</v>
      </c>
    </row>
    <row r="495" spans="2:29" x14ac:dyDescent="0.3">
      <c r="B495" s="71" t="s">
        <v>2717</v>
      </c>
      <c r="C495" s="65"/>
      <c r="D495" s="58" t="s">
        <v>263</v>
      </c>
      <c r="E495" s="71" t="s">
        <v>2718</v>
      </c>
      <c r="F495" s="65"/>
      <c r="G495" s="58" t="s">
        <v>263</v>
      </c>
      <c r="H495" s="71" t="s">
        <v>2719</v>
      </c>
      <c r="I495" s="65"/>
      <c r="J495" s="65"/>
      <c r="K495" s="65"/>
      <c r="L495" s="58" t="s">
        <v>263</v>
      </c>
      <c r="M495" s="71" t="s">
        <v>656</v>
      </c>
      <c r="N495" s="65"/>
      <c r="O495" s="58" t="s">
        <v>263</v>
      </c>
      <c r="P495" s="59">
        <v>168</v>
      </c>
      <c r="Q495" s="58" t="s">
        <v>263</v>
      </c>
      <c r="R495" s="58" t="s">
        <v>918</v>
      </c>
      <c r="S495" s="58" t="s">
        <v>263</v>
      </c>
      <c r="T495" s="66">
        <v>0</v>
      </c>
      <c r="U495" s="65"/>
      <c r="V495" s="65"/>
      <c r="W495" s="58" t="s">
        <v>263</v>
      </c>
      <c r="X495" s="59">
        <v>0</v>
      </c>
      <c r="Y495" s="60" t="s">
        <v>263</v>
      </c>
      <c r="Z495" s="66">
        <v>0</v>
      </c>
      <c r="AA495" s="65"/>
      <c r="AB495" s="60" t="s">
        <v>263</v>
      </c>
      <c r="AC495" s="59">
        <v>0</v>
      </c>
    </row>
    <row r="496" spans="2:29" x14ac:dyDescent="0.3">
      <c r="B496" s="71" t="s">
        <v>2720</v>
      </c>
      <c r="C496" s="65"/>
      <c r="D496" s="58" t="s">
        <v>263</v>
      </c>
      <c r="E496" s="71" t="s">
        <v>2721</v>
      </c>
      <c r="F496" s="65"/>
      <c r="G496" s="58" t="s">
        <v>263</v>
      </c>
      <c r="H496" s="71" t="s">
        <v>2722</v>
      </c>
      <c r="I496" s="65"/>
      <c r="J496" s="65"/>
      <c r="K496" s="65"/>
      <c r="L496" s="58" t="s">
        <v>263</v>
      </c>
      <c r="M496" s="71" t="s">
        <v>2723</v>
      </c>
      <c r="N496" s="65"/>
      <c r="O496" s="58" t="s">
        <v>263</v>
      </c>
      <c r="P496" s="59">
        <v>132</v>
      </c>
      <c r="Q496" s="58" t="s">
        <v>263</v>
      </c>
      <c r="R496" s="58" t="s">
        <v>918</v>
      </c>
      <c r="S496" s="58" t="s">
        <v>263</v>
      </c>
      <c r="T496" s="66">
        <v>0</v>
      </c>
      <c r="U496" s="65"/>
      <c r="V496" s="65"/>
      <c r="W496" s="58" t="s">
        <v>263</v>
      </c>
      <c r="X496" s="59">
        <v>0</v>
      </c>
      <c r="Y496" s="60" t="s">
        <v>263</v>
      </c>
      <c r="Z496" s="66">
        <v>0</v>
      </c>
      <c r="AA496" s="65"/>
      <c r="AB496" s="60" t="s">
        <v>263</v>
      </c>
      <c r="AC496" s="59">
        <v>0</v>
      </c>
    </row>
    <row r="497" spans="2:29" x14ac:dyDescent="0.3">
      <c r="B497" s="71" t="s">
        <v>2724</v>
      </c>
      <c r="C497" s="65"/>
      <c r="D497" s="58" t="s">
        <v>263</v>
      </c>
      <c r="E497" s="71" t="s">
        <v>2725</v>
      </c>
      <c r="F497" s="65"/>
      <c r="G497" s="58" t="s">
        <v>263</v>
      </c>
      <c r="H497" s="71" t="s">
        <v>2726</v>
      </c>
      <c r="I497" s="65"/>
      <c r="J497" s="65"/>
      <c r="K497" s="65"/>
      <c r="L497" s="58" t="s">
        <v>263</v>
      </c>
      <c r="M497" s="71" t="s">
        <v>2727</v>
      </c>
      <c r="N497" s="65"/>
      <c r="O497" s="58" t="s">
        <v>263</v>
      </c>
      <c r="P497" s="59">
        <v>210</v>
      </c>
      <c r="Q497" s="58" t="s">
        <v>263</v>
      </c>
      <c r="R497" s="58" t="s">
        <v>918</v>
      </c>
      <c r="S497" s="58" t="s">
        <v>263</v>
      </c>
      <c r="T497" s="66">
        <v>0</v>
      </c>
      <c r="U497" s="65"/>
      <c r="V497" s="65"/>
      <c r="W497" s="58" t="s">
        <v>263</v>
      </c>
      <c r="X497" s="59">
        <v>0</v>
      </c>
      <c r="Y497" s="60" t="s">
        <v>263</v>
      </c>
      <c r="Z497" s="66">
        <v>0</v>
      </c>
      <c r="AA497" s="65"/>
      <c r="AB497" s="60" t="s">
        <v>263</v>
      </c>
      <c r="AC497" s="59">
        <v>0</v>
      </c>
    </row>
    <row r="498" spans="2:29" x14ac:dyDescent="0.3">
      <c r="B498" s="71" t="s">
        <v>2728</v>
      </c>
      <c r="C498" s="65"/>
      <c r="D498" s="58" t="s">
        <v>263</v>
      </c>
      <c r="E498" s="71" t="s">
        <v>2729</v>
      </c>
      <c r="F498" s="65"/>
      <c r="G498" s="58" t="s">
        <v>263</v>
      </c>
      <c r="H498" s="71" t="s">
        <v>2730</v>
      </c>
      <c r="I498" s="65"/>
      <c r="J498" s="65"/>
      <c r="K498" s="65"/>
      <c r="L498" s="58" t="s">
        <v>263</v>
      </c>
      <c r="M498" s="71" t="s">
        <v>2727</v>
      </c>
      <c r="N498" s="65"/>
      <c r="O498" s="58" t="s">
        <v>263</v>
      </c>
      <c r="P498" s="59">
        <v>83</v>
      </c>
      <c r="Q498" s="58" t="s">
        <v>263</v>
      </c>
      <c r="R498" s="58" t="s">
        <v>918</v>
      </c>
      <c r="S498" s="58" t="s">
        <v>263</v>
      </c>
      <c r="T498" s="66">
        <v>0</v>
      </c>
      <c r="U498" s="65"/>
      <c r="V498" s="65"/>
      <c r="W498" s="58" t="s">
        <v>263</v>
      </c>
      <c r="X498" s="59">
        <v>0</v>
      </c>
      <c r="Y498" s="60" t="s">
        <v>263</v>
      </c>
      <c r="Z498" s="66">
        <v>0</v>
      </c>
      <c r="AA498" s="65"/>
      <c r="AB498" s="60" t="s">
        <v>263</v>
      </c>
      <c r="AC498" s="59">
        <v>0</v>
      </c>
    </row>
    <row r="499" spans="2:29" x14ac:dyDescent="0.3">
      <c r="B499" s="71" t="s">
        <v>2731</v>
      </c>
      <c r="C499" s="65"/>
      <c r="D499" s="58" t="s">
        <v>263</v>
      </c>
      <c r="E499" s="71" t="s">
        <v>2732</v>
      </c>
      <c r="F499" s="65"/>
      <c r="G499" s="58" t="s">
        <v>263</v>
      </c>
      <c r="H499" s="71" t="s">
        <v>2733</v>
      </c>
      <c r="I499" s="65"/>
      <c r="J499" s="65"/>
      <c r="K499" s="65"/>
      <c r="L499" s="58" t="s">
        <v>263</v>
      </c>
      <c r="M499" s="71" t="s">
        <v>2734</v>
      </c>
      <c r="N499" s="65"/>
      <c r="O499" s="58" t="s">
        <v>263</v>
      </c>
      <c r="P499" s="59">
        <v>76</v>
      </c>
      <c r="Q499" s="58" t="s">
        <v>263</v>
      </c>
      <c r="R499" s="58" t="s">
        <v>918</v>
      </c>
      <c r="S499" s="58" t="s">
        <v>263</v>
      </c>
      <c r="T499" s="66">
        <v>0</v>
      </c>
      <c r="U499" s="65"/>
      <c r="V499" s="65"/>
      <c r="W499" s="58" t="s">
        <v>263</v>
      </c>
      <c r="X499" s="59">
        <v>0</v>
      </c>
      <c r="Y499" s="60" t="s">
        <v>263</v>
      </c>
      <c r="Z499" s="66">
        <v>0</v>
      </c>
      <c r="AA499" s="65"/>
      <c r="AB499" s="60" t="s">
        <v>263</v>
      </c>
      <c r="AC499" s="59">
        <v>0</v>
      </c>
    </row>
    <row r="500" spans="2:29" x14ac:dyDescent="0.3">
      <c r="B500" s="71" t="s">
        <v>2735</v>
      </c>
      <c r="C500" s="65"/>
      <c r="D500" s="58" t="s">
        <v>263</v>
      </c>
      <c r="E500" s="71" t="s">
        <v>2736</v>
      </c>
      <c r="F500" s="65"/>
      <c r="G500" s="58" t="s">
        <v>263</v>
      </c>
      <c r="H500" s="71" t="s">
        <v>2737</v>
      </c>
      <c r="I500" s="65"/>
      <c r="J500" s="65"/>
      <c r="K500" s="65"/>
      <c r="L500" s="58" t="s">
        <v>263</v>
      </c>
      <c r="M500" s="71" t="s">
        <v>2727</v>
      </c>
      <c r="N500" s="65"/>
      <c r="O500" s="58" t="s">
        <v>263</v>
      </c>
      <c r="P500" s="59">
        <v>130</v>
      </c>
      <c r="Q500" s="58" t="s">
        <v>263</v>
      </c>
      <c r="R500" s="58" t="s">
        <v>918</v>
      </c>
      <c r="S500" s="58" t="s">
        <v>263</v>
      </c>
      <c r="T500" s="66">
        <v>0</v>
      </c>
      <c r="U500" s="65"/>
      <c r="V500" s="65"/>
      <c r="W500" s="58" t="s">
        <v>263</v>
      </c>
      <c r="X500" s="59">
        <v>0</v>
      </c>
      <c r="Y500" s="60" t="s">
        <v>263</v>
      </c>
      <c r="Z500" s="66">
        <v>0</v>
      </c>
      <c r="AA500" s="65"/>
      <c r="AB500" s="60" t="s">
        <v>263</v>
      </c>
      <c r="AC500" s="59">
        <v>0</v>
      </c>
    </row>
    <row r="501" spans="2:29" x14ac:dyDescent="0.3">
      <c r="B501" s="71" t="s">
        <v>2738</v>
      </c>
      <c r="C501" s="65"/>
      <c r="D501" s="58" t="s">
        <v>263</v>
      </c>
      <c r="E501" s="71" t="s">
        <v>2739</v>
      </c>
      <c r="F501" s="65"/>
      <c r="G501" s="58" t="s">
        <v>263</v>
      </c>
      <c r="H501" s="71" t="s">
        <v>2740</v>
      </c>
      <c r="I501" s="65"/>
      <c r="J501" s="65"/>
      <c r="K501" s="65"/>
      <c r="L501" s="58" t="s">
        <v>263</v>
      </c>
      <c r="M501" s="71" t="s">
        <v>2622</v>
      </c>
      <c r="N501" s="65"/>
      <c r="O501" s="58" t="s">
        <v>263</v>
      </c>
      <c r="P501" s="59">
        <v>83</v>
      </c>
      <c r="Q501" s="58" t="s">
        <v>263</v>
      </c>
      <c r="R501" s="58" t="s">
        <v>918</v>
      </c>
      <c r="S501" s="58" t="s">
        <v>263</v>
      </c>
      <c r="T501" s="66">
        <v>0</v>
      </c>
      <c r="U501" s="65"/>
      <c r="V501" s="65"/>
      <c r="W501" s="58" t="s">
        <v>263</v>
      </c>
      <c r="X501" s="59">
        <v>0</v>
      </c>
      <c r="Y501" s="60" t="s">
        <v>263</v>
      </c>
      <c r="Z501" s="66">
        <v>0</v>
      </c>
      <c r="AA501" s="65"/>
      <c r="AB501" s="60" t="s">
        <v>263</v>
      </c>
      <c r="AC501" s="59">
        <v>0</v>
      </c>
    </row>
    <row r="502" spans="2:29" x14ac:dyDescent="0.3">
      <c r="B502" s="71" t="s">
        <v>2741</v>
      </c>
      <c r="C502" s="65"/>
      <c r="D502" s="58" t="s">
        <v>263</v>
      </c>
      <c r="E502" s="71" t="s">
        <v>2742</v>
      </c>
      <c r="F502" s="65"/>
      <c r="G502" s="58" t="s">
        <v>263</v>
      </c>
      <c r="H502" s="71" t="s">
        <v>2743</v>
      </c>
      <c r="I502" s="65"/>
      <c r="J502" s="65"/>
      <c r="K502" s="65"/>
      <c r="L502" s="58" t="s">
        <v>263</v>
      </c>
      <c r="M502" s="71" t="s">
        <v>2744</v>
      </c>
      <c r="N502" s="65"/>
      <c r="O502" s="58" t="s">
        <v>263</v>
      </c>
      <c r="P502" s="59">
        <v>168</v>
      </c>
      <c r="Q502" s="58" t="s">
        <v>263</v>
      </c>
      <c r="R502" s="58" t="s">
        <v>918</v>
      </c>
      <c r="S502" s="58" t="s">
        <v>263</v>
      </c>
      <c r="T502" s="66">
        <v>0</v>
      </c>
      <c r="U502" s="65"/>
      <c r="V502" s="65"/>
      <c r="W502" s="58" t="s">
        <v>263</v>
      </c>
      <c r="X502" s="59">
        <v>0</v>
      </c>
      <c r="Y502" s="60" t="s">
        <v>263</v>
      </c>
      <c r="Z502" s="66">
        <v>0</v>
      </c>
      <c r="AA502" s="65"/>
      <c r="AB502" s="60" t="s">
        <v>263</v>
      </c>
      <c r="AC502" s="59">
        <v>0</v>
      </c>
    </row>
    <row r="503" spans="2:29" x14ac:dyDescent="0.3">
      <c r="B503" s="71" t="s">
        <v>2745</v>
      </c>
      <c r="C503" s="65"/>
      <c r="D503" s="58" t="s">
        <v>263</v>
      </c>
      <c r="E503" s="71" t="s">
        <v>2746</v>
      </c>
      <c r="F503" s="65"/>
      <c r="G503" s="58" t="s">
        <v>263</v>
      </c>
      <c r="H503" s="71" t="s">
        <v>2747</v>
      </c>
      <c r="I503" s="65"/>
      <c r="J503" s="65"/>
      <c r="K503" s="65"/>
      <c r="L503" s="58" t="s">
        <v>263</v>
      </c>
      <c r="M503" s="71" t="s">
        <v>2748</v>
      </c>
      <c r="N503" s="65"/>
      <c r="O503" s="58" t="s">
        <v>263</v>
      </c>
      <c r="P503" s="59">
        <v>83</v>
      </c>
      <c r="Q503" s="58" t="s">
        <v>263</v>
      </c>
      <c r="R503" s="58" t="s">
        <v>918</v>
      </c>
      <c r="S503" s="58" t="s">
        <v>263</v>
      </c>
      <c r="T503" s="66">
        <v>0</v>
      </c>
      <c r="U503" s="65"/>
      <c r="V503" s="65"/>
      <c r="W503" s="58" t="s">
        <v>263</v>
      </c>
      <c r="X503" s="59">
        <v>0</v>
      </c>
      <c r="Y503" s="60" t="s">
        <v>263</v>
      </c>
      <c r="Z503" s="66">
        <v>0</v>
      </c>
      <c r="AA503" s="65"/>
      <c r="AB503" s="60" t="s">
        <v>263</v>
      </c>
      <c r="AC503" s="59">
        <v>0</v>
      </c>
    </row>
    <row r="504" spans="2:29" x14ac:dyDescent="0.3">
      <c r="B504" s="71" t="s">
        <v>2749</v>
      </c>
      <c r="C504" s="65"/>
      <c r="D504" s="58" t="s">
        <v>263</v>
      </c>
      <c r="E504" s="71" t="s">
        <v>2750</v>
      </c>
      <c r="F504" s="65"/>
      <c r="G504" s="58" t="s">
        <v>263</v>
      </c>
      <c r="H504" s="71" t="s">
        <v>2751</v>
      </c>
      <c r="I504" s="65"/>
      <c r="J504" s="65"/>
      <c r="K504" s="65"/>
      <c r="L504" s="58" t="s">
        <v>263</v>
      </c>
      <c r="M504" s="71" t="s">
        <v>2744</v>
      </c>
      <c r="N504" s="65"/>
      <c r="O504" s="58" t="s">
        <v>263</v>
      </c>
      <c r="P504" s="59">
        <v>83</v>
      </c>
      <c r="Q504" s="58" t="s">
        <v>263</v>
      </c>
      <c r="R504" s="58" t="s">
        <v>918</v>
      </c>
      <c r="S504" s="58" t="s">
        <v>263</v>
      </c>
      <c r="T504" s="66">
        <v>0</v>
      </c>
      <c r="U504" s="65"/>
      <c r="V504" s="65"/>
      <c r="W504" s="58" t="s">
        <v>263</v>
      </c>
      <c r="X504" s="59">
        <v>0</v>
      </c>
      <c r="Y504" s="60" t="s">
        <v>263</v>
      </c>
      <c r="Z504" s="66">
        <v>0</v>
      </c>
      <c r="AA504" s="65"/>
      <c r="AB504" s="60" t="s">
        <v>263</v>
      </c>
      <c r="AC504" s="59">
        <v>0</v>
      </c>
    </row>
    <row r="505" spans="2:29" x14ac:dyDescent="0.3">
      <c r="B505" s="71" t="s">
        <v>2752</v>
      </c>
      <c r="C505" s="65"/>
      <c r="D505" s="58" t="s">
        <v>263</v>
      </c>
      <c r="E505" s="71" t="s">
        <v>2753</v>
      </c>
      <c r="F505" s="65"/>
      <c r="G505" s="58" t="s">
        <v>263</v>
      </c>
      <c r="H505" s="71" t="s">
        <v>2754</v>
      </c>
      <c r="I505" s="65"/>
      <c r="J505" s="65"/>
      <c r="K505" s="65"/>
      <c r="L505" s="58" t="s">
        <v>263</v>
      </c>
      <c r="M505" s="71" t="s">
        <v>2755</v>
      </c>
      <c r="N505" s="65"/>
      <c r="O505" s="58" t="s">
        <v>263</v>
      </c>
      <c r="P505" s="59">
        <v>84</v>
      </c>
      <c r="Q505" s="58" t="s">
        <v>263</v>
      </c>
      <c r="R505" s="58" t="s">
        <v>918</v>
      </c>
      <c r="S505" s="58" t="s">
        <v>263</v>
      </c>
      <c r="T505" s="66">
        <v>0</v>
      </c>
      <c r="U505" s="65"/>
      <c r="V505" s="65"/>
      <c r="W505" s="58" t="s">
        <v>263</v>
      </c>
      <c r="X505" s="59">
        <v>0</v>
      </c>
      <c r="Y505" s="60" t="s">
        <v>263</v>
      </c>
      <c r="Z505" s="66">
        <v>0</v>
      </c>
      <c r="AA505" s="65"/>
      <c r="AB505" s="60" t="s">
        <v>263</v>
      </c>
      <c r="AC505" s="59">
        <v>0</v>
      </c>
    </row>
    <row r="506" spans="2:29" x14ac:dyDescent="0.3">
      <c r="B506" s="71" t="s">
        <v>2756</v>
      </c>
      <c r="C506" s="65"/>
      <c r="D506" s="58" t="s">
        <v>263</v>
      </c>
      <c r="E506" s="71" t="s">
        <v>2757</v>
      </c>
      <c r="F506" s="65"/>
      <c r="G506" s="58" t="s">
        <v>263</v>
      </c>
      <c r="H506" s="71" t="s">
        <v>2758</v>
      </c>
      <c r="I506" s="65"/>
      <c r="J506" s="65"/>
      <c r="K506" s="65"/>
      <c r="L506" s="58" t="s">
        <v>263</v>
      </c>
      <c r="M506" s="71" t="s">
        <v>2744</v>
      </c>
      <c r="N506" s="65"/>
      <c r="O506" s="58" t="s">
        <v>263</v>
      </c>
      <c r="P506" s="59">
        <v>85</v>
      </c>
      <c r="Q506" s="58" t="s">
        <v>263</v>
      </c>
      <c r="R506" s="58" t="s">
        <v>918</v>
      </c>
      <c r="S506" s="58" t="s">
        <v>263</v>
      </c>
      <c r="T506" s="66">
        <v>0</v>
      </c>
      <c r="U506" s="65"/>
      <c r="V506" s="65"/>
      <c r="W506" s="58" t="s">
        <v>263</v>
      </c>
      <c r="X506" s="59">
        <v>0</v>
      </c>
      <c r="Y506" s="60" t="s">
        <v>263</v>
      </c>
      <c r="Z506" s="66">
        <v>0</v>
      </c>
      <c r="AA506" s="65"/>
      <c r="AB506" s="60" t="s">
        <v>263</v>
      </c>
      <c r="AC506" s="59">
        <v>0</v>
      </c>
    </row>
    <row r="507" spans="2:29" x14ac:dyDescent="0.3">
      <c r="B507" s="71" t="s">
        <v>2759</v>
      </c>
      <c r="C507" s="65"/>
      <c r="D507" s="58" t="s">
        <v>263</v>
      </c>
      <c r="E507" s="71" t="s">
        <v>2760</v>
      </c>
      <c r="F507" s="65"/>
      <c r="G507" s="58" t="s">
        <v>263</v>
      </c>
      <c r="H507" s="71" t="s">
        <v>2761</v>
      </c>
      <c r="I507" s="65"/>
      <c r="J507" s="65"/>
      <c r="K507" s="65"/>
      <c r="L507" s="58" t="s">
        <v>263</v>
      </c>
      <c r="M507" s="71" t="s">
        <v>2748</v>
      </c>
      <c r="N507" s="65"/>
      <c r="O507" s="58" t="s">
        <v>263</v>
      </c>
      <c r="P507" s="59">
        <v>51</v>
      </c>
      <c r="Q507" s="58" t="s">
        <v>263</v>
      </c>
      <c r="R507" s="58" t="s">
        <v>918</v>
      </c>
      <c r="S507" s="58" t="s">
        <v>263</v>
      </c>
      <c r="T507" s="66">
        <v>0</v>
      </c>
      <c r="U507" s="65"/>
      <c r="V507" s="65"/>
      <c r="W507" s="58" t="s">
        <v>263</v>
      </c>
      <c r="X507" s="59">
        <v>0</v>
      </c>
      <c r="Y507" s="60" t="s">
        <v>263</v>
      </c>
      <c r="Z507" s="66">
        <v>0</v>
      </c>
      <c r="AA507" s="65"/>
      <c r="AB507" s="60" t="s">
        <v>263</v>
      </c>
      <c r="AC507" s="59">
        <v>0</v>
      </c>
    </row>
    <row r="508" spans="2:29" x14ac:dyDescent="0.3">
      <c r="B508" s="71" t="s">
        <v>2762</v>
      </c>
      <c r="C508" s="65"/>
      <c r="D508" s="58" t="s">
        <v>263</v>
      </c>
      <c r="E508" s="71" t="s">
        <v>2763</v>
      </c>
      <c r="F508" s="65"/>
      <c r="G508" s="58" t="s">
        <v>263</v>
      </c>
      <c r="H508" s="71" t="s">
        <v>2764</v>
      </c>
      <c r="I508" s="65"/>
      <c r="J508" s="65"/>
      <c r="K508" s="65"/>
      <c r="L508" s="58" t="s">
        <v>263</v>
      </c>
      <c r="M508" s="71" t="s">
        <v>2748</v>
      </c>
      <c r="N508" s="65"/>
      <c r="O508" s="58" t="s">
        <v>263</v>
      </c>
      <c r="P508" s="59">
        <v>83</v>
      </c>
      <c r="Q508" s="58" t="s">
        <v>263</v>
      </c>
      <c r="R508" s="58" t="s">
        <v>918</v>
      </c>
      <c r="S508" s="58" t="s">
        <v>263</v>
      </c>
      <c r="T508" s="66">
        <v>0</v>
      </c>
      <c r="U508" s="65"/>
      <c r="V508" s="65"/>
      <c r="W508" s="58" t="s">
        <v>263</v>
      </c>
      <c r="X508" s="59">
        <v>0</v>
      </c>
      <c r="Y508" s="60" t="s">
        <v>263</v>
      </c>
      <c r="Z508" s="66">
        <v>0</v>
      </c>
      <c r="AA508" s="65"/>
      <c r="AB508" s="60" t="s">
        <v>263</v>
      </c>
      <c r="AC508" s="59">
        <v>0</v>
      </c>
    </row>
    <row r="509" spans="2:29" x14ac:dyDescent="0.3">
      <c r="B509" s="71" t="s">
        <v>2765</v>
      </c>
      <c r="C509" s="65"/>
      <c r="D509" s="58" t="s">
        <v>263</v>
      </c>
      <c r="E509" s="71" t="s">
        <v>2766</v>
      </c>
      <c r="F509" s="65"/>
      <c r="G509" s="58" t="s">
        <v>263</v>
      </c>
      <c r="H509" s="71" t="s">
        <v>2767</v>
      </c>
      <c r="I509" s="65"/>
      <c r="J509" s="65"/>
      <c r="K509" s="65"/>
      <c r="L509" s="58" t="s">
        <v>263</v>
      </c>
      <c r="M509" s="71" t="s">
        <v>2768</v>
      </c>
      <c r="N509" s="65"/>
      <c r="O509" s="58" t="s">
        <v>263</v>
      </c>
      <c r="P509" s="59">
        <v>76</v>
      </c>
      <c r="Q509" s="58" t="s">
        <v>263</v>
      </c>
      <c r="R509" s="58" t="s">
        <v>918</v>
      </c>
      <c r="S509" s="58" t="s">
        <v>263</v>
      </c>
      <c r="T509" s="66">
        <v>0</v>
      </c>
      <c r="U509" s="65"/>
      <c r="V509" s="65"/>
      <c r="W509" s="58" t="s">
        <v>263</v>
      </c>
      <c r="X509" s="59">
        <v>0</v>
      </c>
      <c r="Y509" s="60" t="s">
        <v>263</v>
      </c>
      <c r="Z509" s="66">
        <v>0</v>
      </c>
      <c r="AA509" s="65"/>
      <c r="AB509" s="60" t="s">
        <v>263</v>
      </c>
      <c r="AC509" s="59">
        <v>0</v>
      </c>
    </row>
    <row r="510" spans="2:29" x14ac:dyDescent="0.3">
      <c r="B510" s="71" t="s">
        <v>2769</v>
      </c>
      <c r="C510" s="65"/>
      <c r="D510" s="58" t="s">
        <v>263</v>
      </c>
      <c r="E510" s="71" t="s">
        <v>2770</v>
      </c>
      <c r="F510" s="65"/>
      <c r="G510" s="58" t="s">
        <v>263</v>
      </c>
      <c r="H510" s="71" t="s">
        <v>2771</v>
      </c>
      <c r="I510" s="65"/>
      <c r="J510" s="65"/>
      <c r="K510" s="65"/>
      <c r="L510" s="58" t="s">
        <v>263</v>
      </c>
      <c r="M510" s="71" t="s">
        <v>2772</v>
      </c>
      <c r="N510" s="65"/>
      <c r="O510" s="58" t="s">
        <v>263</v>
      </c>
      <c r="P510" s="59">
        <v>83</v>
      </c>
      <c r="Q510" s="58" t="s">
        <v>263</v>
      </c>
      <c r="R510" s="58" t="s">
        <v>918</v>
      </c>
      <c r="S510" s="58" t="s">
        <v>263</v>
      </c>
      <c r="T510" s="66">
        <v>0</v>
      </c>
      <c r="U510" s="65"/>
      <c r="V510" s="65"/>
      <c r="W510" s="58" t="s">
        <v>263</v>
      </c>
      <c r="X510" s="59">
        <v>0</v>
      </c>
      <c r="Y510" s="60" t="s">
        <v>263</v>
      </c>
      <c r="Z510" s="66">
        <v>0</v>
      </c>
      <c r="AA510" s="65"/>
      <c r="AB510" s="60" t="s">
        <v>263</v>
      </c>
      <c r="AC510" s="59">
        <v>0</v>
      </c>
    </row>
    <row r="511" spans="2:29" x14ac:dyDescent="0.3">
      <c r="B511" s="71" t="s">
        <v>2773</v>
      </c>
      <c r="C511" s="65"/>
      <c r="D511" s="58" t="s">
        <v>263</v>
      </c>
      <c r="E511" s="71" t="s">
        <v>2774</v>
      </c>
      <c r="F511" s="65"/>
      <c r="G511" s="58" t="s">
        <v>263</v>
      </c>
      <c r="H511" s="71" t="s">
        <v>2775</v>
      </c>
      <c r="I511" s="65"/>
      <c r="J511" s="65"/>
      <c r="K511" s="65"/>
      <c r="L511" s="58" t="s">
        <v>263</v>
      </c>
      <c r="M511" s="71" t="s">
        <v>545</v>
      </c>
      <c r="N511" s="65"/>
      <c r="O511" s="58" t="s">
        <v>263</v>
      </c>
      <c r="P511" s="59">
        <v>84</v>
      </c>
      <c r="Q511" s="58" t="s">
        <v>263</v>
      </c>
      <c r="R511" s="58" t="s">
        <v>918</v>
      </c>
      <c r="S511" s="58" t="s">
        <v>263</v>
      </c>
      <c r="T511" s="66">
        <v>0</v>
      </c>
      <c r="U511" s="65"/>
      <c r="V511" s="65"/>
      <c r="W511" s="58" t="s">
        <v>263</v>
      </c>
      <c r="X511" s="59">
        <v>0</v>
      </c>
      <c r="Y511" s="60" t="s">
        <v>263</v>
      </c>
      <c r="Z511" s="66">
        <v>0</v>
      </c>
      <c r="AA511" s="65"/>
      <c r="AB511" s="60" t="s">
        <v>263</v>
      </c>
      <c r="AC511" s="59">
        <v>0</v>
      </c>
    </row>
    <row r="512" spans="2:29" x14ac:dyDescent="0.3">
      <c r="B512" s="71" t="s">
        <v>2776</v>
      </c>
      <c r="C512" s="65"/>
      <c r="D512" s="58" t="s">
        <v>263</v>
      </c>
      <c r="E512" s="71" t="s">
        <v>2777</v>
      </c>
      <c r="F512" s="65"/>
      <c r="G512" s="58" t="s">
        <v>263</v>
      </c>
      <c r="H512" s="71" t="s">
        <v>2778</v>
      </c>
      <c r="I512" s="65"/>
      <c r="J512" s="65"/>
      <c r="K512" s="65"/>
      <c r="L512" s="58" t="s">
        <v>263</v>
      </c>
      <c r="M512" s="71" t="s">
        <v>2779</v>
      </c>
      <c r="N512" s="65"/>
      <c r="O512" s="58" t="s">
        <v>263</v>
      </c>
      <c r="P512" s="59">
        <v>83</v>
      </c>
      <c r="Q512" s="58" t="s">
        <v>263</v>
      </c>
      <c r="R512" s="58" t="s">
        <v>2780</v>
      </c>
      <c r="S512" s="58" t="s">
        <v>263</v>
      </c>
      <c r="T512" s="66">
        <v>0</v>
      </c>
      <c r="U512" s="65"/>
      <c r="V512" s="65"/>
      <c r="W512" s="58" t="s">
        <v>263</v>
      </c>
      <c r="X512" s="59">
        <v>-332</v>
      </c>
      <c r="Y512" s="60" t="s">
        <v>263</v>
      </c>
      <c r="Z512" s="66">
        <v>0</v>
      </c>
      <c r="AA512" s="65"/>
      <c r="AB512" s="60" t="s">
        <v>263</v>
      </c>
      <c r="AC512" s="59">
        <v>0</v>
      </c>
    </row>
    <row r="513" spans="2:29" x14ac:dyDescent="0.3">
      <c r="B513" s="71" t="s">
        <v>2781</v>
      </c>
      <c r="C513" s="65"/>
      <c r="D513" s="58" t="s">
        <v>263</v>
      </c>
      <c r="E513" s="71" t="s">
        <v>2782</v>
      </c>
      <c r="F513" s="65"/>
      <c r="G513" s="58" t="s">
        <v>263</v>
      </c>
      <c r="H513" s="71" t="s">
        <v>2783</v>
      </c>
      <c r="I513" s="65"/>
      <c r="J513" s="65"/>
      <c r="K513" s="65"/>
      <c r="L513" s="58" t="s">
        <v>263</v>
      </c>
      <c r="M513" s="71" t="s">
        <v>2784</v>
      </c>
      <c r="N513" s="65"/>
      <c r="O513" s="58" t="s">
        <v>263</v>
      </c>
      <c r="P513" s="59">
        <v>83</v>
      </c>
      <c r="Q513" s="58" t="s">
        <v>263</v>
      </c>
      <c r="R513" s="58" t="s">
        <v>918</v>
      </c>
      <c r="S513" s="58" t="s">
        <v>263</v>
      </c>
      <c r="T513" s="66">
        <v>0</v>
      </c>
      <c r="U513" s="65"/>
      <c r="V513" s="65"/>
      <c r="W513" s="58" t="s">
        <v>263</v>
      </c>
      <c r="X513" s="59">
        <v>0</v>
      </c>
      <c r="Y513" s="60" t="s">
        <v>263</v>
      </c>
      <c r="Z513" s="66">
        <v>0</v>
      </c>
      <c r="AA513" s="65"/>
      <c r="AB513" s="60" t="s">
        <v>263</v>
      </c>
      <c r="AC513" s="59">
        <v>0</v>
      </c>
    </row>
    <row r="514" spans="2:29" x14ac:dyDescent="0.3">
      <c r="B514" s="71" t="s">
        <v>2785</v>
      </c>
      <c r="C514" s="65"/>
      <c r="D514" s="58" t="s">
        <v>263</v>
      </c>
      <c r="E514" s="71" t="s">
        <v>2782</v>
      </c>
      <c r="F514" s="65"/>
      <c r="G514" s="58" t="s">
        <v>263</v>
      </c>
      <c r="H514" s="71" t="s">
        <v>2783</v>
      </c>
      <c r="I514" s="65"/>
      <c r="J514" s="65"/>
      <c r="K514" s="65"/>
      <c r="L514" s="58" t="s">
        <v>263</v>
      </c>
      <c r="M514" s="71" t="s">
        <v>664</v>
      </c>
      <c r="N514" s="65"/>
      <c r="O514" s="58" t="s">
        <v>263</v>
      </c>
      <c r="P514" s="59">
        <v>74</v>
      </c>
      <c r="Q514" s="58" t="s">
        <v>263</v>
      </c>
      <c r="R514" s="58" t="s">
        <v>918</v>
      </c>
      <c r="S514" s="58" t="s">
        <v>263</v>
      </c>
      <c r="T514" s="66">
        <v>0</v>
      </c>
      <c r="U514" s="65"/>
      <c r="V514" s="65"/>
      <c r="W514" s="58" t="s">
        <v>263</v>
      </c>
      <c r="X514" s="59">
        <v>0</v>
      </c>
      <c r="Y514" s="60" t="s">
        <v>263</v>
      </c>
      <c r="Z514" s="66">
        <v>0</v>
      </c>
      <c r="AA514" s="65"/>
      <c r="AB514" s="60" t="s">
        <v>263</v>
      </c>
      <c r="AC514" s="59">
        <v>0</v>
      </c>
    </row>
    <row r="515" spans="2:29" x14ac:dyDescent="0.3">
      <c r="B515" s="71" t="s">
        <v>2786</v>
      </c>
      <c r="C515" s="65"/>
      <c r="D515" s="58" t="s">
        <v>263</v>
      </c>
      <c r="E515" s="71" t="s">
        <v>2787</v>
      </c>
      <c r="F515" s="65"/>
      <c r="G515" s="58" t="s">
        <v>263</v>
      </c>
      <c r="H515" s="71" t="s">
        <v>2788</v>
      </c>
      <c r="I515" s="65"/>
      <c r="J515" s="65"/>
      <c r="K515" s="65"/>
      <c r="L515" s="58" t="s">
        <v>263</v>
      </c>
      <c r="M515" s="71" t="s">
        <v>2772</v>
      </c>
      <c r="N515" s="65"/>
      <c r="O515" s="58" t="s">
        <v>263</v>
      </c>
      <c r="P515" s="59">
        <v>293</v>
      </c>
      <c r="Q515" s="58" t="s">
        <v>263</v>
      </c>
      <c r="R515" s="58" t="s">
        <v>664</v>
      </c>
      <c r="S515" s="58" t="s">
        <v>263</v>
      </c>
      <c r="T515" s="66">
        <v>87.9</v>
      </c>
      <c r="U515" s="65"/>
      <c r="V515" s="65"/>
      <c r="W515" s="58" t="s">
        <v>263</v>
      </c>
      <c r="X515" s="59">
        <v>0</v>
      </c>
      <c r="Y515" s="60" t="s">
        <v>263</v>
      </c>
      <c r="Z515" s="66">
        <v>0</v>
      </c>
      <c r="AA515" s="65"/>
      <c r="AB515" s="60" t="s">
        <v>263</v>
      </c>
      <c r="AC515" s="59">
        <v>0</v>
      </c>
    </row>
    <row r="516" spans="2:29" x14ac:dyDescent="0.3">
      <c r="B516" s="71" t="s">
        <v>2789</v>
      </c>
      <c r="C516" s="65"/>
      <c r="D516" s="58" t="s">
        <v>263</v>
      </c>
      <c r="E516" s="71" t="s">
        <v>2790</v>
      </c>
      <c r="F516" s="65"/>
      <c r="G516" s="58" t="s">
        <v>263</v>
      </c>
      <c r="H516" s="71" t="s">
        <v>2791</v>
      </c>
      <c r="I516" s="65"/>
      <c r="J516" s="65"/>
      <c r="K516" s="65"/>
      <c r="L516" s="58" t="s">
        <v>263</v>
      </c>
      <c r="M516" s="71" t="s">
        <v>2792</v>
      </c>
      <c r="N516" s="65"/>
      <c r="O516" s="58" t="s">
        <v>263</v>
      </c>
      <c r="P516" s="59">
        <v>84</v>
      </c>
      <c r="Q516" s="58" t="s">
        <v>263</v>
      </c>
      <c r="R516" s="58" t="s">
        <v>918</v>
      </c>
      <c r="S516" s="58" t="s">
        <v>263</v>
      </c>
      <c r="T516" s="66">
        <v>0</v>
      </c>
      <c r="U516" s="65"/>
      <c r="V516" s="65"/>
      <c r="W516" s="58" t="s">
        <v>263</v>
      </c>
      <c r="X516" s="59">
        <v>0</v>
      </c>
      <c r="Y516" s="60" t="s">
        <v>263</v>
      </c>
      <c r="Z516" s="66">
        <v>0</v>
      </c>
      <c r="AA516" s="65"/>
      <c r="AB516" s="60" t="s">
        <v>263</v>
      </c>
      <c r="AC516" s="59">
        <v>0</v>
      </c>
    </row>
    <row r="517" spans="2:29" x14ac:dyDescent="0.3">
      <c r="B517" s="71" t="s">
        <v>2793</v>
      </c>
      <c r="C517" s="65"/>
      <c r="D517" s="58" t="s">
        <v>263</v>
      </c>
      <c r="E517" s="71" t="s">
        <v>2794</v>
      </c>
      <c r="F517" s="65"/>
      <c r="G517" s="58" t="s">
        <v>263</v>
      </c>
      <c r="H517" s="71" t="s">
        <v>2795</v>
      </c>
      <c r="I517" s="65"/>
      <c r="J517" s="65"/>
      <c r="K517" s="65"/>
      <c r="L517" s="58" t="s">
        <v>263</v>
      </c>
      <c r="M517" s="71" t="s">
        <v>2792</v>
      </c>
      <c r="N517" s="65"/>
      <c r="O517" s="58" t="s">
        <v>263</v>
      </c>
      <c r="P517" s="59">
        <v>71</v>
      </c>
      <c r="Q517" s="58" t="s">
        <v>263</v>
      </c>
      <c r="R517" s="58" t="s">
        <v>918</v>
      </c>
      <c r="S517" s="58" t="s">
        <v>263</v>
      </c>
      <c r="T517" s="66">
        <v>0</v>
      </c>
      <c r="U517" s="65"/>
      <c r="V517" s="65"/>
      <c r="W517" s="58" t="s">
        <v>263</v>
      </c>
      <c r="X517" s="59">
        <v>0</v>
      </c>
      <c r="Y517" s="60" t="s">
        <v>263</v>
      </c>
      <c r="Z517" s="66">
        <v>0</v>
      </c>
      <c r="AA517" s="65"/>
      <c r="AB517" s="60" t="s">
        <v>263</v>
      </c>
      <c r="AC517" s="59">
        <v>0</v>
      </c>
    </row>
    <row r="518" spans="2:29" x14ac:dyDescent="0.3">
      <c r="B518" s="71" t="s">
        <v>2796</v>
      </c>
      <c r="C518" s="65"/>
      <c r="D518" s="58" t="s">
        <v>263</v>
      </c>
      <c r="E518" s="71" t="s">
        <v>2797</v>
      </c>
      <c r="F518" s="65"/>
      <c r="G518" s="58" t="s">
        <v>263</v>
      </c>
      <c r="H518" s="71" t="s">
        <v>2798</v>
      </c>
      <c r="I518" s="65"/>
      <c r="J518" s="65"/>
      <c r="K518" s="65"/>
      <c r="L518" s="58" t="s">
        <v>263</v>
      </c>
      <c r="M518" s="71" t="s">
        <v>545</v>
      </c>
      <c r="N518" s="65"/>
      <c r="O518" s="58" t="s">
        <v>263</v>
      </c>
      <c r="P518" s="59">
        <v>165</v>
      </c>
      <c r="Q518" s="58" t="s">
        <v>263</v>
      </c>
      <c r="R518" s="58" t="s">
        <v>918</v>
      </c>
      <c r="S518" s="58" t="s">
        <v>263</v>
      </c>
      <c r="T518" s="66">
        <v>0</v>
      </c>
      <c r="U518" s="65"/>
      <c r="V518" s="65"/>
      <c r="W518" s="58" t="s">
        <v>263</v>
      </c>
      <c r="X518" s="59">
        <v>0</v>
      </c>
      <c r="Y518" s="60" t="s">
        <v>263</v>
      </c>
      <c r="Z518" s="66">
        <v>0</v>
      </c>
      <c r="AA518" s="65"/>
      <c r="AB518" s="60" t="s">
        <v>263</v>
      </c>
      <c r="AC518" s="59">
        <v>0</v>
      </c>
    </row>
    <row r="519" spans="2:29" x14ac:dyDescent="0.3">
      <c r="B519" s="71" t="s">
        <v>2799</v>
      </c>
      <c r="C519" s="65"/>
      <c r="D519" s="58" t="s">
        <v>263</v>
      </c>
      <c r="E519" s="71" t="s">
        <v>2800</v>
      </c>
      <c r="F519" s="65"/>
      <c r="G519" s="58" t="s">
        <v>263</v>
      </c>
      <c r="H519" s="71" t="s">
        <v>2801</v>
      </c>
      <c r="I519" s="65"/>
      <c r="J519" s="65"/>
      <c r="K519" s="65"/>
      <c r="L519" s="58" t="s">
        <v>263</v>
      </c>
      <c r="M519" s="71" t="s">
        <v>2792</v>
      </c>
      <c r="N519" s="65"/>
      <c r="O519" s="58" t="s">
        <v>263</v>
      </c>
      <c r="P519" s="59">
        <v>148</v>
      </c>
      <c r="Q519" s="58" t="s">
        <v>263</v>
      </c>
      <c r="R519" s="58" t="s">
        <v>918</v>
      </c>
      <c r="S519" s="58" t="s">
        <v>263</v>
      </c>
      <c r="T519" s="66">
        <v>0</v>
      </c>
      <c r="U519" s="65"/>
      <c r="V519" s="65"/>
      <c r="W519" s="58" t="s">
        <v>263</v>
      </c>
      <c r="X519" s="59">
        <v>0</v>
      </c>
      <c r="Y519" s="60" t="s">
        <v>263</v>
      </c>
      <c r="Z519" s="66">
        <v>0</v>
      </c>
      <c r="AA519" s="65"/>
      <c r="AB519" s="60" t="s">
        <v>263</v>
      </c>
      <c r="AC519" s="59">
        <v>0</v>
      </c>
    </row>
    <row r="520" spans="2:29" x14ac:dyDescent="0.3">
      <c r="B520" s="71" t="s">
        <v>2802</v>
      </c>
      <c r="C520" s="65"/>
      <c r="D520" s="58" t="s">
        <v>263</v>
      </c>
      <c r="E520" s="71" t="s">
        <v>2803</v>
      </c>
      <c r="F520" s="65"/>
      <c r="G520" s="58" t="s">
        <v>263</v>
      </c>
      <c r="H520" s="71" t="s">
        <v>2804</v>
      </c>
      <c r="I520" s="65"/>
      <c r="J520" s="65"/>
      <c r="K520" s="65"/>
      <c r="L520" s="58" t="s">
        <v>263</v>
      </c>
      <c r="M520" s="71" t="s">
        <v>546</v>
      </c>
      <c r="N520" s="65"/>
      <c r="O520" s="58" t="s">
        <v>263</v>
      </c>
      <c r="P520" s="59">
        <v>84</v>
      </c>
      <c r="Q520" s="58" t="s">
        <v>263</v>
      </c>
      <c r="R520" s="58" t="s">
        <v>918</v>
      </c>
      <c r="S520" s="58" t="s">
        <v>263</v>
      </c>
      <c r="T520" s="66">
        <v>0</v>
      </c>
      <c r="U520" s="65"/>
      <c r="V520" s="65"/>
      <c r="W520" s="58" t="s">
        <v>263</v>
      </c>
      <c r="X520" s="59">
        <v>0</v>
      </c>
      <c r="Y520" s="60" t="s">
        <v>263</v>
      </c>
      <c r="Z520" s="66">
        <v>0</v>
      </c>
      <c r="AA520" s="65"/>
      <c r="AB520" s="60" t="s">
        <v>263</v>
      </c>
      <c r="AC520" s="59">
        <v>0</v>
      </c>
    </row>
    <row r="521" spans="2:29" x14ac:dyDescent="0.3">
      <c r="B521" s="71" t="s">
        <v>2805</v>
      </c>
      <c r="C521" s="65"/>
      <c r="D521" s="58" t="s">
        <v>263</v>
      </c>
      <c r="E521" s="71" t="s">
        <v>2806</v>
      </c>
      <c r="F521" s="65"/>
      <c r="G521" s="58" t="s">
        <v>263</v>
      </c>
      <c r="H521" s="71" t="s">
        <v>2807</v>
      </c>
      <c r="I521" s="65"/>
      <c r="J521" s="65"/>
      <c r="K521" s="65"/>
      <c r="L521" s="58" t="s">
        <v>263</v>
      </c>
      <c r="M521" s="71" t="s">
        <v>575</v>
      </c>
      <c r="N521" s="65"/>
      <c r="O521" s="58" t="s">
        <v>263</v>
      </c>
      <c r="P521" s="59">
        <v>84</v>
      </c>
      <c r="Q521" s="58" t="s">
        <v>263</v>
      </c>
      <c r="R521" s="58" t="s">
        <v>918</v>
      </c>
      <c r="S521" s="58" t="s">
        <v>263</v>
      </c>
      <c r="T521" s="66">
        <v>0</v>
      </c>
      <c r="U521" s="65"/>
      <c r="V521" s="65"/>
      <c r="W521" s="58" t="s">
        <v>263</v>
      </c>
      <c r="X521" s="59">
        <v>0</v>
      </c>
      <c r="Y521" s="60" t="s">
        <v>263</v>
      </c>
      <c r="Z521" s="66">
        <v>0</v>
      </c>
      <c r="AA521" s="65"/>
      <c r="AB521" s="60" t="s">
        <v>263</v>
      </c>
      <c r="AC521" s="59">
        <v>0</v>
      </c>
    </row>
    <row r="522" spans="2:29" x14ac:dyDescent="0.3">
      <c r="B522" s="71" t="s">
        <v>2808</v>
      </c>
      <c r="C522" s="65"/>
      <c r="D522" s="58" t="s">
        <v>263</v>
      </c>
      <c r="E522" s="71" t="s">
        <v>2809</v>
      </c>
      <c r="F522" s="65"/>
      <c r="G522" s="58" t="s">
        <v>263</v>
      </c>
      <c r="H522" s="71" t="s">
        <v>2810</v>
      </c>
      <c r="I522" s="65"/>
      <c r="J522" s="65"/>
      <c r="K522" s="65"/>
      <c r="L522" s="58" t="s">
        <v>263</v>
      </c>
      <c r="M522" s="71" t="s">
        <v>2784</v>
      </c>
      <c r="N522" s="65"/>
      <c r="O522" s="58" t="s">
        <v>263</v>
      </c>
      <c r="P522" s="59">
        <v>105</v>
      </c>
      <c r="Q522" s="58" t="s">
        <v>263</v>
      </c>
      <c r="R522" s="58" t="s">
        <v>918</v>
      </c>
      <c r="S522" s="58" t="s">
        <v>263</v>
      </c>
      <c r="T522" s="66">
        <v>0</v>
      </c>
      <c r="U522" s="65"/>
      <c r="V522" s="65"/>
      <c r="W522" s="58" t="s">
        <v>263</v>
      </c>
      <c r="X522" s="59">
        <v>0</v>
      </c>
      <c r="Y522" s="60" t="s">
        <v>263</v>
      </c>
      <c r="Z522" s="66">
        <v>0</v>
      </c>
      <c r="AA522" s="65"/>
      <c r="AB522" s="60" t="s">
        <v>263</v>
      </c>
      <c r="AC522" s="59">
        <v>0</v>
      </c>
    </row>
    <row r="523" spans="2:29" x14ac:dyDescent="0.3">
      <c r="B523" s="71" t="s">
        <v>2811</v>
      </c>
      <c r="C523" s="65"/>
      <c r="D523" s="58" t="s">
        <v>263</v>
      </c>
      <c r="E523" s="71" t="s">
        <v>2812</v>
      </c>
      <c r="F523" s="65"/>
      <c r="G523" s="58" t="s">
        <v>263</v>
      </c>
      <c r="H523" s="71" t="s">
        <v>2813</v>
      </c>
      <c r="I523" s="65"/>
      <c r="J523" s="65"/>
      <c r="K523" s="65"/>
      <c r="L523" s="58" t="s">
        <v>263</v>
      </c>
      <c r="M523" s="71" t="s">
        <v>545</v>
      </c>
      <c r="N523" s="65"/>
      <c r="O523" s="58" t="s">
        <v>263</v>
      </c>
      <c r="P523" s="59">
        <v>84</v>
      </c>
      <c r="Q523" s="58" t="s">
        <v>263</v>
      </c>
      <c r="R523" s="58" t="s">
        <v>918</v>
      </c>
      <c r="S523" s="58" t="s">
        <v>263</v>
      </c>
      <c r="T523" s="66">
        <v>0</v>
      </c>
      <c r="U523" s="65"/>
      <c r="V523" s="65"/>
      <c r="W523" s="58" t="s">
        <v>263</v>
      </c>
      <c r="X523" s="59">
        <v>-5.6</v>
      </c>
      <c r="Y523" s="60" t="s">
        <v>263</v>
      </c>
      <c r="Z523" s="66">
        <v>0</v>
      </c>
      <c r="AA523" s="65"/>
      <c r="AB523" s="60" t="s">
        <v>263</v>
      </c>
      <c r="AC523" s="59">
        <v>0</v>
      </c>
    </row>
    <row r="524" spans="2:29" x14ac:dyDescent="0.3">
      <c r="B524" s="71" t="s">
        <v>2814</v>
      </c>
      <c r="C524" s="65"/>
      <c r="D524" s="58" t="s">
        <v>263</v>
      </c>
      <c r="E524" s="71" t="s">
        <v>2815</v>
      </c>
      <c r="F524" s="65"/>
      <c r="G524" s="58" t="s">
        <v>263</v>
      </c>
      <c r="H524" s="71" t="s">
        <v>2816</v>
      </c>
      <c r="I524" s="65"/>
      <c r="J524" s="65"/>
      <c r="K524" s="65"/>
      <c r="L524" s="58" t="s">
        <v>263</v>
      </c>
      <c r="M524" s="71" t="s">
        <v>575</v>
      </c>
      <c r="N524" s="65"/>
      <c r="O524" s="58" t="s">
        <v>263</v>
      </c>
      <c r="P524" s="59">
        <v>84</v>
      </c>
      <c r="Q524" s="58" t="s">
        <v>263</v>
      </c>
      <c r="R524" s="58" t="s">
        <v>918</v>
      </c>
      <c r="S524" s="58" t="s">
        <v>263</v>
      </c>
      <c r="T524" s="66">
        <v>0</v>
      </c>
      <c r="U524" s="65"/>
      <c r="V524" s="65"/>
      <c r="W524" s="58" t="s">
        <v>263</v>
      </c>
      <c r="X524" s="59">
        <v>0</v>
      </c>
      <c r="Y524" s="60" t="s">
        <v>263</v>
      </c>
      <c r="Z524" s="66">
        <v>0</v>
      </c>
      <c r="AA524" s="65"/>
      <c r="AB524" s="60" t="s">
        <v>263</v>
      </c>
      <c r="AC524" s="59">
        <v>0</v>
      </c>
    </row>
    <row r="525" spans="2:29" x14ac:dyDescent="0.3">
      <c r="B525" s="71" t="s">
        <v>2817</v>
      </c>
      <c r="C525" s="65"/>
      <c r="D525" s="58" t="s">
        <v>263</v>
      </c>
      <c r="E525" s="71" t="s">
        <v>2818</v>
      </c>
      <c r="F525" s="65"/>
      <c r="G525" s="58" t="s">
        <v>263</v>
      </c>
      <c r="H525" s="71" t="s">
        <v>2819</v>
      </c>
      <c r="I525" s="65"/>
      <c r="J525" s="65"/>
      <c r="K525" s="65"/>
      <c r="L525" s="58" t="s">
        <v>263</v>
      </c>
      <c r="M525" s="71" t="s">
        <v>814</v>
      </c>
      <c r="N525" s="65"/>
      <c r="O525" s="58" t="s">
        <v>263</v>
      </c>
      <c r="P525" s="59">
        <v>132</v>
      </c>
      <c r="Q525" s="58" t="s">
        <v>263</v>
      </c>
      <c r="R525" s="58" t="s">
        <v>918</v>
      </c>
      <c r="S525" s="58" t="s">
        <v>263</v>
      </c>
      <c r="T525" s="66">
        <v>0</v>
      </c>
      <c r="U525" s="65"/>
      <c r="V525" s="65"/>
      <c r="W525" s="58" t="s">
        <v>263</v>
      </c>
      <c r="X525" s="59">
        <v>0</v>
      </c>
      <c r="Y525" s="60" t="s">
        <v>263</v>
      </c>
      <c r="Z525" s="66">
        <v>0</v>
      </c>
      <c r="AA525" s="65"/>
      <c r="AB525" s="60" t="s">
        <v>263</v>
      </c>
      <c r="AC525" s="59">
        <v>0</v>
      </c>
    </row>
    <row r="526" spans="2:29" x14ac:dyDescent="0.3">
      <c r="B526" s="71" t="s">
        <v>2820</v>
      </c>
      <c r="C526" s="65"/>
      <c r="D526" s="58" t="s">
        <v>263</v>
      </c>
      <c r="E526" s="71" t="s">
        <v>2821</v>
      </c>
      <c r="F526" s="65"/>
      <c r="G526" s="58" t="s">
        <v>263</v>
      </c>
      <c r="H526" s="71" t="s">
        <v>2822</v>
      </c>
      <c r="I526" s="65"/>
      <c r="J526" s="65"/>
      <c r="K526" s="65"/>
      <c r="L526" s="58" t="s">
        <v>263</v>
      </c>
      <c r="M526" s="71" t="s">
        <v>575</v>
      </c>
      <c r="N526" s="65"/>
      <c r="O526" s="58" t="s">
        <v>263</v>
      </c>
      <c r="P526" s="59">
        <v>132</v>
      </c>
      <c r="Q526" s="58" t="s">
        <v>263</v>
      </c>
      <c r="R526" s="58" t="s">
        <v>918</v>
      </c>
      <c r="S526" s="58" t="s">
        <v>263</v>
      </c>
      <c r="T526" s="66">
        <v>0</v>
      </c>
      <c r="U526" s="65"/>
      <c r="V526" s="65"/>
      <c r="W526" s="58" t="s">
        <v>263</v>
      </c>
      <c r="X526" s="59">
        <v>0</v>
      </c>
      <c r="Y526" s="60" t="s">
        <v>263</v>
      </c>
      <c r="Z526" s="66">
        <v>0</v>
      </c>
      <c r="AA526" s="65"/>
      <c r="AB526" s="60" t="s">
        <v>263</v>
      </c>
      <c r="AC526" s="59">
        <v>0</v>
      </c>
    </row>
    <row r="527" spans="2:29" x14ac:dyDescent="0.3">
      <c r="B527" s="71" t="s">
        <v>2823</v>
      </c>
      <c r="C527" s="65"/>
      <c r="D527" s="58" t="s">
        <v>263</v>
      </c>
      <c r="E527" s="71" t="s">
        <v>2824</v>
      </c>
      <c r="F527" s="65"/>
      <c r="G527" s="58" t="s">
        <v>263</v>
      </c>
      <c r="H527" s="71" t="s">
        <v>2825</v>
      </c>
      <c r="I527" s="65"/>
      <c r="J527" s="65"/>
      <c r="K527" s="65"/>
      <c r="L527" s="58" t="s">
        <v>263</v>
      </c>
      <c r="M527" s="71" t="s">
        <v>751</v>
      </c>
      <c r="N527" s="65"/>
      <c r="O527" s="58" t="s">
        <v>263</v>
      </c>
      <c r="P527" s="59">
        <v>153</v>
      </c>
      <c r="Q527" s="58" t="s">
        <v>263</v>
      </c>
      <c r="R527" s="58" t="s">
        <v>918</v>
      </c>
      <c r="S527" s="58" t="s">
        <v>263</v>
      </c>
      <c r="T527" s="66">
        <v>0</v>
      </c>
      <c r="U527" s="65"/>
      <c r="V527" s="65"/>
      <c r="W527" s="58" t="s">
        <v>263</v>
      </c>
      <c r="X527" s="59">
        <v>0</v>
      </c>
      <c r="Y527" s="60" t="s">
        <v>263</v>
      </c>
      <c r="Z527" s="66">
        <v>0</v>
      </c>
      <c r="AA527" s="65"/>
      <c r="AB527" s="60" t="s">
        <v>263</v>
      </c>
      <c r="AC527" s="59">
        <v>0</v>
      </c>
    </row>
    <row r="528" spans="2:29" x14ac:dyDescent="0.3">
      <c r="B528" s="71" t="s">
        <v>2826</v>
      </c>
      <c r="C528" s="65"/>
      <c r="D528" s="58" t="s">
        <v>263</v>
      </c>
      <c r="E528" s="71" t="s">
        <v>2827</v>
      </c>
      <c r="F528" s="65"/>
      <c r="G528" s="58" t="s">
        <v>263</v>
      </c>
      <c r="H528" s="71" t="s">
        <v>2828</v>
      </c>
      <c r="I528" s="65"/>
      <c r="J528" s="65"/>
      <c r="K528" s="65"/>
      <c r="L528" s="58" t="s">
        <v>263</v>
      </c>
      <c r="M528" s="71" t="s">
        <v>620</v>
      </c>
      <c r="N528" s="65"/>
      <c r="O528" s="58" t="s">
        <v>263</v>
      </c>
      <c r="P528" s="59">
        <v>84</v>
      </c>
      <c r="Q528" s="58" t="s">
        <v>263</v>
      </c>
      <c r="R528" s="58" t="s">
        <v>918</v>
      </c>
      <c r="S528" s="58" t="s">
        <v>263</v>
      </c>
      <c r="T528" s="66">
        <v>0</v>
      </c>
      <c r="U528" s="65"/>
      <c r="V528" s="65"/>
      <c r="W528" s="58" t="s">
        <v>263</v>
      </c>
      <c r="X528" s="59">
        <v>0</v>
      </c>
      <c r="Y528" s="60" t="s">
        <v>263</v>
      </c>
      <c r="Z528" s="66">
        <v>0</v>
      </c>
      <c r="AA528" s="65"/>
      <c r="AB528" s="60" t="s">
        <v>263</v>
      </c>
      <c r="AC528" s="59">
        <v>0</v>
      </c>
    </row>
    <row r="529" spans="2:29" x14ac:dyDescent="0.3">
      <c r="B529" s="71" t="s">
        <v>2829</v>
      </c>
      <c r="C529" s="65"/>
      <c r="D529" s="58" t="s">
        <v>263</v>
      </c>
      <c r="E529" s="71" t="s">
        <v>2830</v>
      </c>
      <c r="F529" s="65"/>
      <c r="G529" s="58" t="s">
        <v>263</v>
      </c>
      <c r="H529" s="71" t="s">
        <v>2831</v>
      </c>
      <c r="I529" s="65"/>
      <c r="J529" s="65"/>
      <c r="K529" s="65"/>
      <c r="L529" s="58" t="s">
        <v>263</v>
      </c>
      <c r="M529" s="71" t="s">
        <v>597</v>
      </c>
      <c r="N529" s="65"/>
      <c r="O529" s="58" t="s">
        <v>263</v>
      </c>
      <c r="P529" s="59">
        <v>42</v>
      </c>
      <c r="Q529" s="58" t="s">
        <v>263</v>
      </c>
      <c r="R529" s="58" t="s">
        <v>918</v>
      </c>
      <c r="S529" s="58" t="s">
        <v>263</v>
      </c>
      <c r="T529" s="66">
        <v>0</v>
      </c>
      <c r="U529" s="65"/>
      <c r="V529" s="65"/>
      <c r="W529" s="58" t="s">
        <v>263</v>
      </c>
      <c r="X529" s="59">
        <v>0</v>
      </c>
      <c r="Y529" s="60" t="s">
        <v>263</v>
      </c>
      <c r="Z529" s="66">
        <v>0</v>
      </c>
      <c r="AA529" s="65"/>
      <c r="AB529" s="60" t="s">
        <v>263</v>
      </c>
      <c r="AC529" s="59">
        <v>0</v>
      </c>
    </row>
    <row r="530" spans="2:29" x14ac:dyDescent="0.3">
      <c r="B530" s="71" t="s">
        <v>2832</v>
      </c>
      <c r="C530" s="65"/>
      <c r="D530" s="58" t="s">
        <v>263</v>
      </c>
      <c r="E530" s="71" t="s">
        <v>2833</v>
      </c>
      <c r="F530" s="65"/>
      <c r="G530" s="58" t="s">
        <v>263</v>
      </c>
      <c r="H530" s="71" t="s">
        <v>2834</v>
      </c>
      <c r="I530" s="65"/>
      <c r="J530" s="65"/>
      <c r="K530" s="65"/>
      <c r="L530" s="58" t="s">
        <v>263</v>
      </c>
      <c r="M530" s="71" t="s">
        <v>597</v>
      </c>
      <c r="N530" s="65"/>
      <c r="O530" s="58" t="s">
        <v>263</v>
      </c>
      <c r="P530" s="59">
        <v>83</v>
      </c>
      <c r="Q530" s="58" t="s">
        <v>263</v>
      </c>
      <c r="R530" s="58" t="s">
        <v>918</v>
      </c>
      <c r="S530" s="58" t="s">
        <v>263</v>
      </c>
      <c r="T530" s="66">
        <v>0</v>
      </c>
      <c r="U530" s="65"/>
      <c r="V530" s="65"/>
      <c r="W530" s="58" t="s">
        <v>263</v>
      </c>
      <c r="X530" s="59">
        <v>0</v>
      </c>
      <c r="Y530" s="60" t="s">
        <v>263</v>
      </c>
      <c r="Z530" s="66">
        <v>0</v>
      </c>
      <c r="AA530" s="65"/>
      <c r="AB530" s="60" t="s">
        <v>263</v>
      </c>
      <c r="AC530" s="59">
        <v>0</v>
      </c>
    </row>
    <row r="531" spans="2:29" x14ac:dyDescent="0.3">
      <c r="B531" s="71" t="s">
        <v>2835</v>
      </c>
      <c r="C531" s="65"/>
      <c r="D531" s="58" t="s">
        <v>263</v>
      </c>
      <c r="E531" s="71" t="s">
        <v>2836</v>
      </c>
      <c r="F531" s="65"/>
      <c r="G531" s="58" t="s">
        <v>263</v>
      </c>
      <c r="H531" s="71" t="s">
        <v>2837</v>
      </c>
      <c r="I531" s="65"/>
      <c r="J531" s="65"/>
      <c r="K531" s="65"/>
      <c r="L531" s="58" t="s">
        <v>263</v>
      </c>
      <c r="M531" s="71" t="s">
        <v>663</v>
      </c>
      <c r="N531" s="65"/>
      <c r="O531" s="58" t="s">
        <v>263</v>
      </c>
      <c r="P531" s="59">
        <v>132</v>
      </c>
      <c r="Q531" s="58" t="s">
        <v>263</v>
      </c>
      <c r="R531" s="58" t="s">
        <v>918</v>
      </c>
      <c r="S531" s="58" t="s">
        <v>263</v>
      </c>
      <c r="T531" s="66">
        <v>0</v>
      </c>
      <c r="U531" s="65"/>
      <c r="V531" s="65"/>
      <c r="W531" s="58" t="s">
        <v>263</v>
      </c>
      <c r="X531" s="59">
        <v>0</v>
      </c>
      <c r="Y531" s="60" t="s">
        <v>263</v>
      </c>
      <c r="Z531" s="66">
        <v>0</v>
      </c>
      <c r="AA531" s="65"/>
      <c r="AB531" s="60" t="s">
        <v>263</v>
      </c>
      <c r="AC531" s="59">
        <v>0</v>
      </c>
    </row>
    <row r="532" spans="2:29" x14ac:dyDescent="0.3">
      <c r="B532" s="71" t="s">
        <v>2838</v>
      </c>
      <c r="C532" s="65"/>
      <c r="D532" s="58" t="s">
        <v>263</v>
      </c>
      <c r="E532" s="71" t="s">
        <v>2839</v>
      </c>
      <c r="F532" s="65"/>
      <c r="G532" s="58" t="s">
        <v>263</v>
      </c>
      <c r="H532" s="71" t="s">
        <v>2840</v>
      </c>
      <c r="I532" s="65"/>
      <c r="J532" s="65"/>
      <c r="K532" s="65"/>
      <c r="L532" s="58" t="s">
        <v>263</v>
      </c>
      <c r="M532" s="71" t="s">
        <v>612</v>
      </c>
      <c r="N532" s="65"/>
      <c r="O532" s="58" t="s">
        <v>263</v>
      </c>
      <c r="P532" s="59">
        <v>83</v>
      </c>
      <c r="Q532" s="58" t="s">
        <v>263</v>
      </c>
      <c r="R532" s="58" t="s">
        <v>1159</v>
      </c>
      <c r="S532" s="58" t="s">
        <v>263</v>
      </c>
      <c r="T532" s="66">
        <v>0</v>
      </c>
      <c r="U532" s="65"/>
      <c r="V532" s="65"/>
      <c r="W532" s="58" t="s">
        <v>263</v>
      </c>
      <c r="X532" s="59">
        <v>-66.400000000000006</v>
      </c>
      <c r="Y532" s="60" t="s">
        <v>263</v>
      </c>
      <c r="Z532" s="66">
        <v>0</v>
      </c>
      <c r="AA532" s="65"/>
      <c r="AB532" s="60" t="s">
        <v>263</v>
      </c>
      <c r="AC532" s="59">
        <v>0</v>
      </c>
    </row>
    <row r="533" spans="2:29" x14ac:dyDescent="0.3">
      <c r="B533" s="71" t="s">
        <v>2841</v>
      </c>
      <c r="C533" s="65"/>
      <c r="D533" s="58" t="s">
        <v>263</v>
      </c>
      <c r="E533" s="71" t="s">
        <v>2842</v>
      </c>
      <c r="F533" s="65"/>
      <c r="G533" s="58" t="s">
        <v>263</v>
      </c>
      <c r="H533" s="71" t="s">
        <v>2843</v>
      </c>
      <c r="I533" s="65"/>
      <c r="J533" s="65"/>
      <c r="K533" s="65"/>
      <c r="L533" s="58" t="s">
        <v>263</v>
      </c>
      <c r="M533" s="71" t="s">
        <v>663</v>
      </c>
      <c r="N533" s="65"/>
      <c r="O533" s="58" t="s">
        <v>263</v>
      </c>
      <c r="P533" s="59">
        <v>91</v>
      </c>
      <c r="Q533" s="58" t="s">
        <v>263</v>
      </c>
      <c r="R533" s="58" t="s">
        <v>918</v>
      </c>
      <c r="S533" s="58" t="s">
        <v>263</v>
      </c>
      <c r="T533" s="66">
        <v>0</v>
      </c>
      <c r="U533" s="65"/>
      <c r="V533" s="65"/>
      <c r="W533" s="58" t="s">
        <v>263</v>
      </c>
      <c r="X533" s="59">
        <v>0</v>
      </c>
      <c r="Y533" s="60" t="s">
        <v>263</v>
      </c>
      <c r="Z533" s="66">
        <v>0</v>
      </c>
      <c r="AA533" s="65"/>
      <c r="AB533" s="60" t="s">
        <v>263</v>
      </c>
      <c r="AC533" s="59">
        <v>0</v>
      </c>
    </row>
    <row r="534" spans="2:29" x14ac:dyDescent="0.3">
      <c r="B534" s="71" t="s">
        <v>2844</v>
      </c>
      <c r="C534" s="65"/>
      <c r="D534" s="58" t="s">
        <v>263</v>
      </c>
      <c r="E534" s="71" t="s">
        <v>2845</v>
      </c>
      <c r="F534" s="65"/>
      <c r="G534" s="58" t="s">
        <v>263</v>
      </c>
      <c r="H534" s="71" t="s">
        <v>2846</v>
      </c>
      <c r="I534" s="65"/>
      <c r="J534" s="65"/>
      <c r="K534" s="65"/>
      <c r="L534" s="58" t="s">
        <v>263</v>
      </c>
      <c r="M534" s="71" t="s">
        <v>678</v>
      </c>
      <c r="N534" s="65"/>
      <c r="O534" s="58" t="s">
        <v>263</v>
      </c>
      <c r="P534" s="59">
        <v>146</v>
      </c>
      <c r="Q534" s="58" t="s">
        <v>263</v>
      </c>
      <c r="R534" s="58" t="s">
        <v>918</v>
      </c>
      <c r="S534" s="58" t="s">
        <v>263</v>
      </c>
      <c r="T534" s="66">
        <v>0</v>
      </c>
      <c r="U534" s="65"/>
      <c r="V534" s="65"/>
      <c r="W534" s="58" t="s">
        <v>263</v>
      </c>
      <c r="X534" s="59">
        <v>0</v>
      </c>
      <c r="Y534" s="60" t="s">
        <v>263</v>
      </c>
      <c r="Z534" s="66">
        <v>0</v>
      </c>
      <c r="AA534" s="65"/>
      <c r="AB534" s="60" t="s">
        <v>263</v>
      </c>
      <c r="AC534" s="59">
        <v>0</v>
      </c>
    </row>
    <row r="535" spans="2:29" x14ac:dyDescent="0.3">
      <c r="B535" s="71" t="s">
        <v>2847</v>
      </c>
      <c r="C535" s="65"/>
      <c r="D535" s="58" t="s">
        <v>263</v>
      </c>
      <c r="E535" s="71" t="s">
        <v>2848</v>
      </c>
      <c r="F535" s="65"/>
      <c r="G535" s="58" t="s">
        <v>263</v>
      </c>
      <c r="H535" s="71" t="s">
        <v>2849</v>
      </c>
      <c r="I535" s="65"/>
      <c r="J535" s="65"/>
      <c r="K535" s="65"/>
      <c r="L535" s="58" t="s">
        <v>263</v>
      </c>
      <c r="M535" s="71" t="s">
        <v>678</v>
      </c>
      <c r="N535" s="65"/>
      <c r="O535" s="58" t="s">
        <v>263</v>
      </c>
      <c r="P535" s="59">
        <v>84</v>
      </c>
      <c r="Q535" s="58" t="s">
        <v>263</v>
      </c>
      <c r="R535" s="58" t="s">
        <v>918</v>
      </c>
      <c r="S535" s="58" t="s">
        <v>263</v>
      </c>
      <c r="T535" s="66">
        <v>0</v>
      </c>
      <c r="U535" s="65"/>
      <c r="V535" s="65"/>
      <c r="W535" s="58" t="s">
        <v>263</v>
      </c>
      <c r="X535" s="59">
        <v>0</v>
      </c>
      <c r="Y535" s="60" t="s">
        <v>263</v>
      </c>
      <c r="Z535" s="66">
        <v>0</v>
      </c>
      <c r="AA535" s="65"/>
      <c r="AB535" s="60" t="s">
        <v>263</v>
      </c>
      <c r="AC535" s="59">
        <v>0</v>
      </c>
    </row>
    <row r="536" spans="2:29" x14ac:dyDescent="0.3">
      <c r="B536" s="71" t="s">
        <v>2850</v>
      </c>
      <c r="C536" s="65"/>
      <c r="D536" s="58" t="s">
        <v>263</v>
      </c>
      <c r="E536" s="71" t="s">
        <v>2851</v>
      </c>
      <c r="F536" s="65"/>
      <c r="G536" s="58" t="s">
        <v>263</v>
      </c>
      <c r="H536" s="71" t="s">
        <v>2852</v>
      </c>
      <c r="I536" s="65"/>
      <c r="J536" s="65"/>
      <c r="K536" s="65"/>
      <c r="L536" s="58" t="s">
        <v>263</v>
      </c>
      <c r="M536" s="71" t="s">
        <v>686</v>
      </c>
      <c r="N536" s="65"/>
      <c r="O536" s="58" t="s">
        <v>263</v>
      </c>
      <c r="P536" s="59">
        <v>159</v>
      </c>
      <c r="Q536" s="58" t="s">
        <v>263</v>
      </c>
      <c r="R536" s="58" t="s">
        <v>918</v>
      </c>
      <c r="S536" s="58" t="s">
        <v>263</v>
      </c>
      <c r="T536" s="66">
        <v>0</v>
      </c>
      <c r="U536" s="65"/>
      <c r="V536" s="65"/>
      <c r="W536" s="58" t="s">
        <v>263</v>
      </c>
      <c r="X536" s="59">
        <v>0</v>
      </c>
      <c r="Y536" s="60" t="s">
        <v>263</v>
      </c>
      <c r="Z536" s="66">
        <v>0</v>
      </c>
      <c r="AA536" s="65"/>
      <c r="AB536" s="60" t="s">
        <v>263</v>
      </c>
      <c r="AC536" s="59">
        <v>0</v>
      </c>
    </row>
    <row r="537" spans="2:29" x14ac:dyDescent="0.3">
      <c r="B537" s="71" t="s">
        <v>2853</v>
      </c>
      <c r="C537" s="65"/>
      <c r="D537" s="58" t="s">
        <v>263</v>
      </c>
      <c r="E537" s="71" t="s">
        <v>2854</v>
      </c>
      <c r="F537" s="65"/>
      <c r="G537" s="58" t="s">
        <v>263</v>
      </c>
      <c r="H537" s="71" t="s">
        <v>2855</v>
      </c>
      <c r="I537" s="65"/>
      <c r="J537" s="65"/>
      <c r="K537" s="65"/>
      <c r="L537" s="58" t="s">
        <v>263</v>
      </c>
      <c r="M537" s="71" t="s">
        <v>688</v>
      </c>
      <c r="N537" s="65"/>
      <c r="O537" s="58" t="s">
        <v>263</v>
      </c>
      <c r="P537" s="59">
        <v>114</v>
      </c>
      <c r="Q537" s="58" t="s">
        <v>263</v>
      </c>
      <c r="R537" s="58" t="s">
        <v>918</v>
      </c>
      <c r="S537" s="58" t="s">
        <v>263</v>
      </c>
      <c r="T537" s="66">
        <v>0</v>
      </c>
      <c r="U537" s="65"/>
      <c r="V537" s="65"/>
      <c r="W537" s="58" t="s">
        <v>263</v>
      </c>
      <c r="X537" s="59">
        <v>-22.8</v>
      </c>
      <c r="Y537" s="60" t="s">
        <v>263</v>
      </c>
      <c r="Z537" s="66">
        <v>0</v>
      </c>
      <c r="AA537" s="65"/>
      <c r="AB537" s="60" t="s">
        <v>263</v>
      </c>
      <c r="AC537" s="59">
        <v>0</v>
      </c>
    </row>
    <row r="538" spans="2:29" x14ac:dyDescent="0.3">
      <c r="B538" s="71" t="s">
        <v>2856</v>
      </c>
      <c r="C538" s="65"/>
      <c r="D538" s="58" t="s">
        <v>263</v>
      </c>
      <c r="E538" s="71" t="s">
        <v>2857</v>
      </c>
      <c r="F538" s="65"/>
      <c r="G538" s="58" t="s">
        <v>263</v>
      </c>
      <c r="H538" s="71" t="s">
        <v>2858</v>
      </c>
      <c r="I538" s="65"/>
      <c r="J538" s="65"/>
      <c r="K538" s="65"/>
      <c r="L538" s="58" t="s">
        <v>263</v>
      </c>
      <c r="M538" s="71" t="s">
        <v>688</v>
      </c>
      <c r="N538" s="65"/>
      <c r="O538" s="58" t="s">
        <v>263</v>
      </c>
      <c r="P538" s="59">
        <v>75</v>
      </c>
      <c r="Q538" s="58" t="s">
        <v>263</v>
      </c>
      <c r="R538" s="58" t="s">
        <v>918</v>
      </c>
      <c r="S538" s="58" t="s">
        <v>263</v>
      </c>
      <c r="T538" s="66">
        <v>0</v>
      </c>
      <c r="U538" s="65"/>
      <c r="V538" s="65"/>
      <c r="W538" s="58" t="s">
        <v>263</v>
      </c>
      <c r="X538" s="59">
        <v>-30</v>
      </c>
      <c r="Y538" s="60" t="s">
        <v>263</v>
      </c>
      <c r="Z538" s="66">
        <v>0</v>
      </c>
      <c r="AA538" s="65"/>
      <c r="AB538" s="60" t="s">
        <v>263</v>
      </c>
      <c r="AC538" s="59">
        <v>0</v>
      </c>
    </row>
    <row r="539" spans="2:29" x14ac:dyDescent="0.3">
      <c r="B539" s="71" t="s">
        <v>2859</v>
      </c>
      <c r="C539" s="65"/>
      <c r="D539" s="58" t="s">
        <v>263</v>
      </c>
      <c r="E539" s="71" t="s">
        <v>2860</v>
      </c>
      <c r="F539" s="65"/>
      <c r="G539" s="58" t="s">
        <v>263</v>
      </c>
      <c r="H539" s="71" t="s">
        <v>2861</v>
      </c>
      <c r="I539" s="65"/>
      <c r="J539" s="65"/>
      <c r="K539" s="65"/>
      <c r="L539" s="58" t="s">
        <v>263</v>
      </c>
      <c r="M539" s="71" t="s">
        <v>688</v>
      </c>
      <c r="N539" s="65"/>
      <c r="O539" s="58" t="s">
        <v>263</v>
      </c>
      <c r="P539" s="59">
        <v>75</v>
      </c>
      <c r="Q539" s="58" t="s">
        <v>263</v>
      </c>
      <c r="R539" s="58" t="s">
        <v>918</v>
      </c>
      <c r="S539" s="58" t="s">
        <v>263</v>
      </c>
      <c r="T539" s="66">
        <v>0</v>
      </c>
      <c r="U539" s="65"/>
      <c r="V539" s="65"/>
      <c r="W539" s="58" t="s">
        <v>263</v>
      </c>
      <c r="X539" s="59">
        <v>0</v>
      </c>
      <c r="Y539" s="60" t="s">
        <v>263</v>
      </c>
      <c r="Z539" s="66">
        <v>0</v>
      </c>
      <c r="AA539" s="65"/>
      <c r="AB539" s="60" t="s">
        <v>263</v>
      </c>
      <c r="AC539" s="59">
        <v>0</v>
      </c>
    </row>
    <row r="540" spans="2:29" x14ac:dyDescent="0.3">
      <c r="B540" s="71" t="s">
        <v>2862</v>
      </c>
      <c r="C540" s="65"/>
      <c r="D540" s="58" t="s">
        <v>263</v>
      </c>
      <c r="E540" s="71" t="s">
        <v>2863</v>
      </c>
      <c r="F540" s="65"/>
      <c r="G540" s="58" t="s">
        <v>263</v>
      </c>
      <c r="H540" s="71" t="s">
        <v>2864</v>
      </c>
      <c r="I540" s="65"/>
      <c r="J540" s="65"/>
      <c r="K540" s="65"/>
      <c r="L540" s="58" t="s">
        <v>263</v>
      </c>
      <c r="M540" s="71" t="s">
        <v>688</v>
      </c>
      <c r="N540" s="65"/>
      <c r="O540" s="58" t="s">
        <v>263</v>
      </c>
      <c r="P540" s="59">
        <v>180</v>
      </c>
      <c r="Q540" s="58" t="s">
        <v>263</v>
      </c>
      <c r="R540" s="58" t="s">
        <v>918</v>
      </c>
      <c r="S540" s="58" t="s">
        <v>263</v>
      </c>
      <c r="T540" s="66">
        <v>0</v>
      </c>
      <c r="U540" s="65"/>
      <c r="V540" s="65"/>
      <c r="W540" s="58" t="s">
        <v>263</v>
      </c>
      <c r="X540" s="59">
        <v>0</v>
      </c>
      <c r="Y540" s="60" t="s">
        <v>263</v>
      </c>
      <c r="Z540" s="66">
        <v>0</v>
      </c>
      <c r="AA540" s="65"/>
      <c r="AB540" s="60" t="s">
        <v>263</v>
      </c>
      <c r="AC540" s="59">
        <v>0</v>
      </c>
    </row>
    <row r="541" spans="2:29" x14ac:dyDescent="0.3">
      <c r="B541" s="71" t="s">
        <v>2865</v>
      </c>
      <c r="C541" s="65"/>
      <c r="D541" s="58" t="s">
        <v>263</v>
      </c>
      <c r="E541" s="71" t="s">
        <v>2866</v>
      </c>
      <c r="F541" s="65"/>
      <c r="G541" s="58" t="s">
        <v>263</v>
      </c>
      <c r="H541" s="71" t="s">
        <v>2867</v>
      </c>
      <c r="I541" s="65"/>
      <c r="J541" s="65"/>
      <c r="K541" s="65"/>
      <c r="L541" s="58" t="s">
        <v>263</v>
      </c>
      <c r="M541" s="71" t="s">
        <v>918</v>
      </c>
      <c r="N541" s="65"/>
      <c r="O541" s="58" t="s">
        <v>263</v>
      </c>
      <c r="P541" s="59">
        <v>91</v>
      </c>
      <c r="Q541" s="58" t="s">
        <v>263</v>
      </c>
      <c r="R541" s="58" t="s">
        <v>1159</v>
      </c>
      <c r="S541" s="58" t="s">
        <v>263</v>
      </c>
      <c r="T541" s="66">
        <v>0</v>
      </c>
      <c r="U541" s="65"/>
      <c r="V541" s="65"/>
      <c r="W541" s="58" t="s">
        <v>263</v>
      </c>
      <c r="X541" s="59">
        <v>-1</v>
      </c>
      <c r="Y541" s="60" t="s">
        <v>263</v>
      </c>
      <c r="Z541" s="66">
        <v>0</v>
      </c>
      <c r="AA541" s="65"/>
      <c r="AB541" s="60" t="s">
        <v>263</v>
      </c>
      <c r="AC541" s="59">
        <v>0</v>
      </c>
    </row>
    <row r="542" spans="2:29" x14ac:dyDescent="0.3">
      <c r="B542" s="71" t="s">
        <v>2868</v>
      </c>
      <c r="C542" s="65"/>
      <c r="D542" s="58" t="s">
        <v>263</v>
      </c>
      <c r="E542" s="71" t="s">
        <v>2869</v>
      </c>
      <c r="F542" s="65"/>
      <c r="G542" s="58" t="s">
        <v>263</v>
      </c>
      <c r="H542" s="71" t="s">
        <v>2870</v>
      </c>
      <c r="I542" s="65"/>
      <c r="J542" s="65"/>
      <c r="K542" s="65"/>
      <c r="L542" s="58" t="s">
        <v>263</v>
      </c>
      <c r="M542" s="71" t="s">
        <v>716</v>
      </c>
      <c r="N542" s="65"/>
      <c r="O542" s="58" t="s">
        <v>263</v>
      </c>
      <c r="P542" s="59">
        <v>198</v>
      </c>
      <c r="Q542" s="58" t="s">
        <v>263</v>
      </c>
      <c r="R542" s="58" t="s">
        <v>918</v>
      </c>
      <c r="S542" s="58" t="s">
        <v>263</v>
      </c>
      <c r="T542" s="66">
        <v>0</v>
      </c>
      <c r="U542" s="65"/>
      <c r="V542" s="65"/>
      <c r="W542" s="58" t="s">
        <v>263</v>
      </c>
      <c r="X542" s="59">
        <v>0</v>
      </c>
      <c r="Y542" s="60" t="s">
        <v>263</v>
      </c>
      <c r="Z542" s="66">
        <v>0</v>
      </c>
      <c r="AA542" s="65"/>
      <c r="AB542" s="60" t="s">
        <v>263</v>
      </c>
      <c r="AC542" s="59">
        <v>0</v>
      </c>
    </row>
    <row r="543" spans="2:29" x14ac:dyDescent="0.3">
      <c r="B543" s="71" t="s">
        <v>2871</v>
      </c>
      <c r="C543" s="65"/>
      <c r="D543" s="58" t="s">
        <v>263</v>
      </c>
      <c r="E543" s="71" t="s">
        <v>2872</v>
      </c>
      <c r="F543" s="65"/>
      <c r="G543" s="58" t="s">
        <v>263</v>
      </c>
      <c r="H543" s="71" t="s">
        <v>2873</v>
      </c>
      <c r="I543" s="65"/>
      <c r="J543" s="65"/>
      <c r="K543" s="65"/>
      <c r="L543" s="58" t="s">
        <v>263</v>
      </c>
      <c r="M543" s="71" t="s">
        <v>716</v>
      </c>
      <c r="N543" s="65"/>
      <c r="O543" s="58" t="s">
        <v>263</v>
      </c>
      <c r="P543" s="59">
        <v>209</v>
      </c>
      <c r="Q543" s="58" t="s">
        <v>263</v>
      </c>
      <c r="R543" s="58" t="s">
        <v>1159</v>
      </c>
      <c r="S543" s="58" t="s">
        <v>263</v>
      </c>
      <c r="T543" s="66">
        <v>0</v>
      </c>
      <c r="U543" s="65"/>
      <c r="V543" s="65"/>
      <c r="W543" s="58" t="s">
        <v>263</v>
      </c>
      <c r="X543" s="59">
        <v>-97.53</v>
      </c>
      <c r="Y543" s="60" t="s">
        <v>263</v>
      </c>
      <c r="Z543" s="66">
        <v>0</v>
      </c>
      <c r="AA543" s="65"/>
      <c r="AB543" s="60" t="s">
        <v>263</v>
      </c>
      <c r="AC543" s="59">
        <v>0</v>
      </c>
    </row>
    <row r="544" spans="2:29" x14ac:dyDescent="0.3">
      <c r="B544" s="71" t="s">
        <v>2874</v>
      </c>
      <c r="C544" s="65"/>
      <c r="D544" s="58" t="s">
        <v>263</v>
      </c>
      <c r="E544" s="71" t="s">
        <v>2875</v>
      </c>
      <c r="F544" s="65"/>
      <c r="G544" s="58" t="s">
        <v>263</v>
      </c>
      <c r="H544" s="71" t="s">
        <v>2876</v>
      </c>
      <c r="I544" s="65"/>
      <c r="J544" s="65"/>
      <c r="K544" s="65"/>
      <c r="L544" s="58" t="s">
        <v>263</v>
      </c>
      <c r="M544" s="71" t="s">
        <v>716</v>
      </c>
      <c r="N544" s="65"/>
      <c r="O544" s="58" t="s">
        <v>263</v>
      </c>
      <c r="P544" s="59">
        <v>209</v>
      </c>
      <c r="Q544" s="58" t="s">
        <v>263</v>
      </c>
      <c r="R544" s="58" t="s">
        <v>918</v>
      </c>
      <c r="S544" s="58" t="s">
        <v>263</v>
      </c>
      <c r="T544" s="66">
        <v>0</v>
      </c>
      <c r="U544" s="65"/>
      <c r="V544" s="65"/>
      <c r="W544" s="58" t="s">
        <v>263</v>
      </c>
      <c r="X544" s="59">
        <v>-97.53</v>
      </c>
      <c r="Y544" s="60" t="s">
        <v>263</v>
      </c>
      <c r="Z544" s="66">
        <v>0</v>
      </c>
      <c r="AA544" s="65"/>
      <c r="AB544" s="60" t="s">
        <v>263</v>
      </c>
      <c r="AC544" s="59">
        <v>0</v>
      </c>
    </row>
    <row r="545" spans="2:29" x14ac:dyDescent="0.3">
      <c r="B545" s="71" t="s">
        <v>2877</v>
      </c>
      <c r="C545" s="65"/>
      <c r="D545" s="58" t="s">
        <v>263</v>
      </c>
      <c r="E545" s="71" t="s">
        <v>2875</v>
      </c>
      <c r="F545" s="65"/>
      <c r="G545" s="58" t="s">
        <v>263</v>
      </c>
      <c r="H545" s="71" t="s">
        <v>2876</v>
      </c>
      <c r="I545" s="65"/>
      <c r="J545" s="65"/>
      <c r="K545" s="65"/>
      <c r="L545" s="58" t="s">
        <v>263</v>
      </c>
      <c r="M545" s="71" t="s">
        <v>716</v>
      </c>
      <c r="N545" s="65"/>
      <c r="O545" s="58" t="s">
        <v>263</v>
      </c>
      <c r="P545" s="59">
        <v>183</v>
      </c>
      <c r="Q545" s="58" t="s">
        <v>263</v>
      </c>
      <c r="R545" s="58" t="s">
        <v>918</v>
      </c>
      <c r="S545" s="58" t="s">
        <v>263</v>
      </c>
      <c r="T545" s="66">
        <v>0</v>
      </c>
      <c r="U545" s="65"/>
      <c r="V545" s="65"/>
      <c r="W545" s="58" t="s">
        <v>263</v>
      </c>
      <c r="X545" s="59">
        <v>-85.4</v>
      </c>
      <c r="Y545" s="60" t="s">
        <v>263</v>
      </c>
      <c r="Z545" s="66">
        <v>0</v>
      </c>
      <c r="AA545" s="65"/>
      <c r="AB545" s="60" t="s">
        <v>263</v>
      </c>
      <c r="AC545" s="59">
        <v>0</v>
      </c>
    </row>
    <row r="546" spans="2:29" x14ac:dyDescent="0.3">
      <c r="B546" s="71" t="s">
        <v>2878</v>
      </c>
      <c r="C546" s="65"/>
      <c r="D546" s="58" t="s">
        <v>263</v>
      </c>
      <c r="E546" s="71" t="s">
        <v>2879</v>
      </c>
      <c r="F546" s="65"/>
      <c r="G546" s="58" t="s">
        <v>263</v>
      </c>
      <c r="H546" s="71" t="s">
        <v>2880</v>
      </c>
      <c r="I546" s="65"/>
      <c r="J546" s="65"/>
      <c r="K546" s="65"/>
      <c r="L546" s="58" t="s">
        <v>263</v>
      </c>
      <c r="M546" s="71" t="s">
        <v>716</v>
      </c>
      <c r="N546" s="65"/>
      <c r="O546" s="58" t="s">
        <v>263</v>
      </c>
      <c r="P546" s="59">
        <v>163</v>
      </c>
      <c r="Q546" s="58" t="s">
        <v>263</v>
      </c>
      <c r="R546" s="58" t="s">
        <v>918</v>
      </c>
      <c r="S546" s="58" t="s">
        <v>263</v>
      </c>
      <c r="T546" s="66">
        <v>0</v>
      </c>
      <c r="U546" s="65"/>
      <c r="V546" s="65"/>
      <c r="W546" s="58" t="s">
        <v>263</v>
      </c>
      <c r="X546" s="59">
        <v>0</v>
      </c>
      <c r="Y546" s="60" t="s">
        <v>263</v>
      </c>
      <c r="Z546" s="66">
        <v>0</v>
      </c>
      <c r="AA546" s="65"/>
      <c r="AB546" s="60" t="s">
        <v>263</v>
      </c>
      <c r="AC546" s="59">
        <v>0</v>
      </c>
    </row>
    <row r="547" spans="2:29" x14ac:dyDescent="0.3">
      <c r="B547" s="71" t="s">
        <v>2881</v>
      </c>
      <c r="C547" s="65"/>
      <c r="D547" s="58" t="s">
        <v>263</v>
      </c>
      <c r="E547" s="71" t="s">
        <v>2882</v>
      </c>
      <c r="F547" s="65"/>
      <c r="G547" s="58" t="s">
        <v>263</v>
      </c>
      <c r="H547" s="71" t="s">
        <v>2883</v>
      </c>
      <c r="I547" s="65"/>
      <c r="J547" s="65"/>
      <c r="K547" s="65"/>
      <c r="L547" s="58" t="s">
        <v>263</v>
      </c>
      <c r="M547" s="71" t="s">
        <v>729</v>
      </c>
      <c r="N547" s="65"/>
      <c r="O547" s="58" t="s">
        <v>263</v>
      </c>
      <c r="P547" s="59">
        <v>105</v>
      </c>
      <c r="Q547" s="58" t="s">
        <v>263</v>
      </c>
      <c r="R547" s="58" t="s">
        <v>918</v>
      </c>
      <c r="S547" s="58" t="s">
        <v>263</v>
      </c>
      <c r="T547" s="66">
        <v>0</v>
      </c>
      <c r="U547" s="65"/>
      <c r="V547" s="65"/>
      <c r="W547" s="58" t="s">
        <v>263</v>
      </c>
      <c r="X547" s="59">
        <v>0</v>
      </c>
      <c r="Y547" s="60" t="s">
        <v>263</v>
      </c>
      <c r="Z547" s="66">
        <v>0</v>
      </c>
      <c r="AA547" s="65"/>
      <c r="AB547" s="60" t="s">
        <v>263</v>
      </c>
      <c r="AC547" s="59">
        <v>0</v>
      </c>
    </row>
    <row r="548" spans="2:29" x14ac:dyDescent="0.3">
      <c r="B548" s="71" t="s">
        <v>2884</v>
      </c>
      <c r="C548" s="65"/>
      <c r="D548" s="58" t="s">
        <v>263</v>
      </c>
      <c r="E548" s="71" t="s">
        <v>2885</v>
      </c>
      <c r="F548" s="65"/>
      <c r="G548" s="58" t="s">
        <v>263</v>
      </c>
      <c r="H548" s="71" t="s">
        <v>2886</v>
      </c>
      <c r="I548" s="65"/>
      <c r="J548" s="65"/>
      <c r="K548" s="65"/>
      <c r="L548" s="58" t="s">
        <v>263</v>
      </c>
      <c r="M548" s="71" t="s">
        <v>748</v>
      </c>
      <c r="N548" s="65"/>
      <c r="O548" s="58" t="s">
        <v>263</v>
      </c>
      <c r="P548" s="59">
        <v>183</v>
      </c>
      <c r="Q548" s="58" t="s">
        <v>263</v>
      </c>
      <c r="R548" s="58" t="s">
        <v>918</v>
      </c>
      <c r="S548" s="58" t="s">
        <v>263</v>
      </c>
      <c r="T548" s="66">
        <v>0</v>
      </c>
      <c r="U548" s="65"/>
      <c r="V548" s="65"/>
      <c r="W548" s="58" t="s">
        <v>263</v>
      </c>
      <c r="X548" s="59">
        <v>0</v>
      </c>
      <c r="Y548" s="60" t="s">
        <v>263</v>
      </c>
      <c r="Z548" s="66">
        <v>0</v>
      </c>
      <c r="AA548" s="65"/>
      <c r="AB548" s="60" t="s">
        <v>263</v>
      </c>
      <c r="AC548" s="59">
        <v>0</v>
      </c>
    </row>
    <row r="549" spans="2:29" x14ac:dyDescent="0.3">
      <c r="B549" s="71" t="s">
        <v>2887</v>
      </c>
      <c r="C549" s="65"/>
      <c r="D549" s="58" t="s">
        <v>263</v>
      </c>
      <c r="E549" s="71" t="s">
        <v>2888</v>
      </c>
      <c r="F549" s="65"/>
      <c r="G549" s="58" t="s">
        <v>263</v>
      </c>
      <c r="H549" s="71" t="s">
        <v>2889</v>
      </c>
      <c r="I549" s="65"/>
      <c r="J549" s="65"/>
      <c r="K549" s="65"/>
      <c r="L549" s="58" t="s">
        <v>263</v>
      </c>
      <c r="M549" s="71" t="s">
        <v>751</v>
      </c>
      <c r="N549" s="65"/>
      <c r="O549" s="58" t="s">
        <v>263</v>
      </c>
      <c r="P549" s="59">
        <v>176</v>
      </c>
      <c r="Q549" s="58" t="s">
        <v>263</v>
      </c>
      <c r="R549" s="58" t="s">
        <v>918</v>
      </c>
      <c r="S549" s="58" t="s">
        <v>263</v>
      </c>
      <c r="T549" s="66">
        <v>0</v>
      </c>
      <c r="U549" s="65"/>
      <c r="V549" s="65"/>
      <c r="W549" s="58" t="s">
        <v>263</v>
      </c>
      <c r="X549" s="59">
        <v>0</v>
      </c>
      <c r="Y549" s="60" t="s">
        <v>263</v>
      </c>
      <c r="Z549" s="66">
        <v>0</v>
      </c>
      <c r="AA549" s="65"/>
      <c r="AB549" s="60" t="s">
        <v>263</v>
      </c>
      <c r="AC549" s="59">
        <v>0</v>
      </c>
    </row>
    <row r="550" spans="2:29" x14ac:dyDescent="0.3">
      <c r="B550" s="71" t="s">
        <v>2890</v>
      </c>
      <c r="C550" s="65"/>
      <c r="D550" s="58" t="s">
        <v>263</v>
      </c>
      <c r="E550" s="71" t="s">
        <v>2891</v>
      </c>
      <c r="F550" s="65"/>
      <c r="G550" s="58" t="s">
        <v>263</v>
      </c>
      <c r="H550" s="71" t="s">
        <v>2892</v>
      </c>
      <c r="I550" s="65"/>
      <c r="J550" s="65"/>
      <c r="K550" s="65"/>
      <c r="L550" s="58" t="s">
        <v>263</v>
      </c>
      <c r="M550" s="71" t="s">
        <v>755</v>
      </c>
      <c r="N550" s="65"/>
      <c r="O550" s="58" t="s">
        <v>263</v>
      </c>
      <c r="P550" s="59">
        <v>198</v>
      </c>
      <c r="Q550" s="58" t="s">
        <v>263</v>
      </c>
      <c r="R550" s="58" t="s">
        <v>918</v>
      </c>
      <c r="S550" s="58" t="s">
        <v>263</v>
      </c>
      <c r="T550" s="66">
        <v>0</v>
      </c>
      <c r="U550" s="65"/>
      <c r="V550" s="65"/>
      <c r="W550" s="58" t="s">
        <v>263</v>
      </c>
      <c r="X550" s="59">
        <v>0</v>
      </c>
      <c r="Y550" s="60" t="s">
        <v>263</v>
      </c>
      <c r="Z550" s="66">
        <v>0</v>
      </c>
      <c r="AA550" s="65"/>
      <c r="AB550" s="60" t="s">
        <v>263</v>
      </c>
      <c r="AC550" s="59">
        <v>0</v>
      </c>
    </row>
    <row r="551" spans="2:29" x14ac:dyDescent="0.3">
      <c r="B551" s="71" t="s">
        <v>2893</v>
      </c>
      <c r="C551" s="65"/>
      <c r="D551" s="58" t="s">
        <v>263</v>
      </c>
      <c r="E551" s="71" t="s">
        <v>2894</v>
      </c>
      <c r="F551" s="65"/>
      <c r="G551" s="58" t="s">
        <v>263</v>
      </c>
      <c r="H551" s="71" t="s">
        <v>2895</v>
      </c>
      <c r="I551" s="65"/>
      <c r="J551" s="65"/>
      <c r="K551" s="65"/>
      <c r="L551" s="58" t="s">
        <v>263</v>
      </c>
      <c r="M551" s="71" t="s">
        <v>755</v>
      </c>
      <c r="N551" s="65"/>
      <c r="O551" s="58" t="s">
        <v>263</v>
      </c>
      <c r="P551" s="59">
        <v>106</v>
      </c>
      <c r="Q551" s="58" t="s">
        <v>263</v>
      </c>
      <c r="R551" s="58" t="s">
        <v>918</v>
      </c>
      <c r="S551" s="58" t="s">
        <v>263</v>
      </c>
      <c r="T551" s="66">
        <v>0</v>
      </c>
      <c r="U551" s="65"/>
      <c r="V551" s="65"/>
      <c r="W551" s="58" t="s">
        <v>263</v>
      </c>
      <c r="X551" s="59">
        <v>0</v>
      </c>
      <c r="Y551" s="60" t="s">
        <v>263</v>
      </c>
      <c r="Z551" s="66">
        <v>0</v>
      </c>
      <c r="AA551" s="65"/>
      <c r="AB551" s="60" t="s">
        <v>263</v>
      </c>
      <c r="AC551" s="59">
        <v>0</v>
      </c>
    </row>
    <row r="552" spans="2:29" x14ac:dyDescent="0.3">
      <c r="B552" s="71" t="s">
        <v>2896</v>
      </c>
      <c r="C552" s="65"/>
      <c r="D552" s="58" t="s">
        <v>263</v>
      </c>
      <c r="E552" s="71" t="s">
        <v>2897</v>
      </c>
      <c r="F552" s="65"/>
      <c r="G552" s="58" t="s">
        <v>263</v>
      </c>
      <c r="H552" s="71" t="s">
        <v>2898</v>
      </c>
      <c r="I552" s="65"/>
      <c r="J552" s="65"/>
      <c r="K552" s="65"/>
      <c r="L552" s="58" t="s">
        <v>263</v>
      </c>
      <c r="M552" s="71" t="s">
        <v>2899</v>
      </c>
      <c r="N552" s="65"/>
      <c r="O552" s="58" t="s">
        <v>263</v>
      </c>
      <c r="P552" s="59">
        <v>280</v>
      </c>
      <c r="Q552" s="58" t="s">
        <v>263</v>
      </c>
      <c r="R552" s="58" t="s">
        <v>1159</v>
      </c>
      <c r="S552" s="58" t="s">
        <v>263</v>
      </c>
      <c r="T552" s="66">
        <v>0</v>
      </c>
      <c r="U552" s="65"/>
      <c r="V552" s="65"/>
      <c r="W552" s="58" t="s">
        <v>263</v>
      </c>
      <c r="X552" s="59">
        <v>-1</v>
      </c>
      <c r="Y552" s="60" t="s">
        <v>263</v>
      </c>
      <c r="Z552" s="66">
        <v>0</v>
      </c>
      <c r="AA552" s="65"/>
      <c r="AB552" s="60" t="s">
        <v>263</v>
      </c>
      <c r="AC552" s="59">
        <v>0</v>
      </c>
    </row>
    <row r="553" spans="2:29" x14ac:dyDescent="0.3">
      <c r="B553" s="71" t="s">
        <v>2900</v>
      </c>
      <c r="C553" s="65"/>
      <c r="D553" s="58" t="s">
        <v>263</v>
      </c>
      <c r="E553" s="71" t="s">
        <v>2901</v>
      </c>
      <c r="F553" s="65"/>
      <c r="G553" s="58" t="s">
        <v>263</v>
      </c>
      <c r="H553" s="71" t="s">
        <v>2902</v>
      </c>
      <c r="I553" s="65"/>
      <c r="J553" s="65"/>
      <c r="K553" s="65"/>
      <c r="L553" s="58" t="s">
        <v>263</v>
      </c>
      <c r="M553" s="71" t="s">
        <v>775</v>
      </c>
      <c r="N553" s="65"/>
      <c r="O553" s="58" t="s">
        <v>263</v>
      </c>
      <c r="P553" s="59">
        <v>117</v>
      </c>
      <c r="Q553" s="58" t="s">
        <v>263</v>
      </c>
      <c r="R553" s="58" t="s">
        <v>1159</v>
      </c>
      <c r="S553" s="58" t="s">
        <v>263</v>
      </c>
      <c r="T553" s="66">
        <v>0</v>
      </c>
      <c r="U553" s="65"/>
      <c r="V553" s="65"/>
      <c r="W553" s="58" t="s">
        <v>263</v>
      </c>
      <c r="X553" s="59">
        <v>-81.900000000000006</v>
      </c>
      <c r="Y553" s="60" t="s">
        <v>263</v>
      </c>
      <c r="Z553" s="66">
        <v>0</v>
      </c>
      <c r="AA553" s="65"/>
      <c r="AB553" s="60" t="s">
        <v>263</v>
      </c>
      <c r="AC553" s="59">
        <v>0</v>
      </c>
    </row>
    <row r="554" spans="2:29" x14ac:dyDescent="0.3">
      <c r="B554" s="71" t="s">
        <v>2903</v>
      </c>
      <c r="C554" s="65"/>
      <c r="D554" s="58" t="s">
        <v>263</v>
      </c>
      <c r="E554" s="71" t="s">
        <v>2904</v>
      </c>
      <c r="F554" s="65"/>
      <c r="G554" s="58" t="s">
        <v>263</v>
      </c>
      <c r="H554" s="71" t="s">
        <v>2905</v>
      </c>
      <c r="I554" s="65"/>
      <c r="J554" s="65"/>
      <c r="K554" s="65"/>
      <c r="L554" s="58" t="s">
        <v>263</v>
      </c>
      <c r="M554" s="71" t="s">
        <v>775</v>
      </c>
      <c r="N554" s="65"/>
      <c r="O554" s="58" t="s">
        <v>263</v>
      </c>
      <c r="P554" s="59">
        <v>149</v>
      </c>
      <c r="Q554" s="58" t="s">
        <v>263</v>
      </c>
      <c r="R554" s="58" t="s">
        <v>918</v>
      </c>
      <c r="S554" s="58" t="s">
        <v>263</v>
      </c>
      <c r="T554" s="66">
        <v>0</v>
      </c>
      <c r="U554" s="65"/>
      <c r="V554" s="65"/>
      <c r="W554" s="58" t="s">
        <v>263</v>
      </c>
      <c r="X554" s="59">
        <v>0</v>
      </c>
      <c r="Y554" s="60" t="s">
        <v>263</v>
      </c>
      <c r="Z554" s="66">
        <v>0</v>
      </c>
      <c r="AA554" s="65"/>
      <c r="AB554" s="60" t="s">
        <v>263</v>
      </c>
      <c r="AC554" s="59">
        <v>0</v>
      </c>
    </row>
    <row r="555" spans="2:29" x14ac:dyDescent="0.3">
      <c r="B555" s="71" t="s">
        <v>2906</v>
      </c>
      <c r="C555" s="65"/>
      <c r="D555" s="58" t="s">
        <v>263</v>
      </c>
      <c r="E555" s="71" t="s">
        <v>2907</v>
      </c>
      <c r="F555" s="65"/>
      <c r="G555" s="58" t="s">
        <v>263</v>
      </c>
      <c r="H555" s="71" t="s">
        <v>2908</v>
      </c>
      <c r="I555" s="65"/>
      <c r="J555" s="65"/>
      <c r="K555" s="65"/>
      <c r="L555" s="58" t="s">
        <v>263</v>
      </c>
      <c r="M555" s="71" t="s">
        <v>789</v>
      </c>
      <c r="N555" s="65"/>
      <c r="O555" s="58" t="s">
        <v>263</v>
      </c>
      <c r="P555" s="59">
        <v>86</v>
      </c>
      <c r="Q555" s="58" t="s">
        <v>263</v>
      </c>
      <c r="R555" s="58" t="s">
        <v>918</v>
      </c>
      <c r="S555" s="58" t="s">
        <v>263</v>
      </c>
      <c r="T555" s="66">
        <v>0</v>
      </c>
      <c r="U555" s="65"/>
      <c r="V555" s="65"/>
      <c r="W555" s="58" t="s">
        <v>263</v>
      </c>
      <c r="X555" s="59">
        <v>0</v>
      </c>
      <c r="Y555" s="60" t="s">
        <v>263</v>
      </c>
      <c r="Z555" s="66">
        <v>0</v>
      </c>
      <c r="AA555" s="65"/>
      <c r="AB555" s="60" t="s">
        <v>263</v>
      </c>
      <c r="AC555" s="59">
        <v>0</v>
      </c>
    </row>
    <row r="556" spans="2:29" x14ac:dyDescent="0.3">
      <c r="B556" s="71" t="s">
        <v>2909</v>
      </c>
      <c r="C556" s="65"/>
      <c r="D556" s="58" t="s">
        <v>263</v>
      </c>
      <c r="E556" s="71" t="s">
        <v>2910</v>
      </c>
      <c r="F556" s="65"/>
      <c r="G556" s="58" t="s">
        <v>263</v>
      </c>
      <c r="H556" s="71" t="s">
        <v>2911</v>
      </c>
      <c r="I556" s="65"/>
      <c r="J556" s="65"/>
      <c r="K556" s="65"/>
      <c r="L556" s="58" t="s">
        <v>263</v>
      </c>
      <c r="M556" s="71" t="s">
        <v>814</v>
      </c>
      <c r="N556" s="65"/>
      <c r="O556" s="58" t="s">
        <v>263</v>
      </c>
      <c r="P556" s="59">
        <v>224</v>
      </c>
      <c r="Q556" s="58" t="s">
        <v>263</v>
      </c>
      <c r="R556" s="58" t="s">
        <v>918</v>
      </c>
      <c r="S556" s="58" t="s">
        <v>263</v>
      </c>
      <c r="T556" s="66">
        <v>0</v>
      </c>
      <c r="U556" s="65"/>
      <c r="V556" s="65"/>
      <c r="W556" s="58" t="s">
        <v>263</v>
      </c>
      <c r="X556" s="59">
        <v>0</v>
      </c>
      <c r="Y556" s="60" t="s">
        <v>263</v>
      </c>
      <c r="Z556" s="66">
        <v>0</v>
      </c>
      <c r="AA556" s="65"/>
      <c r="AB556" s="60" t="s">
        <v>263</v>
      </c>
      <c r="AC556" s="59">
        <v>0</v>
      </c>
    </row>
    <row r="557" spans="2:29" x14ac:dyDescent="0.3">
      <c r="B557" s="71" t="s">
        <v>2912</v>
      </c>
      <c r="C557" s="65"/>
      <c r="D557" s="58" t="s">
        <v>263</v>
      </c>
      <c r="E557" s="71" t="s">
        <v>2913</v>
      </c>
      <c r="F557" s="65"/>
      <c r="G557" s="58" t="s">
        <v>263</v>
      </c>
      <c r="H557" s="71" t="s">
        <v>2914</v>
      </c>
      <c r="I557" s="65"/>
      <c r="J557" s="65"/>
      <c r="K557" s="65"/>
      <c r="L557" s="58" t="s">
        <v>263</v>
      </c>
      <c r="M557" s="71" t="s">
        <v>819</v>
      </c>
      <c r="N557" s="65"/>
      <c r="O557" s="58" t="s">
        <v>263</v>
      </c>
      <c r="P557" s="59">
        <v>341</v>
      </c>
      <c r="Q557" s="58" t="s">
        <v>263</v>
      </c>
      <c r="R557" s="58" t="s">
        <v>918</v>
      </c>
      <c r="S557" s="58" t="s">
        <v>263</v>
      </c>
      <c r="T557" s="66">
        <v>0</v>
      </c>
      <c r="U557" s="65"/>
      <c r="V557" s="65"/>
      <c r="W557" s="58" t="s">
        <v>263</v>
      </c>
      <c r="X557" s="59">
        <v>0</v>
      </c>
      <c r="Y557" s="60" t="s">
        <v>263</v>
      </c>
      <c r="Z557" s="66">
        <v>0</v>
      </c>
      <c r="AA557" s="65"/>
      <c r="AB557" s="60" t="s">
        <v>263</v>
      </c>
      <c r="AC557" s="59">
        <v>0</v>
      </c>
    </row>
    <row r="558" spans="2:29" x14ac:dyDescent="0.3">
      <c r="B558" s="71" t="s">
        <v>2915</v>
      </c>
      <c r="C558" s="65"/>
      <c r="D558" s="58" t="s">
        <v>263</v>
      </c>
      <c r="E558" s="71" t="s">
        <v>2916</v>
      </c>
      <c r="F558" s="65"/>
      <c r="G558" s="58" t="s">
        <v>263</v>
      </c>
      <c r="H558" s="71" t="s">
        <v>2917</v>
      </c>
      <c r="I558" s="65"/>
      <c r="J558" s="65"/>
      <c r="K558" s="65"/>
      <c r="L558" s="58" t="s">
        <v>263</v>
      </c>
      <c r="M558" s="71" t="s">
        <v>824</v>
      </c>
      <c r="N558" s="65"/>
      <c r="O558" s="58" t="s">
        <v>263</v>
      </c>
      <c r="P558" s="59">
        <v>105</v>
      </c>
      <c r="Q558" s="58" t="s">
        <v>263</v>
      </c>
      <c r="R558" s="58" t="s">
        <v>918</v>
      </c>
      <c r="S558" s="58" t="s">
        <v>263</v>
      </c>
      <c r="T558" s="66">
        <v>0</v>
      </c>
      <c r="U558" s="65"/>
      <c r="V558" s="65"/>
      <c r="W558" s="58" t="s">
        <v>263</v>
      </c>
      <c r="X558" s="59">
        <v>-45.5</v>
      </c>
      <c r="Y558" s="60" t="s">
        <v>263</v>
      </c>
      <c r="Z558" s="66">
        <v>0</v>
      </c>
      <c r="AA558" s="65"/>
      <c r="AB558" s="60" t="s">
        <v>263</v>
      </c>
      <c r="AC558" s="59">
        <v>0</v>
      </c>
    </row>
    <row r="559" spans="2:29" x14ac:dyDescent="0.3">
      <c r="B559" s="71" t="s">
        <v>2918</v>
      </c>
      <c r="C559" s="65"/>
      <c r="D559" s="58" t="s">
        <v>263</v>
      </c>
      <c r="E559" s="71" t="s">
        <v>2919</v>
      </c>
      <c r="F559" s="65"/>
      <c r="G559" s="58" t="s">
        <v>263</v>
      </c>
      <c r="H559" s="71" t="s">
        <v>2920</v>
      </c>
      <c r="I559" s="65"/>
      <c r="J559" s="65"/>
      <c r="K559" s="65"/>
      <c r="L559" s="58" t="s">
        <v>263</v>
      </c>
      <c r="M559" s="71" t="s">
        <v>918</v>
      </c>
      <c r="N559" s="65"/>
      <c r="O559" s="58" t="s">
        <v>263</v>
      </c>
      <c r="P559" s="59">
        <v>102</v>
      </c>
      <c r="Q559" s="58" t="s">
        <v>263</v>
      </c>
      <c r="R559" s="58" t="s">
        <v>1159</v>
      </c>
      <c r="S559" s="58" t="s">
        <v>263</v>
      </c>
      <c r="T559" s="66">
        <v>0</v>
      </c>
      <c r="U559" s="65"/>
      <c r="V559" s="65"/>
      <c r="W559" s="58" t="s">
        <v>263</v>
      </c>
      <c r="X559" s="59">
        <v>-1</v>
      </c>
      <c r="Y559" s="60" t="s">
        <v>263</v>
      </c>
      <c r="Z559" s="66">
        <v>0</v>
      </c>
      <c r="AA559" s="65"/>
      <c r="AB559" s="60" t="s">
        <v>263</v>
      </c>
      <c r="AC559" s="59">
        <v>0</v>
      </c>
    </row>
    <row r="560" spans="2:29" x14ac:dyDescent="0.3">
      <c r="B560" s="71" t="s">
        <v>2921</v>
      </c>
      <c r="C560" s="65"/>
      <c r="D560" s="58" t="s">
        <v>263</v>
      </c>
      <c r="E560" s="71" t="s">
        <v>2922</v>
      </c>
      <c r="F560" s="65"/>
      <c r="G560" s="58" t="s">
        <v>263</v>
      </c>
      <c r="H560" s="71" t="s">
        <v>2923</v>
      </c>
      <c r="I560" s="65"/>
      <c r="J560" s="65"/>
      <c r="K560" s="65"/>
      <c r="L560" s="58" t="s">
        <v>263</v>
      </c>
      <c r="M560" s="71" t="s">
        <v>846</v>
      </c>
      <c r="N560" s="65"/>
      <c r="O560" s="58" t="s">
        <v>263</v>
      </c>
      <c r="P560" s="59">
        <v>138</v>
      </c>
      <c r="Q560" s="58" t="s">
        <v>263</v>
      </c>
      <c r="R560" s="58" t="s">
        <v>1159</v>
      </c>
      <c r="S560" s="58" t="s">
        <v>263</v>
      </c>
      <c r="T560" s="66">
        <v>0</v>
      </c>
      <c r="U560" s="65"/>
      <c r="V560" s="65"/>
      <c r="W560" s="58" t="s">
        <v>263</v>
      </c>
      <c r="X560" s="59">
        <v>-1</v>
      </c>
      <c r="Y560" s="60" t="s">
        <v>263</v>
      </c>
      <c r="Z560" s="66">
        <v>0</v>
      </c>
      <c r="AA560" s="65"/>
      <c r="AB560" s="60" t="s">
        <v>263</v>
      </c>
      <c r="AC560" s="59">
        <v>0</v>
      </c>
    </row>
    <row r="561" spans="2:29" x14ac:dyDescent="0.3">
      <c r="B561" s="71" t="s">
        <v>2924</v>
      </c>
      <c r="C561" s="65"/>
      <c r="D561" s="58" t="s">
        <v>263</v>
      </c>
      <c r="E561" s="71" t="s">
        <v>2925</v>
      </c>
      <c r="F561" s="65"/>
      <c r="G561" s="58" t="s">
        <v>263</v>
      </c>
      <c r="H561" s="71" t="s">
        <v>2926</v>
      </c>
      <c r="I561" s="65"/>
      <c r="J561" s="65"/>
      <c r="K561" s="65"/>
      <c r="L561" s="58" t="s">
        <v>263</v>
      </c>
      <c r="M561" s="71" t="s">
        <v>846</v>
      </c>
      <c r="N561" s="65"/>
      <c r="O561" s="58" t="s">
        <v>263</v>
      </c>
      <c r="P561" s="59">
        <v>240</v>
      </c>
      <c r="Q561" s="58" t="s">
        <v>263</v>
      </c>
      <c r="R561" s="58" t="s">
        <v>1159</v>
      </c>
      <c r="S561" s="58" t="s">
        <v>263</v>
      </c>
      <c r="T561" s="66">
        <v>0</v>
      </c>
      <c r="U561" s="65"/>
      <c r="V561" s="65"/>
      <c r="W561" s="58" t="s">
        <v>263</v>
      </c>
      <c r="X561" s="59">
        <v>-1</v>
      </c>
      <c r="Y561" s="60" t="s">
        <v>263</v>
      </c>
      <c r="Z561" s="66">
        <v>0</v>
      </c>
      <c r="AA561" s="65"/>
      <c r="AB561" s="60" t="s">
        <v>263</v>
      </c>
      <c r="AC561" s="59">
        <v>0</v>
      </c>
    </row>
    <row r="562" spans="2:29" ht="15" thickBot="1" x14ac:dyDescent="0.35">
      <c r="B562" s="67" t="s">
        <v>263</v>
      </c>
      <c r="C562" s="68"/>
      <c r="D562" s="61" t="s">
        <v>263</v>
      </c>
      <c r="E562" s="67" t="s">
        <v>263</v>
      </c>
      <c r="F562" s="68"/>
      <c r="G562" s="61" t="s">
        <v>263</v>
      </c>
      <c r="H562" s="67" t="s">
        <v>263</v>
      </c>
      <c r="I562" s="68"/>
      <c r="J562" s="68"/>
      <c r="K562" s="68"/>
      <c r="L562" s="61" t="s">
        <v>263</v>
      </c>
      <c r="M562" s="67" t="s">
        <v>263</v>
      </c>
      <c r="N562" s="68"/>
      <c r="O562" s="61" t="s">
        <v>263</v>
      </c>
      <c r="P562" s="61" t="s">
        <v>263</v>
      </c>
      <c r="Q562" s="61" t="s">
        <v>263</v>
      </c>
      <c r="R562" s="61" t="s">
        <v>263</v>
      </c>
      <c r="S562" s="61" t="s">
        <v>263</v>
      </c>
      <c r="T562" s="69">
        <v>3757.06</v>
      </c>
      <c r="U562" s="68"/>
      <c r="V562" s="68"/>
      <c r="W562" s="61" t="s">
        <v>263</v>
      </c>
      <c r="X562" s="62">
        <v>-8077.89</v>
      </c>
      <c r="Y562" s="61" t="s">
        <v>263</v>
      </c>
      <c r="Z562" s="70">
        <v>250</v>
      </c>
      <c r="AA562" s="65"/>
      <c r="AB562" s="61" t="s">
        <v>263</v>
      </c>
      <c r="AC562" s="62">
        <v>125</v>
      </c>
    </row>
    <row r="563" spans="2:29" ht="15" thickTop="1" x14ac:dyDescent="0.3">
      <c r="B563" s="64" t="s">
        <v>263</v>
      </c>
      <c r="C563" s="65"/>
      <c r="D563" s="63" t="s">
        <v>263</v>
      </c>
      <c r="E563" s="64" t="s">
        <v>263</v>
      </c>
      <c r="F563" s="65"/>
      <c r="G563" s="63" t="s">
        <v>263</v>
      </c>
      <c r="H563" s="64" t="s">
        <v>263</v>
      </c>
      <c r="I563" s="65"/>
      <c r="J563" s="65"/>
      <c r="K563" s="65"/>
      <c r="L563" s="63" t="s">
        <v>263</v>
      </c>
      <c r="M563" s="64" t="s">
        <v>263</v>
      </c>
      <c r="N563" s="65"/>
      <c r="O563" s="63" t="s">
        <v>263</v>
      </c>
      <c r="P563" s="63" t="s">
        <v>263</v>
      </c>
      <c r="Q563" s="63" t="s">
        <v>263</v>
      </c>
      <c r="R563" s="63" t="s">
        <v>263</v>
      </c>
      <c r="S563" s="63" t="s">
        <v>263</v>
      </c>
      <c r="T563" s="64" t="s">
        <v>263</v>
      </c>
      <c r="U563" s="65"/>
      <c r="V563" s="65"/>
      <c r="W563" s="63" t="s">
        <v>263</v>
      </c>
      <c r="X563" s="63" t="s">
        <v>263</v>
      </c>
      <c r="Y563" s="63" t="s">
        <v>263</v>
      </c>
      <c r="Z563" s="64" t="s">
        <v>263</v>
      </c>
      <c r="AA563" s="65"/>
      <c r="AB563" s="63" t="s">
        <v>263</v>
      </c>
      <c r="AC563" s="63" t="s">
        <v>263</v>
      </c>
    </row>
    <row r="564" spans="2:29" x14ac:dyDescent="0.3"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</row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ht="0" hidden="1" customHeigh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</sheetData>
  <mergeCells count="3349">
    <mergeCell ref="Z7:AA7"/>
    <mergeCell ref="B8:C8"/>
    <mergeCell ref="E8:F8"/>
    <mergeCell ref="H8:K8"/>
    <mergeCell ref="M8:N8"/>
    <mergeCell ref="T8:V8"/>
    <mergeCell ref="Z8:AA8"/>
    <mergeCell ref="B7:C7"/>
    <mergeCell ref="E7:F7"/>
    <mergeCell ref="H7:K7"/>
    <mergeCell ref="M7:N7"/>
    <mergeCell ref="T7:V7"/>
    <mergeCell ref="C2:J3"/>
    <mergeCell ref="O3:T4"/>
    <mergeCell ref="V3:Z4"/>
    <mergeCell ref="C4:E5"/>
    <mergeCell ref="F4:F5"/>
    <mergeCell ref="I4:I5"/>
    <mergeCell ref="J4:M5"/>
    <mergeCell ref="Z11:AA11"/>
    <mergeCell ref="B12:C12"/>
    <mergeCell ref="E12:F12"/>
    <mergeCell ref="H12:K12"/>
    <mergeCell ref="M12:N12"/>
    <mergeCell ref="T12:V12"/>
    <mergeCell ref="Z12:AA12"/>
    <mergeCell ref="B11:C11"/>
    <mergeCell ref="E11:F11"/>
    <mergeCell ref="H11:K11"/>
    <mergeCell ref="M11:N11"/>
    <mergeCell ref="T11:V11"/>
    <mergeCell ref="Z9:AA9"/>
    <mergeCell ref="B10:C10"/>
    <mergeCell ref="E10:F10"/>
    <mergeCell ref="H10:K10"/>
    <mergeCell ref="M10:N10"/>
    <mergeCell ref="T10:V10"/>
    <mergeCell ref="Z10:AA10"/>
    <mergeCell ref="B9:C9"/>
    <mergeCell ref="E9:F9"/>
    <mergeCell ref="H9:K9"/>
    <mergeCell ref="M9:N9"/>
    <mergeCell ref="T9:V9"/>
    <mergeCell ref="Z15:AA15"/>
    <mergeCell ref="B16:C16"/>
    <mergeCell ref="E16:F16"/>
    <mergeCell ref="H16:K16"/>
    <mergeCell ref="M16:N16"/>
    <mergeCell ref="T16:V16"/>
    <mergeCell ref="Z16:AA16"/>
    <mergeCell ref="B15:C15"/>
    <mergeCell ref="E15:F15"/>
    <mergeCell ref="H15:K15"/>
    <mergeCell ref="M15:N15"/>
    <mergeCell ref="T15:V15"/>
    <mergeCell ref="Z13:AA13"/>
    <mergeCell ref="B14:C14"/>
    <mergeCell ref="E14:F14"/>
    <mergeCell ref="H14:K14"/>
    <mergeCell ref="M14:N14"/>
    <mergeCell ref="T14:V14"/>
    <mergeCell ref="Z14:AA14"/>
    <mergeCell ref="B13:C13"/>
    <mergeCell ref="E13:F13"/>
    <mergeCell ref="H13:K13"/>
    <mergeCell ref="M13:N13"/>
    <mergeCell ref="T13:V13"/>
    <mergeCell ref="Z19:AA19"/>
    <mergeCell ref="B20:C20"/>
    <mergeCell ref="E20:F20"/>
    <mergeCell ref="H20:K20"/>
    <mergeCell ref="M20:N20"/>
    <mergeCell ref="T20:V20"/>
    <mergeCell ref="Z20:AA20"/>
    <mergeCell ref="B19:C19"/>
    <mergeCell ref="E19:F19"/>
    <mergeCell ref="H19:K19"/>
    <mergeCell ref="M19:N19"/>
    <mergeCell ref="T19:V19"/>
    <mergeCell ref="Z17:AA17"/>
    <mergeCell ref="B18:C18"/>
    <mergeCell ref="E18:F18"/>
    <mergeCell ref="H18:K18"/>
    <mergeCell ref="M18:N18"/>
    <mergeCell ref="T18:V18"/>
    <mergeCell ref="Z18:AA18"/>
    <mergeCell ref="B17:C17"/>
    <mergeCell ref="E17:F17"/>
    <mergeCell ref="H17:K17"/>
    <mergeCell ref="M17:N17"/>
    <mergeCell ref="T17:V17"/>
    <mergeCell ref="Z23:AA23"/>
    <mergeCell ref="B24:C24"/>
    <mergeCell ref="E24:F24"/>
    <mergeCell ref="H24:K24"/>
    <mergeCell ref="M24:N24"/>
    <mergeCell ref="T24:V24"/>
    <mergeCell ref="Z24:AA24"/>
    <mergeCell ref="B23:C23"/>
    <mergeCell ref="E23:F23"/>
    <mergeCell ref="H23:K23"/>
    <mergeCell ref="M23:N23"/>
    <mergeCell ref="T23:V23"/>
    <mergeCell ref="Z21:AA21"/>
    <mergeCell ref="B22:C22"/>
    <mergeCell ref="E22:F22"/>
    <mergeCell ref="H22:K22"/>
    <mergeCell ref="M22:N22"/>
    <mergeCell ref="T22:V22"/>
    <mergeCell ref="Z22:AA22"/>
    <mergeCell ref="B21:C21"/>
    <mergeCell ref="E21:F21"/>
    <mergeCell ref="H21:K21"/>
    <mergeCell ref="M21:N21"/>
    <mergeCell ref="T21:V21"/>
    <mergeCell ref="Z27:AA27"/>
    <mergeCell ref="B28:C28"/>
    <mergeCell ref="E28:F28"/>
    <mergeCell ref="H28:K28"/>
    <mergeCell ref="M28:N28"/>
    <mergeCell ref="T28:V28"/>
    <mergeCell ref="Z28:AA28"/>
    <mergeCell ref="B27:C27"/>
    <mergeCell ref="E27:F27"/>
    <mergeCell ref="H27:K27"/>
    <mergeCell ref="M27:N27"/>
    <mergeCell ref="T27:V27"/>
    <mergeCell ref="Z25:AA25"/>
    <mergeCell ref="B26:C26"/>
    <mergeCell ref="E26:F26"/>
    <mergeCell ref="H26:K26"/>
    <mergeCell ref="M26:N26"/>
    <mergeCell ref="T26:V26"/>
    <mergeCell ref="Z26:AA26"/>
    <mergeCell ref="B25:C25"/>
    <mergeCell ref="E25:F25"/>
    <mergeCell ref="H25:K25"/>
    <mergeCell ref="M25:N25"/>
    <mergeCell ref="T25:V25"/>
    <mergeCell ref="Z31:AA31"/>
    <mergeCell ref="B32:C32"/>
    <mergeCell ref="E32:F32"/>
    <mergeCell ref="H32:K32"/>
    <mergeCell ref="M32:N32"/>
    <mergeCell ref="T32:V32"/>
    <mergeCell ref="Z32:AA32"/>
    <mergeCell ref="B31:C31"/>
    <mergeCell ref="E31:F31"/>
    <mergeCell ref="H31:K31"/>
    <mergeCell ref="M31:N31"/>
    <mergeCell ref="T31:V31"/>
    <mergeCell ref="Z29:AA29"/>
    <mergeCell ref="B30:C30"/>
    <mergeCell ref="E30:F30"/>
    <mergeCell ref="H30:K30"/>
    <mergeCell ref="M30:N30"/>
    <mergeCell ref="T30:V30"/>
    <mergeCell ref="Z30:AA30"/>
    <mergeCell ref="B29:C29"/>
    <mergeCell ref="E29:F29"/>
    <mergeCell ref="H29:K29"/>
    <mergeCell ref="M29:N29"/>
    <mergeCell ref="T29:V29"/>
    <mergeCell ref="Z35:AA35"/>
    <mergeCell ref="B36:C36"/>
    <mergeCell ref="E36:F36"/>
    <mergeCell ref="H36:K36"/>
    <mergeCell ref="M36:N36"/>
    <mergeCell ref="T36:V36"/>
    <mergeCell ref="Z36:AA36"/>
    <mergeCell ref="B35:C35"/>
    <mergeCell ref="E35:F35"/>
    <mergeCell ref="H35:K35"/>
    <mergeCell ref="M35:N35"/>
    <mergeCell ref="T35:V35"/>
    <mergeCell ref="Z33:AA33"/>
    <mergeCell ref="B34:C34"/>
    <mergeCell ref="E34:F34"/>
    <mergeCell ref="H34:K34"/>
    <mergeCell ref="M34:N34"/>
    <mergeCell ref="T34:V34"/>
    <mergeCell ref="Z34:AA34"/>
    <mergeCell ref="B33:C33"/>
    <mergeCell ref="E33:F33"/>
    <mergeCell ref="H33:K33"/>
    <mergeCell ref="M33:N33"/>
    <mergeCell ref="T33:V33"/>
    <mergeCell ref="Z39:AA39"/>
    <mergeCell ref="B40:C40"/>
    <mergeCell ref="E40:F40"/>
    <mergeCell ref="H40:K40"/>
    <mergeCell ref="M40:N40"/>
    <mergeCell ref="T40:V40"/>
    <mergeCell ref="Z40:AA40"/>
    <mergeCell ref="B39:C39"/>
    <mergeCell ref="E39:F39"/>
    <mergeCell ref="H39:K39"/>
    <mergeCell ref="M39:N39"/>
    <mergeCell ref="T39:V39"/>
    <mergeCell ref="Z37:AA37"/>
    <mergeCell ref="B38:C38"/>
    <mergeCell ref="E38:F38"/>
    <mergeCell ref="H38:K38"/>
    <mergeCell ref="M38:N38"/>
    <mergeCell ref="T38:V38"/>
    <mergeCell ref="Z38:AA38"/>
    <mergeCell ref="B37:C37"/>
    <mergeCell ref="E37:F37"/>
    <mergeCell ref="H37:K37"/>
    <mergeCell ref="M37:N37"/>
    <mergeCell ref="T37:V37"/>
    <mergeCell ref="Z43:AA43"/>
    <mergeCell ref="B44:C44"/>
    <mergeCell ref="E44:F44"/>
    <mergeCell ref="H44:K44"/>
    <mergeCell ref="M44:N44"/>
    <mergeCell ref="T44:V44"/>
    <mergeCell ref="Z44:AA44"/>
    <mergeCell ref="B43:C43"/>
    <mergeCell ref="E43:F43"/>
    <mergeCell ref="H43:K43"/>
    <mergeCell ref="M43:N43"/>
    <mergeCell ref="T43:V43"/>
    <mergeCell ref="Z41:AA41"/>
    <mergeCell ref="B42:C42"/>
    <mergeCell ref="E42:F42"/>
    <mergeCell ref="H42:K42"/>
    <mergeCell ref="M42:N42"/>
    <mergeCell ref="T42:V42"/>
    <mergeCell ref="Z42:AA42"/>
    <mergeCell ref="B41:C41"/>
    <mergeCell ref="E41:F41"/>
    <mergeCell ref="H41:K41"/>
    <mergeCell ref="M41:N41"/>
    <mergeCell ref="T41:V41"/>
    <mergeCell ref="Z47:AA47"/>
    <mergeCell ref="B48:C48"/>
    <mergeCell ref="E48:F48"/>
    <mergeCell ref="H48:K48"/>
    <mergeCell ref="M48:N48"/>
    <mergeCell ref="T48:V48"/>
    <mergeCell ref="Z48:AA48"/>
    <mergeCell ref="B47:C47"/>
    <mergeCell ref="E47:F47"/>
    <mergeCell ref="H47:K47"/>
    <mergeCell ref="M47:N47"/>
    <mergeCell ref="T47:V47"/>
    <mergeCell ref="Z45:AA45"/>
    <mergeCell ref="B46:C46"/>
    <mergeCell ref="E46:F46"/>
    <mergeCell ref="H46:K46"/>
    <mergeCell ref="M46:N46"/>
    <mergeCell ref="T46:V46"/>
    <mergeCell ref="Z46:AA46"/>
    <mergeCell ref="B45:C45"/>
    <mergeCell ref="E45:F45"/>
    <mergeCell ref="H45:K45"/>
    <mergeCell ref="M45:N45"/>
    <mergeCell ref="T45:V45"/>
    <mergeCell ref="Z51:AA51"/>
    <mergeCell ref="B52:C52"/>
    <mergeCell ref="E52:F52"/>
    <mergeCell ref="H52:K52"/>
    <mergeCell ref="M52:N52"/>
    <mergeCell ref="T52:V52"/>
    <mergeCell ref="Z52:AA52"/>
    <mergeCell ref="B51:C51"/>
    <mergeCell ref="E51:F51"/>
    <mergeCell ref="H51:K51"/>
    <mergeCell ref="M51:N51"/>
    <mergeCell ref="T51:V51"/>
    <mergeCell ref="Z49:AA49"/>
    <mergeCell ref="B50:C50"/>
    <mergeCell ref="E50:F50"/>
    <mergeCell ref="H50:K50"/>
    <mergeCell ref="M50:N50"/>
    <mergeCell ref="T50:V50"/>
    <mergeCell ref="Z50:AA50"/>
    <mergeCell ref="B49:C49"/>
    <mergeCell ref="E49:F49"/>
    <mergeCell ref="H49:K49"/>
    <mergeCell ref="M49:N49"/>
    <mergeCell ref="T49:V49"/>
    <mergeCell ref="Z55:AA55"/>
    <mergeCell ref="B56:C56"/>
    <mergeCell ref="E56:F56"/>
    <mergeCell ref="H56:K56"/>
    <mergeCell ref="M56:N56"/>
    <mergeCell ref="T56:V56"/>
    <mergeCell ref="Z56:AA56"/>
    <mergeCell ref="B55:C55"/>
    <mergeCell ref="E55:F55"/>
    <mergeCell ref="H55:K55"/>
    <mergeCell ref="M55:N55"/>
    <mergeCell ref="T55:V55"/>
    <mergeCell ref="Z53:AA53"/>
    <mergeCell ref="B54:C54"/>
    <mergeCell ref="E54:F54"/>
    <mergeCell ref="H54:K54"/>
    <mergeCell ref="M54:N54"/>
    <mergeCell ref="T54:V54"/>
    <mergeCell ref="Z54:AA54"/>
    <mergeCell ref="B53:C53"/>
    <mergeCell ref="E53:F53"/>
    <mergeCell ref="H53:K53"/>
    <mergeCell ref="M53:N53"/>
    <mergeCell ref="T53:V53"/>
    <mergeCell ref="Z59:AA59"/>
    <mergeCell ref="B60:C60"/>
    <mergeCell ref="E60:F60"/>
    <mergeCell ref="H60:K60"/>
    <mergeCell ref="M60:N60"/>
    <mergeCell ref="T60:V60"/>
    <mergeCell ref="Z60:AA60"/>
    <mergeCell ref="B59:C59"/>
    <mergeCell ref="E59:F59"/>
    <mergeCell ref="H59:K59"/>
    <mergeCell ref="M59:N59"/>
    <mergeCell ref="T59:V59"/>
    <mergeCell ref="Z57:AA57"/>
    <mergeCell ref="B58:C58"/>
    <mergeCell ref="E58:F58"/>
    <mergeCell ref="H58:K58"/>
    <mergeCell ref="M58:N58"/>
    <mergeCell ref="T58:V58"/>
    <mergeCell ref="Z58:AA58"/>
    <mergeCell ref="B57:C57"/>
    <mergeCell ref="E57:F57"/>
    <mergeCell ref="H57:K57"/>
    <mergeCell ref="M57:N57"/>
    <mergeCell ref="T57:V57"/>
    <mergeCell ref="Z63:AA63"/>
    <mergeCell ref="B64:C64"/>
    <mergeCell ref="E64:F64"/>
    <mergeCell ref="H64:K64"/>
    <mergeCell ref="M64:N64"/>
    <mergeCell ref="T64:V64"/>
    <mergeCell ref="Z64:AA64"/>
    <mergeCell ref="B63:C63"/>
    <mergeCell ref="E63:F63"/>
    <mergeCell ref="H63:K63"/>
    <mergeCell ref="M63:N63"/>
    <mergeCell ref="T63:V63"/>
    <mergeCell ref="Z61:AA61"/>
    <mergeCell ref="B62:C62"/>
    <mergeCell ref="E62:F62"/>
    <mergeCell ref="H62:K62"/>
    <mergeCell ref="M62:N62"/>
    <mergeCell ref="T62:V62"/>
    <mergeCell ref="Z62:AA62"/>
    <mergeCell ref="B61:C61"/>
    <mergeCell ref="E61:F61"/>
    <mergeCell ref="H61:K61"/>
    <mergeCell ref="M61:N61"/>
    <mergeCell ref="T61:V61"/>
    <mergeCell ref="Z67:AA67"/>
    <mergeCell ref="B68:C68"/>
    <mergeCell ref="E68:F68"/>
    <mergeCell ref="H68:K68"/>
    <mergeCell ref="M68:N68"/>
    <mergeCell ref="T68:V68"/>
    <mergeCell ref="Z68:AA68"/>
    <mergeCell ref="B67:C67"/>
    <mergeCell ref="E67:F67"/>
    <mergeCell ref="H67:K67"/>
    <mergeCell ref="M67:N67"/>
    <mergeCell ref="T67:V67"/>
    <mergeCell ref="Z65:AA65"/>
    <mergeCell ref="B66:C66"/>
    <mergeCell ref="E66:F66"/>
    <mergeCell ref="H66:K66"/>
    <mergeCell ref="M66:N66"/>
    <mergeCell ref="T66:V66"/>
    <mergeCell ref="Z66:AA66"/>
    <mergeCell ref="B65:C65"/>
    <mergeCell ref="E65:F65"/>
    <mergeCell ref="H65:K65"/>
    <mergeCell ref="M65:N65"/>
    <mergeCell ref="T65:V65"/>
    <mergeCell ref="Z71:AA71"/>
    <mergeCell ref="B72:C72"/>
    <mergeCell ref="E72:F72"/>
    <mergeCell ref="H72:K72"/>
    <mergeCell ref="M72:N72"/>
    <mergeCell ref="T72:V72"/>
    <mergeCell ref="Z72:AA72"/>
    <mergeCell ref="B71:C71"/>
    <mergeCell ref="E71:F71"/>
    <mergeCell ref="H71:K71"/>
    <mergeCell ref="M71:N71"/>
    <mergeCell ref="T71:V71"/>
    <mergeCell ref="Z69:AA69"/>
    <mergeCell ref="B70:C70"/>
    <mergeCell ref="E70:F70"/>
    <mergeCell ref="H70:K70"/>
    <mergeCell ref="M70:N70"/>
    <mergeCell ref="T70:V70"/>
    <mergeCell ref="Z70:AA70"/>
    <mergeCell ref="B69:C69"/>
    <mergeCell ref="E69:F69"/>
    <mergeCell ref="H69:K69"/>
    <mergeCell ref="M69:N69"/>
    <mergeCell ref="T69:V69"/>
    <mergeCell ref="Z75:AA75"/>
    <mergeCell ref="B76:C76"/>
    <mergeCell ref="E76:F76"/>
    <mergeCell ref="H76:K76"/>
    <mergeCell ref="M76:N76"/>
    <mergeCell ref="T76:V76"/>
    <mergeCell ref="Z76:AA76"/>
    <mergeCell ref="B75:C75"/>
    <mergeCell ref="E75:F75"/>
    <mergeCell ref="H75:K75"/>
    <mergeCell ref="M75:N75"/>
    <mergeCell ref="T75:V75"/>
    <mergeCell ref="Z73:AA73"/>
    <mergeCell ref="B74:C74"/>
    <mergeCell ref="E74:F74"/>
    <mergeCell ref="H74:K74"/>
    <mergeCell ref="M74:N74"/>
    <mergeCell ref="T74:V74"/>
    <mergeCell ref="Z74:AA74"/>
    <mergeCell ref="B73:C73"/>
    <mergeCell ref="E73:F73"/>
    <mergeCell ref="H73:K73"/>
    <mergeCell ref="M73:N73"/>
    <mergeCell ref="T73:V73"/>
    <mergeCell ref="Z79:AA79"/>
    <mergeCell ref="B80:C80"/>
    <mergeCell ref="E80:F80"/>
    <mergeCell ref="H80:K80"/>
    <mergeCell ref="M80:N80"/>
    <mergeCell ref="T80:V80"/>
    <mergeCell ref="Z80:AA80"/>
    <mergeCell ref="B79:C79"/>
    <mergeCell ref="E79:F79"/>
    <mergeCell ref="H79:K79"/>
    <mergeCell ref="M79:N79"/>
    <mergeCell ref="T79:V79"/>
    <mergeCell ref="Z77:AA77"/>
    <mergeCell ref="B78:C78"/>
    <mergeCell ref="E78:F78"/>
    <mergeCell ref="H78:K78"/>
    <mergeCell ref="M78:N78"/>
    <mergeCell ref="T78:V78"/>
    <mergeCell ref="Z78:AA78"/>
    <mergeCell ref="B77:C77"/>
    <mergeCell ref="E77:F77"/>
    <mergeCell ref="H77:K77"/>
    <mergeCell ref="M77:N77"/>
    <mergeCell ref="T77:V77"/>
    <mergeCell ref="Z83:AA83"/>
    <mergeCell ref="B84:C84"/>
    <mergeCell ref="E84:F84"/>
    <mergeCell ref="H84:K84"/>
    <mergeCell ref="M84:N84"/>
    <mergeCell ref="T84:V84"/>
    <mergeCell ref="Z84:AA84"/>
    <mergeCell ref="B83:C83"/>
    <mergeCell ref="E83:F83"/>
    <mergeCell ref="H83:K83"/>
    <mergeCell ref="M83:N83"/>
    <mergeCell ref="T83:V83"/>
    <mergeCell ref="Z81:AA81"/>
    <mergeCell ref="B82:C82"/>
    <mergeCell ref="E82:F82"/>
    <mergeCell ref="H82:K82"/>
    <mergeCell ref="M82:N82"/>
    <mergeCell ref="T82:V82"/>
    <mergeCell ref="Z82:AA82"/>
    <mergeCell ref="B81:C81"/>
    <mergeCell ref="E81:F81"/>
    <mergeCell ref="H81:K81"/>
    <mergeCell ref="M81:N81"/>
    <mergeCell ref="T81:V81"/>
    <mergeCell ref="Z87:AA87"/>
    <mergeCell ref="B88:C88"/>
    <mergeCell ref="E88:F88"/>
    <mergeCell ref="H88:K88"/>
    <mergeCell ref="M88:N88"/>
    <mergeCell ref="T88:V88"/>
    <mergeCell ref="Z88:AA88"/>
    <mergeCell ref="B87:C87"/>
    <mergeCell ref="E87:F87"/>
    <mergeCell ref="H87:K87"/>
    <mergeCell ref="M87:N87"/>
    <mergeCell ref="T87:V87"/>
    <mergeCell ref="Z85:AA85"/>
    <mergeCell ref="B86:C86"/>
    <mergeCell ref="E86:F86"/>
    <mergeCell ref="H86:K86"/>
    <mergeCell ref="M86:N86"/>
    <mergeCell ref="T86:V86"/>
    <mergeCell ref="Z86:AA86"/>
    <mergeCell ref="B85:C85"/>
    <mergeCell ref="E85:F85"/>
    <mergeCell ref="H85:K85"/>
    <mergeCell ref="M85:N85"/>
    <mergeCell ref="T85:V85"/>
    <mergeCell ref="Z91:AA91"/>
    <mergeCell ref="B92:C92"/>
    <mergeCell ref="E92:F92"/>
    <mergeCell ref="H92:K92"/>
    <mergeCell ref="M92:N92"/>
    <mergeCell ref="T92:V92"/>
    <mergeCell ref="Z92:AA92"/>
    <mergeCell ref="B91:C91"/>
    <mergeCell ref="E91:F91"/>
    <mergeCell ref="H91:K91"/>
    <mergeCell ref="M91:N91"/>
    <mergeCell ref="T91:V91"/>
    <mergeCell ref="Z89:AA89"/>
    <mergeCell ref="B90:C90"/>
    <mergeCell ref="E90:F90"/>
    <mergeCell ref="H90:K90"/>
    <mergeCell ref="M90:N90"/>
    <mergeCell ref="T90:V90"/>
    <mergeCell ref="Z90:AA90"/>
    <mergeCell ref="B89:C89"/>
    <mergeCell ref="E89:F89"/>
    <mergeCell ref="H89:K89"/>
    <mergeCell ref="M89:N89"/>
    <mergeCell ref="T89:V89"/>
    <mergeCell ref="Z95:AA95"/>
    <mergeCell ref="B96:C96"/>
    <mergeCell ref="E96:F96"/>
    <mergeCell ref="H96:K96"/>
    <mergeCell ref="M96:N96"/>
    <mergeCell ref="T96:V96"/>
    <mergeCell ref="Z96:AA96"/>
    <mergeCell ref="B95:C95"/>
    <mergeCell ref="E95:F95"/>
    <mergeCell ref="H95:K95"/>
    <mergeCell ref="M95:N95"/>
    <mergeCell ref="T95:V95"/>
    <mergeCell ref="Z93:AA93"/>
    <mergeCell ref="B94:C94"/>
    <mergeCell ref="E94:F94"/>
    <mergeCell ref="H94:K94"/>
    <mergeCell ref="M94:N94"/>
    <mergeCell ref="T94:V94"/>
    <mergeCell ref="Z94:AA94"/>
    <mergeCell ref="B93:C93"/>
    <mergeCell ref="E93:F93"/>
    <mergeCell ref="H93:K93"/>
    <mergeCell ref="M93:N93"/>
    <mergeCell ref="T93:V93"/>
    <mergeCell ref="Z99:AA99"/>
    <mergeCell ref="B100:C100"/>
    <mergeCell ref="E100:F100"/>
    <mergeCell ref="H100:K100"/>
    <mergeCell ref="M100:N100"/>
    <mergeCell ref="T100:V100"/>
    <mergeCell ref="Z100:AA100"/>
    <mergeCell ref="B99:C99"/>
    <mergeCell ref="E99:F99"/>
    <mergeCell ref="H99:K99"/>
    <mergeCell ref="M99:N99"/>
    <mergeCell ref="T99:V99"/>
    <mergeCell ref="Z97:AA97"/>
    <mergeCell ref="B98:C98"/>
    <mergeCell ref="E98:F98"/>
    <mergeCell ref="H98:K98"/>
    <mergeCell ref="M98:N98"/>
    <mergeCell ref="T98:V98"/>
    <mergeCell ref="Z98:AA98"/>
    <mergeCell ref="B97:C97"/>
    <mergeCell ref="E97:F97"/>
    <mergeCell ref="H97:K97"/>
    <mergeCell ref="M97:N97"/>
    <mergeCell ref="T97:V97"/>
    <mergeCell ref="Z103:AA103"/>
    <mergeCell ref="B104:C104"/>
    <mergeCell ref="E104:F104"/>
    <mergeCell ref="H104:K104"/>
    <mergeCell ref="M104:N104"/>
    <mergeCell ref="T104:V104"/>
    <mergeCell ref="Z104:AA104"/>
    <mergeCell ref="B103:C103"/>
    <mergeCell ref="E103:F103"/>
    <mergeCell ref="H103:K103"/>
    <mergeCell ref="M103:N103"/>
    <mergeCell ref="T103:V103"/>
    <mergeCell ref="Z101:AA101"/>
    <mergeCell ref="B102:C102"/>
    <mergeCell ref="E102:F102"/>
    <mergeCell ref="H102:K102"/>
    <mergeCell ref="M102:N102"/>
    <mergeCell ref="T102:V102"/>
    <mergeCell ref="Z102:AA102"/>
    <mergeCell ref="B101:C101"/>
    <mergeCell ref="E101:F101"/>
    <mergeCell ref="H101:K101"/>
    <mergeCell ref="M101:N101"/>
    <mergeCell ref="T101:V101"/>
    <mergeCell ref="Z107:AA107"/>
    <mergeCell ref="B108:C108"/>
    <mergeCell ref="E108:F108"/>
    <mergeCell ref="H108:K108"/>
    <mergeCell ref="M108:N108"/>
    <mergeCell ref="T108:V108"/>
    <mergeCell ref="Z108:AA108"/>
    <mergeCell ref="B107:C107"/>
    <mergeCell ref="E107:F107"/>
    <mergeCell ref="H107:K107"/>
    <mergeCell ref="M107:N107"/>
    <mergeCell ref="T107:V107"/>
    <mergeCell ref="Z105:AA105"/>
    <mergeCell ref="B106:C106"/>
    <mergeCell ref="E106:F106"/>
    <mergeCell ref="H106:K106"/>
    <mergeCell ref="M106:N106"/>
    <mergeCell ref="T106:V106"/>
    <mergeCell ref="Z106:AA106"/>
    <mergeCell ref="B105:C105"/>
    <mergeCell ref="E105:F105"/>
    <mergeCell ref="H105:K105"/>
    <mergeCell ref="M105:N105"/>
    <mergeCell ref="T105:V105"/>
    <mergeCell ref="Z111:AA111"/>
    <mergeCell ref="B112:C112"/>
    <mergeCell ref="E112:F112"/>
    <mergeCell ref="H112:K112"/>
    <mergeCell ref="M112:N112"/>
    <mergeCell ref="T112:V112"/>
    <mergeCell ref="Z112:AA112"/>
    <mergeCell ref="B111:C111"/>
    <mergeCell ref="E111:F111"/>
    <mergeCell ref="H111:K111"/>
    <mergeCell ref="M111:N111"/>
    <mergeCell ref="T111:V111"/>
    <mergeCell ref="Z109:AA109"/>
    <mergeCell ref="B110:C110"/>
    <mergeCell ref="E110:F110"/>
    <mergeCell ref="H110:K110"/>
    <mergeCell ref="M110:N110"/>
    <mergeCell ref="T110:V110"/>
    <mergeCell ref="Z110:AA110"/>
    <mergeCell ref="B109:C109"/>
    <mergeCell ref="E109:F109"/>
    <mergeCell ref="H109:K109"/>
    <mergeCell ref="M109:N109"/>
    <mergeCell ref="T109:V109"/>
    <mergeCell ref="Z115:AA115"/>
    <mergeCell ref="B116:C116"/>
    <mergeCell ref="E116:F116"/>
    <mergeCell ref="H116:K116"/>
    <mergeCell ref="M116:N116"/>
    <mergeCell ref="T116:V116"/>
    <mergeCell ref="Z116:AA116"/>
    <mergeCell ref="B115:C115"/>
    <mergeCell ref="E115:F115"/>
    <mergeCell ref="H115:K115"/>
    <mergeCell ref="M115:N115"/>
    <mergeCell ref="T115:V115"/>
    <mergeCell ref="Z113:AA113"/>
    <mergeCell ref="B114:C114"/>
    <mergeCell ref="E114:F114"/>
    <mergeCell ref="H114:K114"/>
    <mergeCell ref="M114:N114"/>
    <mergeCell ref="T114:V114"/>
    <mergeCell ref="Z114:AA114"/>
    <mergeCell ref="B113:C113"/>
    <mergeCell ref="E113:F113"/>
    <mergeCell ref="H113:K113"/>
    <mergeCell ref="M113:N113"/>
    <mergeCell ref="T113:V113"/>
    <mergeCell ref="Z119:AA119"/>
    <mergeCell ref="B120:C120"/>
    <mergeCell ref="E120:F120"/>
    <mergeCell ref="H120:K120"/>
    <mergeCell ref="M120:N120"/>
    <mergeCell ref="T120:V120"/>
    <mergeCell ref="Z120:AA120"/>
    <mergeCell ref="B119:C119"/>
    <mergeCell ref="E119:F119"/>
    <mergeCell ref="H119:K119"/>
    <mergeCell ref="M119:N119"/>
    <mergeCell ref="T119:V119"/>
    <mergeCell ref="Z117:AA117"/>
    <mergeCell ref="B118:C118"/>
    <mergeCell ref="E118:F118"/>
    <mergeCell ref="H118:K118"/>
    <mergeCell ref="M118:N118"/>
    <mergeCell ref="T118:V118"/>
    <mergeCell ref="Z118:AA118"/>
    <mergeCell ref="B117:C117"/>
    <mergeCell ref="E117:F117"/>
    <mergeCell ref="H117:K117"/>
    <mergeCell ref="M117:N117"/>
    <mergeCell ref="T117:V117"/>
    <mergeCell ref="Z123:AA123"/>
    <mergeCell ref="B124:C124"/>
    <mergeCell ref="E124:F124"/>
    <mergeCell ref="H124:K124"/>
    <mergeCell ref="M124:N124"/>
    <mergeCell ref="T124:V124"/>
    <mergeCell ref="Z124:AA124"/>
    <mergeCell ref="B123:C123"/>
    <mergeCell ref="E123:F123"/>
    <mergeCell ref="H123:K123"/>
    <mergeCell ref="M123:N123"/>
    <mergeCell ref="T123:V123"/>
    <mergeCell ref="Z121:AA121"/>
    <mergeCell ref="B122:C122"/>
    <mergeCell ref="E122:F122"/>
    <mergeCell ref="H122:K122"/>
    <mergeCell ref="M122:N122"/>
    <mergeCell ref="T122:V122"/>
    <mergeCell ref="Z122:AA122"/>
    <mergeCell ref="B121:C121"/>
    <mergeCell ref="E121:F121"/>
    <mergeCell ref="H121:K121"/>
    <mergeCell ref="M121:N121"/>
    <mergeCell ref="T121:V121"/>
    <mergeCell ref="Z127:AA127"/>
    <mergeCell ref="B128:C128"/>
    <mergeCell ref="E128:F128"/>
    <mergeCell ref="H128:K128"/>
    <mergeCell ref="M128:N128"/>
    <mergeCell ref="T128:V128"/>
    <mergeCell ref="Z128:AA128"/>
    <mergeCell ref="B127:C127"/>
    <mergeCell ref="E127:F127"/>
    <mergeCell ref="H127:K127"/>
    <mergeCell ref="M127:N127"/>
    <mergeCell ref="T127:V127"/>
    <mergeCell ref="Z125:AA125"/>
    <mergeCell ref="B126:C126"/>
    <mergeCell ref="E126:F126"/>
    <mergeCell ref="H126:K126"/>
    <mergeCell ref="M126:N126"/>
    <mergeCell ref="T126:V126"/>
    <mergeCell ref="Z126:AA126"/>
    <mergeCell ref="B125:C125"/>
    <mergeCell ref="E125:F125"/>
    <mergeCell ref="H125:K125"/>
    <mergeCell ref="M125:N125"/>
    <mergeCell ref="T125:V125"/>
    <mergeCell ref="Z131:AA131"/>
    <mergeCell ref="B132:C132"/>
    <mergeCell ref="E132:F132"/>
    <mergeCell ref="H132:K132"/>
    <mergeCell ref="M132:N132"/>
    <mergeCell ref="T132:V132"/>
    <mergeCell ref="Z132:AA132"/>
    <mergeCell ref="B131:C131"/>
    <mergeCell ref="E131:F131"/>
    <mergeCell ref="H131:K131"/>
    <mergeCell ref="M131:N131"/>
    <mergeCell ref="T131:V131"/>
    <mergeCell ref="Z129:AA129"/>
    <mergeCell ref="B130:C130"/>
    <mergeCell ref="E130:F130"/>
    <mergeCell ref="H130:K130"/>
    <mergeCell ref="M130:N130"/>
    <mergeCell ref="T130:V130"/>
    <mergeCell ref="Z130:AA130"/>
    <mergeCell ref="B129:C129"/>
    <mergeCell ref="E129:F129"/>
    <mergeCell ref="H129:K129"/>
    <mergeCell ref="M129:N129"/>
    <mergeCell ref="T129:V129"/>
    <mergeCell ref="Z135:AA135"/>
    <mergeCell ref="B136:C136"/>
    <mergeCell ref="E136:F136"/>
    <mergeCell ref="H136:K136"/>
    <mergeCell ref="M136:N136"/>
    <mergeCell ref="T136:V136"/>
    <mergeCell ref="Z136:AA136"/>
    <mergeCell ref="B135:C135"/>
    <mergeCell ref="E135:F135"/>
    <mergeCell ref="H135:K135"/>
    <mergeCell ref="M135:N135"/>
    <mergeCell ref="T135:V135"/>
    <mergeCell ref="Z133:AA133"/>
    <mergeCell ref="B134:C134"/>
    <mergeCell ref="E134:F134"/>
    <mergeCell ref="H134:K134"/>
    <mergeCell ref="M134:N134"/>
    <mergeCell ref="T134:V134"/>
    <mergeCell ref="Z134:AA134"/>
    <mergeCell ref="B133:C133"/>
    <mergeCell ref="E133:F133"/>
    <mergeCell ref="H133:K133"/>
    <mergeCell ref="M133:N133"/>
    <mergeCell ref="T133:V133"/>
    <mergeCell ref="Z139:AA139"/>
    <mergeCell ref="B140:C140"/>
    <mergeCell ref="E140:F140"/>
    <mergeCell ref="H140:K140"/>
    <mergeCell ref="M140:N140"/>
    <mergeCell ref="T140:V140"/>
    <mergeCell ref="Z140:AA140"/>
    <mergeCell ref="B139:C139"/>
    <mergeCell ref="E139:F139"/>
    <mergeCell ref="H139:K139"/>
    <mergeCell ref="M139:N139"/>
    <mergeCell ref="T139:V139"/>
    <mergeCell ref="Z137:AA137"/>
    <mergeCell ref="B138:C138"/>
    <mergeCell ref="E138:F138"/>
    <mergeCell ref="H138:K138"/>
    <mergeCell ref="M138:N138"/>
    <mergeCell ref="T138:V138"/>
    <mergeCell ref="Z138:AA138"/>
    <mergeCell ref="B137:C137"/>
    <mergeCell ref="E137:F137"/>
    <mergeCell ref="H137:K137"/>
    <mergeCell ref="M137:N137"/>
    <mergeCell ref="T137:V137"/>
    <mergeCell ref="Z143:AA143"/>
    <mergeCell ref="B144:C144"/>
    <mergeCell ref="E144:F144"/>
    <mergeCell ref="H144:K144"/>
    <mergeCell ref="M144:N144"/>
    <mergeCell ref="T144:V144"/>
    <mergeCell ref="Z144:AA144"/>
    <mergeCell ref="B143:C143"/>
    <mergeCell ref="E143:F143"/>
    <mergeCell ref="H143:K143"/>
    <mergeCell ref="M143:N143"/>
    <mergeCell ref="T143:V143"/>
    <mergeCell ref="Z141:AA141"/>
    <mergeCell ref="B142:C142"/>
    <mergeCell ref="E142:F142"/>
    <mergeCell ref="H142:K142"/>
    <mergeCell ref="M142:N142"/>
    <mergeCell ref="T142:V142"/>
    <mergeCell ref="Z142:AA142"/>
    <mergeCell ref="B141:C141"/>
    <mergeCell ref="E141:F141"/>
    <mergeCell ref="H141:K141"/>
    <mergeCell ref="M141:N141"/>
    <mergeCell ref="T141:V141"/>
    <mergeCell ref="Z147:AA147"/>
    <mergeCell ref="B148:C148"/>
    <mergeCell ref="E148:F148"/>
    <mergeCell ref="H148:K148"/>
    <mergeCell ref="M148:N148"/>
    <mergeCell ref="T148:V148"/>
    <mergeCell ref="Z148:AA148"/>
    <mergeCell ref="B147:C147"/>
    <mergeCell ref="E147:F147"/>
    <mergeCell ref="H147:K147"/>
    <mergeCell ref="M147:N147"/>
    <mergeCell ref="T147:V147"/>
    <mergeCell ref="Z145:AA145"/>
    <mergeCell ref="B146:C146"/>
    <mergeCell ref="E146:F146"/>
    <mergeCell ref="H146:K146"/>
    <mergeCell ref="M146:N146"/>
    <mergeCell ref="T146:V146"/>
    <mergeCell ref="Z146:AA146"/>
    <mergeCell ref="B145:C145"/>
    <mergeCell ref="E145:F145"/>
    <mergeCell ref="H145:K145"/>
    <mergeCell ref="M145:N145"/>
    <mergeCell ref="T145:V145"/>
    <mergeCell ref="Z151:AA151"/>
    <mergeCell ref="B152:C152"/>
    <mergeCell ref="E152:F152"/>
    <mergeCell ref="H152:K152"/>
    <mergeCell ref="M152:N152"/>
    <mergeCell ref="T152:V152"/>
    <mergeCell ref="Z152:AA152"/>
    <mergeCell ref="B151:C151"/>
    <mergeCell ref="E151:F151"/>
    <mergeCell ref="H151:K151"/>
    <mergeCell ref="M151:N151"/>
    <mergeCell ref="T151:V151"/>
    <mergeCell ref="Z149:AA149"/>
    <mergeCell ref="B150:C150"/>
    <mergeCell ref="E150:F150"/>
    <mergeCell ref="H150:K150"/>
    <mergeCell ref="M150:N150"/>
    <mergeCell ref="T150:V150"/>
    <mergeCell ref="Z150:AA150"/>
    <mergeCell ref="B149:C149"/>
    <mergeCell ref="E149:F149"/>
    <mergeCell ref="H149:K149"/>
    <mergeCell ref="M149:N149"/>
    <mergeCell ref="T149:V149"/>
    <mergeCell ref="Z155:AA155"/>
    <mergeCell ref="B156:C156"/>
    <mergeCell ref="E156:F156"/>
    <mergeCell ref="H156:K156"/>
    <mergeCell ref="M156:N156"/>
    <mergeCell ref="T156:V156"/>
    <mergeCell ref="Z156:AA156"/>
    <mergeCell ref="B155:C155"/>
    <mergeCell ref="E155:F155"/>
    <mergeCell ref="H155:K155"/>
    <mergeCell ref="M155:N155"/>
    <mergeCell ref="T155:V155"/>
    <mergeCell ref="Z153:AA153"/>
    <mergeCell ref="B154:C154"/>
    <mergeCell ref="E154:F154"/>
    <mergeCell ref="H154:K154"/>
    <mergeCell ref="M154:N154"/>
    <mergeCell ref="T154:V154"/>
    <mergeCell ref="Z154:AA154"/>
    <mergeCell ref="B153:C153"/>
    <mergeCell ref="E153:F153"/>
    <mergeCell ref="H153:K153"/>
    <mergeCell ref="M153:N153"/>
    <mergeCell ref="T153:V153"/>
    <mergeCell ref="Z159:AA159"/>
    <mergeCell ref="B160:C160"/>
    <mergeCell ref="E160:F160"/>
    <mergeCell ref="H160:K160"/>
    <mergeCell ref="M160:N160"/>
    <mergeCell ref="T160:V160"/>
    <mergeCell ref="Z160:AA160"/>
    <mergeCell ref="B159:C159"/>
    <mergeCell ref="E159:F159"/>
    <mergeCell ref="H159:K159"/>
    <mergeCell ref="M159:N159"/>
    <mergeCell ref="T159:V159"/>
    <mergeCell ref="Z157:AA157"/>
    <mergeCell ref="B158:C158"/>
    <mergeCell ref="E158:F158"/>
    <mergeCell ref="H158:K158"/>
    <mergeCell ref="M158:N158"/>
    <mergeCell ref="T158:V158"/>
    <mergeCell ref="Z158:AA158"/>
    <mergeCell ref="B157:C157"/>
    <mergeCell ref="E157:F157"/>
    <mergeCell ref="H157:K157"/>
    <mergeCell ref="M157:N157"/>
    <mergeCell ref="T157:V157"/>
    <mergeCell ref="Z163:AA163"/>
    <mergeCell ref="B164:C164"/>
    <mergeCell ref="E164:F164"/>
    <mergeCell ref="H164:K164"/>
    <mergeCell ref="M164:N164"/>
    <mergeCell ref="T164:V164"/>
    <mergeCell ref="Z164:AA164"/>
    <mergeCell ref="B163:C163"/>
    <mergeCell ref="E163:F163"/>
    <mergeCell ref="H163:K163"/>
    <mergeCell ref="M163:N163"/>
    <mergeCell ref="T163:V163"/>
    <mergeCell ref="Z161:AA161"/>
    <mergeCell ref="B162:C162"/>
    <mergeCell ref="E162:F162"/>
    <mergeCell ref="H162:K162"/>
    <mergeCell ref="M162:N162"/>
    <mergeCell ref="T162:V162"/>
    <mergeCell ref="Z162:AA162"/>
    <mergeCell ref="B161:C161"/>
    <mergeCell ref="E161:F161"/>
    <mergeCell ref="H161:K161"/>
    <mergeCell ref="M161:N161"/>
    <mergeCell ref="T161:V161"/>
    <mergeCell ref="Z167:AA167"/>
    <mergeCell ref="B168:C168"/>
    <mergeCell ref="E168:F168"/>
    <mergeCell ref="H168:K168"/>
    <mergeCell ref="M168:N168"/>
    <mergeCell ref="T168:V168"/>
    <mergeCell ref="Z168:AA168"/>
    <mergeCell ref="B167:C167"/>
    <mergeCell ref="E167:F167"/>
    <mergeCell ref="H167:K167"/>
    <mergeCell ref="M167:N167"/>
    <mergeCell ref="T167:V167"/>
    <mergeCell ref="Z165:AA165"/>
    <mergeCell ref="B166:C166"/>
    <mergeCell ref="E166:F166"/>
    <mergeCell ref="H166:K166"/>
    <mergeCell ref="M166:N166"/>
    <mergeCell ref="T166:V166"/>
    <mergeCell ref="Z166:AA166"/>
    <mergeCell ref="B165:C165"/>
    <mergeCell ref="E165:F165"/>
    <mergeCell ref="H165:K165"/>
    <mergeCell ref="M165:N165"/>
    <mergeCell ref="T165:V165"/>
    <mergeCell ref="Z171:AA171"/>
    <mergeCell ref="B172:C172"/>
    <mergeCell ref="E172:F172"/>
    <mergeCell ref="H172:K172"/>
    <mergeCell ref="M172:N172"/>
    <mergeCell ref="T172:V172"/>
    <mergeCell ref="Z172:AA172"/>
    <mergeCell ref="B171:C171"/>
    <mergeCell ref="E171:F171"/>
    <mergeCell ref="H171:K171"/>
    <mergeCell ref="M171:N171"/>
    <mergeCell ref="T171:V171"/>
    <mergeCell ref="Z169:AA169"/>
    <mergeCell ref="B170:C170"/>
    <mergeCell ref="E170:F170"/>
    <mergeCell ref="H170:K170"/>
    <mergeCell ref="M170:N170"/>
    <mergeCell ref="T170:V170"/>
    <mergeCell ref="Z170:AA170"/>
    <mergeCell ref="B169:C169"/>
    <mergeCell ref="E169:F169"/>
    <mergeCell ref="H169:K169"/>
    <mergeCell ref="M169:N169"/>
    <mergeCell ref="T169:V169"/>
    <mergeCell ref="Z175:AA175"/>
    <mergeCell ref="B176:C176"/>
    <mergeCell ref="E176:F176"/>
    <mergeCell ref="H176:K176"/>
    <mergeCell ref="M176:N176"/>
    <mergeCell ref="T176:V176"/>
    <mergeCell ref="Z176:AA176"/>
    <mergeCell ref="B175:C175"/>
    <mergeCell ref="E175:F175"/>
    <mergeCell ref="H175:K175"/>
    <mergeCell ref="M175:N175"/>
    <mergeCell ref="T175:V175"/>
    <mergeCell ref="Z173:AA173"/>
    <mergeCell ref="B174:C174"/>
    <mergeCell ref="E174:F174"/>
    <mergeCell ref="H174:K174"/>
    <mergeCell ref="M174:N174"/>
    <mergeCell ref="T174:V174"/>
    <mergeCell ref="Z174:AA174"/>
    <mergeCell ref="B173:C173"/>
    <mergeCell ref="E173:F173"/>
    <mergeCell ref="H173:K173"/>
    <mergeCell ref="M173:N173"/>
    <mergeCell ref="T173:V173"/>
    <mergeCell ref="Z179:AA179"/>
    <mergeCell ref="B180:C180"/>
    <mergeCell ref="E180:F180"/>
    <mergeCell ref="H180:K180"/>
    <mergeCell ref="M180:N180"/>
    <mergeCell ref="T180:V180"/>
    <mergeCell ref="Z180:AA180"/>
    <mergeCell ref="B179:C179"/>
    <mergeCell ref="E179:F179"/>
    <mergeCell ref="H179:K179"/>
    <mergeCell ref="M179:N179"/>
    <mergeCell ref="T179:V179"/>
    <mergeCell ref="Z177:AA177"/>
    <mergeCell ref="B178:C178"/>
    <mergeCell ref="E178:F178"/>
    <mergeCell ref="H178:K178"/>
    <mergeCell ref="M178:N178"/>
    <mergeCell ref="T178:V178"/>
    <mergeCell ref="Z178:AA178"/>
    <mergeCell ref="B177:C177"/>
    <mergeCell ref="E177:F177"/>
    <mergeCell ref="H177:K177"/>
    <mergeCell ref="M177:N177"/>
    <mergeCell ref="T177:V177"/>
    <mergeCell ref="Z183:AA183"/>
    <mergeCell ref="B184:C184"/>
    <mergeCell ref="E184:F184"/>
    <mergeCell ref="H184:K184"/>
    <mergeCell ref="M184:N184"/>
    <mergeCell ref="T184:V184"/>
    <mergeCell ref="Z184:AA184"/>
    <mergeCell ref="B183:C183"/>
    <mergeCell ref="E183:F183"/>
    <mergeCell ref="H183:K183"/>
    <mergeCell ref="M183:N183"/>
    <mergeCell ref="T183:V183"/>
    <mergeCell ref="Z181:AA181"/>
    <mergeCell ref="B182:C182"/>
    <mergeCell ref="E182:F182"/>
    <mergeCell ref="H182:K182"/>
    <mergeCell ref="M182:N182"/>
    <mergeCell ref="T182:V182"/>
    <mergeCell ref="Z182:AA182"/>
    <mergeCell ref="B181:C181"/>
    <mergeCell ref="E181:F181"/>
    <mergeCell ref="H181:K181"/>
    <mergeCell ref="M181:N181"/>
    <mergeCell ref="T181:V181"/>
    <mergeCell ref="Z187:AA187"/>
    <mergeCell ref="B188:C188"/>
    <mergeCell ref="E188:F188"/>
    <mergeCell ref="H188:K188"/>
    <mergeCell ref="M188:N188"/>
    <mergeCell ref="T188:V188"/>
    <mergeCell ref="Z188:AA188"/>
    <mergeCell ref="B187:C187"/>
    <mergeCell ref="E187:F187"/>
    <mergeCell ref="H187:K187"/>
    <mergeCell ref="M187:N187"/>
    <mergeCell ref="T187:V187"/>
    <mergeCell ref="Z185:AA185"/>
    <mergeCell ref="B186:C186"/>
    <mergeCell ref="E186:F186"/>
    <mergeCell ref="H186:K186"/>
    <mergeCell ref="M186:N186"/>
    <mergeCell ref="T186:V186"/>
    <mergeCell ref="Z186:AA186"/>
    <mergeCell ref="B185:C185"/>
    <mergeCell ref="E185:F185"/>
    <mergeCell ref="H185:K185"/>
    <mergeCell ref="M185:N185"/>
    <mergeCell ref="T185:V185"/>
    <mergeCell ref="Z191:AA191"/>
    <mergeCell ref="B192:C192"/>
    <mergeCell ref="E192:F192"/>
    <mergeCell ref="H192:K192"/>
    <mergeCell ref="M192:N192"/>
    <mergeCell ref="T192:V192"/>
    <mergeCell ref="Z192:AA192"/>
    <mergeCell ref="B191:C191"/>
    <mergeCell ref="E191:F191"/>
    <mergeCell ref="H191:K191"/>
    <mergeCell ref="M191:N191"/>
    <mergeCell ref="T191:V191"/>
    <mergeCell ref="Z189:AA189"/>
    <mergeCell ref="B190:C190"/>
    <mergeCell ref="E190:F190"/>
    <mergeCell ref="H190:K190"/>
    <mergeCell ref="M190:N190"/>
    <mergeCell ref="T190:V190"/>
    <mergeCell ref="Z190:AA190"/>
    <mergeCell ref="B189:C189"/>
    <mergeCell ref="E189:F189"/>
    <mergeCell ref="H189:K189"/>
    <mergeCell ref="M189:N189"/>
    <mergeCell ref="T189:V189"/>
    <mergeCell ref="Z195:AA195"/>
    <mergeCell ref="B196:C196"/>
    <mergeCell ref="E196:F196"/>
    <mergeCell ref="H196:K196"/>
    <mergeCell ref="M196:N196"/>
    <mergeCell ref="T196:V196"/>
    <mergeCell ref="Z196:AA196"/>
    <mergeCell ref="B195:C195"/>
    <mergeCell ref="E195:F195"/>
    <mergeCell ref="H195:K195"/>
    <mergeCell ref="M195:N195"/>
    <mergeCell ref="T195:V195"/>
    <mergeCell ref="Z193:AA193"/>
    <mergeCell ref="B194:C194"/>
    <mergeCell ref="E194:F194"/>
    <mergeCell ref="H194:K194"/>
    <mergeCell ref="M194:N194"/>
    <mergeCell ref="T194:V194"/>
    <mergeCell ref="Z194:AA194"/>
    <mergeCell ref="B193:C193"/>
    <mergeCell ref="E193:F193"/>
    <mergeCell ref="H193:K193"/>
    <mergeCell ref="M193:N193"/>
    <mergeCell ref="T193:V193"/>
    <mergeCell ref="Z199:AA199"/>
    <mergeCell ref="B200:C200"/>
    <mergeCell ref="E200:F200"/>
    <mergeCell ref="H200:K200"/>
    <mergeCell ref="M200:N200"/>
    <mergeCell ref="T200:V200"/>
    <mergeCell ref="Z200:AA200"/>
    <mergeCell ref="B199:C199"/>
    <mergeCell ref="E199:F199"/>
    <mergeCell ref="H199:K199"/>
    <mergeCell ref="M199:N199"/>
    <mergeCell ref="T199:V199"/>
    <mergeCell ref="Z197:AA197"/>
    <mergeCell ref="B198:C198"/>
    <mergeCell ref="E198:F198"/>
    <mergeCell ref="H198:K198"/>
    <mergeCell ref="M198:N198"/>
    <mergeCell ref="T198:V198"/>
    <mergeCell ref="Z198:AA198"/>
    <mergeCell ref="B197:C197"/>
    <mergeCell ref="E197:F197"/>
    <mergeCell ref="H197:K197"/>
    <mergeCell ref="M197:N197"/>
    <mergeCell ref="T197:V197"/>
    <mergeCell ref="Z203:AA203"/>
    <mergeCell ref="B204:C204"/>
    <mergeCell ref="E204:F204"/>
    <mergeCell ref="H204:K204"/>
    <mergeCell ref="M204:N204"/>
    <mergeCell ref="T204:V204"/>
    <mergeCell ref="Z204:AA204"/>
    <mergeCell ref="B203:C203"/>
    <mergeCell ref="E203:F203"/>
    <mergeCell ref="H203:K203"/>
    <mergeCell ref="M203:N203"/>
    <mergeCell ref="T203:V203"/>
    <mergeCell ref="Z201:AA201"/>
    <mergeCell ref="B202:C202"/>
    <mergeCell ref="E202:F202"/>
    <mergeCell ref="H202:K202"/>
    <mergeCell ref="M202:N202"/>
    <mergeCell ref="T202:V202"/>
    <mergeCell ref="Z202:AA202"/>
    <mergeCell ref="B201:C201"/>
    <mergeCell ref="E201:F201"/>
    <mergeCell ref="H201:K201"/>
    <mergeCell ref="M201:N201"/>
    <mergeCell ref="T201:V201"/>
    <mergeCell ref="Z207:AA207"/>
    <mergeCell ref="B208:C208"/>
    <mergeCell ref="E208:F208"/>
    <mergeCell ref="H208:K208"/>
    <mergeCell ref="M208:N208"/>
    <mergeCell ref="T208:V208"/>
    <mergeCell ref="Z208:AA208"/>
    <mergeCell ref="B207:C207"/>
    <mergeCell ref="E207:F207"/>
    <mergeCell ref="H207:K207"/>
    <mergeCell ref="M207:N207"/>
    <mergeCell ref="T207:V207"/>
    <mergeCell ref="Z205:AA205"/>
    <mergeCell ref="B206:C206"/>
    <mergeCell ref="E206:F206"/>
    <mergeCell ref="H206:K206"/>
    <mergeCell ref="M206:N206"/>
    <mergeCell ref="T206:V206"/>
    <mergeCell ref="Z206:AA206"/>
    <mergeCell ref="B205:C205"/>
    <mergeCell ref="E205:F205"/>
    <mergeCell ref="H205:K205"/>
    <mergeCell ref="M205:N205"/>
    <mergeCell ref="T205:V205"/>
    <mergeCell ref="Z211:AA211"/>
    <mergeCell ref="B212:C212"/>
    <mergeCell ref="E212:F212"/>
    <mergeCell ref="H212:K212"/>
    <mergeCell ref="M212:N212"/>
    <mergeCell ref="T212:V212"/>
    <mergeCell ref="Z212:AA212"/>
    <mergeCell ref="B211:C211"/>
    <mergeCell ref="E211:F211"/>
    <mergeCell ref="H211:K211"/>
    <mergeCell ref="M211:N211"/>
    <mergeCell ref="T211:V211"/>
    <mergeCell ref="Z209:AA209"/>
    <mergeCell ref="B210:C210"/>
    <mergeCell ref="E210:F210"/>
    <mergeCell ref="H210:K210"/>
    <mergeCell ref="M210:N210"/>
    <mergeCell ref="T210:V210"/>
    <mergeCell ref="Z210:AA210"/>
    <mergeCell ref="B209:C209"/>
    <mergeCell ref="E209:F209"/>
    <mergeCell ref="H209:K209"/>
    <mergeCell ref="M209:N209"/>
    <mergeCell ref="T209:V209"/>
    <mergeCell ref="Z215:AA215"/>
    <mergeCell ref="B216:C216"/>
    <mergeCell ref="E216:F216"/>
    <mergeCell ref="H216:K216"/>
    <mergeCell ref="M216:N216"/>
    <mergeCell ref="T216:V216"/>
    <mergeCell ref="Z216:AA216"/>
    <mergeCell ref="B215:C215"/>
    <mergeCell ref="E215:F215"/>
    <mergeCell ref="H215:K215"/>
    <mergeCell ref="M215:N215"/>
    <mergeCell ref="T215:V215"/>
    <mergeCell ref="Z213:AA213"/>
    <mergeCell ref="B214:C214"/>
    <mergeCell ref="E214:F214"/>
    <mergeCell ref="H214:K214"/>
    <mergeCell ref="M214:N214"/>
    <mergeCell ref="T214:V214"/>
    <mergeCell ref="Z214:AA214"/>
    <mergeCell ref="B213:C213"/>
    <mergeCell ref="E213:F213"/>
    <mergeCell ref="H213:K213"/>
    <mergeCell ref="M213:N213"/>
    <mergeCell ref="T213:V213"/>
    <mergeCell ref="Z219:AA219"/>
    <mergeCell ref="B220:C220"/>
    <mergeCell ref="E220:F220"/>
    <mergeCell ref="H220:K220"/>
    <mergeCell ref="M220:N220"/>
    <mergeCell ref="T220:V220"/>
    <mergeCell ref="Z220:AA220"/>
    <mergeCell ref="B219:C219"/>
    <mergeCell ref="E219:F219"/>
    <mergeCell ref="H219:K219"/>
    <mergeCell ref="M219:N219"/>
    <mergeCell ref="T219:V219"/>
    <mergeCell ref="Z217:AA217"/>
    <mergeCell ref="B218:C218"/>
    <mergeCell ref="E218:F218"/>
    <mergeCell ref="H218:K218"/>
    <mergeCell ref="M218:N218"/>
    <mergeCell ref="T218:V218"/>
    <mergeCell ref="Z218:AA218"/>
    <mergeCell ref="B217:C217"/>
    <mergeCell ref="E217:F217"/>
    <mergeCell ref="H217:K217"/>
    <mergeCell ref="M217:N217"/>
    <mergeCell ref="T217:V217"/>
    <mergeCell ref="Z223:AA223"/>
    <mergeCell ref="B224:C224"/>
    <mergeCell ref="E224:F224"/>
    <mergeCell ref="H224:K224"/>
    <mergeCell ref="M224:N224"/>
    <mergeCell ref="T224:V224"/>
    <mergeCell ref="Z224:AA224"/>
    <mergeCell ref="B223:C223"/>
    <mergeCell ref="E223:F223"/>
    <mergeCell ref="H223:K223"/>
    <mergeCell ref="M223:N223"/>
    <mergeCell ref="T223:V223"/>
    <mergeCell ref="Z221:AA221"/>
    <mergeCell ref="B222:C222"/>
    <mergeCell ref="E222:F222"/>
    <mergeCell ref="H222:K222"/>
    <mergeCell ref="M222:N222"/>
    <mergeCell ref="T222:V222"/>
    <mergeCell ref="Z222:AA222"/>
    <mergeCell ref="B221:C221"/>
    <mergeCell ref="E221:F221"/>
    <mergeCell ref="H221:K221"/>
    <mergeCell ref="M221:N221"/>
    <mergeCell ref="T221:V221"/>
    <mergeCell ref="Z227:AA227"/>
    <mergeCell ref="B228:C228"/>
    <mergeCell ref="E228:F228"/>
    <mergeCell ref="H228:K228"/>
    <mergeCell ref="M228:N228"/>
    <mergeCell ref="T228:V228"/>
    <mergeCell ref="Z228:AA228"/>
    <mergeCell ref="B227:C227"/>
    <mergeCell ref="E227:F227"/>
    <mergeCell ref="H227:K227"/>
    <mergeCell ref="M227:N227"/>
    <mergeCell ref="T227:V227"/>
    <mergeCell ref="Z225:AA225"/>
    <mergeCell ref="B226:C226"/>
    <mergeCell ref="E226:F226"/>
    <mergeCell ref="H226:K226"/>
    <mergeCell ref="M226:N226"/>
    <mergeCell ref="T226:V226"/>
    <mergeCell ref="Z226:AA226"/>
    <mergeCell ref="B225:C225"/>
    <mergeCell ref="E225:F225"/>
    <mergeCell ref="H225:K225"/>
    <mergeCell ref="M225:N225"/>
    <mergeCell ref="T225:V225"/>
    <mergeCell ref="Z231:AA231"/>
    <mergeCell ref="B232:C232"/>
    <mergeCell ref="E232:F232"/>
    <mergeCell ref="H232:K232"/>
    <mergeCell ref="M232:N232"/>
    <mergeCell ref="T232:V232"/>
    <mergeCell ref="Z232:AA232"/>
    <mergeCell ref="B231:C231"/>
    <mergeCell ref="E231:F231"/>
    <mergeCell ref="H231:K231"/>
    <mergeCell ref="M231:N231"/>
    <mergeCell ref="T231:V231"/>
    <mergeCell ref="Z229:AA229"/>
    <mergeCell ref="B230:C230"/>
    <mergeCell ref="E230:F230"/>
    <mergeCell ref="H230:K230"/>
    <mergeCell ref="M230:N230"/>
    <mergeCell ref="T230:V230"/>
    <mergeCell ref="Z230:AA230"/>
    <mergeCell ref="B229:C229"/>
    <mergeCell ref="E229:F229"/>
    <mergeCell ref="H229:K229"/>
    <mergeCell ref="M229:N229"/>
    <mergeCell ref="T229:V229"/>
    <mergeCell ref="Z235:AA235"/>
    <mergeCell ref="B236:C236"/>
    <mergeCell ref="E236:F236"/>
    <mergeCell ref="H236:K236"/>
    <mergeCell ref="M236:N236"/>
    <mergeCell ref="T236:V236"/>
    <mergeCell ref="Z236:AA236"/>
    <mergeCell ref="B235:C235"/>
    <mergeCell ref="E235:F235"/>
    <mergeCell ref="H235:K235"/>
    <mergeCell ref="M235:N235"/>
    <mergeCell ref="T235:V235"/>
    <mergeCell ref="Z233:AA233"/>
    <mergeCell ref="B234:C234"/>
    <mergeCell ref="E234:F234"/>
    <mergeCell ref="H234:K234"/>
    <mergeCell ref="M234:N234"/>
    <mergeCell ref="T234:V234"/>
    <mergeCell ref="Z234:AA234"/>
    <mergeCell ref="B233:C233"/>
    <mergeCell ref="E233:F233"/>
    <mergeCell ref="H233:K233"/>
    <mergeCell ref="M233:N233"/>
    <mergeCell ref="T233:V233"/>
    <mergeCell ref="Z239:AA239"/>
    <mergeCell ref="B240:C240"/>
    <mergeCell ref="E240:F240"/>
    <mergeCell ref="H240:K240"/>
    <mergeCell ref="M240:N240"/>
    <mergeCell ref="T240:V240"/>
    <mergeCell ref="Z240:AA240"/>
    <mergeCell ref="B239:C239"/>
    <mergeCell ref="E239:F239"/>
    <mergeCell ref="H239:K239"/>
    <mergeCell ref="M239:N239"/>
    <mergeCell ref="T239:V239"/>
    <mergeCell ref="Z237:AA237"/>
    <mergeCell ref="B238:C238"/>
    <mergeCell ref="E238:F238"/>
    <mergeCell ref="H238:K238"/>
    <mergeCell ref="M238:N238"/>
    <mergeCell ref="T238:V238"/>
    <mergeCell ref="Z238:AA238"/>
    <mergeCell ref="B237:C237"/>
    <mergeCell ref="E237:F237"/>
    <mergeCell ref="H237:K237"/>
    <mergeCell ref="M237:N237"/>
    <mergeCell ref="T237:V237"/>
    <mergeCell ref="Z243:AA243"/>
    <mergeCell ref="B244:C244"/>
    <mergeCell ref="E244:F244"/>
    <mergeCell ref="H244:K244"/>
    <mergeCell ref="M244:N244"/>
    <mergeCell ref="T244:V244"/>
    <mergeCell ref="Z244:AA244"/>
    <mergeCell ref="B243:C243"/>
    <mergeCell ref="E243:F243"/>
    <mergeCell ref="H243:K243"/>
    <mergeCell ref="M243:N243"/>
    <mergeCell ref="T243:V243"/>
    <mergeCell ref="Z241:AA241"/>
    <mergeCell ref="B242:C242"/>
    <mergeCell ref="E242:F242"/>
    <mergeCell ref="H242:K242"/>
    <mergeCell ref="M242:N242"/>
    <mergeCell ref="T242:V242"/>
    <mergeCell ref="Z242:AA242"/>
    <mergeCell ref="B241:C241"/>
    <mergeCell ref="E241:F241"/>
    <mergeCell ref="H241:K241"/>
    <mergeCell ref="M241:N241"/>
    <mergeCell ref="T241:V241"/>
    <mergeCell ref="Z247:AA247"/>
    <mergeCell ref="B248:C248"/>
    <mergeCell ref="E248:F248"/>
    <mergeCell ref="H248:K248"/>
    <mergeCell ref="M248:N248"/>
    <mergeCell ref="T248:V248"/>
    <mergeCell ref="Z248:AA248"/>
    <mergeCell ref="B247:C247"/>
    <mergeCell ref="E247:F247"/>
    <mergeCell ref="H247:K247"/>
    <mergeCell ref="M247:N247"/>
    <mergeCell ref="T247:V247"/>
    <mergeCell ref="Z245:AA245"/>
    <mergeCell ref="B246:C246"/>
    <mergeCell ref="E246:F246"/>
    <mergeCell ref="H246:K246"/>
    <mergeCell ref="M246:N246"/>
    <mergeCell ref="T246:V246"/>
    <mergeCell ref="Z246:AA246"/>
    <mergeCell ref="B245:C245"/>
    <mergeCell ref="E245:F245"/>
    <mergeCell ref="H245:K245"/>
    <mergeCell ref="M245:N245"/>
    <mergeCell ref="T245:V245"/>
    <mergeCell ref="Z251:AA251"/>
    <mergeCell ref="B252:C252"/>
    <mergeCell ref="E252:F252"/>
    <mergeCell ref="H252:K252"/>
    <mergeCell ref="M252:N252"/>
    <mergeCell ref="T252:V252"/>
    <mergeCell ref="Z252:AA252"/>
    <mergeCell ref="B251:C251"/>
    <mergeCell ref="E251:F251"/>
    <mergeCell ref="H251:K251"/>
    <mergeCell ref="M251:N251"/>
    <mergeCell ref="T251:V251"/>
    <mergeCell ref="Z249:AA249"/>
    <mergeCell ref="B250:C250"/>
    <mergeCell ref="E250:F250"/>
    <mergeCell ref="H250:K250"/>
    <mergeCell ref="M250:N250"/>
    <mergeCell ref="T250:V250"/>
    <mergeCell ref="Z250:AA250"/>
    <mergeCell ref="B249:C249"/>
    <mergeCell ref="E249:F249"/>
    <mergeCell ref="H249:K249"/>
    <mergeCell ref="M249:N249"/>
    <mergeCell ref="T249:V249"/>
    <mergeCell ref="Z255:AA255"/>
    <mergeCell ref="B256:C256"/>
    <mergeCell ref="E256:F256"/>
    <mergeCell ref="H256:K256"/>
    <mergeCell ref="M256:N256"/>
    <mergeCell ref="T256:V256"/>
    <mergeCell ref="Z256:AA256"/>
    <mergeCell ref="B255:C255"/>
    <mergeCell ref="E255:F255"/>
    <mergeCell ref="H255:K255"/>
    <mergeCell ref="M255:N255"/>
    <mergeCell ref="T255:V255"/>
    <mergeCell ref="Z253:AA253"/>
    <mergeCell ref="B254:C254"/>
    <mergeCell ref="E254:F254"/>
    <mergeCell ref="H254:K254"/>
    <mergeCell ref="M254:N254"/>
    <mergeCell ref="T254:V254"/>
    <mergeCell ref="Z254:AA254"/>
    <mergeCell ref="B253:C253"/>
    <mergeCell ref="E253:F253"/>
    <mergeCell ref="H253:K253"/>
    <mergeCell ref="M253:N253"/>
    <mergeCell ref="T253:V253"/>
    <mergeCell ref="Z259:AA259"/>
    <mergeCell ref="B260:C260"/>
    <mergeCell ref="E260:F260"/>
    <mergeCell ref="H260:K260"/>
    <mergeCell ref="M260:N260"/>
    <mergeCell ref="T260:V260"/>
    <mergeCell ref="Z260:AA260"/>
    <mergeCell ref="B259:C259"/>
    <mergeCell ref="E259:F259"/>
    <mergeCell ref="H259:K259"/>
    <mergeCell ref="M259:N259"/>
    <mergeCell ref="T259:V259"/>
    <mergeCell ref="Z257:AA257"/>
    <mergeCell ref="B258:C258"/>
    <mergeCell ref="E258:F258"/>
    <mergeCell ref="H258:K258"/>
    <mergeCell ref="M258:N258"/>
    <mergeCell ref="T258:V258"/>
    <mergeCell ref="Z258:AA258"/>
    <mergeCell ref="B257:C257"/>
    <mergeCell ref="E257:F257"/>
    <mergeCell ref="H257:K257"/>
    <mergeCell ref="M257:N257"/>
    <mergeCell ref="T257:V257"/>
    <mergeCell ref="Z263:AA263"/>
    <mergeCell ref="B264:C264"/>
    <mergeCell ref="E264:F264"/>
    <mergeCell ref="H264:K264"/>
    <mergeCell ref="M264:N264"/>
    <mergeCell ref="T264:V264"/>
    <mergeCell ref="Z264:AA264"/>
    <mergeCell ref="B263:C263"/>
    <mergeCell ref="E263:F263"/>
    <mergeCell ref="H263:K263"/>
    <mergeCell ref="M263:N263"/>
    <mergeCell ref="T263:V263"/>
    <mergeCell ref="Z261:AA261"/>
    <mergeCell ref="B262:C262"/>
    <mergeCell ref="E262:F262"/>
    <mergeCell ref="H262:K262"/>
    <mergeCell ref="M262:N262"/>
    <mergeCell ref="T262:V262"/>
    <mergeCell ref="Z262:AA262"/>
    <mergeCell ref="B261:C261"/>
    <mergeCell ref="E261:F261"/>
    <mergeCell ref="H261:K261"/>
    <mergeCell ref="M261:N261"/>
    <mergeCell ref="T261:V261"/>
    <mergeCell ref="Z267:AA267"/>
    <mergeCell ref="B268:C268"/>
    <mergeCell ref="E268:F268"/>
    <mergeCell ref="H268:K268"/>
    <mergeCell ref="M268:N268"/>
    <mergeCell ref="T268:V268"/>
    <mergeCell ref="Z268:AA268"/>
    <mergeCell ref="B267:C267"/>
    <mergeCell ref="E267:F267"/>
    <mergeCell ref="H267:K267"/>
    <mergeCell ref="M267:N267"/>
    <mergeCell ref="T267:V267"/>
    <mergeCell ref="Z265:AA265"/>
    <mergeCell ref="B266:C266"/>
    <mergeCell ref="E266:F266"/>
    <mergeCell ref="H266:K266"/>
    <mergeCell ref="M266:N266"/>
    <mergeCell ref="T266:V266"/>
    <mergeCell ref="Z266:AA266"/>
    <mergeCell ref="B265:C265"/>
    <mergeCell ref="E265:F265"/>
    <mergeCell ref="H265:K265"/>
    <mergeCell ref="M265:N265"/>
    <mergeCell ref="T265:V265"/>
    <mergeCell ref="Z271:AA271"/>
    <mergeCell ref="B272:C272"/>
    <mergeCell ref="E272:F272"/>
    <mergeCell ref="H272:K272"/>
    <mergeCell ref="M272:N272"/>
    <mergeCell ref="T272:V272"/>
    <mergeCell ref="Z272:AA272"/>
    <mergeCell ref="B271:C271"/>
    <mergeCell ref="E271:F271"/>
    <mergeCell ref="H271:K271"/>
    <mergeCell ref="M271:N271"/>
    <mergeCell ref="T271:V271"/>
    <mergeCell ref="Z269:AA269"/>
    <mergeCell ref="B270:C270"/>
    <mergeCell ref="E270:F270"/>
    <mergeCell ref="H270:K270"/>
    <mergeCell ref="M270:N270"/>
    <mergeCell ref="T270:V270"/>
    <mergeCell ref="Z270:AA270"/>
    <mergeCell ref="B269:C269"/>
    <mergeCell ref="E269:F269"/>
    <mergeCell ref="H269:K269"/>
    <mergeCell ref="M269:N269"/>
    <mergeCell ref="T269:V269"/>
    <mergeCell ref="Z275:AA275"/>
    <mergeCell ref="B276:C276"/>
    <mergeCell ref="E276:F276"/>
    <mergeCell ref="H276:K276"/>
    <mergeCell ref="M276:N276"/>
    <mergeCell ref="T276:V276"/>
    <mergeCell ref="Z276:AA276"/>
    <mergeCell ref="B275:C275"/>
    <mergeCell ref="E275:F275"/>
    <mergeCell ref="H275:K275"/>
    <mergeCell ref="M275:N275"/>
    <mergeCell ref="T275:V275"/>
    <mergeCell ref="Z273:AA273"/>
    <mergeCell ref="B274:C274"/>
    <mergeCell ref="E274:F274"/>
    <mergeCell ref="H274:K274"/>
    <mergeCell ref="M274:N274"/>
    <mergeCell ref="T274:V274"/>
    <mergeCell ref="Z274:AA274"/>
    <mergeCell ref="B273:C273"/>
    <mergeCell ref="E273:F273"/>
    <mergeCell ref="H273:K273"/>
    <mergeCell ref="M273:N273"/>
    <mergeCell ref="T273:V273"/>
    <mergeCell ref="Z279:AA279"/>
    <mergeCell ref="B280:C280"/>
    <mergeCell ref="E280:F280"/>
    <mergeCell ref="H280:K280"/>
    <mergeCell ref="M280:N280"/>
    <mergeCell ref="T280:V280"/>
    <mergeCell ref="Z280:AA280"/>
    <mergeCell ref="B279:C279"/>
    <mergeCell ref="E279:F279"/>
    <mergeCell ref="H279:K279"/>
    <mergeCell ref="M279:N279"/>
    <mergeCell ref="T279:V279"/>
    <mergeCell ref="Z277:AA277"/>
    <mergeCell ref="B278:C278"/>
    <mergeCell ref="E278:F278"/>
    <mergeCell ref="H278:K278"/>
    <mergeCell ref="M278:N278"/>
    <mergeCell ref="T278:V278"/>
    <mergeCell ref="Z278:AA278"/>
    <mergeCell ref="B277:C277"/>
    <mergeCell ref="E277:F277"/>
    <mergeCell ref="H277:K277"/>
    <mergeCell ref="M277:N277"/>
    <mergeCell ref="T277:V277"/>
    <mergeCell ref="Z283:AA283"/>
    <mergeCell ref="B284:C284"/>
    <mergeCell ref="E284:F284"/>
    <mergeCell ref="H284:K284"/>
    <mergeCell ref="M284:N284"/>
    <mergeCell ref="T284:V284"/>
    <mergeCell ref="Z284:AA284"/>
    <mergeCell ref="B283:C283"/>
    <mergeCell ref="E283:F283"/>
    <mergeCell ref="H283:K283"/>
    <mergeCell ref="M283:N283"/>
    <mergeCell ref="T283:V283"/>
    <mergeCell ref="Z281:AA281"/>
    <mergeCell ref="B282:C282"/>
    <mergeCell ref="E282:F282"/>
    <mergeCell ref="H282:K282"/>
    <mergeCell ref="M282:N282"/>
    <mergeCell ref="T282:V282"/>
    <mergeCell ref="Z282:AA282"/>
    <mergeCell ref="B281:C281"/>
    <mergeCell ref="E281:F281"/>
    <mergeCell ref="H281:K281"/>
    <mergeCell ref="M281:N281"/>
    <mergeCell ref="T281:V281"/>
    <mergeCell ref="Z287:AA287"/>
    <mergeCell ref="B288:C288"/>
    <mergeCell ref="E288:F288"/>
    <mergeCell ref="H288:K288"/>
    <mergeCell ref="M288:N288"/>
    <mergeCell ref="T288:V288"/>
    <mergeCell ref="Z288:AA288"/>
    <mergeCell ref="B287:C287"/>
    <mergeCell ref="E287:F287"/>
    <mergeCell ref="H287:K287"/>
    <mergeCell ref="M287:N287"/>
    <mergeCell ref="T287:V287"/>
    <mergeCell ref="Z285:AA285"/>
    <mergeCell ref="B286:C286"/>
    <mergeCell ref="E286:F286"/>
    <mergeCell ref="H286:K286"/>
    <mergeCell ref="M286:N286"/>
    <mergeCell ref="T286:V286"/>
    <mergeCell ref="Z286:AA286"/>
    <mergeCell ref="B285:C285"/>
    <mergeCell ref="E285:F285"/>
    <mergeCell ref="H285:K285"/>
    <mergeCell ref="M285:N285"/>
    <mergeCell ref="T285:V285"/>
    <mergeCell ref="Z291:AA291"/>
    <mergeCell ref="B292:C292"/>
    <mergeCell ref="E292:F292"/>
    <mergeCell ref="H292:K292"/>
    <mergeCell ref="M292:N292"/>
    <mergeCell ref="T292:V292"/>
    <mergeCell ref="Z292:AA292"/>
    <mergeCell ref="B291:C291"/>
    <mergeCell ref="E291:F291"/>
    <mergeCell ref="H291:K291"/>
    <mergeCell ref="M291:N291"/>
    <mergeCell ref="T291:V291"/>
    <mergeCell ref="Z289:AA289"/>
    <mergeCell ref="B290:C290"/>
    <mergeCell ref="E290:F290"/>
    <mergeCell ref="H290:K290"/>
    <mergeCell ref="M290:N290"/>
    <mergeCell ref="T290:V290"/>
    <mergeCell ref="Z290:AA290"/>
    <mergeCell ref="B289:C289"/>
    <mergeCell ref="E289:F289"/>
    <mergeCell ref="H289:K289"/>
    <mergeCell ref="M289:N289"/>
    <mergeCell ref="T289:V289"/>
    <mergeCell ref="Z295:AA295"/>
    <mergeCell ref="B296:C296"/>
    <mergeCell ref="E296:F296"/>
    <mergeCell ref="H296:K296"/>
    <mergeCell ref="M296:N296"/>
    <mergeCell ref="T296:V296"/>
    <mergeCell ref="Z296:AA296"/>
    <mergeCell ref="B295:C295"/>
    <mergeCell ref="E295:F295"/>
    <mergeCell ref="H295:K295"/>
    <mergeCell ref="M295:N295"/>
    <mergeCell ref="T295:V295"/>
    <mergeCell ref="Z293:AA293"/>
    <mergeCell ref="B294:C294"/>
    <mergeCell ref="E294:F294"/>
    <mergeCell ref="H294:K294"/>
    <mergeCell ref="M294:N294"/>
    <mergeCell ref="T294:V294"/>
    <mergeCell ref="Z294:AA294"/>
    <mergeCell ref="B293:C293"/>
    <mergeCell ref="E293:F293"/>
    <mergeCell ref="H293:K293"/>
    <mergeCell ref="M293:N293"/>
    <mergeCell ref="T293:V293"/>
    <mergeCell ref="Z299:AA299"/>
    <mergeCell ref="B300:C300"/>
    <mergeCell ref="E300:F300"/>
    <mergeCell ref="H300:K300"/>
    <mergeCell ref="M300:N300"/>
    <mergeCell ref="T300:V300"/>
    <mergeCell ref="Z300:AA300"/>
    <mergeCell ref="B299:C299"/>
    <mergeCell ref="E299:F299"/>
    <mergeCell ref="H299:K299"/>
    <mergeCell ref="M299:N299"/>
    <mergeCell ref="T299:V299"/>
    <mergeCell ref="Z297:AA297"/>
    <mergeCell ref="B298:C298"/>
    <mergeCell ref="E298:F298"/>
    <mergeCell ref="H298:K298"/>
    <mergeCell ref="M298:N298"/>
    <mergeCell ref="T298:V298"/>
    <mergeCell ref="Z298:AA298"/>
    <mergeCell ref="B297:C297"/>
    <mergeCell ref="E297:F297"/>
    <mergeCell ref="H297:K297"/>
    <mergeCell ref="M297:N297"/>
    <mergeCell ref="T297:V297"/>
    <mergeCell ref="Z303:AA303"/>
    <mergeCell ref="B304:C304"/>
    <mergeCell ref="E304:F304"/>
    <mergeCell ref="H304:K304"/>
    <mergeCell ref="M304:N304"/>
    <mergeCell ref="T304:V304"/>
    <mergeCell ref="Z304:AA304"/>
    <mergeCell ref="B303:C303"/>
    <mergeCell ref="E303:F303"/>
    <mergeCell ref="H303:K303"/>
    <mergeCell ref="M303:N303"/>
    <mergeCell ref="T303:V303"/>
    <mergeCell ref="Z301:AA301"/>
    <mergeCell ref="B302:C302"/>
    <mergeCell ref="E302:F302"/>
    <mergeCell ref="H302:K302"/>
    <mergeCell ref="M302:N302"/>
    <mergeCell ref="T302:V302"/>
    <mergeCell ref="Z302:AA302"/>
    <mergeCell ref="B301:C301"/>
    <mergeCell ref="E301:F301"/>
    <mergeCell ref="H301:K301"/>
    <mergeCell ref="M301:N301"/>
    <mergeCell ref="T301:V301"/>
    <mergeCell ref="Z307:AA307"/>
    <mergeCell ref="B308:C308"/>
    <mergeCell ref="E308:F308"/>
    <mergeCell ref="H308:K308"/>
    <mergeCell ref="M308:N308"/>
    <mergeCell ref="T308:V308"/>
    <mergeCell ref="Z308:AA308"/>
    <mergeCell ref="B307:C307"/>
    <mergeCell ref="E307:F307"/>
    <mergeCell ref="H307:K307"/>
    <mergeCell ref="M307:N307"/>
    <mergeCell ref="T307:V307"/>
    <mergeCell ref="Z305:AA305"/>
    <mergeCell ref="B306:C306"/>
    <mergeCell ref="E306:F306"/>
    <mergeCell ref="H306:K306"/>
    <mergeCell ref="M306:N306"/>
    <mergeCell ref="T306:V306"/>
    <mergeCell ref="Z306:AA306"/>
    <mergeCell ref="B305:C305"/>
    <mergeCell ref="E305:F305"/>
    <mergeCell ref="H305:K305"/>
    <mergeCell ref="M305:N305"/>
    <mergeCell ref="T305:V305"/>
    <mergeCell ref="Z311:AA311"/>
    <mergeCell ref="B312:C312"/>
    <mergeCell ref="E312:F312"/>
    <mergeCell ref="H312:K312"/>
    <mergeCell ref="M312:N312"/>
    <mergeCell ref="T312:V312"/>
    <mergeCell ref="Z312:AA312"/>
    <mergeCell ref="B311:C311"/>
    <mergeCell ref="E311:F311"/>
    <mergeCell ref="H311:K311"/>
    <mergeCell ref="M311:N311"/>
    <mergeCell ref="T311:V311"/>
    <mergeCell ref="Z309:AA309"/>
    <mergeCell ref="B310:C310"/>
    <mergeCell ref="E310:F310"/>
    <mergeCell ref="H310:K310"/>
    <mergeCell ref="M310:N310"/>
    <mergeCell ref="T310:V310"/>
    <mergeCell ref="Z310:AA310"/>
    <mergeCell ref="B309:C309"/>
    <mergeCell ref="E309:F309"/>
    <mergeCell ref="H309:K309"/>
    <mergeCell ref="M309:N309"/>
    <mergeCell ref="T309:V309"/>
    <mergeCell ref="Z315:AA315"/>
    <mergeCell ref="B316:C316"/>
    <mergeCell ref="E316:F316"/>
    <mergeCell ref="H316:K316"/>
    <mergeCell ref="M316:N316"/>
    <mergeCell ref="T316:V316"/>
    <mergeCell ref="Z316:AA316"/>
    <mergeCell ref="B315:C315"/>
    <mergeCell ref="E315:F315"/>
    <mergeCell ref="H315:K315"/>
    <mergeCell ref="M315:N315"/>
    <mergeCell ref="T315:V315"/>
    <mergeCell ref="Z313:AA313"/>
    <mergeCell ref="B314:C314"/>
    <mergeCell ref="E314:F314"/>
    <mergeCell ref="H314:K314"/>
    <mergeCell ref="M314:N314"/>
    <mergeCell ref="T314:V314"/>
    <mergeCell ref="Z314:AA314"/>
    <mergeCell ref="B313:C313"/>
    <mergeCell ref="E313:F313"/>
    <mergeCell ref="H313:K313"/>
    <mergeCell ref="M313:N313"/>
    <mergeCell ref="T313:V313"/>
    <mergeCell ref="Z319:AA319"/>
    <mergeCell ref="B320:C320"/>
    <mergeCell ref="E320:F320"/>
    <mergeCell ref="H320:K320"/>
    <mergeCell ref="M320:N320"/>
    <mergeCell ref="T320:V320"/>
    <mergeCell ref="Z320:AA320"/>
    <mergeCell ref="B319:C319"/>
    <mergeCell ref="E319:F319"/>
    <mergeCell ref="H319:K319"/>
    <mergeCell ref="M319:N319"/>
    <mergeCell ref="T319:V319"/>
    <mergeCell ref="Z317:AA317"/>
    <mergeCell ref="B318:C318"/>
    <mergeCell ref="E318:F318"/>
    <mergeCell ref="H318:K318"/>
    <mergeCell ref="M318:N318"/>
    <mergeCell ref="T318:V318"/>
    <mergeCell ref="Z318:AA318"/>
    <mergeCell ref="B317:C317"/>
    <mergeCell ref="E317:F317"/>
    <mergeCell ref="H317:K317"/>
    <mergeCell ref="M317:N317"/>
    <mergeCell ref="T317:V317"/>
    <mergeCell ref="Z323:AA323"/>
    <mergeCell ref="B324:C324"/>
    <mergeCell ref="E324:F324"/>
    <mergeCell ref="H324:K324"/>
    <mergeCell ref="M324:N324"/>
    <mergeCell ref="T324:V324"/>
    <mergeCell ref="Z324:AA324"/>
    <mergeCell ref="B323:C323"/>
    <mergeCell ref="E323:F323"/>
    <mergeCell ref="H323:K323"/>
    <mergeCell ref="M323:N323"/>
    <mergeCell ref="T323:V323"/>
    <mergeCell ref="Z321:AA321"/>
    <mergeCell ref="B322:C322"/>
    <mergeCell ref="E322:F322"/>
    <mergeCell ref="H322:K322"/>
    <mergeCell ref="M322:N322"/>
    <mergeCell ref="T322:V322"/>
    <mergeCell ref="Z322:AA322"/>
    <mergeCell ref="B321:C321"/>
    <mergeCell ref="E321:F321"/>
    <mergeCell ref="H321:K321"/>
    <mergeCell ref="M321:N321"/>
    <mergeCell ref="T321:V321"/>
    <mergeCell ref="Z327:AA327"/>
    <mergeCell ref="B328:C328"/>
    <mergeCell ref="E328:F328"/>
    <mergeCell ref="H328:K328"/>
    <mergeCell ref="M328:N328"/>
    <mergeCell ref="T328:V328"/>
    <mergeCell ref="Z328:AA328"/>
    <mergeCell ref="B327:C327"/>
    <mergeCell ref="E327:F327"/>
    <mergeCell ref="H327:K327"/>
    <mergeCell ref="M327:N327"/>
    <mergeCell ref="T327:V327"/>
    <mergeCell ref="Z325:AA325"/>
    <mergeCell ref="B326:C326"/>
    <mergeCell ref="E326:F326"/>
    <mergeCell ref="H326:K326"/>
    <mergeCell ref="M326:N326"/>
    <mergeCell ref="T326:V326"/>
    <mergeCell ref="Z326:AA326"/>
    <mergeCell ref="B325:C325"/>
    <mergeCell ref="E325:F325"/>
    <mergeCell ref="H325:K325"/>
    <mergeCell ref="M325:N325"/>
    <mergeCell ref="T325:V325"/>
    <mergeCell ref="Z331:AA331"/>
    <mergeCell ref="B332:C332"/>
    <mergeCell ref="E332:F332"/>
    <mergeCell ref="H332:K332"/>
    <mergeCell ref="M332:N332"/>
    <mergeCell ref="T332:V332"/>
    <mergeCell ref="Z332:AA332"/>
    <mergeCell ref="B331:C331"/>
    <mergeCell ref="E331:F331"/>
    <mergeCell ref="H331:K331"/>
    <mergeCell ref="M331:N331"/>
    <mergeCell ref="T331:V331"/>
    <mergeCell ref="Z329:AA329"/>
    <mergeCell ref="B330:C330"/>
    <mergeCell ref="E330:F330"/>
    <mergeCell ref="H330:K330"/>
    <mergeCell ref="M330:N330"/>
    <mergeCell ref="T330:V330"/>
    <mergeCell ref="Z330:AA330"/>
    <mergeCell ref="B329:C329"/>
    <mergeCell ref="E329:F329"/>
    <mergeCell ref="H329:K329"/>
    <mergeCell ref="M329:N329"/>
    <mergeCell ref="T329:V329"/>
    <mergeCell ref="Z335:AA335"/>
    <mergeCell ref="B336:C336"/>
    <mergeCell ref="E336:F336"/>
    <mergeCell ref="H336:K336"/>
    <mergeCell ref="M336:N336"/>
    <mergeCell ref="T336:V336"/>
    <mergeCell ref="Z336:AA336"/>
    <mergeCell ref="B335:C335"/>
    <mergeCell ref="E335:F335"/>
    <mergeCell ref="H335:K335"/>
    <mergeCell ref="M335:N335"/>
    <mergeCell ref="T335:V335"/>
    <mergeCell ref="Z333:AA333"/>
    <mergeCell ref="B334:C334"/>
    <mergeCell ref="E334:F334"/>
    <mergeCell ref="H334:K334"/>
    <mergeCell ref="M334:N334"/>
    <mergeCell ref="T334:V334"/>
    <mergeCell ref="Z334:AA334"/>
    <mergeCell ref="B333:C333"/>
    <mergeCell ref="E333:F333"/>
    <mergeCell ref="H333:K333"/>
    <mergeCell ref="M333:N333"/>
    <mergeCell ref="T333:V333"/>
    <mergeCell ref="Z339:AA339"/>
    <mergeCell ref="B340:C340"/>
    <mergeCell ref="E340:F340"/>
    <mergeCell ref="H340:K340"/>
    <mergeCell ref="M340:N340"/>
    <mergeCell ref="T340:V340"/>
    <mergeCell ref="Z340:AA340"/>
    <mergeCell ref="B339:C339"/>
    <mergeCell ref="E339:F339"/>
    <mergeCell ref="H339:K339"/>
    <mergeCell ref="M339:N339"/>
    <mergeCell ref="T339:V339"/>
    <mergeCell ref="Z337:AA337"/>
    <mergeCell ref="B338:C338"/>
    <mergeCell ref="E338:F338"/>
    <mergeCell ref="H338:K338"/>
    <mergeCell ref="M338:N338"/>
    <mergeCell ref="T338:V338"/>
    <mergeCell ref="Z338:AA338"/>
    <mergeCell ref="B337:C337"/>
    <mergeCell ref="E337:F337"/>
    <mergeCell ref="H337:K337"/>
    <mergeCell ref="M337:N337"/>
    <mergeCell ref="T337:V337"/>
    <mergeCell ref="Z343:AA343"/>
    <mergeCell ref="B344:C344"/>
    <mergeCell ref="E344:F344"/>
    <mergeCell ref="H344:K344"/>
    <mergeCell ref="M344:N344"/>
    <mergeCell ref="T344:V344"/>
    <mergeCell ref="Z344:AA344"/>
    <mergeCell ref="B343:C343"/>
    <mergeCell ref="E343:F343"/>
    <mergeCell ref="H343:K343"/>
    <mergeCell ref="M343:N343"/>
    <mergeCell ref="T343:V343"/>
    <mergeCell ref="Z341:AA341"/>
    <mergeCell ref="B342:C342"/>
    <mergeCell ref="E342:F342"/>
    <mergeCell ref="H342:K342"/>
    <mergeCell ref="M342:N342"/>
    <mergeCell ref="T342:V342"/>
    <mergeCell ref="Z342:AA342"/>
    <mergeCell ref="B341:C341"/>
    <mergeCell ref="E341:F341"/>
    <mergeCell ref="H341:K341"/>
    <mergeCell ref="M341:N341"/>
    <mergeCell ref="T341:V341"/>
    <mergeCell ref="Z347:AA347"/>
    <mergeCell ref="B348:C348"/>
    <mergeCell ref="E348:F348"/>
    <mergeCell ref="H348:K348"/>
    <mergeCell ref="M348:N348"/>
    <mergeCell ref="T348:V348"/>
    <mergeCell ref="Z348:AA348"/>
    <mergeCell ref="B347:C347"/>
    <mergeCell ref="E347:F347"/>
    <mergeCell ref="H347:K347"/>
    <mergeCell ref="M347:N347"/>
    <mergeCell ref="T347:V347"/>
    <mergeCell ref="Z345:AA345"/>
    <mergeCell ref="B346:C346"/>
    <mergeCell ref="E346:F346"/>
    <mergeCell ref="H346:K346"/>
    <mergeCell ref="M346:N346"/>
    <mergeCell ref="T346:V346"/>
    <mergeCell ref="Z346:AA346"/>
    <mergeCell ref="B345:C345"/>
    <mergeCell ref="E345:F345"/>
    <mergeCell ref="H345:K345"/>
    <mergeCell ref="M345:N345"/>
    <mergeCell ref="T345:V345"/>
    <mergeCell ref="Z351:AA351"/>
    <mergeCell ref="B352:C352"/>
    <mergeCell ref="E352:F352"/>
    <mergeCell ref="H352:K352"/>
    <mergeCell ref="M352:N352"/>
    <mergeCell ref="T352:V352"/>
    <mergeCell ref="Z352:AA352"/>
    <mergeCell ref="B351:C351"/>
    <mergeCell ref="E351:F351"/>
    <mergeCell ref="H351:K351"/>
    <mergeCell ref="M351:N351"/>
    <mergeCell ref="T351:V351"/>
    <mergeCell ref="Z349:AA349"/>
    <mergeCell ref="B350:C350"/>
    <mergeCell ref="E350:F350"/>
    <mergeCell ref="H350:K350"/>
    <mergeCell ref="M350:N350"/>
    <mergeCell ref="T350:V350"/>
    <mergeCell ref="Z350:AA350"/>
    <mergeCell ref="B349:C349"/>
    <mergeCell ref="E349:F349"/>
    <mergeCell ref="H349:K349"/>
    <mergeCell ref="M349:N349"/>
    <mergeCell ref="T349:V349"/>
    <mergeCell ref="Z355:AA355"/>
    <mergeCell ref="B356:C356"/>
    <mergeCell ref="E356:F356"/>
    <mergeCell ref="H356:K356"/>
    <mergeCell ref="M356:N356"/>
    <mergeCell ref="T356:V356"/>
    <mergeCell ref="Z356:AA356"/>
    <mergeCell ref="B355:C355"/>
    <mergeCell ref="E355:F355"/>
    <mergeCell ref="H355:K355"/>
    <mergeCell ref="M355:N355"/>
    <mergeCell ref="T355:V355"/>
    <mergeCell ref="Z353:AA353"/>
    <mergeCell ref="B354:C354"/>
    <mergeCell ref="E354:F354"/>
    <mergeCell ref="H354:K354"/>
    <mergeCell ref="M354:N354"/>
    <mergeCell ref="T354:V354"/>
    <mergeCell ref="Z354:AA354"/>
    <mergeCell ref="B353:C353"/>
    <mergeCell ref="E353:F353"/>
    <mergeCell ref="H353:K353"/>
    <mergeCell ref="M353:N353"/>
    <mergeCell ref="T353:V353"/>
    <mergeCell ref="Z359:AA359"/>
    <mergeCell ref="B360:C360"/>
    <mergeCell ref="E360:F360"/>
    <mergeCell ref="H360:K360"/>
    <mergeCell ref="M360:N360"/>
    <mergeCell ref="T360:V360"/>
    <mergeCell ref="Z360:AA360"/>
    <mergeCell ref="B359:C359"/>
    <mergeCell ref="E359:F359"/>
    <mergeCell ref="H359:K359"/>
    <mergeCell ref="M359:N359"/>
    <mergeCell ref="T359:V359"/>
    <mergeCell ref="Z357:AA357"/>
    <mergeCell ref="B358:C358"/>
    <mergeCell ref="E358:F358"/>
    <mergeCell ref="H358:K358"/>
    <mergeCell ref="M358:N358"/>
    <mergeCell ref="T358:V358"/>
    <mergeCell ref="Z358:AA358"/>
    <mergeCell ref="B357:C357"/>
    <mergeCell ref="E357:F357"/>
    <mergeCell ref="H357:K357"/>
    <mergeCell ref="M357:N357"/>
    <mergeCell ref="T357:V357"/>
    <mergeCell ref="Z363:AA363"/>
    <mergeCell ref="B364:C364"/>
    <mergeCell ref="E364:F364"/>
    <mergeCell ref="H364:K364"/>
    <mergeCell ref="M364:N364"/>
    <mergeCell ref="T364:V364"/>
    <mergeCell ref="Z364:AA364"/>
    <mergeCell ref="B363:C363"/>
    <mergeCell ref="E363:F363"/>
    <mergeCell ref="H363:K363"/>
    <mergeCell ref="M363:N363"/>
    <mergeCell ref="T363:V363"/>
    <mergeCell ref="Z361:AA361"/>
    <mergeCell ref="B362:C362"/>
    <mergeCell ref="E362:F362"/>
    <mergeCell ref="H362:K362"/>
    <mergeCell ref="M362:N362"/>
    <mergeCell ref="T362:V362"/>
    <mergeCell ref="Z362:AA362"/>
    <mergeCell ref="B361:C361"/>
    <mergeCell ref="E361:F361"/>
    <mergeCell ref="H361:K361"/>
    <mergeCell ref="M361:N361"/>
    <mergeCell ref="T361:V361"/>
    <mergeCell ref="Z367:AA367"/>
    <mergeCell ref="B368:C368"/>
    <mergeCell ref="E368:F368"/>
    <mergeCell ref="H368:K368"/>
    <mergeCell ref="M368:N368"/>
    <mergeCell ref="T368:V368"/>
    <mergeCell ref="Z368:AA368"/>
    <mergeCell ref="B367:C367"/>
    <mergeCell ref="E367:F367"/>
    <mergeCell ref="H367:K367"/>
    <mergeCell ref="M367:N367"/>
    <mergeCell ref="T367:V367"/>
    <mergeCell ref="Z365:AA365"/>
    <mergeCell ref="B366:C366"/>
    <mergeCell ref="E366:F366"/>
    <mergeCell ref="H366:K366"/>
    <mergeCell ref="M366:N366"/>
    <mergeCell ref="T366:V366"/>
    <mergeCell ref="Z366:AA366"/>
    <mergeCell ref="B365:C365"/>
    <mergeCell ref="E365:F365"/>
    <mergeCell ref="H365:K365"/>
    <mergeCell ref="M365:N365"/>
    <mergeCell ref="T365:V365"/>
    <mergeCell ref="Z371:AA371"/>
    <mergeCell ref="B372:C372"/>
    <mergeCell ref="E372:F372"/>
    <mergeCell ref="H372:K372"/>
    <mergeCell ref="M372:N372"/>
    <mergeCell ref="T372:V372"/>
    <mergeCell ref="Z372:AA372"/>
    <mergeCell ref="B371:C371"/>
    <mergeCell ref="E371:F371"/>
    <mergeCell ref="H371:K371"/>
    <mergeCell ref="M371:N371"/>
    <mergeCell ref="T371:V371"/>
    <mergeCell ref="Z369:AA369"/>
    <mergeCell ref="B370:C370"/>
    <mergeCell ref="E370:F370"/>
    <mergeCell ref="H370:K370"/>
    <mergeCell ref="M370:N370"/>
    <mergeCell ref="T370:V370"/>
    <mergeCell ref="Z370:AA370"/>
    <mergeCell ref="B369:C369"/>
    <mergeCell ref="E369:F369"/>
    <mergeCell ref="H369:K369"/>
    <mergeCell ref="M369:N369"/>
    <mergeCell ref="T369:V369"/>
    <mergeCell ref="Z375:AA375"/>
    <mergeCell ref="B376:C376"/>
    <mergeCell ref="E376:F376"/>
    <mergeCell ref="H376:K376"/>
    <mergeCell ref="M376:N376"/>
    <mergeCell ref="T376:V376"/>
    <mergeCell ref="Z376:AA376"/>
    <mergeCell ref="B375:C375"/>
    <mergeCell ref="E375:F375"/>
    <mergeCell ref="H375:K375"/>
    <mergeCell ref="M375:N375"/>
    <mergeCell ref="T375:V375"/>
    <mergeCell ref="Z373:AA373"/>
    <mergeCell ref="B374:C374"/>
    <mergeCell ref="E374:F374"/>
    <mergeCell ref="H374:K374"/>
    <mergeCell ref="M374:N374"/>
    <mergeCell ref="T374:V374"/>
    <mergeCell ref="Z374:AA374"/>
    <mergeCell ref="B373:C373"/>
    <mergeCell ref="E373:F373"/>
    <mergeCell ref="H373:K373"/>
    <mergeCell ref="M373:N373"/>
    <mergeCell ref="T373:V373"/>
    <mergeCell ref="Z379:AA379"/>
    <mergeCell ref="B380:C380"/>
    <mergeCell ref="E380:F380"/>
    <mergeCell ref="H380:K380"/>
    <mergeCell ref="M380:N380"/>
    <mergeCell ref="T380:V380"/>
    <mergeCell ref="Z380:AA380"/>
    <mergeCell ref="B379:C379"/>
    <mergeCell ref="E379:F379"/>
    <mergeCell ref="H379:K379"/>
    <mergeCell ref="M379:N379"/>
    <mergeCell ref="T379:V379"/>
    <mergeCell ref="Z377:AA377"/>
    <mergeCell ref="B378:C378"/>
    <mergeCell ref="E378:F378"/>
    <mergeCell ref="H378:K378"/>
    <mergeCell ref="M378:N378"/>
    <mergeCell ref="T378:V378"/>
    <mergeCell ref="Z378:AA378"/>
    <mergeCell ref="B377:C377"/>
    <mergeCell ref="E377:F377"/>
    <mergeCell ref="H377:K377"/>
    <mergeCell ref="M377:N377"/>
    <mergeCell ref="T377:V377"/>
    <mergeCell ref="Z383:AA383"/>
    <mergeCell ref="B384:C384"/>
    <mergeCell ref="E384:F384"/>
    <mergeCell ref="H384:K384"/>
    <mergeCell ref="M384:N384"/>
    <mergeCell ref="T384:V384"/>
    <mergeCell ref="Z384:AA384"/>
    <mergeCell ref="B383:C383"/>
    <mergeCell ref="E383:F383"/>
    <mergeCell ref="H383:K383"/>
    <mergeCell ref="M383:N383"/>
    <mergeCell ref="T383:V383"/>
    <mergeCell ref="Z381:AA381"/>
    <mergeCell ref="B382:C382"/>
    <mergeCell ref="E382:F382"/>
    <mergeCell ref="H382:K382"/>
    <mergeCell ref="M382:N382"/>
    <mergeCell ref="T382:V382"/>
    <mergeCell ref="Z382:AA382"/>
    <mergeCell ref="B381:C381"/>
    <mergeCell ref="E381:F381"/>
    <mergeCell ref="H381:K381"/>
    <mergeCell ref="M381:N381"/>
    <mergeCell ref="T381:V381"/>
    <mergeCell ref="Z387:AA387"/>
    <mergeCell ref="B388:C388"/>
    <mergeCell ref="E388:F388"/>
    <mergeCell ref="H388:K388"/>
    <mergeCell ref="M388:N388"/>
    <mergeCell ref="T388:V388"/>
    <mergeCell ref="Z388:AA388"/>
    <mergeCell ref="B387:C387"/>
    <mergeCell ref="E387:F387"/>
    <mergeCell ref="H387:K387"/>
    <mergeCell ref="M387:N387"/>
    <mergeCell ref="T387:V387"/>
    <mergeCell ref="Z385:AA385"/>
    <mergeCell ref="B386:C386"/>
    <mergeCell ref="E386:F386"/>
    <mergeCell ref="H386:K386"/>
    <mergeCell ref="M386:N386"/>
    <mergeCell ref="T386:V386"/>
    <mergeCell ref="Z386:AA386"/>
    <mergeCell ref="B385:C385"/>
    <mergeCell ref="E385:F385"/>
    <mergeCell ref="H385:K385"/>
    <mergeCell ref="M385:N385"/>
    <mergeCell ref="T385:V385"/>
    <mergeCell ref="Z391:AA391"/>
    <mergeCell ref="B392:C392"/>
    <mergeCell ref="E392:F392"/>
    <mergeCell ref="H392:K392"/>
    <mergeCell ref="M392:N392"/>
    <mergeCell ref="T392:V392"/>
    <mergeCell ref="Z392:AA392"/>
    <mergeCell ref="B391:C391"/>
    <mergeCell ref="E391:F391"/>
    <mergeCell ref="H391:K391"/>
    <mergeCell ref="M391:N391"/>
    <mergeCell ref="T391:V391"/>
    <mergeCell ref="Z389:AA389"/>
    <mergeCell ref="B390:C390"/>
    <mergeCell ref="E390:F390"/>
    <mergeCell ref="H390:K390"/>
    <mergeCell ref="M390:N390"/>
    <mergeCell ref="T390:V390"/>
    <mergeCell ref="Z390:AA390"/>
    <mergeCell ref="B389:C389"/>
    <mergeCell ref="E389:F389"/>
    <mergeCell ref="H389:K389"/>
    <mergeCell ref="M389:N389"/>
    <mergeCell ref="T389:V389"/>
    <mergeCell ref="Z395:AA395"/>
    <mergeCell ref="B396:C396"/>
    <mergeCell ref="E396:F396"/>
    <mergeCell ref="H396:K396"/>
    <mergeCell ref="M396:N396"/>
    <mergeCell ref="T396:V396"/>
    <mergeCell ref="Z396:AA396"/>
    <mergeCell ref="B395:C395"/>
    <mergeCell ref="E395:F395"/>
    <mergeCell ref="H395:K395"/>
    <mergeCell ref="M395:N395"/>
    <mergeCell ref="T395:V395"/>
    <mergeCell ref="Z393:AA393"/>
    <mergeCell ref="B394:C394"/>
    <mergeCell ref="E394:F394"/>
    <mergeCell ref="H394:K394"/>
    <mergeCell ref="M394:N394"/>
    <mergeCell ref="T394:V394"/>
    <mergeCell ref="Z394:AA394"/>
    <mergeCell ref="B393:C393"/>
    <mergeCell ref="E393:F393"/>
    <mergeCell ref="H393:K393"/>
    <mergeCell ref="M393:N393"/>
    <mergeCell ref="T393:V393"/>
    <mergeCell ref="Z399:AA399"/>
    <mergeCell ref="B400:C400"/>
    <mergeCell ref="E400:F400"/>
    <mergeCell ref="H400:K400"/>
    <mergeCell ref="M400:N400"/>
    <mergeCell ref="T400:V400"/>
    <mergeCell ref="Z400:AA400"/>
    <mergeCell ref="B399:C399"/>
    <mergeCell ref="E399:F399"/>
    <mergeCell ref="H399:K399"/>
    <mergeCell ref="M399:N399"/>
    <mergeCell ref="T399:V399"/>
    <mergeCell ref="Z397:AA397"/>
    <mergeCell ref="B398:C398"/>
    <mergeCell ref="E398:F398"/>
    <mergeCell ref="H398:K398"/>
    <mergeCell ref="M398:N398"/>
    <mergeCell ref="T398:V398"/>
    <mergeCell ref="Z398:AA398"/>
    <mergeCell ref="B397:C397"/>
    <mergeCell ref="E397:F397"/>
    <mergeCell ref="H397:K397"/>
    <mergeCell ref="M397:N397"/>
    <mergeCell ref="T397:V397"/>
    <mergeCell ref="Z403:AA403"/>
    <mergeCell ref="B404:C404"/>
    <mergeCell ref="E404:F404"/>
    <mergeCell ref="H404:K404"/>
    <mergeCell ref="M404:N404"/>
    <mergeCell ref="T404:V404"/>
    <mergeCell ref="Z404:AA404"/>
    <mergeCell ref="B403:C403"/>
    <mergeCell ref="E403:F403"/>
    <mergeCell ref="H403:K403"/>
    <mergeCell ref="M403:N403"/>
    <mergeCell ref="T403:V403"/>
    <mergeCell ref="Z401:AA401"/>
    <mergeCell ref="B402:C402"/>
    <mergeCell ref="E402:F402"/>
    <mergeCell ref="H402:K402"/>
    <mergeCell ref="M402:N402"/>
    <mergeCell ref="T402:V402"/>
    <mergeCell ref="Z402:AA402"/>
    <mergeCell ref="B401:C401"/>
    <mergeCell ref="E401:F401"/>
    <mergeCell ref="H401:K401"/>
    <mergeCell ref="M401:N401"/>
    <mergeCell ref="T401:V401"/>
    <mergeCell ref="Z407:AA407"/>
    <mergeCell ref="B408:C408"/>
    <mergeCell ref="E408:F408"/>
    <mergeCell ref="H408:K408"/>
    <mergeCell ref="M408:N408"/>
    <mergeCell ref="T408:V408"/>
    <mergeCell ref="Z408:AA408"/>
    <mergeCell ref="B407:C407"/>
    <mergeCell ref="E407:F407"/>
    <mergeCell ref="H407:K407"/>
    <mergeCell ref="M407:N407"/>
    <mergeCell ref="T407:V407"/>
    <mergeCell ref="Z405:AA405"/>
    <mergeCell ref="B406:C406"/>
    <mergeCell ref="E406:F406"/>
    <mergeCell ref="H406:K406"/>
    <mergeCell ref="M406:N406"/>
    <mergeCell ref="T406:V406"/>
    <mergeCell ref="Z406:AA406"/>
    <mergeCell ref="B405:C405"/>
    <mergeCell ref="E405:F405"/>
    <mergeCell ref="H405:K405"/>
    <mergeCell ref="M405:N405"/>
    <mergeCell ref="T405:V405"/>
    <mergeCell ref="Z411:AA411"/>
    <mergeCell ref="B412:C412"/>
    <mergeCell ref="E412:F412"/>
    <mergeCell ref="H412:K412"/>
    <mergeCell ref="M412:N412"/>
    <mergeCell ref="T412:V412"/>
    <mergeCell ref="Z412:AA412"/>
    <mergeCell ref="B411:C411"/>
    <mergeCell ref="E411:F411"/>
    <mergeCell ref="H411:K411"/>
    <mergeCell ref="M411:N411"/>
    <mergeCell ref="T411:V411"/>
    <mergeCell ref="Z409:AA409"/>
    <mergeCell ref="B410:C410"/>
    <mergeCell ref="E410:F410"/>
    <mergeCell ref="H410:K410"/>
    <mergeCell ref="M410:N410"/>
    <mergeCell ref="T410:V410"/>
    <mergeCell ref="Z410:AA410"/>
    <mergeCell ref="B409:C409"/>
    <mergeCell ref="E409:F409"/>
    <mergeCell ref="H409:K409"/>
    <mergeCell ref="M409:N409"/>
    <mergeCell ref="T409:V409"/>
    <mergeCell ref="Z415:AA415"/>
    <mergeCell ref="B416:C416"/>
    <mergeCell ref="E416:F416"/>
    <mergeCell ref="H416:K416"/>
    <mergeCell ref="M416:N416"/>
    <mergeCell ref="T416:V416"/>
    <mergeCell ref="Z416:AA416"/>
    <mergeCell ref="B415:C415"/>
    <mergeCell ref="E415:F415"/>
    <mergeCell ref="H415:K415"/>
    <mergeCell ref="M415:N415"/>
    <mergeCell ref="T415:V415"/>
    <mergeCell ref="Z413:AA413"/>
    <mergeCell ref="B414:C414"/>
    <mergeCell ref="E414:F414"/>
    <mergeCell ref="H414:K414"/>
    <mergeCell ref="M414:N414"/>
    <mergeCell ref="T414:V414"/>
    <mergeCell ref="Z414:AA414"/>
    <mergeCell ref="B413:C413"/>
    <mergeCell ref="E413:F413"/>
    <mergeCell ref="H413:K413"/>
    <mergeCell ref="M413:N413"/>
    <mergeCell ref="T413:V413"/>
    <mergeCell ref="Z419:AA419"/>
    <mergeCell ref="B420:C420"/>
    <mergeCell ref="E420:F420"/>
    <mergeCell ref="H420:K420"/>
    <mergeCell ref="M420:N420"/>
    <mergeCell ref="T420:V420"/>
    <mergeCell ref="Z420:AA420"/>
    <mergeCell ref="B419:C419"/>
    <mergeCell ref="E419:F419"/>
    <mergeCell ref="H419:K419"/>
    <mergeCell ref="M419:N419"/>
    <mergeCell ref="T419:V419"/>
    <mergeCell ref="Z417:AA417"/>
    <mergeCell ref="B418:C418"/>
    <mergeCell ref="E418:F418"/>
    <mergeCell ref="H418:K418"/>
    <mergeCell ref="M418:N418"/>
    <mergeCell ref="T418:V418"/>
    <mergeCell ref="Z418:AA418"/>
    <mergeCell ref="B417:C417"/>
    <mergeCell ref="E417:F417"/>
    <mergeCell ref="H417:K417"/>
    <mergeCell ref="M417:N417"/>
    <mergeCell ref="T417:V417"/>
    <mergeCell ref="Z423:AA423"/>
    <mergeCell ref="B424:C424"/>
    <mergeCell ref="E424:F424"/>
    <mergeCell ref="H424:K424"/>
    <mergeCell ref="M424:N424"/>
    <mergeCell ref="T424:V424"/>
    <mergeCell ref="Z424:AA424"/>
    <mergeCell ref="B423:C423"/>
    <mergeCell ref="E423:F423"/>
    <mergeCell ref="H423:K423"/>
    <mergeCell ref="M423:N423"/>
    <mergeCell ref="T423:V423"/>
    <mergeCell ref="Z421:AA421"/>
    <mergeCell ref="B422:C422"/>
    <mergeCell ref="E422:F422"/>
    <mergeCell ref="H422:K422"/>
    <mergeCell ref="M422:N422"/>
    <mergeCell ref="T422:V422"/>
    <mergeCell ref="Z422:AA422"/>
    <mergeCell ref="B421:C421"/>
    <mergeCell ref="E421:F421"/>
    <mergeCell ref="H421:K421"/>
    <mergeCell ref="M421:N421"/>
    <mergeCell ref="T421:V421"/>
    <mergeCell ref="Z427:AA427"/>
    <mergeCell ref="B428:C428"/>
    <mergeCell ref="E428:F428"/>
    <mergeCell ref="H428:K428"/>
    <mergeCell ref="M428:N428"/>
    <mergeCell ref="T428:V428"/>
    <mergeCell ref="Z428:AA428"/>
    <mergeCell ref="B427:C427"/>
    <mergeCell ref="E427:F427"/>
    <mergeCell ref="H427:K427"/>
    <mergeCell ref="M427:N427"/>
    <mergeCell ref="T427:V427"/>
    <mergeCell ref="Z425:AA425"/>
    <mergeCell ref="B426:C426"/>
    <mergeCell ref="E426:F426"/>
    <mergeCell ref="H426:K426"/>
    <mergeCell ref="M426:N426"/>
    <mergeCell ref="T426:V426"/>
    <mergeCell ref="Z426:AA426"/>
    <mergeCell ref="B425:C425"/>
    <mergeCell ref="E425:F425"/>
    <mergeCell ref="H425:K425"/>
    <mergeCell ref="M425:N425"/>
    <mergeCell ref="T425:V425"/>
    <mergeCell ref="Z431:AA431"/>
    <mergeCell ref="B432:C432"/>
    <mergeCell ref="E432:F432"/>
    <mergeCell ref="H432:K432"/>
    <mergeCell ref="M432:N432"/>
    <mergeCell ref="T432:V432"/>
    <mergeCell ref="Z432:AA432"/>
    <mergeCell ref="B431:C431"/>
    <mergeCell ref="E431:F431"/>
    <mergeCell ref="H431:K431"/>
    <mergeCell ref="M431:N431"/>
    <mergeCell ref="T431:V431"/>
    <mergeCell ref="Z429:AA429"/>
    <mergeCell ref="B430:C430"/>
    <mergeCell ref="E430:F430"/>
    <mergeCell ref="H430:K430"/>
    <mergeCell ref="M430:N430"/>
    <mergeCell ref="T430:V430"/>
    <mergeCell ref="Z430:AA430"/>
    <mergeCell ref="B429:C429"/>
    <mergeCell ref="E429:F429"/>
    <mergeCell ref="H429:K429"/>
    <mergeCell ref="M429:N429"/>
    <mergeCell ref="T429:V429"/>
    <mergeCell ref="Z435:AA435"/>
    <mergeCell ref="B436:C436"/>
    <mergeCell ref="E436:F436"/>
    <mergeCell ref="H436:K436"/>
    <mergeCell ref="M436:N436"/>
    <mergeCell ref="T436:V436"/>
    <mergeCell ref="Z436:AA436"/>
    <mergeCell ref="B435:C435"/>
    <mergeCell ref="E435:F435"/>
    <mergeCell ref="H435:K435"/>
    <mergeCell ref="M435:N435"/>
    <mergeCell ref="T435:V435"/>
    <mergeCell ref="Z433:AA433"/>
    <mergeCell ref="B434:C434"/>
    <mergeCell ref="E434:F434"/>
    <mergeCell ref="H434:K434"/>
    <mergeCell ref="M434:N434"/>
    <mergeCell ref="T434:V434"/>
    <mergeCell ref="Z434:AA434"/>
    <mergeCell ref="B433:C433"/>
    <mergeCell ref="E433:F433"/>
    <mergeCell ref="H433:K433"/>
    <mergeCell ref="M433:N433"/>
    <mergeCell ref="T433:V433"/>
    <mergeCell ref="Z439:AA439"/>
    <mergeCell ref="B440:C440"/>
    <mergeCell ref="E440:F440"/>
    <mergeCell ref="H440:K440"/>
    <mergeCell ref="M440:N440"/>
    <mergeCell ref="T440:V440"/>
    <mergeCell ref="Z440:AA440"/>
    <mergeCell ref="B439:C439"/>
    <mergeCell ref="E439:F439"/>
    <mergeCell ref="H439:K439"/>
    <mergeCell ref="M439:N439"/>
    <mergeCell ref="T439:V439"/>
    <mergeCell ref="Z437:AA437"/>
    <mergeCell ref="B438:C438"/>
    <mergeCell ref="E438:F438"/>
    <mergeCell ref="H438:K438"/>
    <mergeCell ref="M438:N438"/>
    <mergeCell ref="T438:V438"/>
    <mergeCell ref="Z438:AA438"/>
    <mergeCell ref="B437:C437"/>
    <mergeCell ref="E437:F437"/>
    <mergeCell ref="H437:K437"/>
    <mergeCell ref="M437:N437"/>
    <mergeCell ref="T437:V437"/>
    <mergeCell ref="Z443:AA443"/>
    <mergeCell ref="B444:C444"/>
    <mergeCell ref="E444:F444"/>
    <mergeCell ref="H444:K444"/>
    <mergeCell ref="M444:N444"/>
    <mergeCell ref="T444:V444"/>
    <mergeCell ref="Z444:AA444"/>
    <mergeCell ref="B443:C443"/>
    <mergeCell ref="E443:F443"/>
    <mergeCell ref="H443:K443"/>
    <mergeCell ref="M443:N443"/>
    <mergeCell ref="T443:V443"/>
    <mergeCell ref="Z441:AA441"/>
    <mergeCell ref="B442:C442"/>
    <mergeCell ref="E442:F442"/>
    <mergeCell ref="H442:K442"/>
    <mergeCell ref="M442:N442"/>
    <mergeCell ref="T442:V442"/>
    <mergeCell ref="Z442:AA442"/>
    <mergeCell ref="B441:C441"/>
    <mergeCell ref="E441:F441"/>
    <mergeCell ref="H441:K441"/>
    <mergeCell ref="M441:N441"/>
    <mergeCell ref="T441:V441"/>
    <mergeCell ref="Z447:AA447"/>
    <mergeCell ref="B448:C448"/>
    <mergeCell ref="E448:F448"/>
    <mergeCell ref="H448:K448"/>
    <mergeCell ref="M448:N448"/>
    <mergeCell ref="T448:V448"/>
    <mergeCell ref="Z448:AA448"/>
    <mergeCell ref="B447:C447"/>
    <mergeCell ref="E447:F447"/>
    <mergeCell ref="H447:K447"/>
    <mergeCell ref="M447:N447"/>
    <mergeCell ref="T447:V447"/>
    <mergeCell ref="Z445:AA445"/>
    <mergeCell ref="B446:C446"/>
    <mergeCell ref="E446:F446"/>
    <mergeCell ref="H446:K446"/>
    <mergeCell ref="M446:N446"/>
    <mergeCell ref="T446:V446"/>
    <mergeCell ref="Z446:AA446"/>
    <mergeCell ref="B445:C445"/>
    <mergeCell ref="E445:F445"/>
    <mergeCell ref="H445:K445"/>
    <mergeCell ref="M445:N445"/>
    <mergeCell ref="T445:V445"/>
    <mergeCell ref="Z451:AA451"/>
    <mergeCell ref="B452:C452"/>
    <mergeCell ref="E452:F452"/>
    <mergeCell ref="H452:K452"/>
    <mergeCell ref="M452:N452"/>
    <mergeCell ref="T452:V452"/>
    <mergeCell ref="Z452:AA452"/>
    <mergeCell ref="B451:C451"/>
    <mergeCell ref="E451:F451"/>
    <mergeCell ref="H451:K451"/>
    <mergeCell ref="M451:N451"/>
    <mergeCell ref="T451:V451"/>
    <mergeCell ref="Z449:AA449"/>
    <mergeCell ref="B450:C450"/>
    <mergeCell ref="E450:F450"/>
    <mergeCell ref="H450:K450"/>
    <mergeCell ref="M450:N450"/>
    <mergeCell ref="T450:V450"/>
    <mergeCell ref="Z450:AA450"/>
    <mergeCell ref="B449:C449"/>
    <mergeCell ref="E449:F449"/>
    <mergeCell ref="H449:K449"/>
    <mergeCell ref="M449:N449"/>
    <mergeCell ref="T449:V449"/>
    <mergeCell ref="Z455:AA455"/>
    <mergeCell ref="B456:C456"/>
    <mergeCell ref="E456:F456"/>
    <mergeCell ref="H456:K456"/>
    <mergeCell ref="M456:N456"/>
    <mergeCell ref="T456:V456"/>
    <mergeCell ref="Z456:AA456"/>
    <mergeCell ref="B455:C455"/>
    <mergeCell ref="E455:F455"/>
    <mergeCell ref="H455:K455"/>
    <mergeCell ref="M455:N455"/>
    <mergeCell ref="T455:V455"/>
    <mergeCell ref="Z453:AA453"/>
    <mergeCell ref="B454:C454"/>
    <mergeCell ref="E454:F454"/>
    <mergeCell ref="H454:K454"/>
    <mergeCell ref="M454:N454"/>
    <mergeCell ref="T454:V454"/>
    <mergeCell ref="Z454:AA454"/>
    <mergeCell ref="B453:C453"/>
    <mergeCell ref="E453:F453"/>
    <mergeCell ref="H453:K453"/>
    <mergeCell ref="M453:N453"/>
    <mergeCell ref="T453:V453"/>
    <mergeCell ref="Z459:AA459"/>
    <mergeCell ref="B460:C460"/>
    <mergeCell ref="E460:F460"/>
    <mergeCell ref="H460:K460"/>
    <mergeCell ref="M460:N460"/>
    <mergeCell ref="T460:V460"/>
    <mergeCell ref="Z460:AA460"/>
    <mergeCell ref="B459:C459"/>
    <mergeCell ref="E459:F459"/>
    <mergeCell ref="H459:K459"/>
    <mergeCell ref="M459:N459"/>
    <mergeCell ref="T459:V459"/>
    <mergeCell ref="Z457:AA457"/>
    <mergeCell ref="B458:C458"/>
    <mergeCell ref="E458:F458"/>
    <mergeCell ref="H458:K458"/>
    <mergeCell ref="M458:N458"/>
    <mergeCell ref="T458:V458"/>
    <mergeCell ref="Z458:AA458"/>
    <mergeCell ref="B457:C457"/>
    <mergeCell ref="E457:F457"/>
    <mergeCell ref="H457:K457"/>
    <mergeCell ref="M457:N457"/>
    <mergeCell ref="T457:V457"/>
    <mergeCell ref="Z463:AA463"/>
    <mergeCell ref="B464:C464"/>
    <mergeCell ref="E464:F464"/>
    <mergeCell ref="H464:K464"/>
    <mergeCell ref="M464:N464"/>
    <mergeCell ref="T464:V464"/>
    <mergeCell ref="Z464:AA464"/>
    <mergeCell ref="B463:C463"/>
    <mergeCell ref="E463:F463"/>
    <mergeCell ref="H463:K463"/>
    <mergeCell ref="M463:N463"/>
    <mergeCell ref="T463:V463"/>
    <mergeCell ref="Z461:AA461"/>
    <mergeCell ref="B462:C462"/>
    <mergeCell ref="E462:F462"/>
    <mergeCell ref="H462:K462"/>
    <mergeCell ref="M462:N462"/>
    <mergeCell ref="T462:V462"/>
    <mergeCell ref="Z462:AA462"/>
    <mergeCell ref="B461:C461"/>
    <mergeCell ref="E461:F461"/>
    <mergeCell ref="H461:K461"/>
    <mergeCell ref="M461:N461"/>
    <mergeCell ref="T461:V461"/>
    <mergeCell ref="Z467:AA467"/>
    <mergeCell ref="B468:C468"/>
    <mergeCell ref="E468:F468"/>
    <mergeCell ref="H468:K468"/>
    <mergeCell ref="M468:N468"/>
    <mergeCell ref="T468:V468"/>
    <mergeCell ref="Z468:AA468"/>
    <mergeCell ref="B467:C467"/>
    <mergeCell ref="E467:F467"/>
    <mergeCell ref="H467:K467"/>
    <mergeCell ref="M467:N467"/>
    <mergeCell ref="T467:V467"/>
    <mergeCell ref="Z465:AA465"/>
    <mergeCell ref="B466:C466"/>
    <mergeCell ref="E466:F466"/>
    <mergeCell ref="H466:K466"/>
    <mergeCell ref="M466:N466"/>
    <mergeCell ref="T466:V466"/>
    <mergeCell ref="Z466:AA466"/>
    <mergeCell ref="B465:C465"/>
    <mergeCell ref="E465:F465"/>
    <mergeCell ref="H465:K465"/>
    <mergeCell ref="M465:N465"/>
    <mergeCell ref="T465:V465"/>
    <mergeCell ref="Z471:AA471"/>
    <mergeCell ref="B472:C472"/>
    <mergeCell ref="E472:F472"/>
    <mergeCell ref="H472:K472"/>
    <mergeCell ref="M472:N472"/>
    <mergeCell ref="T472:V472"/>
    <mergeCell ref="Z472:AA472"/>
    <mergeCell ref="B471:C471"/>
    <mergeCell ref="E471:F471"/>
    <mergeCell ref="H471:K471"/>
    <mergeCell ref="M471:N471"/>
    <mergeCell ref="T471:V471"/>
    <mergeCell ref="Z469:AA469"/>
    <mergeCell ref="B470:C470"/>
    <mergeCell ref="E470:F470"/>
    <mergeCell ref="H470:K470"/>
    <mergeCell ref="M470:N470"/>
    <mergeCell ref="T470:V470"/>
    <mergeCell ref="Z470:AA470"/>
    <mergeCell ref="B469:C469"/>
    <mergeCell ref="E469:F469"/>
    <mergeCell ref="H469:K469"/>
    <mergeCell ref="M469:N469"/>
    <mergeCell ref="T469:V469"/>
    <mergeCell ref="Z475:AA475"/>
    <mergeCell ref="B476:C476"/>
    <mergeCell ref="E476:F476"/>
    <mergeCell ref="H476:K476"/>
    <mergeCell ref="M476:N476"/>
    <mergeCell ref="T476:V476"/>
    <mergeCell ref="Z476:AA476"/>
    <mergeCell ref="B475:C475"/>
    <mergeCell ref="E475:F475"/>
    <mergeCell ref="H475:K475"/>
    <mergeCell ref="M475:N475"/>
    <mergeCell ref="T475:V475"/>
    <mergeCell ref="Z473:AA473"/>
    <mergeCell ref="B474:C474"/>
    <mergeCell ref="E474:F474"/>
    <mergeCell ref="H474:K474"/>
    <mergeCell ref="M474:N474"/>
    <mergeCell ref="T474:V474"/>
    <mergeCell ref="Z474:AA474"/>
    <mergeCell ref="B473:C473"/>
    <mergeCell ref="E473:F473"/>
    <mergeCell ref="H473:K473"/>
    <mergeCell ref="M473:N473"/>
    <mergeCell ref="T473:V473"/>
    <mergeCell ref="Z479:AA479"/>
    <mergeCell ref="B480:C480"/>
    <mergeCell ref="E480:F480"/>
    <mergeCell ref="H480:K480"/>
    <mergeCell ref="M480:N480"/>
    <mergeCell ref="T480:V480"/>
    <mergeCell ref="Z480:AA480"/>
    <mergeCell ref="B479:C479"/>
    <mergeCell ref="E479:F479"/>
    <mergeCell ref="H479:K479"/>
    <mergeCell ref="M479:N479"/>
    <mergeCell ref="T479:V479"/>
    <mergeCell ref="Z477:AA477"/>
    <mergeCell ref="B478:C478"/>
    <mergeCell ref="E478:F478"/>
    <mergeCell ref="H478:K478"/>
    <mergeCell ref="M478:N478"/>
    <mergeCell ref="T478:V478"/>
    <mergeCell ref="Z478:AA478"/>
    <mergeCell ref="B477:C477"/>
    <mergeCell ref="E477:F477"/>
    <mergeCell ref="H477:K477"/>
    <mergeCell ref="M477:N477"/>
    <mergeCell ref="T477:V477"/>
    <mergeCell ref="Z483:AA483"/>
    <mergeCell ref="B484:C484"/>
    <mergeCell ref="E484:F484"/>
    <mergeCell ref="H484:K484"/>
    <mergeCell ref="M484:N484"/>
    <mergeCell ref="T484:V484"/>
    <mergeCell ref="Z484:AA484"/>
    <mergeCell ref="B483:C483"/>
    <mergeCell ref="E483:F483"/>
    <mergeCell ref="H483:K483"/>
    <mergeCell ref="M483:N483"/>
    <mergeCell ref="T483:V483"/>
    <mergeCell ref="Z481:AA481"/>
    <mergeCell ref="B482:C482"/>
    <mergeCell ref="E482:F482"/>
    <mergeCell ref="H482:K482"/>
    <mergeCell ref="M482:N482"/>
    <mergeCell ref="T482:V482"/>
    <mergeCell ref="Z482:AA482"/>
    <mergeCell ref="B481:C481"/>
    <mergeCell ref="E481:F481"/>
    <mergeCell ref="H481:K481"/>
    <mergeCell ref="M481:N481"/>
    <mergeCell ref="T481:V481"/>
    <mergeCell ref="Z487:AA487"/>
    <mergeCell ref="B488:C488"/>
    <mergeCell ref="E488:F488"/>
    <mergeCell ref="H488:K488"/>
    <mergeCell ref="M488:N488"/>
    <mergeCell ref="T488:V488"/>
    <mergeCell ref="Z488:AA488"/>
    <mergeCell ref="B487:C487"/>
    <mergeCell ref="E487:F487"/>
    <mergeCell ref="H487:K487"/>
    <mergeCell ref="M487:N487"/>
    <mergeCell ref="T487:V487"/>
    <mergeCell ref="Z485:AA485"/>
    <mergeCell ref="B486:C486"/>
    <mergeCell ref="E486:F486"/>
    <mergeCell ref="H486:K486"/>
    <mergeCell ref="M486:N486"/>
    <mergeCell ref="T486:V486"/>
    <mergeCell ref="Z486:AA486"/>
    <mergeCell ref="B485:C485"/>
    <mergeCell ref="E485:F485"/>
    <mergeCell ref="H485:K485"/>
    <mergeCell ref="M485:N485"/>
    <mergeCell ref="T485:V485"/>
    <mergeCell ref="Z491:AA491"/>
    <mergeCell ref="B492:C492"/>
    <mergeCell ref="E492:F492"/>
    <mergeCell ref="H492:K492"/>
    <mergeCell ref="M492:N492"/>
    <mergeCell ref="T492:V492"/>
    <mergeCell ref="Z492:AA492"/>
    <mergeCell ref="B491:C491"/>
    <mergeCell ref="E491:F491"/>
    <mergeCell ref="H491:K491"/>
    <mergeCell ref="M491:N491"/>
    <mergeCell ref="T491:V491"/>
    <mergeCell ref="Z489:AA489"/>
    <mergeCell ref="B490:C490"/>
    <mergeCell ref="E490:F490"/>
    <mergeCell ref="H490:K490"/>
    <mergeCell ref="M490:N490"/>
    <mergeCell ref="T490:V490"/>
    <mergeCell ref="Z490:AA490"/>
    <mergeCell ref="B489:C489"/>
    <mergeCell ref="E489:F489"/>
    <mergeCell ref="H489:K489"/>
    <mergeCell ref="M489:N489"/>
    <mergeCell ref="T489:V489"/>
    <mergeCell ref="Z495:AA495"/>
    <mergeCell ref="B496:C496"/>
    <mergeCell ref="E496:F496"/>
    <mergeCell ref="H496:K496"/>
    <mergeCell ref="M496:N496"/>
    <mergeCell ref="T496:V496"/>
    <mergeCell ref="Z496:AA496"/>
    <mergeCell ref="B495:C495"/>
    <mergeCell ref="E495:F495"/>
    <mergeCell ref="H495:K495"/>
    <mergeCell ref="M495:N495"/>
    <mergeCell ref="T495:V495"/>
    <mergeCell ref="Z493:AA493"/>
    <mergeCell ref="B494:C494"/>
    <mergeCell ref="E494:F494"/>
    <mergeCell ref="H494:K494"/>
    <mergeCell ref="M494:N494"/>
    <mergeCell ref="T494:V494"/>
    <mergeCell ref="Z494:AA494"/>
    <mergeCell ref="B493:C493"/>
    <mergeCell ref="E493:F493"/>
    <mergeCell ref="H493:K493"/>
    <mergeCell ref="M493:N493"/>
    <mergeCell ref="T493:V493"/>
    <mergeCell ref="Z499:AA499"/>
    <mergeCell ref="B500:C500"/>
    <mergeCell ref="E500:F500"/>
    <mergeCell ref="H500:K500"/>
    <mergeCell ref="M500:N500"/>
    <mergeCell ref="T500:V500"/>
    <mergeCell ref="Z500:AA500"/>
    <mergeCell ref="B499:C499"/>
    <mergeCell ref="E499:F499"/>
    <mergeCell ref="H499:K499"/>
    <mergeCell ref="M499:N499"/>
    <mergeCell ref="T499:V499"/>
    <mergeCell ref="Z497:AA497"/>
    <mergeCell ref="B498:C498"/>
    <mergeCell ref="E498:F498"/>
    <mergeCell ref="H498:K498"/>
    <mergeCell ref="M498:N498"/>
    <mergeCell ref="T498:V498"/>
    <mergeCell ref="Z498:AA498"/>
    <mergeCell ref="B497:C497"/>
    <mergeCell ref="E497:F497"/>
    <mergeCell ref="H497:K497"/>
    <mergeCell ref="M497:N497"/>
    <mergeCell ref="T497:V497"/>
    <mergeCell ref="Z503:AA503"/>
    <mergeCell ref="B504:C504"/>
    <mergeCell ref="E504:F504"/>
    <mergeCell ref="H504:K504"/>
    <mergeCell ref="M504:N504"/>
    <mergeCell ref="T504:V504"/>
    <mergeCell ref="Z504:AA504"/>
    <mergeCell ref="B503:C503"/>
    <mergeCell ref="E503:F503"/>
    <mergeCell ref="H503:K503"/>
    <mergeCell ref="M503:N503"/>
    <mergeCell ref="T503:V503"/>
    <mergeCell ref="Z501:AA501"/>
    <mergeCell ref="B502:C502"/>
    <mergeCell ref="E502:F502"/>
    <mergeCell ref="H502:K502"/>
    <mergeCell ref="M502:N502"/>
    <mergeCell ref="T502:V502"/>
    <mergeCell ref="Z502:AA502"/>
    <mergeCell ref="B501:C501"/>
    <mergeCell ref="E501:F501"/>
    <mergeCell ref="H501:K501"/>
    <mergeCell ref="M501:N501"/>
    <mergeCell ref="T501:V501"/>
    <mergeCell ref="Z507:AA507"/>
    <mergeCell ref="B508:C508"/>
    <mergeCell ref="E508:F508"/>
    <mergeCell ref="H508:K508"/>
    <mergeCell ref="M508:N508"/>
    <mergeCell ref="T508:V508"/>
    <mergeCell ref="Z508:AA508"/>
    <mergeCell ref="B507:C507"/>
    <mergeCell ref="E507:F507"/>
    <mergeCell ref="H507:K507"/>
    <mergeCell ref="M507:N507"/>
    <mergeCell ref="T507:V507"/>
    <mergeCell ref="Z505:AA505"/>
    <mergeCell ref="B506:C506"/>
    <mergeCell ref="E506:F506"/>
    <mergeCell ref="H506:K506"/>
    <mergeCell ref="M506:N506"/>
    <mergeCell ref="T506:V506"/>
    <mergeCell ref="Z506:AA506"/>
    <mergeCell ref="B505:C505"/>
    <mergeCell ref="E505:F505"/>
    <mergeCell ref="H505:K505"/>
    <mergeCell ref="M505:N505"/>
    <mergeCell ref="T505:V505"/>
    <mergeCell ref="Z511:AA511"/>
    <mergeCell ref="B512:C512"/>
    <mergeCell ref="E512:F512"/>
    <mergeCell ref="H512:K512"/>
    <mergeCell ref="M512:N512"/>
    <mergeCell ref="T512:V512"/>
    <mergeCell ref="Z512:AA512"/>
    <mergeCell ref="B511:C511"/>
    <mergeCell ref="E511:F511"/>
    <mergeCell ref="H511:K511"/>
    <mergeCell ref="M511:N511"/>
    <mergeCell ref="T511:V511"/>
    <mergeCell ref="Z509:AA509"/>
    <mergeCell ref="B510:C510"/>
    <mergeCell ref="E510:F510"/>
    <mergeCell ref="H510:K510"/>
    <mergeCell ref="M510:N510"/>
    <mergeCell ref="T510:V510"/>
    <mergeCell ref="Z510:AA510"/>
    <mergeCell ref="B509:C509"/>
    <mergeCell ref="E509:F509"/>
    <mergeCell ref="H509:K509"/>
    <mergeCell ref="M509:N509"/>
    <mergeCell ref="T509:V509"/>
    <mergeCell ref="Z515:AA515"/>
    <mergeCell ref="B516:C516"/>
    <mergeCell ref="E516:F516"/>
    <mergeCell ref="H516:K516"/>
    <mergeCell ref="M516:N516"/>
    <mergeCell ref="T516:V516"/>
    <mergeCell ref="Z516:AA516"/>
    <mergeCell ref="B515:C515"/>
    <mergeCell ref="E515:F515"/>
    <mergeCell ref="H515:K515"/>
    <mergeCell ref="M515:N515"/>
    <mergeCell ref="T515:V515"/>
    <mergeCell ref="Z513:AA513"/>
    <mergeCell ref="B514:C514"/>
    <mergeCell ref="E514:F514"/>
    <mergeCell ref="H514:K514"/>
    <mergeCell ref="M514:N514"/>
    <mergeCell ref="T514:V514"/>
    <mergeCell ref="Z514:AA514"/>
    <mergeCell ref="B513:C513"/>
    <mergeCell ref="E513:F513"/>
    <mergeCell ref="H513:K513"/>
    <mergeCell ref="M513:N513"/>
    <mergeCell ref="T513:V513"/>
    <mergeCell ref="Z519:AA519"/>
    <mergeCell ref="B520:C520"/>
    <mergeCell ref="E520:F520"/>
    <mergeCell ref="H520:K520"/>
    <mergeCell ref="M520:N520"/>
    <mergeCell ref="T520:V520"/>
    <mergeCell ref="Z520:AA520"/>
    <mergeCell ref="B519:C519"/>
    <mergeCell ref="E519:F519"/>
    <mergeCell ref="H519:K519"/>
    <mergeCell ref="M519:N519"/>
    <mergeCell ref="T519:V519"/>
    <mergeCell ref="Z517:AA517"/>
    <mergeCell ref="B518:C518"/>
    <mergeCell ref="E518:F518"/>
    <mergeCell ref="H518:K518"/>
    <mergeCell ref="M518:N518"/>
    <mergeCell ref="T518:V518"/>
    <mergeCell ref="Z518:AA518"/>
    <mergeCell ref="B517:C517"/>
    <mergeCell ref="E517:F517"/>
    <mergeCell ref="H517:K517"/>
    <mergeCell ref="M517:N517"/>
    <mergeCell ref="T517:V517"/>
    <mergeCell ref="Z523:AA523"/>
    <mergeCell ref="B524:C524"/>
    <mergeCell ref="E524:F524"/>
    <mergeCell ref="H524:K524"/>
    <mergeCell ref="M524:N524"/>
    <mergeCell ref="T524:V524"/>
    <mergeCell ref="Z524:AA524"/>
    <mergeCell ref="B523:C523"/>
    <mergeCell ref="E523:F523"/>
    <mergeCell ref="H523:K523"/>
    <mergeCell ref="M523:N523"/>
    <mergeCell ref="T523:V523"/>
    <mergeCell ref="Z521:AA521"/>
    <mergeCell ref="B522:C522"/>
    <mergeCell ref="E522:F522"/>
    <mergeCell ref="H522:K522"/>
    <mergeCell ref="M522:N522"/>
    <mergeCell ref="T522:V522"/>
    <mergeCell ref="Z522:AA522"/>
    <mergeCell ref="B521:C521"/>
    <mergeCell ref="E521:F521"/>
    <mergeCell ref="H521:K521"/>
    <mergeCell ref="M521:N521"/>
    <mergeCell ref="T521:V521"/>
    <mergeCell ref="Z527:AA527"/>
    <mergeCell ref="B528:C528"/>
    <mergeCell ref="E528:F528"/>
    <mergeCell ref="H528:K528"/>
    <mergeCell ref="M528:N528"/>
    <mergeCell ref="T528:V528"/>
    <mergeCell ref="Z528:AA528"/>
    <mergeCell ref="B527:C527"/>
    <mergeCell ref="E527:F527"/>
    <mergeCell ref="H527:K527"/>
    <mergeCell ref="M527:N527"/>
    <mergeCell ref="T527:V527"/>
    <mergeCell ref="Z525:AA525"/>
    <mergeCell ref="B526:C526"/>
    <mergeCell ref="E526:F526"/>
    <mergeCell ref="H526:K526"/>
    <mergeCell ref="M526:N526"/>
    <mergeCell ref="T526:V526"/>
    <mergeCell ref="Z526:AA526"/>
    <mergeCell ref="B525:C525"/>
    <mergeCell ref="E525:F525"/>
    <mergeCell ref="H525:K525"/>
    <mergeCell ref="M525:N525"/>
    <mergeCell ref="T525:V525"/>
    <mergeCell ref="Z531:AA531"/>
    <mergeCell ref="B532:C532"/>
    <mergeCell ref="E532:F532"/>
    <mergeCell ref="H532:K532"/>
    <mergeCell ref="M532:N532"/>
    <mergeCell ref="T532:V532"/>
    <mergeCell ref="Z532:AA532"/>
    <mergeCell ref="B531:C531"/>
    <mergeCell ref="E531:F531"/>
    <mergeCell ref="H531:K531"/>
    <mergeCell ref="M531:N531"/>
    <mergeCell ref="T531:V531"/>
    <mergeCell ref="Z529:AA529"/>
    <mergeCell ref="B530:C530"/>
    <mergeCell ref="E530:F530"/>
    <mergeCell ref="H530:K530"/>
    <mergeCell ref="M530:N530"/>
    <mergeCell ref="T530:V530"/>
    <mergeCell ref="Z530:AA530"/>
    <mergeCell ref="B529:C529"/>
    <mergeCell ref="E529:F529"/>
    <mergeCell ref="H529:K529"/>
    <mergeCell ref="M529:N529"/>
    <mergeCell ref="T529:V529"/>
    <mergeCell ref="Z535:AA535"/>
    <mergeCell ref="B536:C536"/>
    <mergeCell ref="E536:F536"/>
    <mergeCell ref="H536:K536"/>
    <mergeCell ref="M536:N536"/>
    <mergeCell ref="T536:V536"/>
    <mergeCell ref="Z536:AA536"/>
    <mergeCell ref="B535:C535"/>
    <mergeCell ref="E535:F535"/>
    <mergeCell ref="H535:K535"/>
    <mergeCell ref="M535:N535"/>
    <mergeCell ref="T535:V535"/>
    <mergeCell ref="Z533:AA533"/>
    <mergeCell ref="B534:C534"/>
    <mergeCell ref="E534:F534"/>
    <mergeCell ref="H534:K534"/>
    <mergeCell ref="M534:N534"/>
    <mergeCell ref="T534:V534"/>
    <mergeCell ref="Z534:AA534"/>
    <mergeCell ref="B533:C533"/>
    <mergeCell ref="E533:F533"/>
    <mergeCell ref="H533:K533"/>
    <mergeCell ref="M533:N533"/>
    <mergeCell ref="T533:V533"/>
    <mergeCell ref="Z539:AA539"/>
    <mergeCell ref="B540:C540"/>
    <mergeCell ref="E540:F540"/>
    <mergeCell ref="H540:K540"/>
    <mergeCell ref="M540:N540"/>
    <mergeCell ref="T540:V540"/>
    <mergeCell ref="Z540:AA540"/>
    <mergeCell ref="B539:C539"/>
    <mergeCell ref="E539:F539"/>
    <mergeCell ref="H539:K539"/>
    <mergeCell ref="M539:N539"/>
    <mergeCell ref="T539:V539"/>
    <mergeCell ref="Z537:AA537"/>
    <mergeCell ref="B538:C538"/>
    <mergeCell ref="E538:F538"/>
    <mergeCell ref="H538:K538"/>
    <mergeCell ref="M538:N538"/>
    <mergeCell ref="T538:V538"/>
    <mergeCell ref="Z538:AA538"/>
    <mergeCell ref="B537:C537"/>
    <mergeCell ref="E537:F537"/>
    <mergeCell ref="H537:K537"/>
    <mergeCell ref="M537:N537"/>
    <mergeCell ref="T537:V537"/>
    <mergeCell ref="Z543:AA543"/>
    <mergeCell ref="B544:C544"/>
    <mergeCell ref="E544:F544"/>
    <mergeCell ref="H544:K544"/>
    <mergeCell ref="M544:N544"/>
    <mergeCell ref="T544:V544"/>
    <mergeCell ref="Z544:AA544"/>
    <mergeCell ref="B543:C543"/>
    <mergeCell ref="E543:F543"/>
    <mergeCell ref="H543:K543"/>
    <mergeCell ref="M543:N543"/>
    <mergeCell ref="T543:V543"/>
    <mergeCell ref="Z541:AA541"/>
    <mergeCell ref="B542:C542"/>
    <mergeCell ref="E542:F542"/>
    <mergeCell ref="H542:K542"/>
    <mergeCell ref="M542:N542"/>
    <mergeCell ref="T542:V542"/>
    <mergeCell ref="Z542:AA542"/>
    <mergeCell ref="B541:C541"/>
    <mergeCell ref="E541:F541"/>
    <mergeCell ref="H541:K541"/>
    <mergeCell ref="M541:N541"/>
    <mergeCell ref="T541:V541"/>
    <mergeCell ref="Z547:AA547"/>
    <mergeCell ref="B548:C548"/>
    <mergeCell ref="E548:F548"/>
    <mergeCell ref="H548:K548"/>
    <mergeCell ref="M548:N548"/>
    <mergeCell ref="T548:V548"/>
    <mergeCell ref="Z548:AA548"/>
    <mergeCell ref="B547:C547"/>
    <mergeCell ref="E547:F547"/>
    <mergeCell ref="H547:K547"/>
    <mergeCell ref="M547:N547"/>
    <mergeCell ref="T547:V547"/>
    <mergeCell ref="Z545:AA545"/>
    <mergeCell ref="B546:C546"/>
    <mergeCell ref="E546:F546"/>
    <mergeCell ref="H546:K546"/>
    <mergeCell ref="M546:N546"/>
    <mergeCell ref="T546:V546"/>
    <mergeCell ref="Z546:AA546"/>
    <mergeCell ref="B545:C545"/>
    <mergeCell ref="E545:F545"/>
    <mergeCell ref="H545:K545"/>
    <mergeCell ref="M545:N545"/>
    <mergeCell ref="T545:V545"/>
    <mergeCell ref="Z551:AA551"/>
    <mergeCell ref="B552:C552"/>
    <mergeCell ref="E552:F552"/>
    <mergeCell ref="H552:K552"/>
    <mergeCell ref="M552:N552"/>
    <mergeCell ref="T552:V552"/>
    <mergeCell ref="Z552:AA552"/>
    <mergeCell ref="B551:C551"/>
    <mergeCell ref="E551:F551"/>
    <mergeCell ref="H551:K551"/>
    <mergeCell ref="M551:N551"/>
    <mergeCell ref="T551:V551"/>
    <mergeCell ref="Z549:AA549"/>
    <mergeCell ref="B550:C550"/>
    <mergeCell ref="E550:F550"/>
    <mergeCell ref="H550:K550"/>
    <mergeCell ref="M550:N550"/>
    <mergeCell ref="T550:V550"/>
    <mergeCell ref="Z550:AA550"/>
    <mergeCell ref="B549:C549"/>
    <mergeCell ref="E549:F549"/>
    <mergeCell ref="H549:K549"/>
    <mergeCell ref="M549:N549"/>
    <mergeCell ref="T549:V549"/>
    <mergeCell ref="Z555:AA555"/>
    <mergeCell ref="B556:C556"/>
    <mergeCell ref="E556:F556"/>
    <mergeCell ref="H556:K556"/>
    <mergeCell ref="M556:N556"/>
    <mergeCell ref="T556:V556"/>
    <mergeCell ref="Z556:AA556"/>
    <mergeCell ref="B555:C555"/>
    <mergeCell ref="E555:F555"/>
    <mergeCell ref="H555:K555"/>
    <mergeCell ref="M555:N555"/>
    <mergeCell ref="T555:V555"/>
    <mergeCell ref="Z553:AA553"/>
    <mergeCell ref="B554:C554"/>
    <mergeCell ref="E554:F554"/>
    <mergeCell ref="H554:K554"/>
    <mergeCell ref="M554:N554"/>
    <mergeCell ref="T554:V554"/>
    <mergeCell ref="Z554:AA554"/>
    <mergeCell ref="B553:C553"/>
    <mergeCell ref="E553:F553"/>
    <mergeCell ref="H553:K553"/>
    <mergeCell ref="M553:N553"/>
    <mergeCell ref="T553:V553"/>
    <mergeCell ref="Z559:AA559"/>
    <mergeCell ref="B560:C560"/>
    <mergeCell ref="E560:F560"/>
    <mergeCell ref="H560:K560"/>
    <mergeCell ref="M560:N560"/>
    <mergeCell ref="T560:V560"/>
    <mergeCell ref="Z560:AA560"/>
    <mergeCell ref="B559:C559"/>
    <mergeCell ref="E559:F559"/>
    <mergeCell ref="H559:K559"/>
    <mergeCell ref="M559:N559"/>
    <mergeCell ref="T559:V559"/>
    <mergeCell ref="Z557:AA557"/>
    <mergeCell ref="B558:C558"/>
    <mergeCell ref="E558:F558"/>
    <mergeCell ref="H558:K558"/>
    <mergeCell ref="M558:N558"/>
    <mergeCell ref="T558:V558"/>
    <mergeCell ref="Z558:AA558"/>
    <mergeCell ref="B557:C557"/>
    <mergeCell ref="E557:F557"/>
    <mergeCell ref="H557:K557"/>
    <mergeCell ref="M557:N557"/>
    <mergeCell ref="T557:V557"/>
    <mergeCell ref="Z563:AA563"/>
    <mergeCell ref="B563:C563"/>
    <mergeCell ref="E563:F563"/>
    <mergeCell ref="H563:K563"/>
    <mergeCell ref="M563:N563"/>
    <mergeCell ref="T563:V563"/>
    <mergeCell ref="Z561:AA561"/>
    <mergeCell ref="B562:C562"/>
    <mergeCell ref="E562:F562"/>
    <mergeCell ref="H562:K562"/>
    <mergeCell ref="M562:N562"/>
    <mergeCell ref="T562:V562"/>
    <mergeCell ref="Z562:AA562"/>
    <mergeCell ref="B561:C561"/>
    <mergeCell ref="E561:F561"/>
    <mergeCell ref="H561:K561"/>
    <mergeCell ref="M561:N561"/>
    <mergeCell ref="T561:V56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<?xml version="1.0" encoding="utf-8"?>
<AdaptiveCompressedXml id="658bd386981e4cefbb78798787112cb6">H4sIAAAAAAAEAO293Y5kN5ImeL/AvoOQ99YizYyk2UKqQU91Y1HA7Gxjqvdm7/i7JaxKVZDUM91YzLuvMTIrO9MjvJPKcLpSfg5KlRnpx8P9HNpH42f/3/ynf/3z91/99/7jT9/95Ydv3/i/c2/+0+/+1//lmz/+qfefv/pD+/ZNDFIaSQQV34FrH1BKEkgqSZL3WEt889V/zX/u3775wx//7j//8e9a/zl/9/1X8NXv809/emOf9tVX3/w0P+8f+vjuh+9+tm/66elVe/3H/te//PjzHz+++u6iXf5r/vHnn97/8/37/8lefrq5SoNzjg1w1AiMFaFQs9vUjD5xbSnQmw9+3z7hv/yl5o++5N3r37Wvfv63v9pD2NN8fXmx9u+///vWfuw//fTVj3/5H/Ym9+ar+pfv/+XPtmjuhV/4f/u//c5/8/X866Nv//rFr/+m/vjdz/3H7/Llx/Tv+5/7Dz//0WSRW/6rvWc+Nb65eN+8/R9++jn/UPuzKx9csztu9oD/9H/95//yh9//8Z//z//29//7P9Lzm5+3efXj/nZLP730Re+uffWd3ST7FJ7f59Pb5jp/Ze/77ud/++enJcc37/45ny6kFxb07V29+/xPfvXq9/pXfpEn5/1nPaRn4l/65e+vXK79+wuGkwu4vQCsb77+9030H2ytwVh8Rdvt2itwUARVFfAZcxAZXkbasrVS/PTWwoNvLZKH21r3RXdWidRlgLNjArh0hhKEwGFppYuUHnkPuvHT6KaDozu8cJ9PbzvRvai7pboaHIOnloHFFdPiVWCM0KNoSm2UPeheoEV8cHQn/ZXQvUzHvnB0U2tCJXQgYiP9XSpk8RUaDYmJHOkmZuLp0+gOR0d3/Dx0R30tF38QdMfOuSQnoIwOOPoBGcnIt2shds9IoW9Bt34a3PHg4L50Jrx/2wnuRdqNseOgCIWjGZVSCmSzZoB84BJzKKPv8dekT4M7HRzc8TNtyhPcf3NGxui8pwJeMAA3I9ziEEFKqJW7Nqx7WLcsqG49OLrT5/npXs+604OgeyTuTMGDcBLg1CsIdYXQqtPWao1d9/CSBY+JdweHN/9aLpNHgbf2HBqSg9x6Bg4xG7xbhBZKao7FO9ljVCovwPvooaTwa2nvR/GZtFBb7jmCr5N492H2pZp9qZ5GGCmVFOIen0lcoN4BD05PIi27TV4bs7Sz4m5x2ftiPPissZQOHcUwPopRb+4eMHlXUmcXa92D8ZWgTsCDuwbZLxuYN8D43QKkd6Ypor0EQmh9dGBiNRXuOjhW7D7VMfIejOuCGvcHR7jn5QDiycLfvnwB744DbTUyVAkE3EaAHJuHMboLvnkJ6PeocBcW8H10//dlTsT7t534XqQoI4pK9mDa2r3FtzQfoSasTEIh8CaKQisJi4d3gX9mfOfE9zt8cyWmmptZmMnwHdiQXr0p8RJcEfUS+57gpaeF2LyXQ+MbA39udP4E+DuAi6vYUhNgHjOAOTKUMRwY/holFS99V+6JLAD84G4Un5Zx9lsz+1IlwgoJKQD7jpC5V2ijUUiGjdD2pKv6uMCL8fDRl1+r0uFR1Go2AHdNBXQMBM4lQ061QB92ZPXWieomuy8uqFU8evjlft60B8U3dREeXaGGlow7OAcZqwOXlLkrG2vATa7pBV6MRy+nCadf45X8BF0xUFeIbFqbFYdpclcgZ3Uu5EA+5k34XuEnRy+oYXfi+1X4Tq6gz+TN2JvZIbUEg7b9s7UqucfQ6JIC3gzfC3EXPHxJzclPXodvcZUp+wxpuA6c0Jh4aBWGC8GuOKS8yW+XFnJXjx4593Lq79fhu5P2EFMDwdkdIuYKOUiDWLw2b0qdh9uDb/EL+D56XDHczW33qPhG7576s6CU6T+pHrSgg+KUO1fHiGMTvlf099HjinwWH7wO36FmKRkN3yUIcKkI2ReGFIyYh5ELF9mDb13R38eOK5r+PvnJa/GdaCRqMMqMLWYSUN8FTK1jwECeN5W0o1vothOPXn/AvA9ozzYT3a0/xP3LI8PgCm7WSPJoDAVjAF9FenDRpU0FZLhQYUNHD2HKZxaQndW/f6Pg00nCpcBocYZ4AoM4rTDM2sSEJfq0p/oXVzpKHVyBe/nMCM8J779F6Ifjiq4ZA8/ZtLcgFBkMlAeV3gqlsseDggsEnI4ewEwnvF8Hb3JxmEXZoZXSzMDMCCrGxzOl6h0VibongMkL8R06enxHfq2+O8uk6AuHN7YRkWKEhi6YfTnaLP8VGI5yTtKRcE/8klfIydHDO+EzLb4T3n/rTeJrqikrkBsG7xoLZNQAGhI6SY6T32Na8kL2CR09unOZ2vb+bSe8F1sCBudrrxFcNfuS2XcovheoQ0KuHJTbHu+3LsA76LFty+BkHwl+flTcLZJ0X4gXldoTdaMl0cxLhwxKQ6EMxiCcSsA9jQF1paerHtu+DP5y8d+/bUfrhru1srqz/9tPCq4G8cZjdpgiKKRqbLx5ZEyexx6Ih4UQDx9biWtYn+PxhZMFqdkPLQJa3OyOXQZkZ4o1RBGz9Eomv6fTU1jQpHz0TGz5tdpjPwoXdojeo3RILRGwzsEdY+aEUBkthCphVwGurqjRo3vqwuMNprkkQw+ykRpnRpltLrPaOZFaAPENwUkNufBAO0U2baQFlzcf3ScYf60pIY+TUlXNgIwepIcGzMlBMRhAC7mSi9xS3JQSqwspsXx0p2A8UwZfh+/41HfbRzAbMgHjCFAqBeiZSHweOcmmdCq3MuTp6Cnf6Wwl9Uqi37U2oyJGSPwAjjVDHr3BSKM4bBnHZVXrzfC9ELPko6d8x8craXhQou9HyOgSQ0A0OxmDHRTDDSB0JSbSpHVXbvmKR+joLavWU8t/Mxvpzom3zTs/m3371NWIfquQERkitiQYXaGypzcWrvSMDUdPLL9fOcOD4jv6OJkQw0Cd0f9BUJ7mFefi2BVusewxZO3QWMD3sQNHPOdbnPh+Vc9YTNidMiDVYPhmBCXMoLUX4/rkYt1U27k0meTg8JbPbG14Zpa/D/srqmABKrOlfUCjJ4oRmmly5aaNL7tO30x9L9S9xaNPTku6zE9ukNryoO1pk2+uBPVQcxtThXuQlocxFjLtrqlFv6f2jRdckeHoMdn4ePm3D3pWlCaIIxToQWcVUsyzjUuARLHGWkg67zkreKHILh69jYvSHbsA3G/T3rnQjtRr7BFIXAbG2aQIKUJvHoUME+Oy2OtW6WkLXv1IB89PS+ttAG4A8buZFnfOrOkdey8RRpsZmFwUJHaj/cVxV0cut03NzFcgfvRmoYnumMse7la4emeIhxC75wFay+zHFRJI5QbB0SgBPbnLzX2zfv0rED+4TzLdk6h87kihLx3imgr5mhmiyx1sKw/IhAbxVEervbh22XX4Vn6bhfSxeHCvjQ+/llvytGn//cW11gPsBlIhiLPiiYcfIE0VHNYQR4m++l3+z5WN5A/O+EPal+fynPE/qP+ztO7C6AhkfwHrLFzto0KPVNyIw/VLfXUzOrTAh8LR+5PyPfnQ/WaB3VmPm7pWkQ6emE2PRwFteSbV59ZbZN/znhFGYcHHHw+uxe/oS7kbTbkb8bpzOmbppIW72RW+AKenLUQDis8OcXjycc8IaFlId4ju4HVXvLEO/NmmpbsVS945I1O8Q68MqWM1OhQV1DcPtbnhS+VBZU/GcVjJeDh6aYqup/S8HuL3q3e/c1ImjVEEB1Q3B/I2VsgYInApPhRyvec9XRZW5hEEPbaPP6Bf1qw3cIA+aEumVgfHIAjD51lg2BxoDgIxYGSOQ/Vy2vatIL6S1KMHZ/yMJ8TfXXiF38YIt7I81UJNokIzUluNmg+R4JyTNPak1stKGMsdW4szuztC/FG5uE+hp1oQonoBDkbDC2kDF6Qln02hl01tPlbSj4MePJAl63XiN3BN3m3M9Z3Tj0NJ2rNOh+Tsbm1ozzwiDGJfCrdGbdf06RU2fvSMG75sOPf+bTsw/qB6XELMHF2DmjrPdjYD1BUHUXwQNaPTtz1uQ09LGD94PxsOd8T4ZcHQ9e/6bWG8BhyUXAQsPHODS4c8mkBTjBhLkOj2pArIQiG3fffBIe7uOQTvQdU4zsZ6Th24YnamURMGaUVARrSXy8CCm3KD4wodD8cO/2AgfVCOrKPNKeezk9J0dXiJkB0zNO6kIYzh8yY7MK50WD94kR4G1M+MlHzpwAtmhFEdCnNGC3DpFXQMhFpiijQk19j2HOorwUB38Pp+Wu/jdR7q71++9D9Id2znN6Qyp2vVUOZ0rQ5VShooEXVTTZssqNboDl4Ngeu5USfE37982aQlZR/mTNsUYzPeOiuTsyAkRk0j5WDG2h6Ir9S0uYN7kXG9m+4J8fcvXxKVxnVg88DKfY4A9ZBLnoVtjvvoUXY1sZCllI6D90nEcLcO/48L8c49xCQERG32l3AeStAIwcVEnTNx25PDPdsZLBiBx/awYaDLlt3v3/cbB17IwTUz9SDyjEIPTLOYkkBC9aZeo0FvU9eHFc/u0Zs563qW5pkR+v7lywBdEZbUIkSa44h8LpDjHO8WeaRaMjnaw5BxxQjEYzt2Od0zz0I+04f8pUM8ZZHSsEMYY9KHNKtWlIA7J0nG0OImiPsVLY4HNwIT3VGLP2rXhx5D06ADPM7SlTI6FIkIlCV3N6NzblOaRVyxAg/ejnbG5x40FTkY6HrtZovVMoBbR8ilRqi5BOrYfWybSshX0u2jO3p+z7pL4AY5bA+K8WE0wey9ADnNTvZzgKehW6BEbiXXQJj3KNe40AnEHx3iGO/JHx60SwI1l7onhuHQA4sK5CANeuA0lMOQyyyqm/GHlaqpg09rmPzhbnMH78wfkCTN2SBZ3FNHvmrAKw1qFSytJoxh1zjXlcQyd/DwRXB3zLMID4rx3iuOHh0w56lcXZh9BQYkNbtycHZY96QSeZWVSTgHbyzAeEcf2/3mI985T7P1Lt3prNeLwKEiaCodmChyqtUswT3TzLysEAh/cD3OdMcwtDyoHm9VanNeYURjKNznkO6UA0SuzhPW4PImjNPKyKdwbIwHt15D9+qmXizrfQx+WyCvLmAW3yGmlmAiG6RkB6E6HkZVlC4nI94M5Cs9IcOxY94G8rsp8gnyB60qGRQSJw7AcZaWVC4grlUISqk39K3zprTQpR4xx8Y44/r4gTNn7v3Lz3r7Vh2dBtQwZqhbA+RWMyiG1HxvBf0mj15Y8FqHg88XNoinB9WtVeaIAeMOI8YKPHqF0rxAK8Wg6IbHvCcf2YcVb8fBB7fPZM0HDdMZc62UXQLCkO1Q7wlktAHNNdWWSHTT/KK0ovD04F42DHcc0fWoh3o1PJNjD5w9AmMdUGonCAFb0yQj76qGliVP8rFD0WGOLr4bxsODDqWIKEyUCVzBBCxNoSRBCDk01Mid/J7mhn5pmOixaz040R1L9h51DF1mCoRVwefMwCkF0BELdBmF1I3h6iaKvNJMP/iDJ93z5bTi92871fi6/yGVNr1pELDKVOMZiu8Zsk8lqZeGfVfQe6Vxizu4j43X+7aciR3vX37WwHOmdUgDLd44eQtGVWaFakylNuahlfZQlbTU+O3Yng6WdEeLc926/W1BXIvzsY9iGnyGS2jmdYxIYHZobbliNTW/KRy4gPEQju1VCY7vhvEZDnxQkOcRcnYdIVWucyqKA3GVwVHuSZlrvxzMcTOQL3U3PLhbxV1mHLx/2w6Q+wfN0HPSja+kCGkUNKOzJpCAaiD3GqKjksKmbuNhxeg8eDODGRB8UEuwD9NgvlWYPmqjEKKQC0fI0St3oe5wk0MvrGQUHXyu2gTeg5pnLYzhtHkIUv1M9Zk5ydkUYPcJB3Yel87Mm81XWImWHL3wn+mOtSXpQSOCnHvEGQccXMIcb2x6NY8GFVFdHhir7KGucQHiHg/ugsB4x4Dgo9ammhovMWSGQpjBrDEBzWaijYFCISTqflP7Fl3p/uaOzR9Mjd+xT+3DepJjKs4ORIg5udmK2agKRwehh6KOnCttE1VZGekX/LHb3DOvt7Y4I4LvX77sMeBrpUDVuMkcd1Zrm2WwCYyn9G40Hclt6uJJK3ocj67H79lS/1FHQaWcVLSZjRlHBHZtQMko0FGEY6Fs1zeZnCueZDx2Hw3jKvcMCT5ogv+gWn2hqbhbAc6zQjA+VX6P6gp5lU099f1KV9zAx46WYKBH7THQOAtpDVCqemDEApIiwcg5qBuREu4qaVpRrnzstLkJvAd1sjUfCkXO4JHNOnOjgZiNZtbZSLHPtOS+J4KBK/PWD447IzV3JK7ymSkQX3pKcuxErmuHpDNWEnqBEpEgtIKMqeV+2Tr3VqlsS+POjh0cZrlrG64HzfJBzZEaRXBpFk+F4EEzdcgtdcpDchx7hjksRQP12LSVcd21e9YHvn/5MsfHDLBCyFBjVmD2DFpMnzdtjluOsbZdptlK0j0f2408GfKD+gS6SJFYMzhOyUwzcVCcKsTRhnTqhr09fq+0NEry4K7dGM9M+HcXXjNnLxSPOqCnmWnRuYOO3oGkjiI5tLyraA9X+gvIwQtTeX16zQ3CFw+qxlurfTgM4CQ1U+OzdwuTMQk/OhVXUrtse3czjK9wZDn2GBHm9UzNE+PvX77sodFjiV4N3kFNj6dcQH0eEIh7rD1Lxk2pFriSBy9HD9GFO04seVSMZ+nMUSrkjmOmzGUooyqMOsiPypLqnlZIvKDGIx0c4knvSMflQXtocByxVDM2hdh0eSoIJXkF7b26oL7z2ENVVrR4PHgQOqC/59zKB43JDJ+5FVbIjadTxYh4weAhhC4kOhq3PTEZXonJ0MHLV5SX8zRv4FT5zJSOLx3iqXbhigVqTWQQ1wwaPRlbKcpjpGlx7oH40vThg5evKN6t8PpxId7yINPXBWIJEbijaXEvAkqhZ+ckyeX8mZvZmyup/XJwNc73bDb+sPYmRsEsCE0nGRefIbvswGF0nnPzbmzKzJOVlFB/dN/4XZs2Pmj5Sg+5CNYM3VfT42X6xtUoeUuhiZnZicomPS4r2af+6L7xu3KVR8V4dLWn3qGiQ+CYE6jUNPt1OGMvwnxp198M4yv5I/7gjkO+zG9//7YT48sYF6LspTlIfQ5GGZKghOkq91l8GaG7vserMv1UCxg/Oh/HezYmfVCMF1aXgm+Aasqc0f7IKSqM3FsYNQW5DEHcrAxxZcDV0ZuoG/Duh/H1qYi/LYy3mAQTIZQx24pF9KBt+DnqKhobzh11Uz+7uJKPhUfn4/eMAD0qxjtXbc0XQzZWYNJiNCU4oFELxuSzr5v4eFjhKnxsPT5naS2Tld8W8AZWj0UTJHpyWhcHGjFD68gcSqux70kg8bji0EsHD8yQO5Ok3l14RQaJp1oxNEO2AZ19tp+eqESSXuxS010OPVxx6KWD1zySu6Oz42Ex3mvgPvr0VxfDeDACMTqDVMqh5CTpcsTzzTC+4tBLBy/MIXdHZ8ejYry64HVIADPMAnAzQzCnohCq79Q59Fh3YXyFJKdjpwIaxs8A+7sLn49xn4krpga5ReMqeRCoH2YSakZ2XZBz2ITxhamIIR27BYlh/CzMeXfhFQWWDknSbJsn0+acelw9mQlaaFRGlxNtSiLBFad1OnbxOqOefPzdhVfku6aRXKMM4qalybM/5EwnkViK45RHiZvGafkVp3U6tkPPMH7y8XcXXjP5E0d1LQNja8ZQVGahPIN24+fJx5YvuynfDOMrRcTp4IEZ1DsGHx8V4262rx7dQ/StzyQSNZtTGSJy9eoc1riJj/uVIuJ08EQp1LMZxLsLr0kGjHHE5qFVNWVOTJAjKlTmQcgaU94UYPcrhQvp4IlSeM8q4kfFOPkStPsOoRop55EbiGSj5775gmFg3VRF7P1KnDMePM6Jes+ZBA+K8clURkOBSkRmc+YCJSWE5JQ4j1yflUDdDOMrcc548Dgnyh0LFx4V4w7biGJ6vEaKxlUwQ+l+ZgRqjuKiL20XV1mJc8aDxzlxvUXDifH3L19gXJ1g78ZQUpUKnOdEvDn0MY6MlJsfI21q7upX4pzx4HFOlDMG9O7Ca/pBYOmhRIgxz0LiTiBUGEYYpRRfBPMu//hKnDMePM6Jl9Or3r/txPi6zZlSDxg6DBpuzk8i4yojQ/ZVevSj0KY+9N6vxDnj0eOc66OiT4y/f/ky7xA1RS8Jwoz8cJYBGppxlTJyFiZyu2b2upU4Zzx6nDOdsfx3F17Dx4NzTSuYyjSMsxTjKuIBW6KRRi1BNuWruJU4Zzx6nDOdNue7C6/JrWUqLihI8AHY8fSP9w5ak8aaYx+XHtqbYXwlzhmPHuc8G4L/7cIr5kIlnzyTg8FRgGOaJcUYYWQe1Yj54LFpZq9biXPGo8c518eZnhh///KlzVlxBJ7DK1s2rtJUZ0PwCtWlUbAXzbtq3dyKf1wOHueUy8n379+2o1j+QTGeMGOiVKHkZkCX2WizVweRgo8OUXRX0xO34h+Xg8c5Y7xnQ4gHxXhLtQwXB9RAxscrIuSZuVKrYE5uEPVdGF/xj8vB45ymak6Mv73wmrb33geM1YzM0MzmDE9j3j0ENprCmbxzu/j4in9cDh7njHTH3NpHxTjV6Fi1Q3aRTI83BeGeofk6SJxQDXv8Kro0S/DgYc5IJ1V5d+EVrkMmpahu9pLVWc5pajzYTx7VK7fSse0J5evSKMGDRzkjnRbnuwuviACNGFsrxahJN6bShoPSvMBwmUPtscumFoRpxTmuB9fieM8BPY86UV5yEu2OIHGcXYTQGxlXDykEY+KBqun1PRBfsDejP7YWD3jPRrLruV+/LYj73mIOOEDLHJbZwoBCNUGXPoqL3DrvaQgeF8I//uhuQ7zn7Pq0vJ1+WxCnNnBICeBl9ryvcc7nqQPIp1i01JD9npnHcaHKzR89+oPxjlVujwrxXnMaiRGiKBrEZ8OJrLPRCuekxXPKezzjcaHIzevRg/jr0/1OiL9/+ZKLm7np22z9xjoLgMzwLN57GJUSszEF8nUPxBdi+F6Pnot16bF9/7YT4ssQj8i+Dj8TxSUBkxGVkn2EpBxcEAmEeyBOC37xePB+96z3DP2Ez4T4lz4PNqQusQSEodG0eOMKpbU2h5cIYknYZeyB+IJfPPLBs8b1nqGfh4V4ya1ySoZp7gbxGEBdZKh1ZAldg+qebENa8ItHPjhRUbojUXlUiCu5FDkRBA1zMg/NtENWKGXEWfNmpucmp+FCrqE/Qz937OP5qFy8MGJ11CFOVc7DK2hsAk2aS6k11ssqwltBfCH04/XgaVjI9wz9PCjEEb3Z7a1CLzz94pIhE6Ep9Vhq7JoGbiIqC6GfyAd3Guo9J0c8KlGJTjk056E4P2db1QqSaoPZZcLsefu/2+NRWRnkFvnwAfw7RjfXm3D9tiAecHjyQaHngsDFEagxcKilJx7D+VL35Kis9FOJRx8E+2zC2Pu37dDiyyfGbwviNWdBlzsEnJmGqXWQSAQUcw6jjlA2zf+hFS1OBw/gJzn94u8uvMLcbAmzokIoJQO3wm9HXCWDvlDWmHlPjgotBPAjHTwNK96zu+GjQnwGfoapcoizTxD7ycopCXgs3J2WHPsmiC8E8CMdvXjzns0NHxXi0dWoI1QYps1n47cEOaOA9D4TyVuYhcRbIL7gF490cKdhTHf0iz8qxPsooQ0/oz6JgEclkJQixIQ1JRdU2p4APq84DfHoRCXd0Wm43mLutwVxzd5XSQF8jwNYE0P2yNC1kJbUETeNDV9JUcGDK3G5HJ/3/m0bEB4/s67ti0e4k6BjiFEURKPiGkBLFxjVnhl7qqibGtSuWJv+6A6Ve/ZRWedEvy2Ic24jllZAVY2ntI6gTB0ac6kisbWxxy2+Mk45+oPzlBTuSMXlQam4VhJWTBCxmhaP4mZ1MkPIvYgz7Me4pwCfVqqT6eBZWHpp6r9/22ltLkPc19I1iDe13Tywm6WbI1XQ3mhw8lJ2VUSsaHE6dvzeIH66xd9deA3Ec68tBCiuGlGJs8ItF4VUfR01Dq5jj1s8LGnxo8fv7zrX6kEh3mqPvvQCRrrnPJTUQEoo9lMsZShS3dQpyK/UtfmDR34S3zML60EhngOW7JIDDCEChyZmbmaBpN43rV7k0tC+FcRXnIb+4E7DdJk88f5tJ8SXIU4h8VMfrJFCB/Y9g7YcQLDV4IaQwz2Rn+mj+nTDt6O7VJju6FJZ30+/rZKIrmz/sYPUqoD9nCDrHAAkcaj9i7zu8houdXw7tk8lOLzjdML1UOpvC+O1Vk6Z/Sz7mdm0WkEyD8ixmSVaHI1N4U2/YnGGg9fgY6D1URG/LeD1mNhocgTDXQUW9VBiTlC8jipKmTeljsSFwng8OkfGe04oedSSSqlSRpnAHmRm4CAB8RKhUoi+2hXe1Nneh5XpDQdv/jB163JQ5rcFvDSoqe8MTQoDV+fn6HgHWXons0lTGXsyOnBlHGv0xz7UOfIdlWtc7vz928J49pxJTaWOMWf5CRfIIyZwqafgseaMm0YO88rckIMXrE/l+qBegaGuxCQZsM2oBWYyCjsdYRw0RnU6LttR3Ax4K9M8Dl6AaMCjBwVebThQhkBrs55kmk3SvQdXMDaqnkfdRCd5ZcbGwcsCDXj8oFMBULP2Oow/xoFzKkAAccXbT83n0mKLmwZf+JUyj3DwYr0JvAcdKiQa8iixQHXa7ahNCII5QuzNN4mu+suB2DcD3kKtfzh4CZ0BDx9U4/Xs0WuN4LoqsG8DNJQOHluOkZ3qZbOamwFvoSYiHDybdgLvQa3akFClpwG92ynLcYZjlDNEIcFeK7W2S+OtDKc/eI7rPGofNByTvXgiTxDMuAUORvSKRoVUeDjy3uC4C3grE+Pp2O3mp1X7maVZXzrw6mByWTr0FM2qRcqm8fKAMqqSpB6Kl03AWwlAHzzleQLvQaNzc2RjosIwdFTggQEyNZwK0CdfnMthl1W7Ep2jw0fn/IMetSO5zsIRPNWp8dyAjK7NSj3M2gu2silysTLZJdDhIxfrhUy/LeBhL64FQZA4vXcuZ8hJAtRQcMwZwTj2WLUf6LsX5PY24+aAsKv5+/5Dyz/+4wfw816du+bO+9sv/KH9zjtnC/bBC2uAlWsIvbiXXxmpnaM0hwWEu5/NyGcZHA9ocXhOHYNe2mG3RypfRerxTuYXkYruROrMfh+dSwUtoxlSmUFCZohaBIkNsJuq2T5AariK1OMZLy8j1Z9INWITKWU3xx3nPqvnGxTuMjPDhqeRY/V77J0PkPrS+98i9Xj+nZeRiidS32jE0X0Y4EuNwNQCFMlzYoMWT50T8x4D6QOkpqtIPZ4L/GWk0onUN07aCD4XoDwmUlOCEqIZWMNXSj5XdnuKGD5A6gtL9Q6px4sSvoxUPpH6ZqSSRWOEEYad/hU75MENYnHqMKfgNs2E/wCpL5Q0v0Pq8RIpXkZqOJH6Jqnm4EYCl4MAo6qd/lXB1559qsGVtKd44QOk+quFYQdMNnsZqvGE6hsKpWkdFXyc05aCmEllIIVeyXfjqd1fTgnfANUXSkTeQfV4CbkvQzWdUH3jKQz0uQFVrcBF82ybVyErK+aYvd80h/pDqOJVqB6vaOFlqMoJ1TfSqhtBCZIjAvapg2SXALGElnPIvm13qfqrcaoDFna9DNUzTvXtm1JwFI4FzHwqYMb+gFzi9FT1ULNTJLcfqlcDVQcs8H4RqnQGqsysmh47NpQ2qg3mBFQQ4/DQTNuiqzRK2NM890OoXo1UHbDPy8tQPSNVhpiMvvAIEJKYVu1kNDU3hqIp9IQFe9+vVa8GAPgMVb2F6hmqstv0sbM4Bew00+bJG1fNCTQKGgPoQct+rXo1AnDAkeIvQ/WMVdltFilMNYAjZeDSFaRRh+zT4BYp7ZqB8iFUr4YA+AxWvYXqGayaq1BTriUBUfbAHBAKtghZzLry1V4te7rgfwBVvBoC4DNa9RaqZ7Tq2zc99TFjq8AxOvvDoCquE/iRhSRVo4vbuSpeDQHwGa16C9UzWvXtm6raK81wKjWZyVQK2tGoQPf2vz5cuqy42QDVqyEAPqNVb6F6RqsMqm6gKVWFjEjA5Dxk06cwMqcStdt/280qvB4COKNVb6F6Rqu+fUOcfRMyrRpjn8mqNGcgeNAk6HIY0v32ZFW8GgIIZ7TqLVTPaNW3b7i4jEIEdc4VYy4DsuETanFMHKii7teqV0MA4YxWPUGVz2jVHO4wJIZeoRosgcXTDAEoUK7NheINqXu6QnwI1avVKuGMVr2F6hmtMq1KaWhgNrNqQnVOiVHfcCatop393ML+EABejVaFM1r1FqpntGqmVjvOcSj4MgcSoEbjqoUgpuyNDaDUvl+rXo1WhTNa9RaqZ7RqpjXnNLwfUEdjYJ8dFOeMBYTOg4cOCturAOhqCCCc0aq3UD2jVXPydTWryrDZe0czq6IaSn2A7kKN3YuTTQ3hP4Tq1RBAOKNVb6F6RqvsNtEV5ppAnDOo5oyQx2igRdNwNYywabz4h1C9GgIIZ7TqLVTPaNW3b1opmWPu4HOosy9kA2nFQauBcWgl3p8ESFdDAOGMVr2F6hmt+vaNcsVUXYUShgczpIyrqvMwkKhGqkHr9jJAuh4COKNVb6F6RqtMZKO5hjFBrLNdVSYBHZrBF5HQfc582dJ/A1SvhgDiGa16C9UzWmUEwCGxjwK9zIIVHNNZlQSkiHJJrUfdz1WvhgDiGa16gmo4o1Xfvhle0ZFpVcGegVPOoFQrDOXeW5WQ257JXB9C9WoIIJ7RqrdQPaNVs7MqyixKAR+ymVUTpYJtQErcCzIXlP1m1dUQQDyjVW+hekarZhlg8QVJwelsV11ihtKGQnEhJpbUxv7UarpasBLPaNVbqJ7Rqm/f5BJNd/kIvmKapQARsooH5Zx8LBxr3t+v+mq0Kp7RqrdQPaNVBtWWNIVUgOusWmlBQUXmH0iGXnEatnNVvhqtime06i1Uz2iVHb6mVZ2xVRBfCVg6zyRrguZZPEad3Ve2Q/VqCCAeL1r1Y//eHu6/999fQPYvY/zUf/72DcxmdO1ffnxagQm1p0yOFSC/dP1zoL60F65/3+pOmd909ZMmul9cp195O7UQBtqWAgpipl+cbQqqMpC4oZkr+rDdocZXwxTxeBG1T28nd26nL3Y7RTHjlBNCC9jMPKUOxbMDERdm+4/S9zf/5OuhlONF/T65nfTcTV/sbqqp9cDJaJ4rczqJBsipN9tNitjNuFbZb0Ffjfak4wUmP7mb5NxNX+xu6qHQyJ4gDmdn00hmQw1W21eM3gWfNG93nfLVgFQ6Xuz0k7spnbvpi91NNKg14gq5yABOw4GGYT/ZToqllhDT/t10NWaWjhfe/eRuiudu+mJ3U1RGiWY38QgOmNMcmlAD9ETUPRf0cb8b4mpYLx0vAv3J3RTO3fTF7iZkZPVtQBdnu4lm7nGJEWIIQ1vqZLts+/zRq5HHdLwg+Sd3E5+76YvdTb1St51TIDvNwJ2j7aZeIFUfMWVjffuLTsLV4Gg6Xhz/k7uJzt30xe4m1SEoVUB1BpxwEIjj2YA49e4yRcXtHYfD1WrDdLxUg0/uJjx30xe7m0aZxpE2GKlNNznPerNkxC+VmjIFdWF76U64mg2RzmyI5+Hbczd9sbvJzKJCygqKTzWbcYBU201eqTnOXvr+GePhajJEOpMhLnfTmQrx5W6mEYha8g1wuAjsfYJiBxR0n1srLTU39jTr8R+Mlri6l35BJsT3ufTvLz/l5/6vP//u/3P/0wQzf7q4+vQr/9DHdz98Nz/v3d0bWj/adG+zOt0Lm++6sJ9B5oUluQqXb76+uLGL57980tVQSPaeymwbkuKk9Cbu7OyfWLVTC51r3kPpwwc1GdckLb8gSr9X0q8U9Iu64b6C1qCZI+oUr23p3CtIRoEhbK97V3vcI2hc2NLyCwLINxO0f7eJn93VZ68xshaX84BAOYCttodZhm/2MVWKZiTbybR7M12lIPILwornZvpEJZsk7/tgI5tBbTNJhGLCBR8HInepfewhmx8I+mqmoPyCiNcp6E9YFXY46iynrZELzH7boB4bVFOZ6Ko0T3ts9A8EfTWJTX5BMOYU9Cdy6W371mDiRQwZOHQTdDbaG1U954DZb5pQ9YGgr+ZXyS+IE5yC/kTL3EbkvXFdUbNvmEMAbVoAy2hRTdzMcbegr6b+yC9wYZ+C/lRjhCwYxIErZKo7Rzutx9MgL2nYmboPuFvQV7NS5Bd4V09Bf0LQmagNFgh2IhvrdsUEPTzUmsmPQL3X7Sasv5oxIb/A83dK+hM2rIs0anMgro55SM9eJ7OVRB0mdjuni2/bJX3diP1i/FK/fUlXjdKDj5D7nMIYioPCedYMl0DqBwntKWr/UNJXI816+qVuZ0onbGx/QBpzirGfe7qYpAMOp9VTbpdBgQ2SvuqB1F/DMfWgksY5YV4JoWPTt5NVi7Qw56oQuxil1j1zVT6U9FX3mJ7usdtJWtgx+QxDNQGbTQUmXIGSkhnZMfhetttY/qp/TE//2M0kHYaIQzOtwmw9z8Ps6lKqB/LBJ0ep5LAnW/lDSV/1m+jpILudJ1RzEeEMSUqZfQbNnI4xQXczv7Y7xbCnd8uHkr7qONHTQ3Y7RtZiyooIkjLPtiIOMpoeTyJRqYn0tt3n7a96TvR0kd1M0jlRS6ETFExmRSfbzqVPRua1jFhG6Xk798arnhM9fWS3095Vaw2+Qm1pAGPstru9Qh3ONXTiw6YavQ8lfdVzoqeP7HbxDaVCzTmwvwS41WDndI/gxamM0UeM2z0neN1zcvrIbifp0UqLQWEaVcA9ZcjBLOvAI3Uf1Szs/dr7mueE3Okju5mkfa/NdnKHLDNJbxQPEgvDaK6XkakIbU83uTqSntzpI7uZpGM3/R0CAcmMTndRyFU6DNbCzmPjuJ17X53oTu70kd1Oe2MtJUmAFubgHmyzls55IPS5efGupu1Ry6sD0cmdPrLb7WkJyH1WprgyM04cQo6dofXI6iP5Qdt9ZFfniZM7fWS3S6bH1uownS3aHHCxP0rHYuZ1Kb3nEdqm3g0fSvqaj4zc6SO7XSbCMEqmnaAnmV3YEoOgsz9ays6kXEbc093ww7KJa54TcqeP7Hbe0KwYvMocWT7eZiKIQzOqTc6VKadCe0qhPpT0Nc8JudNHdrs93bPaiWyi9TOPTKmDqXEGlajFD+dp03y6DyV9zXNC7vSR3S5qWVPkMQakGqePbA4h5Bna8i5j0GAG2J6uMB9K+rrn5PSR3UzSUpRa6w3qILZzmjIUlwYMqmI7OgQZ231kVyf5kj99ZLezp0sfpSUE2712ThMqlEAEo7g6UFtobXvOydVBuORPH9ntYlml0KjoIGUJRstsT2syRiYqweVelHl/yfJVz4k/fWQ3zALmzjWYWeXznMJWqtHuRHO+VcHMJUjfbk9fHcNK/vSR3c5zMtA13xJInb2Q0I7o0jiBSTmRY58obc8NvTrFlPzpI7tdbmgm8dGbgSVs53T1trvzqOAkYkckY2T7ufe17CLyp4/sdiW1bhT0PhgjmzM0SYyRzQYUY7D2NrIvdXvG4NUZmuRPH9ntrKyRqivaoTr0wMG4mRaP4MyWraU1cW279r46gpL86SO7maRLcblhNR5Wqxr3RiNj6MQO66q+e89lbLeyrk5wJH/6yG5XVeu984QRqDljZMHZnh48872rQaD62FC2S/q65+T0kd3OcyI51zIK9MzZGFnrYB/UoM8eJ9x8RNpeKH917h3h6SO73TmdkKlHD3X2mWU/HGQ2ewuHcHEpsuPt3PvqTDbC00d2O0nbrxnP7uCy9BnhqFA02zndS+XeUxxue8bg1XlhhKeP7Haek+DnoPcBITqTdMrTPTYiZMREJWrXvj3CcXWWFeHpI7tdHpmyYjEhY0l2Thc1e5qwg1AvPbiO+bIf6QZJX/Wc4Okjux0jM63dzIKGNkqdsSwTcgkRaitTrUuUsp17X50BRHj6yG4n6c45ZmIYcVpZNBDKyA1a6iGLRnX7c06uzqcx6++U9M28oSH42szAaoI8M/sTaK8RTM6VY+3J1e2Z/VdnpxCePrLbeU60Z8cjQ8Qym8OavVXSqJOF91pQqOXtuaFX53oQnj6y2zGyVk3GfTrFZhvgKsUY2TSvhTi7kmPo+/f0VR8Znj6y22UipOQ0oYfO3s/JV8a9GRMks6y7c0lpUwUefbp7OtGjuMheMC72Cvqbr/9q//z3kRrf/Cn/9Ps/5R/+n/7T737+8V/6N19/8ML7N3330+/fTdb4xx9y+b63d+99/vr7X3lpFMfSPJdrs1x+2RyXKzNcvmnf/fR0o/94ZbbIu1t8ki2he2k8y9JUi/dDSv6jL/BEvPkL/GVVxu2/QPZ+AcrWL0Dl+NJEoVsuke4WssbNMnCbv8A0+t4vcGH3PkibhcyX07xu+wUYEDcLeS6RnfHff/8vf/0/nlS434zay24Qt/6CgJtFQpc9X3cs0T1FEi5bsdx8xWSzIpnH0T1XjPxuEMtmELPfrHrnEt1VJJcTUG79BdFvZSQmkt1PMJforiLhzds+7gWxiWT3E8wluq9INn9B3KsZp0jusET3FclmSyf6sFskm59gLtF9RbL5cIx+K6ufItl9vM/01zuKJPrdhGi302d6le4L4q3bfopkrw/IRLL5CeYS3Vckm4356LdSyCmS3T6nmZh5V5Fs1SsmEtxKIadINj/BXKL7imSz8zriZn8H736CuUT3Fclu4xp3G9e7n2Au0V1FEnYb17jbuN79BHOJ7iuS3SQYdxvXu59gLtF9RbLbuMbdxvXuJ5hLdF+R7Dau94bMpkh2G9fhvsY17Y7Jxd0xOd79BHTnmBxdDqy6vUh2W++7n2Au0X1Fstt6x93W++4nmEt0X5Hstt73psBMkey23sOdrfew23rfm34xRbLbeg93tt7Dbuv9sjL/9iLZbb2HO1vvl3Oubi+S3db77ieYS3Rfkey23mm39b77CeYS3Vcku633y5EXtxfJbus93tl63526Hmm39b77CeYS3Vcku633y6Ki24tkt/Ue72y9x93WO+223nc/wVyi+4pkt/W+N31zimS39R7vbL3H3db73vTNKZLd1nu8s/W+u3As7k3fnCLZbb3HO1vvu4sn4t5wholk9xPMJbqvSHY7VPaaDSaSy34uO5boriLZXW0ZLyee3lokwd1hie4pEnfXKCZh3J6beOMo5jdf/weF7+9/5Y/933/rm6+fVfB/833+6ef/1seP/ac//fN3f+6/wzkWzik4+WdH/xvaf/HvRFJI+n/PdgQfv/n9p/z0p7/8j9//5Yef7Qv/YH/++FOvs5vBT78b+fuf+jdfX73+/hP+9F3/Mf9Y//Rv//RRL4PLKx+vwOx78F8NHF/NH/7Q5kysSkOjB+lhTilNDkpuGVrIlVzkluK4FML8FLuvf5wy+K5fdg+4EOMLInxJiC90ufgPcPL1f3gH3/zlr09r9a5lBb75qv/rX/MP7e+HLeS3b2bXhjdftf7Xn//01M+i/2v9/l/mfrGfv/vpH/7th/zn7+rf3vb1BYL+toAfv1z/9N33ze7oo7d/8/U1QfxCCWUpGWf/vyDApSJkXxhScAXDyIUvu8KdErouoRcW6uPlbmGUGDLPJovZNkQV0MwOxkChEBJ1/+xLX/qckkpTSh0C2kew2J4qvmeTXSpJvTTsbeVzApIkHgRZ3BR/qJBDaVCrYGk1YQzP+qeY2nr+uDeCYyftIaYGgq0DxzzvRxrE4rX5MjqPZ1TnhONnw1GIsoHFQeqGAR6SwNSArbnPYqsduusvnX/PxRZd7al3qHZeTbElUKkJTH24EqLwLFBe+ZyQi2DN0H2NBsc+OwyTQkuhiRdKVJY+J2MUzILQlO3cEW87w2UHDqPznJt346U+ws8+J8VUHJMHeyIHXAOCcnQQeijqyLnSXupo+fx+mAJhVfDZ9j6nFEBHLNBlFFI3hqtl5XPqaGNOLgLO3tYZ64BSO81hKK1pkpHzXbdr48woMYNkNXmlFkB8Q2Mr1STJA/14xrPP7frZ27X3isP2mh0c2TAgbo6VbQOShqiDs8P6TOvvFL+isw3uKkSuBVhxGKxdAUOhcyEH8jGf4r+Z+CkkThw7jBTscJznvbYc5llZgxtCDsc9xS9uzqo23ZrGU5dwLKChVRguBLvikHI/xX8z8WvrXbrZglG9KdtgVF1TsYWfAbFUK3b/rG3jTvEnsxB8tsPRaNkc8VGCbXz7Z2tVco+hvVCzeor/NabDcEaCwQiaKf84pvhzNOrmEw40ZkzPuMhO8VMX4dEVamjJTiTnIGM1jpWUuStLT8/cnqf4P1v8KScVbSbvOGz3Ozv2zW4X6GhiiIWyXb+n+LOE1k3/2IlvSORcjGInYwF9cIq9daL6zEN4iv/zd39MgolmJ/emtvvR29k/TA90jcFj7qh5yXHA6lLwDVDNXGO0P3KKCiN3UzA1BdGX+nk/h2MoSXvWtwzExI+Q2YA5iH0p3Bq1pfsJ3iyHYqeY4biaBWqfI9w9YPKupM4u1npPWIcRRcXYtWI3nt2G0atmx21NaJRm+mi4nrD+6Itf5YAIMZtB3Wx9O08HsVkQrjiI4g2JxRtSn4n/xcPI12omdoWKE461tmkZJfuw3Lsdmmhs9K6WkaRKZvFDQprjxPvcHr1CG81YvCdTns+SpE4YfTaMSusuDFtksr/MEJ2dtPuo0CMVN6KZJ+GlWXAvcKzacjdS5Ws0bdSHgOocPOpphJFSSeGZP2yzhYUtNbGdMXv9y8im/4cDT9TI+IA3kvUqGLFPi0ia4n7655OWTC+4vR4RWCO5zsavbMWr2TjohpFcU1fBDtysvWArS45E8mE6LxmGTkEONFuJGkIo0SdfnMth0QFodvWcvtZTnPdDGUSzUcFRlST1UPxLY7Oeszcvs6kjzRsw8h7miBg1GpAKD0fe2355aSjT8+MyoRoGB3T7DaMlWu1+OJv+JsFuOrm1pc/p2aPXGsF1nSNgjd1qMFbgseUY2an6JVoiGvIosUB1OulNMjqBtp+Nkfom0VUfl+7H2JT2OkcZTjuLmz2cuGJ0qzWfS4st4pq8mplmYmqktad4T7P16d6Dmc6xGUO2bf1SB/7nOLRT0RhgBmyh2HNlgvLkCeKgcQ70GS8Ou3xB7pzJkDLnZbs5Lb1AHoYAl7qxQqw54xKepUoZRaftT2aNDPtEU0ZGk2b72WpX+MUBQM/Xp1ZOmT30Mh31aeLHeKQtu+nhWhwNfGkUxXP8cFUTjVkjDedwK7Xn8sEBjWornXz2dSlw4KorhZChRuO2zJ5Bi5nbTZvjCcXaluJzjbOQ1gCl6hztgAUkRTKanYPaiURpbZ0H1eoLTSLTTO7ZeTAUTxfQsDslr1KW7qePYIIx9M04wdux6dkAZOvslbtQf8F1+OL62Ga3g9Cs0MnUOdUEElDBdIaG6MgOyCXaX8W1JEbQRpwH7ZiBnuZtm5RSw3DDLJql/TVHRI9OA+y3aBpDplebaWrFkJrvraBf08/NdoCfI7Oeho2bCfA27tiDUVID8xC39DnT7aVBhymuicMyOhSJxkuyZFtjux23xGc7zzCoENhBb/uimNyL7XQILibqtoe5LelDHW3GTI0Tme4zvWpbNDtmaNxJQxjDPw8YvagPZyzHqTPFVefoz8ZmFhXb9CPay2XMJ7snMeJKbCeyLU2fgblgGkSrN+GX4IqoPWf/8lzPXz3L20sv5Did5Ov9YTVCzs5Yfao8J13ZiTVDDqZscp9OxtrXyI7a9ol9lHneGUmh6Tg3FWzGGBndr1hTWUqWqC5gFt8hpunxrFMZl+wg1DmZy6E+tWReOByq1Oa8mvIrE8EzPyqZ2RrnR5rRGFy+qyO/G0cxUGWoEuitz8POX28cwawqb2o5PG+x9qtvpt8urDEZ5Tcab+QtmmUX03TqYTRuYGywjzx4LMHIUGfWbVA7gU3zsfETEOndFGHSWLMhXpc4mLrgXDPmFSJPH4wYVyHxRhUSjWQEaravX/gcRk3RSwKzxO1zskwO3wzWxViPMJFby22iZHYMBiO3ZATcOA9NY37mNlWxvTIKjSUulyoWM4iM/Md5UEgne65pgoVRSvHFDIOlba/OTJluH5HqdFHODI7CxZ5rZLO/mh8jLT2XwzbiVB81Ts48E8DKtAW0aY7ioi9rLtNa2xgNxcg20UwFKFCSgSg5Jc4jV35xUN8LNqlRim73E6qZkTwnhIrkPDM4/Mz9wzqW1GuPMY6pL4yL2efYwWzqwzhhZbMLkDWmvPRcbrrtRvdgRLXPZCTjqKbmISJXr85hjUs2Tklo5LhN83hyJzUupxOR2qOG5M2y4KV9kZJZ/21a2G5yZp4Rl5mWJLEUZ1aL2ZlrOXZuJtnNoI0E+6NN1703Sp8MyJXR5URL+8sb66uYmjHcabNnI7zqpzdBM7LrgpyX1seOMa9DApgtHN7eT05FDQa+G7cMPdYlm4t7DdyN4XLpdrb6MG1JW2cxOIWSk6Q12429GTkYGmhUey5vONSnIEeSXuxS07WkLwOsx2IfkWiucy/OPtE2WevIHMxSiH1J7s1W1kyiYorr6XMMysWLgYhCz85JEly6n9pjMfPKIBjmOifbp+rzgEB25NduFgEuJY+1ZqfCUxq4mPAZp61kFq6tlFk+xZVkumAJhy0Uj2ab9GTai83EmPuiA4kZ7JKDUaFnNtdeH7n2EghNQBNExGrr4zo4Vuw+1WGq7KQdH33xa2hHNcxQNBOuotO57e2YD/aTQcIrt9JNWy4dGzWahLSbIWkcmm17zoidbTNfB4kTqmuun+G9D2jWv9ZZG+DCk4vEQ+Ci2Sxc79wam061DBenC2CGWioi5HmgzRTmnNwg6msRTcxomrjOCoXpGpvbvlcHkYKPDlF0LTJq5sWYo0ZsiWeuZ1Od3tkK1U2fSbeHW1NnPoVuj4Yz3cdoYrADtpBpExekJZ9zkHLXgL92UxFotDW3me4TZtYntQimVVJzLN49n3L0i7brCyXqB96uMThf5yxvV0uZnsg+M/wLGCmbw72DbdlnWn+n+EeyE8O2gm32ZHBMdgoJdWMNrTq1I8pO1zPV93biLyq1J7IjWmegx6HxV5phzcEYTAQlPCchO8VfY3TeGynygpM0VjFabKpWSqiV+3S7l1P8NxN/q4NjEIThc5qGjHFZ0/gQ7cRkjkM1LdkMkYZxO7TD0c3DsRnHyjhZrRnAoZAzu/auAW1Dr9lQdj9FTYGYFkMDuBloPqM9ngwv45UB7RNGH7n/Y2zNzg8z1Nr07Lm3YZbhMgezT7qsZY2h5kiN7DBKs+4k2DGg2ZRTbqlTHpLjmkvGTE+jZi4BYZgpwz2BDLOrm1nY2hKJtjXu+DYVfkacZ2yjcplGeoUwa+LMoG1m3KyZRFwHGrNi5WnHZjOFzXI1E9ZNyzZK9EthKDPu/OxaDMnW29bZVLbO8qM0fWIj5YBrYTqzeB1H7yAVN7mscWJjnR2qlDRQIqosrbOZmGZU23Hha6pv66ie0jRriclUguS65rqoAQclFwELT39KMZGPJtAUI5p5LNEt3U9BHMoyTO4zDDVLusRMYIhDzAaZNvVYCj/60kmLicoOozJN6llPTNMvk+0wGnNU9l2zBfsMik2XHsoMh+Zq+6Kg3ZQzPLGByG7qPBU/+uLXqLMQdHRTWxDM5LNtNrPqilHkmkswK6/72J55wLbmQKtE6gZr5xPPbcazfJLAYTF7WqT0563QztPs88vfbEVNbWRwnCYpkqeNpqZF2pBOveW15J7YyZiPdkg6KymCWVUlIpkpU5AxtdzTUtVrCrMYT5rteT9Tg4LR8xmuj6nUxjy00l3rsfwIGZ0hMSCaiYYhmLngnpSu6X1Se9zXkatTG310OHq18xgLUJlh04AVsp2L8CR6btpmb8p7HkbNOz/Tcnzq+jbXLCPO+ElLgtEVKmfO8e3EH+oMj1KDUWaCbiYB9V3AKAEGDOT5eY35TvFHH7W2yjBQp8NoEJSnEykXx64YKS0nF7md+NOgZvJmaFL4XTIIFQdZejf2LamMJcqP7AZSITPtpzt9+AEyfcYOa4ijRF+ft07YCSPj0d6j2OFo9phR9YmgMVvDUBkthCrhlSnnO9y8R6ZNH739Vm4aM4BrcAyeZhxdnDEkrTNrOJhRrCm18Tpv3+nr/yibOifR7gieqvu54EwIUw8phDwrB2p7nm2+9Sh58un7CKQzIo9j5jFTgJ6JxOcxb/c8Sm4m/q6zXpqdqdzZzKnbmmedeV0Sh9q/yOtdxW+2kRGJYHaW+Jk5bBZXHt2IThrFYcs4nnfi/dV3/5ERtuMImLUz3SkDUg1GJxlBZ8qa1l4MB+RifV1juBf6Rz6uhD6pA6aLOLvkwKz22dzDTArlLGDHgG9avciaT6LVHv3Mx2ptzCTM2UqtzJKhHEsZasJc8/hzbjM7efqfld662pSpT+O2VFNMbTKAO+okas3odegwZ4qbjpxNysRXaDQkJnKkrwwcnXC8yHkNOsa0axGBvQbQYsbtqOwj9lRR1wIaWaQ07BDGmHUsafrqJ6A6z/zAOb5jrZ7KdkU3i9rUT3nqUzhjNNwgOBoloDd1dFfPb+ycS3Jzk6KzI9LPulDCWab1dKNI4XX1JyccP/K1PMV2jBL12WiCi1FlM0wz1NITj+F8WeufF3HmoWea9Zdpts1UKEkQwkxt0sid/FIcqvWOvZcIoznTRlxmPKubSirO6Jsjl5/HMbcGIobjOuuS7RCZqdz2SEVM/1MeVHorlMrrGNuh4LiDTvXZDY1LMcTM5O0ZKxanddaAZGNaswz8dRb1oST0aYu6CEtqcWZvyswpL5DjrCyPPFIt2QjDC1+6cYNi7DhLpQvPelcxIGT2BKbUuMQcyujPxjac4v98+pK9r5IC+B5nP5DEkD0ydC2kJXXE56UJW1vl+eZKUA/VaPU0pjxIywMGktlZakD1X97uv/iKF2ZYHBhhpQniMMOqh1nhUWbGT8EAiWKNtZB0vqvbfsxMn5QVyI2ZORRNweBk7SGhk+Q4+de57E7xf3Scm9XRbM2BaUZJRiWQlOy4SVhTckGl3TX0P0sLkWKEhjNxLJuxpYoz0W82BpRutsnrenGe4v+4tLSLEe4CtU7xo9ruj3acz54oZo+kWZO1VgOTuZWZlNt4OtrJ7BEMHkLoQqKjcbtreq6Z0SP70mcfjqnVslm0Qg0ypeodFYn6uobOJ4w+YoV2SnCcriwjh3MaRH5q5ASjDjNEqzHY592BtmqRGqKKdPA0K8FHlNneceZY5tZbnB2nX9fS9aQpd0aYr7nX2b2qODuiOM6a4VwUDFh11Di4jqUaVCL1GnsEEjcTgWeOq5030JtHoWxc9nli8tZitFTIno0hujxboYdhOgobhFRHq73M7kInUn9bSC1dg3iwM88DuziDjqmC9kbD2KsUXOqcpJWEFRNErHMUibgZS+fZsa+IK63EuBQAia5GHaHCSLNzW5YEefZblt5nsL4F75ZKFbpE0+k5Q5w9NdjPTk6UBDwW7k5Ljn1pB5Zm96GoEEqx+zHW8Lb6P+UstgM1Zl76HLsVwblpAs6SkNQ6SCQCijkHO3hCWesigOgZZ7f/XniWAYvJiwghaCyzFjCNtSp5+75WZz6vtlmC0aLZLC6yMauRJRgkVNc+J82VDghD41OzoNlRrLXZJdkstZKwy5JrNyKbavSzbYmJnG1Z7PjzEQxDwQWROcfl3oV3wfQ0uFl9x0YJTfPaIvlqB3Vw0aVX1l2enqOPt73Juc1NOhs0zbEKpj5qg9l0RmmW0K81cGuzvC5ytn0+S8GdGWRmMQQIfaTYZ7ShL8HRjmzbT7Y9hJ4aJBaEYqa8qcVezcz0nZ83adnakbZmP7QYMSzuqcmGHbyOTJtEkdmvI5N/1tPstBBeUfLgHXo7vlKf/QRni1b1dj7W5oYvlQet9Z8NObgmeU7qmc0Ehp2PxpcIJBgRdGxApdfxt4vX/7bE33z9Y//rX378+Y9/6v3nf+jjux++m0v9dHWOofzo1flL33z99Nbf/f9Q6vlksMoDAA==</AdaptiveCompressedXml>
</file>

<file path=customXml/item2.xml><?xml version="1.0" encoding="utf-8"?>
<AdaptiveCompressedXml id="d0c5ccc1ca054a098a053d3e017a4a48">H4sIAAAAAAAEAO1c224jNxJ9X2D/QdB7RbxfAtlB4h0EA2SzQex92TdeirGwsmSo5SSDYL9sH/JJ+wvLljWy3W5Z7XEznrj1YkvNSxVZ55BVLKr/99/fp1/9ejUf/YyrarZcnIzpF2Q8wkVYxtnip5PxzTqBGX91+te/TM8vEdej9/FkHEmQIQQKwREJwhELpv7EI0dCtRNOmPHoe3eFJ+Nvzse58Wg0rermf8M0W8zWWVK1eZqfr/B6uVqfPyzdFubia7daV7uvu/o/5McbXQJjHKOJYJUMIBgn4B1NoJ1UlChmMOnxvfa5h++WwT0Qsn0+i6P1h+ussxqPJs3CgPP51zGusKpGq+UveaLyPIXl/OYqTxppafBv/HBKp5P63wPpk1bx07CarXE1c81ucI5XuFif56l30V3nOvWo2bhRr1Z/Ua3dIuCjkntlWeOYB/jDP7/57v3Z+cU/fvz623f8sfK1mnu7+6hS1SZoWzaaZSUFVeaxnptq9TxnlK1n6w8Xmyln4+3XenRS2Tadaq22/R8STbvKpc8VtCtpDn9XkE3VsHiLbaeTOxw/gW5HKXNaeuDKGBCBJHARI/gYRaCoCckwLIJuehjdbODolvyI7heh26vAqYgBlKcWhLAanBUKpEEiiGMOMZVBNzuMbj5wdGt1RPeL0C1D0j4EAtxwBYIbBZ5KBzES4g1hllpXBt38MLrFwNFt5BHdL1y7RRIsMpCWIYjIfPbADQVERblkRnofyqBbHEa3HDi6tTii+0XoVhatpowBs0mDkISC45aCFcIrjCpyXiiqlIfRrQaObnNE98vQHY2KTDsKPPvfkD1tB1ZKDUZozI9zkZNl0K0Oo1sPHd0tem6qHdHdDd2MOimsjKB59NkzoTmqjCR/StFoj4LL5hT3hG7W4UTQDBzd8rX87s6seja63yiNPBGcMy8hWeVAhJRdIMOzq48YpfFeaotlaNTh6NEOnEbqtTaJI43uHnbztagMqDA7VyzIvBs5BEOQgUIbhZdMIeNlaNThjJOSgfNI2jfHoz8W3iF7W8QmC8EzAfWREBhXoz0pY1LURDXPIvqCd4dDTjr0/Kt+e9vEHwxvJBoTEbegFtIb8JgERGetc0I46WgZeHc4B6JDT8Ca10rAvhV4JyY5JkuzN8IZCEEZWBMi0EiNkoIr4wqt3rYDvIeegVXHWPlPwiNlNZeMeeCoCAjuA3jFFEjiolWRoW0GbD3xiHe5hDb4XO9r3WR4K9sEjTy7P9pAjWUQVmnwOa4Fr6VE6gM3pMw2wTscBdFhJ3utpG9lFU05XlRcB1CsvuxITAKbDAeJ3OnEg7akTFrqXijJ9qHsGUnXufM4b3ayxl/Xp7+R/0wnm0+N0k2Tu+vPW+Uz5B/A8XbPJC2wrOu/j222fQSClhmph9Law3TSUKwx/uZIu96MMpwHFjlokq0tHMnrCfURiObEeSmCDGUMLQ4bmj3D6+zN0PTWtKKp06fPsAxcoSTgfcgOSXL1+aPVQCVXShLvSSgTt+q7GX40mo8z/Ax/pCyVXsgk8/pMcjwZQ5IFZNJnxzO7oJ4xDVaywCVVQaYyO/M9O8t9dn7Gxny089N2ti4Yk1CAITzb2WY+2yApJOJ5dNKr1LwU07+dW6bh1s6fzdb457ezlN5ijheBC89BRJMtTqMCygJL0XhBbJl7Z/fs3BL13Nr5GTdzjnZ+2s6EBJmXbAU6BJvtLC14VAaCo5ZYp4yxpoidSQc7Dy9rssJ5HtzPeObmuIhu9W4bYC1TqnB9MobsoMWb1WYCLjYwqf3wfdcQw7aXVjg2a1BCSA6anm5yuMJe+O9KD1PgVtJ+Ik32TNMrh40yO7aSMAfBx+zrZn8InJM5gDSeMKscZve3NJf2+kDDS7CHBoc2MauUpAtdupGhK5rvevo8gEoYExaFA0lCAuGVBWPQAQtOaMeJD9qXBuo+J44O70bVoUWfHNf8z3bN54Fw1ILmld5oEEJlP9laDt5xlkxIPjYvmvZPpb3nG8NLyx+ptJP0mVNpOnn4Qo3ppavOLt3iJ6xOk5tXOJ3ce7KrNavOtgLeLZyfYzxdr25y3cfPd03aNOoE632Qfh6c90B5GmfVRtF3e6b4QXqaU9VyxaTTmfq+pEpDADE5pl0t5/Ob679vRtWSzOlTHmO6/IDKCuDFBZS2OW9Z+voV0HJzpF8BLSn1fgWUhilveTVNvwJarhb3KkDsOwbrTUDhtYiI0kwWpZksShNNlCaaKE00UZpoojTRZGmiydJEk6WJ1vYqpH4FlN4y236Y2K+A0kyWpZksSzO57dc4vQpQpZmsyjK5S+dtaZ0unfNuoc6nd9+JwZ/cfTMv2m/3oufJmU6eiENbw/yWEH86d9X6R0wrrC4vZld4yghTQBhQdUHtl0J/KdgXeWIYF/pfdaryYe1dN9Xl8pez5WKdJb7Pf1cVhts3dG4PBPaW3/bw8Zyh7RWedeNHr/2cTjZVT/8PaQ5S9n1UAAA=</AdaptiveCompressedXml>
</file>

<file path=customXml/item3.xml><?xml version="1.0" encoding="utf-8"?>
<AdaptiveCompressedXml id="7f9cd215a3a343379d3354c7f7ced498">H4sIAAAAAAAEAO1dy25kuZHdDzD/IGgfFh9BRoShKsOubgwKMMaGq2Yxs+Mj6BKskgpStu3GwF/mxXzS/MLwqtSyKpVZeeURu7Pz5kaP++QlzwnGYQTJ//37/5z/6q8fL0/+rDe3F9dXr07tL8zpiV6V63px9cdXp9+tGvDpr17/67+cv/ugujp5W1+dUpNSnQ2QfPKA3hNI9R4CFmpUtKLw6cm/p4/66vTtu9N+88nJ+e10+zfaLq4uVv1Nt3dH+/Eb/XR9s3r35dn7k/30p3Szun349+H63/fDd2UpgaxoDeCrWsDCGRizA99cZDVRcjKnj+7vT/jtdUlfvOT++EU9WX3/qZc5np6crZ8senn561pv9Pb25Ob6L72iej2V68vvPvZKMxtu+JN+/9qen02/vnj72cbXn5ebi5XeXKT1x+ilftSr1bte9ammT/2a6avd6dp1U/GvblfpquiTM4/O9RLX/oG//4/f/Pbtm3fvf/eHX//bt/5p4adibn3cD0W63fSi+3MnF72QaCk8LefdZVM9d5StLlbfv7+rcnd6/+/0dYE2VOjnUt0/f0N5t5Tq4USvwbWG2FDl52f/gNdXQBeMxlyZIZpCHXTVAdeK4LkUl/t3U5UxoLO7QeeWDjo5TNBZq7lEchBtY8DsA4h3GWq23RwzU8g8BnRuN+j8wkEXNpTz7rKfOegwY2UvDqoqdktHFXJJBRwymmKiqaNA53eDDhcOOs+HCTob2XEHF4gNGVBLgdRxCCFXn2NzhsiNAR3tBh0FWTjsyB4m7KKkKsZ4YPIO0PkKLJRBgg+hpGqSxzGw4xmwi2bhsMMD7WIpcEdWMeCyS4AiCZIpCj5SjL3/DcnaMbCTObBbuoYNB2rtXAnc0DnIKN2z861rWKMJmlUkJ8GqjLF2boZnR3HpKhbxMGFni+PG6CGGVLugSAmyUQOKzUnyzjiTx8AO58Bu6To2HijsqgimoASJqnRJwQ6SqgMbamlZTcM6ZpjYhTmwW7qSjf4wYeetdYgJoTbsvp1pEbo3VyElymiNLakMsnZzlGwMC4cd0WHCTh07l0wG6zgAhlJAmkRoCdE41xpzGwO7WUo2Lhx2eKBhMedsTdNoHRpr+g8s09iJQI4uNJaiBdMY2M1SsrR02B3ocLF4SiZmBEYXAVPT7ttZC05alVRaMzImGutnpABQ5IXDLhyopCjRp+JxiscSA3IR4BwVcjIautMnEcd0sn5GEgDFpUcp0Bwm7GoLXHPr/StNsMspgyRfQKU6w1685THjdn5GGgDR0qMUdKCdbNAajGsZopYOO4mtwy5p72Sd8ck0plTGwG7OcDEtPUrBB2rtkvHOajdv7Kj7diV7kC5tQWwzLkeKhcZICj9nuJiWHqUIBzqAYoMnZxQhopvkbIiQvMfu26UpGUBjCX4M7OYMF9PSoxR4oDHZZkNVUguNcwV06iCxr5BQfMOuZpF1DOziHNgtPUoRDrSTDc4656xMzpwCxsiQsyewxhn07Gq1Y2CHMzpZpqVHKcKBSgoyScUngjrlnXQTx5Ba8mBdCA5DclHGSAqc0ckyLT1KEQ91HoWYarHbOOquHKA1DOJzA0pTXrHTRDJm3A5ndLJMS49SxAPtZBP5pFQQtGKXFLaEScR6KC5bh9GZjDQGdjNSAZiWHqWgA81AMRQcpxbBSuWuZJWAXRcXQdC1FLrR4zFKFmekAjAtPUoRD1TJKsbkSujSNRjblWyxHXalggsuFy4U1AySFDNSAZiXHqVY72oeLvuZw44lN7a+QUXpvh1zBcmSIdnGkYUb1jGSIsxIBWBeepTCH6ikwNxSNBih5OgBWzOQaxEoFJFD4MC+joHdjFQA5qVHKeKBWjvyVCbBCmYaJEYRD5JQIbAljN3itRaHwC7OSAVgXnyU4kezdmuvFpw/M9zuN8Sn+UDRUresErVDPEjvy0UhhmzYuFJ4UNpBnJF2wLz0iAj+aKr5KcRns2vPIZ5bS6ahh5yFus9qu7sauhtRrev4VuNzHGTF50RfeOnRl/XKf7hsPMTnj0ntOcRDjVJTK+BSd5JRppUVSvdWchLEYCxnGjMNKs6J9PDSIz3+J4T47OTwPYd4pJJNMbmj2wlgRQH2XQf6iDVLM6XRGAkY50SVeOlRJf+jScCnEJ8922vPIR60aUvBQ0HuOG/dRxExBqLaHFl9sHFMLmacE8HipUew8Ce04rNfvecQt7W7I81a0G62ATEGEOMbUGzButyU8piwRZwTtpBlhy0kzF8UZc9xZthEtqkDK8SOs2kpWQnCkJtwItsNrR0zrEFzRu5k2XEKInMoYwtBihENXXOhDdP6E9MiT8GBYXaSmiN1Y6bG0pzAhCw7MEFkZ+c67TnOWlc3PPmC9k4C2RKBg06TsY2wp8IUxqgfN0f9yLIjES48w0H7mUXAqIRsQoDUpHye+i+tKxSxRbiUWGscFB6Ykd1kw8KnJXZhcChxqJy0RAwJAqPr2rcmSIUcBAmhFRYKg9LoHuWVbGinzzhzuLw0uhu97B/3Z32TLvWqpptv73F33dqtrl6dwrRVQv3u5q4GJojdyTuzTUCU+8e8rRvPf3mFNaYrsR237L5gdVeqbe97whDezJDpTVufNKF7Yz391H4pESJm7HRyvtvtXIA5eqDk1UX1ppvu0XTCrXQKy9PZu+lkjnTaWzpxadpZI4DZIGC4myVvCZrPTWKMYtYX4Xl5OoXtdFqeF7STTnJk096yybfqYvQWKrbeOZlOKdYiEClyaNPiTuvRpJdn06br79m0vEGTnWziI5v2lk2GKSMLA7ELU9SwQq42gVqvqbXS8qAhyEdsou1sWt7Q0E420ZFNe8umzqFpT5oMHGIBlEaQGmZwIRSNSKmlMZlUj9i0oT5/YNPy8mF3sike2bS3bBKPEksiyG3STQXLFLYgmGaRmeZK9OvzM1+eTbKdTctLvd3JpnBk096yqXdNFC0HMFkiYC4OhKadXoxL2Lsr9IPm/D5ik90ajHFheWm+O+mERzrtLZ3YJ2tZG7To00QnBanWQsRAjZr1TcNwOm0Iy/1Ap+WlFO+kkz/SaW/plLy1PnXRVEkEMBWElIkgVlGvVEou4+nkttNpeenLO+nkjnTaWzpJKzEG8uDvQk7FNWCDDMVrdU2Z3KA9mh/TaXtGxAI3ad4dwj3SaW/pFEMUZi0QxRRAQoVcbAUxDbUag1J5OJ22Z0QscPPpXXQ65kPsL5sEjXjmAEmr72ya9oZy1KCTLCRC8Xl94YIBbNqeELHwpWWt2TgmPn8OmflnZqwd+fzwpp8dn20s3htskJtawKoMiXIBY7sHKiUS2jEZGY8Wgdkm3dA+Q7ldpqyX609Z6V9Xr//b/K03zPTX2tm7W77RdnF1MT3vvvQdrV/Q/p5YG+i/vbGfQGZDlWyFy/nZWsHWvn/9S+cOeiVMMToHGg0D2lCBxeRpheZSA0cteUxiKO5u6WCekSzwYi1tP7ftE9/sn65iRQ421QJZTe8c+W43HUmQk1VbbO8f65hkQZqTyh6fkSw4lk3/TzJttL8/Lpm0WbLouvOT3LSyUO2NzKV7Rama3JCopOEt/RVN8YxEtmNL73B4q50GXgokDtO6p+gh2WjBk0GvJKpt0DzPOQnA8aewmwfa0rVGzJwqqO9MRu8FRAihEPlsnGXFQTPH5ySnxmckAB1belcaciqxYJwWPOzW28ndunACvX+W2rrbGcwYV4jmJE7GZySnHFt61+Bfb9NWLZiqndMlCSQvAZwmGzgbX82Y4Qqak9QXnzFacWzpHfOVeztb1QiqvkE35A2Em4Vkog2iiUseM8xLcxLO4jNC+seW3jHDsSgZJgPOVgW8m5SeK0JwtoSWuBYds8sQzUqGes6u9Mem3iGzCrvWuoy2XTxPi0bpNMPB9L9C4E54r27M6BTNStR5zk7wx6beMRDZRXT15KAxTevp5ASp5u6CU2gmqKbAY5bAo1lJJM/Zff3Y1Lv2dDAihTxkpAQ4beeQa0FouTUNpfiYxuQL0awEh+csLXJs6h2DztTVVPEIMU2aOvS+mrvbC7WG0lKX2A2HK62vBN+fs8v4sal3SC2XmsvOTYuWuu6Ad9udQ9KuvGqx3lqby3i37CuR4ZfywE/+8/03i2vu87NP/d9/RCTPP6TbNx/S1R/19nVLl7d6fvboyMNVF7dv7iOT316lfKn19ermu37t0+MPt2wKZc6KyG+Lxj8vEr8lCn9eL27vCvrtltjsF1F47+OG1ZlmRQW3BdrXXmDjhgXsX/IFzmzYPu8lX+DXB15evoqGtoGTsGmfjBdtgzC6kdfXLnnpF/gX/oLzs6/wcGN+xIbciG6nb1d/0NZ7kA/vLz7qa2dcBOPAxvdWfon0S3S/8ELOI/3XZB+/vPrhMbcfrv/y5vpq1d/4tv+8udUymdcHg7j1/Ocn/GBn331QXa1Z5+nmL45ON52f3V36+v8AvgTo51qwAAA=</AdaptiveCompressedXml>
</file>

<file path=customXml/item4.xml><?xml version="1.0" encoding="utf-8"?>
<document Id="1c5e4e87-4ef2-4b0a-9c06-be627a9e2dd2">
  <version>1</version>
  <createdBy>tdavoodian</createdBy>
  <modifiedBy>kdilli</modifiedBy>
  <createdDate>2026-02-16T21:18:04.0485638Z</createdDate>
  <modifiedDate>2026-02-16T21:20:21.9087339Z</modifiedDate>
  <sheets>
    <sheet Id="7f9cd215-a3a3-4337-9d33-54c7f7ced498" Name="IS"/>
    <sheet Id="d0c5ccc1-ca05-4a09-8a05-3d3e017a4a48" Name="BS"/>
    <sheet Id="fb462344-2b2e-4473-8e11-78fc35a5a303" Name="YOY"/>
    <sheet Id="af0d0bab-9df8-47f4-a1b4-6d5c796d9b40" Name="Act v Bud"/>
    <sheet Id="d4b1939f-8d75-468e-9394-92558626264e" Name="IS.BS.Detail"/>
  </sheets>
  <documentDefinitions>
    <reportDocumentDefinition>
      <properties version="26" revision="1" isCriteriaEnabled="true" suppressions="10"/>
      <criteria>
        <elementSet adapterId="2">
          <instance>
            <instance code="PUBLICSTORAGE3"/>
          </instance>
          <elements>
            <element id="363">
              <type entityType="9"/>
            </element>
            <element id="13259">
              <type entityType="6"/>
            </element>
          </elements>
        </elementSet>
      </criteria>
      <reportDate>2026-01-31T00:00:00</reportDate>
      <lastRefreshTime>2026-02-16T19:47:42.464796Z</lastRefreshTime>
      <options areDatesRelativeByDefault="true" autoFitColumnsOnRefresh="true" rounding="0" displayZeroForBlank="true" clearDataOnSave="false" highlightEditableCells="true" refreshOnExpand="true" updateExpandedElementsOnRefresh="true" updateReportGroupsOnRefresh="true" enableUnknownFilters="true"/>
      <areLocationsHidden>false</areLocationsHidden>
      <adapterReportOptions>
        <option adapterId="2">
          <reportSettings UseLevelCurrency="true"/>
        </option>
      </adapterReportOptions>
      <instance adapterId="2">
        <instance code="PUBLICSTORAGE3"/>
      </instance>
    </reportDocumentDefinition>
  </documentDefinitions>
</document>
</file>

<file path=customXml/item5.xml><?xml version="1.0" encoding="utf-8"?>
<AdaptiveCompressedXml id="af0d0bab9df847f4a1b46d5c796d9b40">H4sIAAAAAAAEAO1dzY4jtxG+B8g7CLqXhywW/wztGOvJIljASAzv5pJb8c8jRKNZSNq1F0GezIc8Ul4hbI0sz2i6V73JdGJ3z2V+mmyyyP6qil8V2f2vn/65+OrHm9XsQ95sl7frF3P5hZjP8jrepuX6+xfz97sCbv7V5e9/t3hznfNu9jq9mHMRSQQO4FNxQLYQsAwEJulovUk+UG3kT3yTX8xfxt3sw+zr92le25jNFtumlT/kslwvd7XD7f5qvb7J7243uzcPSw+Ftfgdb3bb47/H+t/Wy3uRorbS56RBpSyBogvgKCCogsZlYXxgMb93f23hm9vIDzo5XF+m2e7juyq6mc8uTgtjXq1eprTJ2+1sc/tDna860ni7en9T50603PC3/PFSLi6aXw96v2jtfhE3y13eLPm0mbzKN3m9e1OfACd+V+s0o8b5Sb1G/PV2x+uYH5XcK6sSpzrAb//y9Tevr968/fN3L//4Sj0WvhGzs7mfRdq2dXQomy2rkCStfiznvlozzxVsu+Xu49v9lOP88G8zOm1bJvROqkP7LfJ2SHUsqDN48iBapnxx8Qu8PgE6LbIJyTkwItoKuoTgUiJQLkYMddw2+WFAJ8+DDqcOOj9O0EmZQzQWwcjG+AalwSsMkIL0sYLR6uCGAR2eB52aOOh0i5z7ar9x0FGg5JRHSDlTtXQ2QYgcAcmRiMKINBTo1HnQ0cRBp9w4QSeNQ1fBBV7qAJRjBK44BB2SCqagsBaHAZ09Dzo9cdBZOU7QGc/JC6HAWYVAqBI4byvV0UrryEmwomFA586DzkwcdDRS92q1q7iKAjAgA3nPwCJmUMYaU32vZimHAZ0/Dzo7cdDpkVo6jNoVQoRAvq7pVKnsVWSGIjNZ9FpmP4ylwx5rOjdx0BGNE3QyoiuOFBjNqRIJZggiC8hU0LNCgSIMAzo6Dzo/cdCZkYIueU+sswW2yVci4RA4ZwSpUywhi0JpmOAw6h7BYTF11Klxok5JiURMkArVRZ0oBuoyLgGzDSSFjBwHMnU96KucfE7CjhN1GR0iiwASnQbSMYIv3kBhIoFYinNlGNT14K9y6kkJGmkmDFEmbgJ0JKSoPyg2ARMPwaAuzscciYdBXQ8CK6eelaCRBoi9sixMIHCEBohLrus6KQF9SZ5jKcIPk39VfZL+U09L6JGyiWgUR0VNAtY6IBc9uGAyBBZZ1wWfNzSMh1U9sv5y6nkJEuNEXSrapVCqc7UN6va7r1hFyD6hcMor6YaJ1qkeaX859cSEHamH1TlpgSWAybGizptSUce5elgUikVxluMwqOsRI5ZTz0y4kdo6FgplrsbNoa3ruhgU+EpqwcsiMBhroh2GTageQWI59dSEHmnkRGplUWQCQ9gQWW2AlaK6ruMm959N1GoY1PWJEk89N0EjzcIWqVO2WUJxIQFhRmCnEjB5VajyWHJ5GNSZHnuIp56b0CP1sBolIkrfLOQykDEOQlAWpEBBymFKchjUUQ8Pi1PPTeiRsgkrOHvFFlKzz6QaOAdcWIFErZE0o/HDsAnq4WFx6rkJM9YDE14kSdXC2bqMA5LCgVehgOVmAzFmtn6YeB318bBTz02YkXpYtoqzjQQ5UWUTMuqGviqIGCSSQRHIDoO6Htl/nHpuwo50z4mwGh0XA9InVzlstuCw8grtCQvravLcMByWemT/ceq5CTNSDpvJMEZdSasWsnLYKCvqYgLUGKKLVmcxEJvokf3HqecmTv3MsdpvHHXOh+KkKpDI13Wdcwl88AFYFmecd4XSMGxC98j+49RzE2qkbIJCYSPIQAxGAZUiIKToIVpDTmunnUrDoK7Pmf+p5ybMSG0derTZaobY0FdSodlLXPEXRLHJKksiDXP+GntwWJo2h0VN1owUdsoWyR5B6WbnSSkWOLgCVlZCy1KoHIcJndzzsLoLddNjE5u8qoP7kK94ldeJN68OKLwtZZt3+1lL7zf78Tdo2we/RNcuvHho5HVqLX9YQwohKpA+fcv5Cru9VF39PVIW164dTU+dLTXIbp2lc2psT/eKdsvlf91aW6zTbNiDMqk5wl5XJ9ycaJfaYKgLlOo0hjlNfE9rqesFMdPLKD5r7bGnp9da1f/02K9ca3WuhCIRg5O2eduJixB0kaBQJu0kJzfQcbF7WtsyRXdaO+2MrBS6TUd7n+Wpevi52Hu2G/d7erYb3XZDBa2tKgGS8AZI17+CLBqKrbxENK+zwcG9veykhtMLvj6r7bGnp1fb/48lHidNEIm0Lao5rmkikGlyhdIySB+lVNl7xcPElO4bjk6eMO2Y0pDu6dlG3e9pCBtl2qavd4jwP7BR/+OtLYEKW6sgRlmAko/AJWXIuVhWTI6yGdxwdIUF1fS2tjxr87GnUWjzaFcc0kSlBBUIpXlJf8oO2IYIQlYG46OxJIfZE3fvMCF22Y3PSCesOOTVaSO7/OPu8u/iHxWEzV8npftbfvmwwUH4Co0HBuaAuBZD0w3sRyBomZFO1VhcnAh2Mv7TkfbdmsHExiBCNk26UurmJaoiNPtuY9LO5BiGSZJTjwf9GZT0yR60vHu0j1a7PWd4cfHw+xeLa95eXfP6+7y9LLza5sXFvSvHWsvt1UFXX605rHK63G3e17qPrx9vaVPuXu6wyxV+nhvscIGLtNzuBX3VYa0erJ2bl5J3qNA5RemylA9dgmp9Z9nTdtByBOTpOlBoqMWD/RcdLC4+8YhanUmLI6nKs919l0vV5+u3y5t8iQINCARp3kr/JdkvCb9Q3qIi+9dGdR7WPjazvb794ep2vas9vq4/N9sc7741c9CVzvK7Fn5WwbaP0TQ3P/qAzeJiX/Xy3zIC8QxOZwAA</AdaptiveCompressedXml>
</file>

<file path=customXml/item6.xml><?xml version="1.0" encoding="utf-8"?>
<AdaptiveCompressedXml id="d4b1939f8d75468e939492558626264e">H4sIAAAAAAAEAO293a5dOZImdm/A75DQfXSSEcEgOVDVoKeqYBQwHjem2je+409wUnBWZkJSzXTB8JP5wo/kV3Dw5El1ap+jEqVzuFLaa6MT1dJeW2uvxfgi+MUv/7//5/99+R//7a/ff/Pf9fWbVz/+8LsX/p/ci2/0h/Zjf/XDf/vdi7+9HZBe/Mff/8//08u/fKf69ps/99+96Fx9pmxXegzAkhTsrwwZQ0iC9n+sL775L+Wv+rsXf/7LP/2nv/zTH/VtefX9C7vNN9+8fDNv9Ecdr3549dZ+883dp/b5a/3px9dv//L+1fuLdvmn8vrtm3d/fff9f7GP756q0eBSpAOOJsDYECp1Bc4FfeRmz0ovfvXv7Q7/+cdW3vuR+89f9W/e/v0ne3p58c23lxebfv/9P/f+Wt+8+eb1j//jdy84v/im/fj93/5qy+ce+Qf/p/799/7lt/P/vffr3z768y/b61dv9fWrcnkb/V7/qj+8/YsJofTyk31nvjW+uPjefPwf3rwtPzR9cOVX1+yJu73gv/zv/+k///kPf/nX/+2//vP/8id6+PDzMT94u18e6c1jP3R/7ZtX9pDsY3j4nHdfm+tseHv76u3f//VuyfHF/V/n24X4yIL+/FT39//oT6/+rv/UH3p35fL1310wUV1I/BHZvvz233H8D9A9GKtvOKBmbcAhI+ScE/iCJaQ0fBpxC7qFP45uPDm6KV0dui9+aFl9v3A1KjkJaRrgbEsArspQQyJwWHvVlKoKb1GjsLBJ0MnVKDzynHdfu6nRR3/o4N0oNdeCY/DUC3By1fallmCMoJJyjH3UPWoUP65GfHI1ivk3UqNrQTf1nqgGBSI2T0JTg5J8g04jSSRnrs8eruXp4+gOZ0e3fB66JT8R3f5K0C3KpUaXIDM68979gIJk7oTrQdQzUtA96HYfR7ecHN2XIYp3X7uhe5HgoygOEqgs5ienWqGYgwbkA1cpoQ7dEwVKHwd3PDm45TPd5Bu4fwlxijjvqYJPGIC7Me7kECHV0Bpr7tj20O64QLvTydEdl1H2zLQ7Xgm6R2RlCh4SxwQctUEizRB6c7n31kTzHtO9QEzyydHNv1Vs5lrQnbWEjuSgdC3AQYqhuwv0UGN3nLxLe5zKhAvpKXdyeIffynhfS8wkaJOiYYDr2Yx3KQVKLATVOzdcy1Sr3+NVygI3iRJOHjcRWo6bPDXIbZvFYdneg214yloDIXQdCkycIXun4Dij+tjGKG2PDQ8LNvzs6SNeTuN8NRTlSjcLxYG27AVaCmR+7AhQpHsYQ13w3aeAezaLvFDM4M+eP7rMgL/72terRwdzoSEpp+LBdgX3M7xT9wItYmNKFALv2Sa8qc3H8X1yJuTlM2PsN3zf45sbMbXSgTUavgMb0ps3G16Dqyn7JLopg4Qr9vvcOSQM/Lkp0hvA7wGeXMMeu/mxPGYSaRSoYzjwRJ1iTj7ppgIAXKklPnseKS7j7KvB95US/ZxiI8IGESkAe0UorA366BSipxT6nnJLLyse89lTVsfFaa50oygGYM2xQh4DgUudUc9WQYdtwtqVqO2Kei7UG/jTJ61+q7r8a8E3aUo8NEMLPRobcg4KNgcuZmbNbDwI9+A7LpRC4umzVrdIzRP5CbpqoG4gbFabMw6z5K5CKdm5UAJ5KZvwvcBP8Oxdg+xu+H4SvqOr6At5c19n0UGrwaBtf+29paISOl1SwGfD9wI/wbP3DcYbP3kavpNrTMUXiMMpcERj4qE3GC4Eu+KQyqZI5ErNGJ49I5tu9vtp+FbKGiR2SDgnGUhpUELqINXn7s2o83Cb8L1QNYZnz5SGWyDya1Ek9C4nr4CpzkBN85ArOqgus3JzjDg2KdJCRB/PnpLl66udv1JFCq2kWtAUqYYEXBtC8ZUhBnM1wiiVa9qjSHmhtgHPnfu1HenGuJ6G79liFQY3cLPPikdnqCgBfEtJgxMXNzWh4IpDcfaEVfrMLpRbB+EvPGi6xFwrjC4zoB8YksvmMJtvgeY+i497Ogj9Cg06e74qfWY8/wbvX/Kxw3FD142dlGLWOyHUNBioDKraK8W6y19eGO909nRVvMH7afAmJ8PYtkKvtRv5Lgg5UYdCsXlHNUnek66iFXifPVuVfqvZHcuk6AuHN/YhSCLQ0QXgMjrkjAmGo1JiUiTck62ihWQsnT1ZFT5zrNgN3r/MN/AttlgykBsG7yYVCuYAOUR0KTqOfo9rSbIA77Pnqi4Lmd597QbvxVxsDegKFyDSatYbzbX0XiGLRJ8cRod7asXSQqlYjCd3LoNL+1jww73isHj+wdFBPwlKNlB3HnOIB0GlnA3t3SNj9Dw2zZhfYSjnDn7n4K/Fz0ut+JFrglzdHEBaBxRHCkFSMh5cC3nZA7MFU0pnbz9Kv9UE0mthCkYEvMekEHsk4DyHsI+ZTaQ6eggthV3tdSv9/3T2JEu4nWbwlShS58KY5iSxkm2fiD0Y5e4ILrVQKg+0XWSTIq3wkXMzbvbyWw1iv5ZkfGiNRhYPSUMH5uigGgygh9LICfcom6q28so5A2fP58it2ORp+Ja7yaZewHzICIwjQG0UQAtR8mWUmHbZ74WEDp89oRNvg2KeSPQ1t25UxAiJH8DSCpShHUYc1WEvOC47vJ4N3wvlJnz2jI7cqm6/EkXyIxR0kSEgmp+MwTaK4QYQuiqRcsxtj8eMbqHqls+eO+Lr6wM5uCyxe+dHRfBRsxH93qAgMgj2mFBcpbpnTgy6hT4nPnufE90c2ScSfS+TCTEMzHVOFSOod2dPlurYVe5S9ziy6BYi+nz29iO52e+n4ZsxorrMgNSC4ZsRMmGB3LQa1ycnbVNX0Eqc5tx5UfbpM8d83epufxmj4burIXtopY8Jbw+pl2HWnAz5OXbxe7omaCFfxWfPV8n1VW5dqR7lWMm3YrzeFQX2YUAh7BBiG922CtcvJ6I8Fw1aSFeFs3ux4bfaJm569O8frvWBYOYwxxeU0hk4zrGTWQaEIprDkBg2Hb/tZaGUOEo4ucPMdFiE83oP28FmliUlBU9sIB+SIPcyM8Claxf2WvbUE/NCJ3Y4u08h1+dTHLYrHVwkFBLGwGTOeIzAdTCUFBwEr0PNSWfVvkWP4kIOLsaT91UF9Mvldk/fK447o/Zgx0I0FQ4IrWGbhChAFhcguMJ9dCWHm+YALoFczh6CYjqw+eS4qZoH9w8m9Ub6Z9Y3+5lE6FAiGz9SP8+WbfMY2T2GfOVs+3j2/m/GmyG/v/CEREJ0PrfGoLkK8GQs2Zlnq1RCyaOF3HcZ8oVQqxnykze/MB0WrDlyvP3BZc0DxRURCG1W8xhzAUN7AyriKGts5PaEQfNap+zJEwppve7zGaI3V4pxlxFrigF662bIE2dIhiwIsXL3mMlfnlL3XBhfKOgxjJ/cjid3oB2/Vow3bh7bUFBJhnE/vc5m1NxjiolSNkq4Z15NWCLkfO7+q4B+X/nvQ0J+WIncwZVrISWXCUHQRWCnHdLwDUZkIg2uKu4p4V8Z92t2/OSBFVk/zPhmx999fIHx6lziwQyxGLJZeobq82zD6r4EIiplE1dZyDQZxk9enil0WGP49WIcXa2l1w5Gy+fwsYxQMOTJzL0vI7H6PYEVXomrxHhynzOv12g+HePHDTA5uEvKxxFqZegiClxYoPY5oinPM1odirtkac8WPFxxOiWcPUJ+ZKrzuLNfj26VUtdbbxCrcXEekmeqM0OaBTG90hhjU6n9UmBFzp3O50jLQxGeIUB+2MThgwPkZKw76oAwklGUUBHyyA184+GkV8TLk+WeCeOyFCA/e8V9Wp+V+gwY/8zq/i/djvcSkqTRAH1Lk6wolMQJaoqjSuRSsW0iKyuRFQknn27DlyMW333tRlbWQa4jhuoFRuM2DywgKEwViJrXWHv2edMAkLjQGBjl7J3dvA68ZwD5YeOiDg4f1hibaAJ1ZCBHYajzpNYWWiotenLbLPlK/FBOngcyS35gbOVaLXkZRVoXD747B9wxQqqRQLofsYuKlj2xlaW6rHj2WU58WTH07msbME5XivEwyGOJA2ogo+S+e0iRCFxG9lWF06YpNCtnBMd49uO2hW65zvsLT6jLkuTH6B2wSAeOfhjGQ4emnriVzAaLTa2jS2QlnTyhT/lAtzMeNvfm4CpyGpVCE2Ajv0ZWcoSiBUGCK4Op5VY2zQ0OS+1A6eQZfT6y+vBaQU4cMxr9hqHDT6QnSEkbDC+xtRFzxE0gXznsNEZ/8ig5r2dnng5yuVa6EgJzchmG3A3OKw4Klgyae8SuPSTnN4F8JYAY/cnryB90qrz72g3kyyBXzSWm1kCdG8CFIlTmGSXvs7G5Re/3nCrm/co4l+jPzsndgeNcrhXkTgOGu5KsEA3kWBhSj2W2v6FTTQ7rniJb7xeGfxnIT87JyR3oeF4ryKtIdsEptBjnCdYcIIl6cNF4TIvSaWxqX/ZLYXJ/8hAiuRsnv7/wBEtePFdfC6B5gsAxzMFcEc0PNfPe3ECum/Kdfqk8y598kCO5A0sQrxXkXfI8caOCzxPkSgKZWoYUauROXoPuyQX5tTpbf/KEJ+ab43l/4QnnDCdtyUkBlel4ei6QRolgzmjIxdCPYc9oOO+Xujv9yRsmMN8cz/sLTxjerlzvahCbOAImo+Op9j7/pCNgFtc3Dcv1S+2d/uSFtnhkxvNaQS5UopPaoVQtk5NXKM4JICon3xlJNnFyt1S74k5eg4j5wBrEawW5j8J1niSZ0jwtPs44eRWC6GqXYpwlyqYQolvKeLqTZzwxH9iof60gZ6JcRGmOPIxGUqqH2msGFKQkIecHI/ieDeRLGU938own5gNrV64W5N3eTbORlDgPsOgDDeSpgVZpqQoK7yrQcksZT3fyjCfmA+c1XyvIq8+JhMySyxyB6DtCoTm0uUapuTQdl2VwzwbypYynO3nGE9MtunJ/4QnRleRSKa1Ar7Oe3FEwx1PMBXXzhHcNGi9X+dlAvpTxdCfPeOL6sJ8byN99fBknp1jVY4WBbh6/PsetxFKh9zSiI59112ChleN7DeQnz3hiuqX17y884XgJX0fyBYFyJuA2DOSdG4hL2CNq87onhJiWgit4cozLkZP3r7X7LWJsrpcGmGfCc2b1k2OE5lzq9l/FTdNs01JsBU+e1Jcjh2ddK8ZVWYYLHhzNAXHOaPnPpwZRSCgtk4t78p1pKadP5053Bo9HdjFf6fCskp3OWYcG79bngLgAeYhCCFo5aIuN99TZxrUBcSevW+EjGyaudRpFnQMoJOVZkuWNq+QGmQgN7eQUfY4F99jxpWG2kc9tx5nkwBD5tWJcZ4RQqEKlycdzq1CEzJjXErTUUlrd0/m2NAMx0tmrVtZPeb5h/N3Hl2fTulSyyKwfRwEucxhFTh28+aLEjlXLnkpyWbPjJ8/nP2ggf/e1DRi/1mG2kUMIgzOMzMbHMSMk3wVklIRDU6iyJwskS3b87Mcvi9wGNt9feILP2Wk0omag5go8vFn0zA1SS4KuYxmX0avnOu1tqWQlnBzjeFn7+e5rO2YKLfOirwvjSYI4jB4oF7PjuVZInAmy66xxhD50T11WWKpYCWevWFnPPd4w/u7jS4x3RZnFKsZQGswR2GbHBSH2URqX5CtuGim0ZMfl5HGVSAfGDi/PIP7wb31dB6hwiLk3HeC7/Q9LZMghRJAasUhioctzI58J47gUH4/n9jkDXs5zeve1DRhPn8nHv3SMF1eS5Ergx6whLwbvPLKHEVMuDoOTuGnWylLBipw+CcQHBg/DlQ751CgjsxSDdpnzD9FoCwYCba1JNbez+k3jmpfOGLet5Nwgp3QkI79SkFcepA6roXq2vKVmDmdNsz6rDkcBR9NNjRJh6ZSgdPLSQzqyvPZaQc4Beyc2012NpHDzDrJrGSYbdiGlGDaVHvql+KGkk9ce0jpPvoH83ceXllx9ayHN4RNsllyNrmQRB8VjiL5jLJtOGfdLAURJJ+fklA5Mdl4ryMOITJU6ePJ1NkpEqBgJUqWhUnPDETaBfKXlTdLJI4i0Hrm+gfzdx5cZ/TFwjDIjiKzAgcVcUJ5HY3nW5lu1/zaBfCWEKPHkpVkUb5b8/sIThnxyJKzGTyIHAY6cITlKICVgHeZ4lrhp/mFYqc2SePKBQhQP7Ae6VpA7Mh5u3g3I8MbJGynkngQEoxQ/qIW26XSJsHTQ+MmTQUwh30D+84Un0BXvRDx6SDJHw/l4V1Juhl1zSRFbKJuO7vRh6VjDePLqLAq3Yw3vLzwhhJgxjMoImplmdVYHA8IA5N6ClEKxbYqu8NKxhvHk5Vl05Ilv1wry3HvHngYIG9JZo9n0jM0Me/XsQmuyi664pX4Jd/I4OR4ZJ7/WWSsanE+lM7TkwhzXTFCNwphN7z5yQtZNdbZxaSQ5ndzvRDnQ77zWvrfQQ+kobGwlNjDTXX7GeCvVaWcX9fLsyOfqCVqaSE4ndzsxHFi5cq0YjxrJtaxgYJ+nBNUINfcGpbaY1UkctIesyNLMLDq514lHEvJrxXijXEc2rqIxzr63GGEeGwSKoXHo2QC/Z/jhUrYzhpNXIOJlJf+7r916gpYxXrw4nweCd8EwXqpCwUzQk/k7jkcZeU9kZSnZae7B2TF+ZG3WlWJ8VD9KZTPcUc3nDC5DkSDgsvdVcnNtU7/EUq4zhrPHVY6cJ3StGK+1dhzcISjmu6PFoQwKMEIKKVaiJJsGNa/1L5+8aMUckltv588XnhBXodTanNPsG5rPyRWhppTAc49UuTvlTYXkS7NW5OQlthEPjKus+7dfF8a7pKE1zYmHd0enxAapz4pbldaLsXUZe2KHuMRVTp7ND+gP5CrX2r9sSK4j+gqiPs/TDAfUggqjUp2D4armPVwFl+z4yZP5hvEDfc5rxTh6DrGWOdpzuDlvv5odV4Eaok/c7HLfY8dpzY6fPK6SjzxTInymz/mlY7yWkJzHASU1NJ9z2J9aM6DXrLWkwOOyivmZMM5LGJdzcxWOh9arXCnGfeMq7BjaLKrl0YyZY4vgotSQyBuT2dMoQWtc5eSxw0xHzrC9UoxT79VjqkbAk2G8sjfv05i52XFfKc5m/U2Fh7w0aiWePNFJhw6Gu9LqWlc4xhoUdMwBn3UmOjuzMRaz4BrJ+7Tp4GVeGrVydkZO61UkN5C/+/iyKstFEp8SuB6NkbvuZuUhQ0g6nJAvxtE3gXxp1MrZ6QodSVeuFeRVWx65zqrD7oHZfM+kacAoMbdUkZruoitLo1biyfNAdORZhlcLcrOV1FOHhiXNoVkFcolpWnIvysmpbsrn89KolXj2USt4a+u8v/CEAlttPWm9G3qYgQd1KKQeaiujSpfhNzUDeV4atSInr1ohvM0Tur/whIx+FE3eIbhmTJwxJyjq+ixBxJ57cVR20ZWlUSty7pa3jHQD+f2Fp5SRa04lFZAye5cN2sbJ1bxPDQZvGR0vpzY9G8iXRq3IyXve6Mi+zmsFOeWC6IyphIEzTm4gz6VE6NTraJio+j1nvXleGrVy9oQnrR/AdgP5u48vR610LT2wM/vdjZOH0GdPZ4Mq3EYX4YGbRpLT0qgVOXd1loH8FkK8v/CUrH4cLZIAMhXj5EEhq7GXeazhCKypxbYJ5EsZTzl7xpNvk+HuLzwhhDg4uTAK+NwE2EmA0oIHR4Q5VOfakE0gX8p4ytkznnwbmnV/4QmcvPiWSQu0WssMIQpk7wJoSxl9qoSyaTIcLWU85ewZT3+LrtxfeMLQLBpVO9XJTxBsTQkqtgoSMvY4DwpKe4rJvVuqQnQnz3hiOjC6cq2T4bL2xiUroMkfWO1PScQDqTrzSWn4tOlwCbc0Gs6dPOOJ8UBOfq0gF6xFavSQHQ1gr2yOp3mfgYobZcRUxqYW5rTEyfnkIGc+sp78SulKiU16Sw1qEgN5igLVCYK0OEbuFMltipOnJU5OJ0/r85EFWtcKcl84S24Z/J3jGYODHBpCb755uxR73ZTWT0tViGefZMt4IF25VpA71wthJyghErD4AqlLhNFinke+OR2b4uRpqQrx7KNs+cgqxGsFOSUXWq4MFO/GNWOA6psAGfgTmkvqeBNdWZrXLHx2S+4PjJPzlc6yLXXkqiVCE6TJye8S/B26ch0tZ6rb4uRLdOXsw7PIHzg861rj5F0bRe4NXJudQSMNSKwRnOPRXArEeU/tSl4y5PnkfifGA1s8rzWCGBw3s+UKrcRofqeffczK4NRzMLoy3LZy8qVBnycnK/HQavIrHfTJWktG9QZqNjuejJHnih58EomuZsP5nr6gpfNTzl63ko6Mkctn8vEvHeK99ygYCijmOeezVyi+zhEs6omKuYabzPhSv0Q8e5VtPDSjf6VzhYqOyqF1qL5U4DkaLmPOQGOMnLjFUPYcTUtLCf2z9+nHdOS85ivFeCrda3QOKKHMM8YDpMAEnSqO0RLGWPbMsl3iKmdv05cji1auFePqBDMavLESAo+MULJMoHeJ3pfsLw9yfy6ML531dvYufVl3A28Yf/fxJR+vtbSRGpTE045rhRpzA2kYtY/cet/jcuJKXVY8eZM+Z3eb83l/4Snh8c5ViSD5OZh8mLtZk3TQLDQHx5VwOZ7s2XJAS9l8OTlZoXAbgXh/4QnxcW+OZsweUGdrZzSykpwolCoiPaamflOic8mSSz539DC49Qz7U0GOnPBK0/lUvfYQA3icdeRYHNQhDthnbpGzkZY9dEWW6AqdPHyIR06iuNbjl9MQxNEyUK00j1/OkLXyrCUPLrvE7XIu9nMd27kUIg8nDx/ioYMorvTYTj84mZuJgD3O4XBVoJTooEXvUuVWat/EVvJSqwSfvH2Zw4Ex8ssTWj/8W18XyElbbdkP8MG8TQ4VIVej5F4cKhpdGbsoeVwD+bkpOfORh9NeHtH64d/6ukDeNDUuroFhXMHWNEFtdQCF5pK25PrlcUzPFlxZmmV79hOY6bKI/93XbsGVZZCjtJ5pDofL4oFpJEj2ATTvqy+FYw57RgrlpbFZ+eRRclzH3a3A9t3Hl2eoJM1DUoZSVecZEwlKSh5aH64ZUwkhb8L4Wvzw5C1vGI881fBKMa5N1csIkItDw/iIkJIm4NLjHP7J0e8ZKLTmdeaTD7LFy3NT333thvF1r5PTQGYEHLkCu6hQ5wkTufWUnOvmkO45uTMvNbzls4fI16MdN4y/+/iSq8w2CSwdQgwMHHyf1YcIjV2xv9E8IHYLxpcGrUQ8d4g8Ex5ox/lKMT5q4qg+Q3bDMN5xTBOu4FsYnDUUvKzXebYQ+dL5KWfPdfKRHW/hSqOHok0GFYaSqRkhbwZyVjPkVIiwFhq6acInrjHyc+eBguPDvM5ZtbL8Y18Xyl1QR74bXWnD3E7mAEVVzQsdLVGVppsoucc1Tn5uvhIcHcbJDeX+StOdOMiFlBgCp2QodwWysKE8jKRotj3kPW1vskTK6eRnS+BxBYjXW5vlWwwU2UFJaqS8tAgFMYCjEZhyS37TUViyYsgjnTyjj0cmO68V47k5F70Z7hJbBs7FQ+FAYLgfMZRq3sieRJAstS/zuf3OTO7I1s4rZeSIOXsKGbSTAw7ozO9sBYyjUCnS/C6uEpYwHk7eEYR85DShK62xraXlEVsFCljMjiNCGV5hiPriRnW575m5j2sHS4STZ/RDPjLbuVy0/nWBPOWQci8ILRoN59SLUfOYYWjoLlRU2lR+uHTWWzz7gYYSjzzr7TPJypfev+xG6BWTA6lz9GGQAXWexOzVzyPGo0a3JxO0FCOPZz9jPLsjj5W40h79WEcogTK4on1W2GZIsRbwksWIumO36/jltFRGTucuzQo+3g4Iur/whMiKU1HsApGjGMgjg7mbFXqTHmftimt7vE6fVlo75eShFWY6sOttfdLi1wVy1zBFYySQfZ0t+pkhZU+Qhypq1FouZ5s+W7JzrSHo5DFyXncFn8HtXKb/XxfINXFpyQt0nT36NItstXjIzQdscbi8aQ6Fx6XirHDuuhXmyxTFu6/dQL4M8lpbRQ3md3KZPRISoEqVOTzLeIy43i89n2dr7VwD+cnb3uhIunKtrZ2FpWIkhp6aAnfzPnOpdZ7BjB0dpip7Btl6WuLkZ4+S05GnYF0ryAcjdbzzOX0EdgmhxOqBUirGYlyrm1L6fmkkuYRzR1dMKkfOFLpSkKccQgpidAWdOZ7dGx0fonOobRfOEtxlpvfZzjNcsuTp7Jb80FzQlYLcrLgrFAKwqDmeISCkThlyHsTFJ+/LrkM7lzh5Ojkn50Onw10pyNUcwO6DQufZFTSPUslDEQYOisWH9qCc4dlAvhRCTCefKWTb7A3kP194yiwK51UpgrTsgWMokLkmSNX4eazcm+6y5EtTyfPJaxBDOjCEeLUgrzhcpAJYZMbJU4UqccDwmHT4hEp1U5x8bXLWueuzguMjO9/wSjvffAolDvIgsRfzPAtC7qlBCl6iBsEW2h6U+6XTsPzJ+QofecDEtc5c8YqxzEHNoXcE9uZ0lkYClDSysCaWTRVauFROjifnK3wbnvXLhSf0BdXSSo3dLDlWYAzmeYZcjaNLH8PV4DeVIcal/s7TT2w+Mk5+rf2d3Iw21BbMcgcFczk71IIDusRgD985u021K3mtwfPcnHyO0D5wetaV9gXFHJGoO0itzQlxPUBJxlvEha6oQrtAvjSV3EB+boxnOjAXdK09E1QFXQoZkm8EPCdSVBGC7jl5lFwr7sH4r8w4fgDiSOdLBL3W7+3l/rv+oXyvP/Ty+k/3KPxxjDf69ncvwNjLN/1vr+9WYALuzq1yH6LS7f42f+6PXn//G945838+8k8+/oW3d0/1od97oC/pcQWZv/TBO01wP7pOv7E29RCGubcIFFIDlhIht8zGktzIhRs+GML3/Nr0CBzvtel8EZyPa5O7adMXq02SKhJHhB6wm5NBCtXPAzSSC1kSVr0sXn1+beIPaROfL1T0UW3KN2X6YpWpxa6Bo3E8V81jd9mcmajdlCkjKpozk2i3MoUPKtP5hkd+VJnSTZm+WGXSUGkUTyDD9Z+PV02Ds6kVo3fBx1z2FPz/Spke+/7PynS+vq2PKlO8KdMXq0w0qHfiBqWmARyHm+Ne7U+mSFJnW0Hcrkzxg8p0vmzJR5VJbsr0xSqTZMYk5jPxCA6YY4eqLYBGIvVc0cv2CMQj63mvTOeLWH9UmcJNmb5YZTIqxdn3AZqcmwOFHNQqAhLCyD0qmZLtVqZH8gf3ynS+QSsfVSa+KdMXq0zaSE1xKhSXC7CymDJphdi8YCxG+XQ7zfMfyqYin6979KPaRDdt+mK1KeeRMLUEOc9MEw6C5HgeIhBVXSHJuKco/tfa9Eha/V6bztem+lFtwps2fbHaNOp0jXKHEfuMkHODGqLxvlhbLBSyC3m7Nn2wDIJvZRAPE7c3bfpitcm8okqZM2QcHrjKgNRMm3ym7maDuV4esbJBmz5YBsG3MohLbboVQXy5yjQCUY++Aw4nwN5HqLZBgfrSe+2xu6F7ilB/pUwf0qVPOWPk+1L1+8u7vNV/e/v7/8v93yaY+aeLq3f/5I86Xv3wat7v/ukNre8p3V2Fpn+kceXDsHkImUeW5INwefntxYNdvP/lm65S+pALC2ZzkItJumiDVDDBSGyfe9dU9lB6XpH0JyQVn03S/mfZPqjB+ewlrtWVjq1BbvNYKo9ke5RLUHvLXr2RwLHpWKqFatdPmQixV5meqEuPmt9jdclk6TyhgDGOOeLGOciDI6hrhoDmpeOeAcKyUIj5KVMRboL+SI9GKqXVUUELF+B5uLndqIOaxUTuXpD2NNvJQo3gp5yJexP0RyazRWRS8dCmY85+OChszjra9lhdFONEe8LHslC/9ilHfN8E/RFB2z8bgxVcSXOYamxQc7E9Wmtj1SjDbToedaG2Kn9COchN0B+p+wk+IfkBQZwJOhYjY2nIPAw3UpWsWTed9bxQ9/MpQ11ugv5oTUrGajLGGm2PrjlDJVRIpFWDUyyX3tvzC/qDNSn5E9LoN0F/hIyZye65euijNuA7Gdcg0HqdNj1JqttZ9wfrJfInZHhvgv6IoJWLFGIYMt0rGgh1lA49aigpS3aX51I+v6A/nMvPn5B9vEn6ox2NvnVzrXpCBtYUIWsTMDk3lqbRtT2ZMVnJM+dPyIzdJP2RkEnW4ngUEKx5ntThocbRJgPXVjFRL3sahGQlB5pvwbHn42O9mYx1RsOCSbrNgYo0PetEXFwtEnS/Tn8oOkbuFh37TEm//PYn++u/Z6Veflfe/OG78sN/0ze/H+X7N/ry21998u5br9784T479acfSv1e++/fvv6bfffh5+/+yWPprKWc6IfyoZ+WC/1AHvRlf/Xm7kH/9IH83K9HehC6x1KcS5mhDw3veO8HPBFv/oFHT4163h94ZIzQc/4Apq0/YG785UDBZ1+ivFvI+ZEZws8qA7f5B4g+ZEmf6Qdc2K0HcbOQ+bIi5nl/AAPiZiHPJbJd/vvv//bT/3pnwh8ZCvasqA2bRRJws0iIDliiI0USHjsV9FlX7LHzbp97OzpyxcjvBnHaDGJ+7Gi1516iQ0VCjwwYf84fEL+VkZhIdr/BXKJDRcKb1V72gthEsvsN5hIdK5LNPyB7LeMUyQFLdKxINns64h+Zgfm8Itn8BnOJjhXJ5s1R/FZWP0Wye3u3HzhSJOJ3E6LdQZ8ZVToWxFvVfopkbwzIRLL5DeYSHSuSzc68+K0Ucopkd8zJfuBYkWy1KyYS3Eohp0g2v8FcomNFsjl4Lbg53sG732Au0bEi2e1cXx6t8vwi2e1c88HO9eVE6ucXyW7nevcbzCU6ViS7STDudq53v8FcomNFstu5xt3O9e43mEt0rEh2O9d7U2ZTJLud63Csc027c3KyOyfHu9+ADs7J0WMH1zyvSHZ777vfYC7RsSLZ7b0/dkbu84pkt/ceDvbew27vfW8JzBTJbu89HOy9P3be7vOKZLf3vvsN5hIdK5Ld3vtlr/bzi2S39x4O9t4vpzk/v0h2e++732Au0bEi2e29X5569PwiOWCJjhXJbu+ddnvvu99gLtGxItntvdNu7333G8wlOlYku7132u29736DuUTHimS39/7YOdHPK5Ld3rsc7L3Lbu99b/nmFMlu710O9t5lt/e+t3xzimS39y4He++7G8dkb/nmFMlu710O9t53N0/I3nSGiWT3G8wlOlYkuwMqe90GE8nlnI8dS3SoSHZ3W4ps3t6DO2CJjhSJOzSLSSjbaxOfOYv58tt/0Pj+7p/8eij1IwOpX35f3rz9rzpe65vv/vXVX/X36FDAIXj5V5//A6f/4OiffBbEGP+POZDg/W+/u82b7378H3/48Ye39ot/tv99/UbbnGfwbgLBB6+/u8N3r/R1ed2++/u/vDfN4PLK+0swJx/8F0PHN/MPf7ZlDq3RyOIhaejzIDwHtfQCPZRGTrhHGZdSmHex5/rTFMIrfThK/T05PiLDx6T4yOyafwCUb//hE7z88ae7tbofWoEvvtF/+6n80P952EL+7sUc2/Dim64/vf3ubqKF/lv7/m9TYezPr9788e8/lL++ar987dsLCP2ygO9/3L579X23J3rv6y+//ZAgPlFCJdWCcyxcSMC1IRRfGWJwFcMolS+nhd0k9GEJPbJQ7y/3qImj+gzZDQbuOCDPcbm+hcFZQ8HwYL6p2YmHt38m8SvZj0rskNCegqU0KCF1kOpz93Uojwfc4pPE/0jg4cnivyHsPVm8L9FYRyiBMriifU6Fy5BiLbaDmB2m4NjhY/OdHtzHuV4IOxke5nn14gukLhFGi5mGitPRVu7jC2fJLYOv9hRsdgVyMCvTm2/eLsVeH5tC9OA+JTbpLTWoSQZwigLVCYK0OEbuFMk9Nkf0wX0Ea5EavWkgzRHGymAqoBCouFFGTGU8NtPu4fO4kiRXAj+6abKtEuSRPdgdcnEYnMRHhLtPkzuXeeisSalksXXuAZLvCC61YFZ8oB8POO/NkH+2mvlhEMyGY+zRxI9VoBSjNy16lyq3Uvuh4s/oKjvXQLhV4Dw3luGqPVR2bhoEL+Um/mcTP2mrLfsBPohZ2VARchXbx8WhYos8/IMffVRrdcRQvZhZ5Wb0q5i9ZapA1LzG2rPPD6zRThgl15iK2fo47sZBYzVr3RsMF4JdcUhFbzB674efAqPsVBS7QGTbz5jMlGQq1TZH6bGxKyaOI8UfjfT7Qh6M+c2DHGowA2J/7bbzFpXQH+lDvYn/88UvmgoHhNbQtD/acmdxAYIr3EdX07dDNxHSlHhohhZ6NHfdOSjYHLiYmTVz0vgglHkT/2eLn6PzuTUGtb3DtC0ahXRGbpVKKHm0kI/lECWFrjmayR8DjdIaXzfWXUGHWSc1ONqmdBP/s4mfkgstVwaK0bTffAaovgmQeV4J2YgbL3k0tdq/N0sC6mieQiwMdTryLZjRNj5qVmTJU+vm+UsaDdC3ZOJnhZI4mcMVR5VoeFi7j/dxhGrv1cUY0Tw2DWoXgponuByKmZMjYR2GpJyKeXyoDsywmmfUjXK1iEZpEoXA7Qbr9374KbDWxKUlW9+udY6ljwpV5+o3H4wZD5d1LAUgGqYYbTfMvpqjjpkhZU9mnFRRo5ob/2C471YPK8VGZPt0RAozcIBG1bWBbdQUTMvMeD4ofLrB6POtownc3CpjIGXGV2YIq2TbHEMRzabSMYy6AqOgTYqGAa7nadXK3NTMzareueFaplofrOhmDwt77PYoPOe6p1GMbA8HnqhTzMkbybpFXL8mpA5G6njnv3ljzS6ZYYjVA6VUzA4686IeyyI+pF8sFSPZvpnaPHNLO+RSKyQR7Ogw2a6+xgdaRQ0OhMtEvBivECOYNYl5m+J6d0sRzqapsXmgEGTmBmyrBLvzAArNJW3J9bQUSbYX4WrkEZIvZsiHvZI9SjfWK+QiyQxOLa1PHdl2kghNkGYE2EHS3m2f4TpaNk2WpZgLFW9qb/5tu4tIDxLbYmyfsVfK6FMlXLtPHWwMzvTXSLwJ39k6lxY8ONslcqjOtbEkd2+bYrN1AGSy58GgkM0vhJy5jcAmhbjEuwwxpQe+W5UMHEKHUlsz4dt9jIvxWIv8Uy6ILmUIw8wvV/NPc7Fl79RtnTFR9Uu8tHg12mUvIoXNnRC7T1JjYFUDFZJhOrMk927OR/IOwTU/Q61mxos6ezm7Y8+9OLvbGp5bT5OT5GovZ3K3W5B6A3Uxfttl+DViYlzYFD51aDj1q3kTVYkJQlIvaphQfez8o4f30ZYN0XYL7d70q831SQNGibmlitR06b3iVCKfku1w0dbZdVviaCtlzzOckC9prBGuwjFWQ5/OU4S4VuP/nRnm0Z5dI3mflu5DvVdv1gpGTRM/bNyPfIZUjcnZFjc33SU8Z7Q93qCjmU3fczV5dbMgyL0FKYViW9LT6J2IR2+GdKa4fZwnbTgHUXNJ5gPM9MjS+hArkll3Q4rZ+Uampz0JiNn+4geZv7X0Xp0jYRV7AA4zU8O2NM6MqxlCrCOgyb8vvZd56WPYgvhurhoH87Py4AE1eOOlvpkzucaQRmSqpg2efLX3GhHmPmTymnm+mhuOx87cfATPvrVgci/muBqo0fYvsdcsHo0fm7aXtZg4m1p3MpGrAWbql4OJGYhxugMpxYBL+1c1FVeH1Qy7WS9O7U7zbQfSOhzZOjddsofztMvMYlo+iq0P48yWB3u81prt2M7QvrQvM41qe6eJXEzk3HM0O1YMTsGVwdSy2aElHEryY9jGh2XmHqIfYGti5kg9cSuZTUtW7pNyCCmYgASdrUr3pqdjeuxNuz2hPVZckrtJ1hXzou29dB7zPO18p2z71yAuPnlflvYLe3zs3uxP5xnHCK1PXw/BUE6GndC8LO0X2pxXpQjSJn5iMMmxmdlUjZvFatZDHzzPTsZvlsJeaJpUNcpievqzL2ybc3C2E3mjZV9eTuWbB0Wm8ZGCvMd+ZlLzu7/e2Zb4iKpeoxPggjryppShzdgps8lX1XaIMpoxJmk6loy6mLs6qNium6cSaBsGXlOCZiTHdo1iJvmxUzQfGnXPrUXDP+oklTGbUjqZ53KLSI/mYawZY604jF+UaWxmNGceUyXRSIrt8Dp8sts/2GS2FizhsN3EGXlPZoLvgnlmBT2MoS747lN4OA/wN1emrxfWxGmgbXmAxlSNW85g3iTO2ah0cq5nvwZrbWrk2IQ1a2MM1sYxkpFd8057nD6L7WJLsI5J8wznzvPldRJn8wVS8tD6MHfLawh5yedCaT3T9JVmdartzLY92AfQvLfd3IhwXvPZuzaKtqOYbzI5/DB6kczMg3M8zEsOZCR25T5Zu/naWU3Nuqmr2p/M7fdA5jCZW0emaUt7sRrH0E51Oo84AxJkXK5V4xgZe5ysJy2tc+69Y7e3kSl8eyNjzxmbPVT17IIRnzWumygaLTQOZq6kSRvdrEabCW67tz2Oz/owF/C43F0qpRXodXIeexFjmUbJ2FWHXYPGtJYr8TnNcQqg5vCZL9DRfMAxHeVoTLeYlXZL8uLO5uuZShhXn3Wc8+zVnppRVjHXTVB4jcsxmbc9aZNZaeOo5lrbfWoGFPM0TGjm+Sw9j49iFGcywTR9nGjsp1Yz2NHVLiW1EGUJz2KP4WR6WlXvqvUmm3cCiObYmp+BJEuxiKhc7+pa2s9n05qbnWqf9Yiq5uJkMda8hJ+7QJMJWmVyVM8FkvlHYBtYMFMSK4Yl+9MlF7Svgze+ZXieMR9j3JBCNfUlMxy65gMWz9VX2w79vE+0xc7T6x5aWJozW1mX1sd24eyCU2gxhpkjC6ZatkhGuQO3KN32+aXn0YDhLsMW4kySGHFIfZ7vnex1VZO5P0tyV50hjGYAdnOdy8QP86xD6rNIoUX/6FmRj9CgOS/XtHzI3C+4zAqCks2Ft1Xq2kNySxyeJmO529eNZEyHKc39ohntkNjMQ80Rl/TLzGaJgzxInHa1m7uVp56mYDfSIOb9r+U01dzXWeQXzC4aDs29Kc1AREmjPZ2mORvi0GRU1hoIoeuwfdC2mRnDVHC236iPbYzytJzmLYtwdN12McnZ7g8hBttRjMsaSG3vnVVg9jeKMS7tBBFjc700wDw1eVq65OZ9nEvd/qu4Fj0Zvo7kTV8oGy/iNuvIOzcQl4xJoDavS5oTTPvQdNAsFM3om+l0irYBu4zsq5pmr0Xfqj0/D2aIxZtjJD2DbeYBtHRfAhGVsrbDBSOu2TRHbD8w/qC2zsPuOINgpOaR69r62PNjTWa8e5tMIs0oXsRk4qvcPWayLXltfVBcEbMszf612W2elaQNqNjOafSokTs2za0ldCSz230ygDArysnesNtO2Z2RAPfwNLPf3LJ8vWqfakBT8GI7rdqGWdA2cO91Rk7NJXIYH2nX2Cl+UwNlCqakHCfBsT03kWbb95ozp8CI/+Wx1Df/+inFMsoy3F3ScHbrOHNu6ozGzrGC5qNmMs56pPibiDOqZzw5ofHS3ox3GQKNvJvPZ25pN2fyJv5nE/9I6n+WN85QNU9P1BQQvPpphtu0uEvujaHFaANBnkWkXAdDScFB8EYPybwC1Qdu0lYrwlh9wzFr/mYoPxvtzjmB8Yli++/w5v1/cZvIxU88MsXqxEj1LQaKbLQg6Wx3a9EcOzMRjsY867LZprUUgMFBM4fHEDjNGihXbKszxOdguoCs5tYvIZ6qN2/S6JdHunN8HdQhzghmNv/ZvKC4lsyPGsm1rLbBzcCJVnN8c2+zciJmdWLO45Lja/+89Fl6q/mumDeUmYR30Eo1ijkDpw9p3KMbQnA+zYq3llyYAQb6+T6cu4+cbIXW3ktnUEzoLtVt65NbhSIUjFuWoKWW0tbaLutk7DPgmkbxMzDZIJOxZw7kFH2eXvFSMUi2ZahTVK7dNUyFn5ONIWjloC3a7rJ0n1HECLcH390s5sVoe1MkkO5H7LPAqSwFFLEWE03sILPHiTF0g2CuIE36GK4GfyzvsrV0ORnxw1Rn7X3zJio0ULtshKyZB4dPm5Rwc+iP7u5o3ufaAlAKantyMmpXbEvsEkOIrrP554d2d+QkNOuLnJ8dq9XMeA3JHHGsvWpK0xf/0hF225Pfc9Wbc9HPNo3Ystl4M9DF7DLYPj3irGrya0msyCHM8RMwMvdZYIezdVxARkk4NIUqS3t7drP3XGZoHcVs2CxwyQZ7j7ERO9u6ytLeHigQ2f4NxgnyfXPtsI3HNx7mIVXEdGhTrB9hJg+Ms+AM0WAIxjXuSLuzlaEcjXXfnKL3fvgfwPq9rz/X7tm988Nw4qMaYmZC1tgpg2CP5ke7SvXWm/GbSki85NYbw8C7xNAwXnu3BRk/Zle5S71NgvpNJeQQ/SzqgdjnwJc8hTOmT0R19BCasZibz37tIBipuRYcg6eZL03OHEhz7mEM8yZTjrGPp8X/btH/98Kt5iRgGwq2uLMcZXrFs2jV9DAmSpmNbBwa/qXBZVYV45h1ytgQKs3mn1zQvIbW48Pxsp8k/lMp6MeDEJizp5BBO83KYPP3M7cCLeSZzmx+MRiWhqBJLAPV2XI7YoasleeArOCMlXOjJQI/qp8T/xJo1GDP4/JsshFw2ftq+7drD2daPepqenE+D6NjLsyk1uwkwUzQExt151FGXrpPo1xH7mzPE+t8rwizHggUQ+PQc819KdiT7CUcRg+UZxl2nk11bM+TzQvXOEIfa0G10mk0omaeEc/n8XLXpAWpJUHXsQw61DGRu6ScPQVl87UYhzkmjWZOnGg225X4cLbxjVQdSqp0st5QwM3iPBZT7jK0w4hjFi4WHA+n2v/m++mZQfBRG1BLy2NORaGAZQ5aQ5OoVxiivjiTau6H2gDGiOoyA1ILs/EAZ/ilGI/QaiAjJ+1pA1wfGfR8veLfYQOo90Szr5KIjVRpalCSb2CbSZJIjvITk6GnktBHFdS8l2asQaGVmQuPfraxmjPr1HNIyMOttQvXWruZ5w5BMd8V1Jqi2+ZqPnFIsdoOK2vkoyvKrFpPvrepoMlIg6C52aM0NiRUPHQAhagRsujsKXi2d4vtSwUJJxkKZsMYKTytHe0Gx/eD2am1WUfp7+r7uJpLlVICzz1S5e6Ul+oNtavrxiUg1lkpNCTPWXHZiKzXMjOrYxxaJ1iG6ZmRXsBa5hSFNN9rMJApSZ2p3lifxmxOBaMtQfE5rZPN1xlzbjNzYEguNxgsxUhDFR+fFsu5SeipOoSiOOePVPMMbIsxWRX2BOQDVymhDn1auOVUEvqoCWWts8jeGxVgb8uNsxwGPfgkEl3Nxg4OzchH310N2RtT6WMyAw9pDrgYSMbqc+zivzwFvfiJR442ul6EbYm4+xZbLBnIDfPfmtQZKzNkhoguxdkZ+7QYzqkk9HE2blqeZxtYi7PA2fTNnLGYYWjoLlRUejjUaqcNwD4ESQQ6znq/Mrp5B0YUh6NSYlJj5k+buHwq8W9x352M4qtCN4dwjmg3VyndzY6KzTuq5gY+bbL+TUJP1aEWJKek4Il5ukazKXcWBBdz/LtMB+lpY6tv++jBVrr3HgVDAcV816Zf56lUc6KYeqLiTeXWYjhlNhzjMBvfcA7btD+1VucoMuOCKfB4OJ9ma3NdrORbYRBX1N4r2PMQzp7PNnrT6nr88oK1N6S+J4uLBM8IvWJyIHVGG4MMqHNsojegyuhRo1sbolVraeMuNDyDxIYFqNGcdWkYtY/cel+r+3eCGVEA66zSHxnn2NwAKXSJ3pfsw1rUsnRvz+7A+NB8Hpq3YIJOFcdoCWNcGjJWdNS7UV7Vz+FpU/kyZmO7Y4ycuMWwVhPqm3nE7BjaHN3HozW7T4vgoswqZrMQa4No0HOIdc4hzcPN9mgzBl3v5id4exy73NcG0eSIRN1BmgP8OfRgkutoih26ogodXN09G/fC4AZudu/xPJOqosndN9sYgxMXn9i3eQslvBdEbwa46CvIPMyPIw24O0VxVKqz1rlqXlKzLmloTbOp5m4eTWxzdl4382G/UGyjk4dR3UdDGyFm20DmLEideeZ5kEwIcVolLGImheTBhrl1ynUr/m62aa5O7iYuQnGkECQl82pqIf9gnNyNNH9+IZGz7aObe4JYZxBhWn0MM2vFZvNH4kemvX2S+C8+/2VpXn77Wn/68fXbv3yn+vaPOl798Gou0d3Vecrse5/Of/Ty27uv/v7/B3TvO2e+HAMA</AdaptiveCompressedXml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2fc83ef-4de8-40ca-b39a-c3d6f55c6c22" xsi:nil="true"/>
    <_ip_UnifiedCompliancePolicyProperties xmlns="http://schemas.microsoft.com/sharepoint/v3" xsi:nil="true"/>
    <lcf76f155ced4ddcb4097134ff3c332f xmlns="929d5e47-264b-4706-8f2e-3544dfa209ba">
      <Terms xmlns="http://schemas.microsoft.com/office/infopath/2007/PartnerControls"/>
    </lcf76f155ced4ddcb4097134ff3c332f>
  </documentManagement>
</p:properties>
</file>

<file path=customXml/item9.xml><?xml version="1.0" encoding="utf-8"?>
<AdaptiveCompressedXml id="fb4623442b2e44738e1178fc35a5a303">H4sIAAAAAAAEAO1dzY4ctxG+B8g7LOZeXrJY/DNGaziKEAgwYsOSD/atSBatQUazwszIthD4yXLII+UVwh6t17O7M5reRG1J3XvZnyabrCa/YtVXRXb/51//nn/xy8vl2U+y3iwuV49m+jM1O5NVviyL1Y+PZq+3FcLsi4s//2n+7IXI9uxpeTSriRwaIsCEAkTeQBCtwYeajWXLRpnZ2d/5pTyaff/197N299nZfNPd/1epi9Vi27ra7K6262t5dbnePrtZelXYil/xeru5/ve6/jft8k6YbL2OUiyYIhoohwSBEoKp6IIoFxOr2d79rYWvLjPf6OTq+qKcbd+8akK72dn57cIsy+WXpaxlszlbX/7cRqoNVL5cvn7ZRk0duOEf8uZCz8+7Xzd6Pz/Y/TyvF1tZL/h2M7KUl7LaPmtjz4VftTrdU+PsVr1O/NVmy6ssd0r2yprEpT3gN9/95aunj589//rbL//2xNwVvhPzaHO/ibQ51NFV2dmiCUna27ty7qp149xgtl1s3zzfDTnOrv7tns76AwP6Vqqr9g/Ie0Sq64I2grcm4sCQz89/h9c7QGeVuFRCAKeyb6ArCKEUAhNyxtSe25c4DOj0adDh1EEXxwk6rSVl5xGcrgEoGQvRYIKSdMwNjN6mMAzo8DTozMRBZw/Iuav2iYOOEpVgIkIRobbS+QIpcwakQCorp8pQoDOnQUcTB50J4wSddgFDAxdEbROQ5AzccAg2FZNcReU9DgM6fxp0duKg83qcoHORS1SqcRlvEAhNgRB9gmiNtZmLYkPDgC6cBp2bOOhopObV29BwlVVHpRkoRgZWWcA471yzvZa1HgZ08TTo/MRBZ0e60mG2oRIiJIrNpzO1sVclDFULeYxWSxxmpcMePl2YOOiIxgk6nTHUQAac5dKIBDMkJQqEKkY2qFClYUBHp0EXJw46N1LQlRiJrXhgX2IjEgGBRRC0LbkmUZXKMMFhtD2Cw2rqqDPjRJ3RGomYoFRqTp2qDpobV4DZJ9JKZ84DLXU96KuefE7CjxN1ggGRVQKNwQLZnCHW6KAykUKsNYQ6DOp68Fc99aQEjTQThqgLdwE6Ulq1H5S7gEmE5NDWELNk4mFQ14PA6qlnJWikAeJoPCuXCAKhA+Iqza/TGjDWEjnXquIw+VfTJ+k/9bSEHSmbyM5wNtQlYH0ACjlCSE4gsRLbHL7oaBgLa3pk/fXU8xKkxom6Um0oqTbj6jvUJU4Q2WSQWFAFE40Ow0TrTI+0v556YsKP1MJaKVZhTeAkN9RFVxvqWJqFRWVY1eA5D4O6HjFiPfXMRBjpWsfKoJa2uAX0za/LyUBspBairgqT8y77YdiE6REk1lNPTdiRRk60NR6VEDjCjshaB2wMNb+Ou9y/uGzNMKjrEyWeem6CRpqFrdoW8aKhhlSAUBA4mAJM0VRqPJaCDIM612MP8dRzE3akFtaiRkQdO0dOgJwLkJLxoBUqMgFL0cOgjnpYWJx6bsKOlE14xRINeyjdPpO2wAXgygY0WotkGV0chk1QDwuLU89NuLEemIiqaGornG9uHJBWAaJJFTx3G4hR2Mdh4nXUx8JOPTfhRmph2RsWnwmkUGMTOtuOvhrImDSSQ5XID4O6Htl/nHpuwo90z4nyFgNXBzqW0DiseAjYeIWNhJVtW/LCMByWemT/ceq5CTdSDivkGLNtpNUq3Ths1g11uQBaTDlkb0UNxCZ6ZP9x6rmJ23bmutonjroQUw3aVCgUm18XQoGYYgLWNbgQQ6UyDJuwPbL/OPXchBkpm6BU2SlykJMzQLUqSCVHyN5RsDbYYMowqOtz5n/quQk30rWuiIpSE4PltsxRFIJEwQDHGDQWZYWH2emEPTisn7aFRUvejRN2FaVKbO4cS0EgV7k7OBHA1EJolDNeDQO7PQtrj52FnR6HXcuyPdxP8piXsiq8fnKFwstaN7J9NIPuFR3l9Xo3Ah3eduEvdWwfXr5q5mk5WH6zhlZKNSi9+5bTFbY7qY71d0ddwmH96Ho62lKH7YPj9KGVyQfLjiMY1ykTNqeBu4Pm2jpMzW9Iqg5zyHdPmeiYMk2Pmp9SJvWgSh+tKllpznchhqB992aQkCHZqsGgLjZoLmGgo1V7qhSPqdK0vSGt7CHF6X3upSnHfX2iB2Xe7+mTU2b2Jkn1BbR3sdtj6ppdrAjGVJJUpTRaPbQy66PcZnqM+sHL3OvpPWjTh18g/+Bzz8GzziqDrdUDWc4QclRNnzHEmFQqcZjT9vv6fMzR9dOLyz7YxuuehtBmd2j4eseDPnptVt6WlE2E0B0lJ6ea012j6Q6VK8k+eV3c4Np8LAbkp7cr+sE67/X0oM/31mftsjGKKjTPWgMVCcA+ZVDaehOz86SH2Ze0d6ALj1Hne2zBXHKS5e1GtvLL9uKf6teGjO6vW6W7W35/ufyV8G2+buj9FQwO6P9xtN2BwYEROYrX+fktwW49/+0n7ZseZ2LnEEGcCkDadi+yVKnb+5iLDU5yGiZRST0m+h67Ht/bROu3U3vHM/yfRzgniqHb3ScpGKDU/kpBC9TovPLZlDyQKvnTAV1/j5Mbw6rS/6lJB1f/P1aTsrOE5DVwShWohuYMkangjQ/eS8yZhwlQ+NNZMH+PsxIP83wiECXW6MgVpHbzXLJAzNaDM6aQ1dVGGWajuD8dVfYfjWn89OfZ1NpYi0Iw0ngNUZfVjs1GWkakUkz1t7eRvP95Ph5w/BCmcaQTna0xPulmlr1qBpoIIaGLYEupORttcaA3tfg+kah77F94mOgTqfUY2BkuYHXuPk9hFbAigWKzyzZ5w2aYfKDvE6S4R279YaL3J3p+fvOzX/MXvHn8glc/yuai8nIj8/O9K9e1FpvHV/T4yYrTUsrFdv261b17/fqWQ3y6V2DoWFDofgGhI8GgeVlsdoI+ORIguBG5MAffpNqLmx4LTtzp4MDB1PfZgXnPHczP3zGCB8MrB0IrTcM222+lNq1/8XzxUi5QoYPmPmj3XMfPyX9O+JmJHg35Hzpk36x93czmxeXPjy9X29bj0/ZzvZH89gt4V1A+Wv62hd805NAn8rqb73xWb36+q3rxX0eIyV3ebwAA</AdaptiveCompressedXml>
</file>

<file path=customXml/item10.xml><?xml version="1.0" encoding="utf-8"?>
<AdaptiveCompressedXml id="6e2bb3a88c2a42ff8aaf7f4652d49e87">H4sIAAAAAAAEAOy9XY9kN5Il+L7A/gch361F+yBpHEg16OluLBqYnW1M9b7sGz+3hFWpCpJqphuL/e9rjExlZ3qES1SG05Xye1FVUZHuHu7XLw+N59jnV//53/787Rf/o3//wzd/+e7rN/h37s1//sP/+r989cc/9f7jF//cvn4TOpXCWUErZRAaAzTnAXFI8NQkdY1vvvhv+c/96zf//Me/+y9//LvWf8zffPsFfPH3tX7/t/ztG3vDL7746of5lv/YxzffffOjfdgPT4/a49/3v/7l+x//+PGz7560p/+av//xh/f/fP/6f7GHn66v8pCcQwMaNdj1VYLCrYOkTBiltuj5zQd/b+/wX/9S80cf8u7xb9oXP/77X+17hDdffHn5ZO3ffvv3rX3ff/jhi+//8j+/fuPta9e/fPu3P9t9cy/8wf/T//0P+NWX8/8++vQvX/z4r+r33/zYv/8mX75N/7b/uX/34x9tOXLLf7XXzG9Nby5eNy//ux9+zN/V/uyZD56zK272Bf/l//wv//Wf/+GP//p//Pe//9/+iZ9f/LzMq2/30yX98NIHvXvui2/sIgWjf36dTy+b9/kLe903P/77vz7dcnrz7p/z2/n4wg19e1Xv3v8XP3r1c/HXftD7Zy6//vsnbKkuVvyFtf3qy//A8c+gewgVrDSgpF5BfCJIKSlgpuxVB+qIW9Ad+ZfRzf7g8GY94f0qeOekgbsOcGaqQUoXKF4ZHJVWumrpQbbAO+gCvOXg8PYvXOfTy054L1pvra56J4DcjDupK2bHq8IYvgdNMbZR9sA7LMCbDw7vmH4jeC+Tos8c3tyacvEdmMWod9cKWbFC46EhsuO0iZzgAjkh+/yjAzx8GsBDeiXA8UEAHrrkEp1CEnIgAQdkYqPgrvnQUYh93wNwtwRwOjjAL5X9+5edAF/k3xQ6DQ5QJJi81FIgm6wBRi8lZF9G3+M8WfCdGL6P7j4Jn6gvT3z/5BwMwSFyAVTyIM24tzoi0OJrlZ4a1T0EXBcIOHp3cHzHZZzdmIHHB8H3iNKFPYJKVJDYKyj3BL5Vl1qrNfS0B99pwYDT0fEtv5UD5VHwnXr2zYgA5NYziA/Z8N0CNF9ic6LodI/CTLhivw/Pv38r+/0oHhQaJdTKHpzUBIK9QNKsYOYbaxraR97DTzCsRC/VpXBsiAde9qH8aqg9Py7uFi29L8o9llSCyzMwbyj3nSEZ9wZK4pIrBUPaE+Uht4RyTMcWmt7RstB8PcrjJzptPneUJ029eCZofXQQlgQJXTfTnqhjrGPkuoeryEqoXg8NcTOuy0HFk4u/ffgC350G2d3IUNUzSBsecmgIY3TnsaF6wk3OcFoBeDo4wC8zJd6/7AT4Ik0ZQY19I5i9dm8Brg0D1EhVWNl72WPAkVfC9eHo3pRwN+LwoACXysI1N5AeDeBeDOoVzYwX74om1NA3hTNlwZ3C4dgsnLx8asD+RPg7hKur1GJTEBkznjlMc47hAJkbx6SofVNGiiwoTQ5HdxjGZaD93rRfrMxUIRL76ccjyNIrtNHYR2T1bY+HA4NfwJ0enRvfz7P2oIY1G4J7igXSGASSS4Yca4E+7NDqrTPXTeJvKVM7HZ0by29VifAoAOeuKqMnqL5Fow/OQabqwMUk0pMYcaA9AF+qtDm4h1rQn96NV1IUcsVQXSGI2W1JNMyWuwI5J+d89owhbwL4CkVJR6fG4k6Avwrg0RXCzGiKb+aK1OIN2/bP1qrmHnzjSxZ4M4CvaL90+GqEk6K8DuDqqnDGDHG4DhLJ2LhvFYbz3p5xxHmT+y4uZPtxOnq5pJ4W/HUA75y6D7GB0mzgEHKF7LVBKJgamlmX4fYAXFcijOno5e7+bt67RwU4oUuKHUjL9KJUhFTIQXFJulQnRGMPwNOSyDx4st8MU50Af1UIvWYtmQzgxStIqQQZi0D0Rs79yEWKbgL4ksiMBwe4PynKazk458pmsmt0MwkqRyjCFXgU5ERICTcFGP0CRUHFg9dMkmd50PzSWcvoh1Rws6BRRhMoFDxgVe3eBRc31XrRQn4psTu6bdVPLPY6i3V/YsfTgyGlwGhhhmC8gLpUYZgSpEglYNxTDEMLptUAfnR2rJ8YgjkB/lMQfTip5Jqx45zNgitB0SHAeXDprXAse/wbtJB+ZwA/un8jngB/HcDNRg7Tex1aKc3kXyZIyg0yx4qOi4a0J8YoCwnUlOjoANffql/OMjX6zAFObQTiEKCR8yB5NEiJFIbJwhy1E9OeGONKArUB/OgxRv+JLf1OgP/UUARrrDEnYDcM4DUUyJQ8JB/JaXQScY/IlJWWfomOHmO8TEJ7/7IT4IsOvJipUWumKhOBsHZIzgVwtTQMlCPpniB6WvPfHbyM0TvdR4afHxd3i/fcF+TFOZbcA5QUZiA9DOPhlaFxnCZESPMeK54W+lYayA9eyuiRlon4DbqK3K0J1Z394TipeDL73WTM3lAMhVMyVt7QIB5RxqbBHwtUBYMRpUODPHl8FLeG1owjFYVU3OxzXQZkxx18UDXRVzJj2IO0lbJZj8e2poL6W/W5fhRS7IgQjfhCbJFB0hzDMWYCB5fRvK/qN5XNklsgDJ6OHnnxjzdn5pISPchOapKNXc82lTnZURGbB8VG4LT6XGSQHSSbdtLCWeHp6EH68FvN/HiUBChfK48UELT7BiLRQTEYQPO5sgvSYtiTwkpuIQ3F09HbnIUzw+91AA9PrbMxgGnJOOddeiizQ2vPzIp55Ki7LPhCENPTsVXlPdtHPijAXU+1GRsxToIDJNQMefQGI47iqGUal6WoNwP4QisHz0dXs+HxihAelOzj8JlcFPBEJpbJ21Ex3AAmV0LkFFPdJZsXCjI9HzsVXGZPrkfbSXfOyG3ocBQCjD0Z2W8VMpFAoBaVgitcNjXuxhU1y0fvGcGnmn0l2ccwyZDAoFRm00CG8jSEOBcnrkgLZZOaxRU1e/gRreG04K8DuFCk7pIAcfUGcCFITBlS7cX4PrtQNxVkLnB9Ynf0fC79xMaEZ8r5TynnOCRmFsBe+W1NRUI0skLaEFnR1bapIHMlDcA+/9gkhYyl3Y2l3LnhFDZXfEKouY1pWxG05WFcgs3sptgC7qlX45Xhe4mODTwjD4+XK/ugRryqRD+4QJFkOwmnz71ghCZcowlQ22ebOlvpUsKi04MTceG7ZQLcs4/WnbNyyfSki8nUZUQQhwGylggxBirRFePkm5qEp5VpxOrCwbMDhPd5pp+h/H6tWO6cLEll+DqqYdtHI+TMUIIJ0DREilEjN9wmxRkXXCrTlh88m0z4bvzknm2b7xz6mROhhBK4NOfpxBghz8r+XnMOIxbPblOz2SVTjkdv5RbvObf1U8f2/HqhceeW4bEw1iwQXO5Gy/2AzNTAxzpa7cW1y56+t/KOrzgPEx09vul/K+fhKXD/48E1V5FvfhSnoMzOqL8jSEkrNDQpMIjGGJvmfK+UkEwv5bGzbmbbuAetBeUi2XF1EL2fo6miAx0cICbXaiq6rW0chjXVefS2ysJ3S7x63BHzVO1UU+2ALGKqMyiklmduem69BcGe94zvkZXW+N4dPWs3PF6c826c6M4dYDrOcfUCKmOWVQ8CrWXY8UGNgx0Xjjb5b8IaVTl4uatRFf+gFf2tD/YheBhVzYgXV8yIJ4aWS3YusXN9jxEnt9A9fDrID+5VEbpjGOh+lUx3rr/I2NwYBusY3k0aLFk99BFSTt2XsislK6y1IMJj+1XMwKYH1YJVsWE0Wtybn2d7zpCrq6Cl8lDGRJfVVTeCni5MSJt9gY6NPLOvy4X+N/BaPyjIW/GNHQlUO0JA0pxBUmuF2Xu5+W5qMO8aVbzW/ergYtDsa3zQo10pOvXkIWirs/tDhpRwQOXYRHrWeNnJ42bQW4p9Ix47j4k8pU+M1X3u0ONGhYlnxoXZOkmtQKnUoZB0liqjpT3JRWFJOuHRJ7RTuGdA+kG9vL6XmIJBO/WYQbQqlOYIXAk6pKZWeQ9/DWu5/nrw7iO0nnJ9gvz9w5dFt6OHIqGA8ckE0tVDHqGDzhkKs3Nr75sGtfuFWMbkr8dGufHX8KBZbUNbKC0TVJkOWI8ExXeFEERLVqyj7cnDJ1w0sEd3EKy3NHi9gb1fdfmdVZqpJQ2DgVs1FtGqg9wKQc4xteTFgL6nnSvhmgNWD86V5ZLFvX/ZifJllNdhcnDECm4UBXGlQGYz7VEN/KHG9iwmfzMasZC9OWnEsatNjEZ8at/izx161KnXKhUGP6WcyYCSMUPSwOK4R9f2dBibE+qXoHfsOO5ksA86JFc8RQk9QHN95oFFAm3DTvmYk/ZCKGGTB9avFWYcfMiiQY8f1PlPrvaetMDos5dQRgfJK4EnbV0ySxt7egnFtfP26NWdtF6LdgNWebeO7Xeue4veGz93UJ3rIH3OGMpDoVO1JzpibHWTdloLrsZjB1clpmU9c4Ns8ru157pzWziRUXOOoLkiSHAIJfUBLqmPQtzr2KSddCkH1unB+2bJ+lCrsx/F+4cvExEVqZbGgEoVRFuDXJuHqiNr9qWWy/Z7N+PKayHjY1NlifdsR/GoNcw5ZpLmCmBLc6AtMaTCHbCMFGOsvYw9voi45uuNxw6mia5PtL1BN4oHLZwQwaRBGfroBvKUHJSaCLJIS0pUo99lyddM+cH7fM7y4gcNMzSXjERIfMohB8k1Q4oawM/2KD4addZN0FsbqOwOLgj9nJt0PwP7oIJwuNG1mwwcdbZuy5wgpVyAmw/UnPQge/o3xLWayHhw3566e04Nf1AWEX1hLqwG8kEgJcfZK5whu5JiSLXzpv6EvEQiCI+uB/WelvxuBft3Tv7JwflYBvgSjK+01CCHYJjv0Yy5i+jrnhRiWspwo4M34pF42VLs/ct2ePY+MY/zcwd5bTWaCiQIoSQwceiMnnsThQkJsc7ZVHtSiGktSJOOXYYk0d+xGOR+Iybu7PQIwlRrM3yrcfI5/iHHihDHyDkVDYM2NQ2nNaeHHDxZme4ZinzUlPwe63BcB4QyU/LRC2gXhhowl9GL6GVaw81QvlZSKgcnLJTumJL/qChnxzQYO9SYwozSIORcC0RGnG0qGN0eVh4XG1McO2FUyN8zI/9Bc6eGTl+hDuAScFavPhX2MRTfCvkyNLVNjSnSmimPx47SiNc7as9H7TebegsBdeZdByMs0gMkUoUovqt3GmPe1GNoEeQH156Cd3SVP6opZ9/yjLhDwllcMGqEjMOYi+bcSsxqhGUPX1mrMggHd5XTeozmBPn7hy+9iDVGMskB+NRIK1QHSXKHoJUlU6u+7gE5L0X2CQ8+4DDd07/ysPEgb1jWkSBEHiBFyEi5K8C+i6MRIuKeqp3FWvB07PQVievlYjcA+SdWRX72IOc5Z0E6uEF99qXjWc+QQDu37LF7j3vqGWTJvUIHLwWXmO5ZzvCgIM8mM13KCLNGB6QTg+KIUJnJqVCIddM45iXhSXhw70qIJ11598QrOuBxcN7hMH4y5w6mQlBq74DZ5SIzsh52NQdbc6+4Y7tXZqb3g8ZohgxtuSiwNgJpapY2kkBOGLlPrdh3MeW15mB8cKr8K3rbnpHI9w9fUmX7aoGlAGl2IFg8FJVsUI9olLm6OjYFaWhNEPLBC8Yo3bEq8lFRjqGKQTnCyBRBcoygwQx6iU778C2FTV4PXTPl8eCuPbmckf7+Zaf/el0Q0hjFvh6Ukj0IuQplcIYiqZfZ5tG7TSBfLP09eH6guHs2M31QkCfxQ6gyRGnT6+EEihszUlNDLikW1E2CcK3tlNODhyKF7xhvXy+e+H2h3EkdPWEANlQbX5lJJdhNihpdcbnpaLuyYFfmu07n+rFZOXnGB6XKuScKyViEaxlBYuxQmDvwcKlnbMp5z/xsXisYO/hIHwnrnWtOt/L7hy+rDNB4AkejDUMcSFEH2XcP3ozuNLE0wh6qLGupHgdv2CuJ7hk7+cRWJZ87yI0NY0hUgGJIIFUSJJ8a+MA6SIn9pgDh4txVPXgUnMI9mfKDTg9KbRRW36GlCXJfEVKmAW6M2OOIXtsmPbg2PCgd3LMX79q58kHpSgwtN04FupoIFCwBtHoHvvqkaRRKse3x7C224zl4TSTf05I/qmfPRGdP2pvZ71ZmZUGHrGbOW1cucxRW3ZS0p2tNHMLRw+2X83Pev+wE+TLIOebCjhO47NiEJynkkuew7iB9uOJD2dQ+cK1czB0+SLPu1zvbB75/+DJ1KrPzHSNEinMWF1fjKzygUpYiknDsKm9fHJpwcPeKunsWGTxq+0DM5LQ5MOIiIMEjKE2OzjlQQi4J9zjK41o7nnDw/GuSM6fk3ROvGPJkrA9JMpRaolnyMUDF+Io9FvJT7S9tKvxdc6+EY8chjZTf0ZI/KshLjzFpbFDLbK+WIhspZ4FErmWnkctlzO1WjvI1kMeDp5SEcM5MePfEa6bfRE+OBjSkOePJp6k8B+RYpGPKo1+OX7lZoveaE5GPHg5Kd1Sej5ro3UtXIyYKoeYO4kcCTS5CaD3U5lBD2jSKd7EVLB9cetI9S38fFeU5CpcxW2OGaKzclzmvrylg4zY81kCXkbBboXwx6skHZyym/0+Uv33iFf14xFH1IhD87MfDs3+g+jpHXUdWTdQvq0Zu1tV7bdSOHjzsKXTHLpnhQQdKcUJlYg9FhgdpjJDsMShZjaT3lGPdlcCyVtBw9Lind3eMe/oHnb0aWo09McFAV0GoDeMuzkOfqPez/u/SltysbGepg6B9/rFRLnzHtHJ5UJRTDt6zRhgVy2yT2UCdDKBSnNQ0sG2aS0luqXjC6dGj+5dlU+9fdjKWZZQb83YlBwVtyWx57MXIisMZ7DeYq8E81k3qc4mxIB898qnnIJJ3T7yCsVDOmIkBwxCQGuc4qZwhkIGcU4ia91RPyNp0QHdwF0u4p4tlfWj37yuxXCOlEnyDEGMCyd7EZ+QK2MecTIfEmxK1ZMlbTgfvriaJ7zls50FB7rCOkIqH0R2BeJreclaoRl885+b75RyMG4F8yVdO7uDKU9cng9wA45+YwvK5Y7zFJtIN41i5g5QaDeMxAvpWcbRa0qYJmLjW4codvURI8J45LA+aVx4dFqc5wqCZciuFQJNGMPtORWoPQff4V8JaM1g9uKuc1sXgWdH8/uFn7pXafIseYnfFTHkTUGkDRiPj5xJDrJvcK2vpiO7odfuCdwx7riex/75QTpp5YIugzc8JmEZdck4ZGpWakjeUXwYJblXtueZDDMdm5SaS7lg9ER90NuAYowVXAzQvA4RJQSlUGA5jKyqRN7UZQlyb88oH96/QJV98/7LTU76M8pxGTKN7oDwnYDZfITWXIQxuowet1PZ0p0Bcmw7Ix7blhvKzUf67J16Rp9VHSTRHj/hittynAMljgNAzZq41Eu2y5Wv1nnzw2D7pWT/x7olXoNygbNZ8TjnJBOKKEfRhBKb2SiVh7uFy3MvNGs+u2XI8dsGnd/eraiZRelD1KWVkROwQUipmzEUhlUEQMvuSYqLs94SEcC26b/z96DC/mzGfMH9Qa+6ii517gjFyAuneQR6tQoup9iIR26YKCpQ1hzkeuxrOYH63qNCE+aOWNo+iwUQodEcKwmz0xWXTo6Gj9zm14vZ0YkFZG++Dx87VMpjfLcQ/Yf6g3kQqAZECAvcsRlqQQDka1kflWEpJfDlg5mYwX2vofPCJr97x3fJuac4+fUyYt1FTjbFATcogozjQ7AcE6Rqcc53rpomEuEZa+OCpLLQ+Uft0tLx/+NmI+pyrSVDI6WkCRcigmhsYlSnUEFX7rhL+Nc5CR89l0bNRxbsnXhEArcUHjiZAJWYQMaueWyGgVqNhbDDiniIKI0prKD+2O9FQfjaqePfEK5oOtdiw9AheZBbE0YCMjaAME6DDq9TLWpWboXyttRYd25toKL9jl8RHRXnWXkYNBQolD9JjN+UZImDyxbFZUiy7wvxrrbXo2M5EoXiWfb574hW9QJ2yGzUCSTVebiAAI+QCUdl4DIt02uRkcWuttejYvkRD+R0TEx8V5UNZWbgBJbPgUqctL9KnZxFjKq6ETaPC0a2l39KxXYmG8jMx8d0Tr5gNF0ei7iOwmylbOgRSSQGca14qc3eDNqF8Lf2Wjp5+G09P4rsnXhEW8uTRkAzIs4FcQUN5xw69tZh78L3sCgu5tZQtOnr67Xr3iBPl7x++9JcX5mbUHFycY8nJ8J6lVUg4UKtj/8yTdTOUr2Vs0dHTb9eLeE6Uv3/4AuXoY6BWIjTtxss7VshsUK+dGvenBnK7GMta7JOOHvuMpyfx3ROv8SQ6it0pGGGZoyi0gXLtgEi5O2+cZVNrLVxrk4h49NjneuvCE+XvH77MYxHs4qlASDJt+ZP6JALGJKqNeaRNybdhEeXH5uU0Z2c/JvSK055iEchYM0gVgjRbjIeWK0YX7bTfkxCb1nzY/uCRmhDu2UHiQe1rFPQ51zLrjAdIzGW2FI+g4lseyafaN4F8zYXtDx6oCZfzxN6/7AT5OonA3lo3BUixzSGzrJDJBSjdt1CjBrlMU7sVyNc82P7gcZrAdyw6flSQ9zIw0qjgME09mBukoYZ5kRH94BDLno5Xac2B7Q8epgl80pV3T7yin7jHHBoJ+DEtuXQP6rubY39K6XOi2+VkvFuBfM1/7Y+tBg3kd4zSPCrIW1FGTg6YncyIu0IpSaB676KkgKnv6Sce19zX4eCWnOSOaSWPOi7cu5J7J4KggY2uxDDrMB30pt15SnXQpnHha5z84KOsPOEdhed6zu3vC+Q19RHRFYjyZMk1Q1Fkw7yUplgb7hrYtjYawqVjK0/v/D3j7csC4PeF8uaxRdEEqcUB0tyA0o2+JOTKkXOIuMeUG0laQ/nBCYuEE+XvnnjNAJTUDd9oxpsrCE7pib0BYisUkkre1YaW10bMpmMzFhF/z3j7g6K8ui45ToqCbjZbTgR5oEJ6KlzrNXDb40UMa0WYevCgJ90T5I86HKL7NpxMmhKqaU/qBnIuAwYOyXUUIt41LXwJ5S4evKDe37M5yqPO+dHcogviwNWAINIQEqcOPoaGZsazi5sIS1oTn/HgBfXGWE6Uv33iFVlaw1GUEKE8lRp3tN80GX/pI1TfGla3adCPronPeHDGInLa8ndPvMJbnktkTQIlG8CNpFT7rahBXZ1SltrynsKdsNY1Qg+epkX39CM+Ki0PfkhvPhoPrw1sM1dI3n5QThRC0KZ9D8j9WsKtHttZLiR3nIDyqCAv5I2kmOnW9FS2wwiaBSEPpcFaRrn85jfjK2tuxHhwUy73nKT8qHyFHdkONiue+nSWE9tvaQ63kl6aPT7c5Uz2m2nPpfC+C0f3sLh7ony53PP3hfIQh/rAA1JFBikyQHFWG7vQixSilvqmZm5LhCUdHORxfSTJDUD+iRGhOS/4cwZ5ia72Rh40qoDEZNQlz7ytIam6VDWPTc5yXTPl8eC0XPiO1fSPSliwKfsqHbqiM+2pDkqVBg19bsbJY7/smHczlC+VT7h49BwWumPg82FRjr7lrHMmYU0gqSTIqWQYPs7+sxg47xKfS/UTLh49h+Uy6fn9y06UL6M8+zKCcRYohefsE5l9OX0FrcKBehf7zxaU8xItJzx4k6t0V+35iX7Ez52Wc2nVzGWbE33abCTeTIW6DrFRokE5c91jyteGEpI7OCsP9+zKud4b8fcF8o6u9VYbkJvak1FAZ3UzFVOeqMqh7tGeS65ycgc35Cr37OP2iYVwnzvG/WzBwpqg+jHnbqKxFc0CrqJPowx1l3f5ZjVCa07EgxvylO5ZCLdM/39fIG+MwSc3wImfM5RjMrYyh/sU5NFLY6mbPOVxaYSVSwdvySl4x4EQ8qA1zVFHCeQHVGIHEn0DbWbKNXKIYxA+G+F7K+G5lKVln39skCd3T0/5gwrP3BOJ+AAovbx1JOYwf8PoSpFGz0ZH3wjktJSlRe7gbWfjPQdYPSrIVWtMs+0sJW4g1MyIB3TgU1PxA+uu3p9+zZK7o0f27zpX9kFB7nD0oKmCKU0BqepA05wwS6VljpUJNxUIxbUyOD24KZfLvgnvX3aS8mWUlzk6VjMDZmcshX2EXJpC6C1S7664vMeUY1wrg9OD23K5Z6ehR0W57yHQKMkEJxrKlQZopwoYuDenw1HYlHC71k4rHbzWM17mO79/2elFXDflJagP1CHE0UGCy5DG8KD2I0kZ3l0Gwm7WgmUtFTEdPCAk/o6E5VFbsHQ7EBHrADd8m17ECiWI/dNTcmWEnDd5EdGtpZX7gxMWvWdo/1Gb3FbHzE+6MzoEcTNdq5UAKSZOkcMIKns8LGuDJ/Tg+bZ0z+YUj1rsGQkzDYO2G4KzdqIYK28Vcq3NEffIeVNs363V7fuD03J1Z7/yd0+8grB01jZyBg6qIKXM4H7PMNDoCrcUBm0K7q95y106th+RPK9PEfp9Qc91zZFbA4rBoJecA50zrKhjijFg1b6pbIcXB0IcXRFesrj3L9uhCB/UwAbHKRQdkAIZYc5Rwf6XwLvkix1hKedNBpbXcgT9wRNL5LI48P3LTpQvo1xk1qJhgVZmCaaLZsu5B8AefWUZnMMu797aqFc5No0wlJ9ju9898QqyzLF1jQHI+WpkuTrIaFAPQXKIgwKnTeFIXsqERTm4d0/8acvfPfGKJEER9v2pS2GbIyGGh+w5Qkx+DBe1tripK+daDSbKwR0fst6u5ET5+4cv45F5+IS9A9UUQXzukHJnyBSJXKvi+67BJ2vuPTl471l2py1/98Snozxp6yF305xjNo3IKUPW1CCXTPYviuGyL+StUL6W8Y1y8I6F7O6YW/KoKG+VxPtI0JkUpNY5E6JnaNK7aHRFQ9uE8rWApBy8DpPdPXNLHhTl1L2ULA18cqY+R1Qo1Qs4DR4Ti45No2WR1vIE5eBhd3YnL3/3xCvC7kVHdCODQdqDkHdQmAhGadw4jRF0k/qkpWZuKAdvc8X3LMR8VJRLVY4jeBi9+zlBOUHpw6DuiLJgEcmbUC6LAwmP7WMhz/igKapJ1JDGDK2GAJL6bK6GaPgTP5ij86HsKXRfsq+EB/d7pHuyiEetAZ4D0tKgAvlp5k7NAWawHbIWRB2NQtjTfGqt2IDw2OZVEp8gf/fEKwrdU6bRmkJ12GagBs2S24/YZ31k80i8x+2xNtSY8ODRSNPkJ8jfPvGK4khGLNnwPRKZJafZK5NbhBCKtlR8SX4PyGkpSZDw2IklnvCODWHXO0f8vkAeW4u1y4DojaRIVgP59GeT9hRHdhg3hWnWfB5Ex84RNJDfka48KsiDyNDoBviCAtLZQxmtQs+jNhykvu7xefil5Cmig6d7J71j1Zg+aJk79eKaVwINZZZG5jzTvT1UX2gISaSxJxH2g6SSFyDyFuPoDzijoeZv+3ctf/9PH+APMTl3jZz/9Af/3P6AztnJ98EDa5DVaxi9uJbfGKtdgjZHBVQ6zh5SDCkbCWlhoMROPl2Of749VuUKVgMdMP/pRaiSO6E6CzBHl1IhGWUwqIqA+iwQUlFiMcSmPf68D6Dqr0P1eN68l6GKJ1TfkA8cs7Nz3+VuDCA0KNIVlMtAHjlU3BNf+QCqL73+HVSP55N7Gap0QvVNCjQ6+gFYagDhZopMc3pqdoDcJYrsaTz2AVTjdagez7P2MlT5hOobp214zAU4jwnVGKH4YDJrYOWIuYrb0+/0A6i+cKveQfWANbQvQ1VOqL4ZsWRNIcDws9NdpQ55SINQXHKUo3d5uwvgBS/JT1A9npfrZaj6E6pvYkrZuxHBZa8glJIRgJoAa88Yq3cl7mlO8AFU8ZpL1rB6eqveYjWcWH3DvrRUx2yLWwjEq+kqQyn0ytiNq3a8DLdvwOoLju+fsHq85PeXsRpPrM4OQ4MwN+CaZqOAlCE99Y5LkiiHjJi2e1aRrmP1eOVIL2NVT6y+0Vbd8IkhzqRgwdhBs4tAVObAcZ+xbXet4rWQlWH1eAWiL2P1jFjNJuI0ioQCpqHm/KoxIJcwHVbd1+wSsduP1eshK3+GrJ6wymfIyrTVdNyJwbRxbTDTekCNx0Mze0uu8ih+T7rLh1i9HrM6YPfYl7F6xqwMMpmwyPDgo5aZmmVUNTeBkqLvkQr1vt+uXosERMKTA7zF6hm0ssvE0EVdAuo8G/cwGl/NEVJQMhLQfSr77eq1UEA8Yvnay1g9o1Z2mUWLcPXgOAlI6XPGE/fZNXBICxzb2J4LgNdiAfGIVWgvY/UMW827UGOuJQJzRhDxBIVagKwmsbDao2XPvIMPsErXYgHxiMVkL2P1jFt9/abHPmaYFSQEZz8Mq+o6A46srLGS8Ha+StdiAfGINWEvY/WMW339pqbUK8/IKjedqVUJUp+t4Dvaf/pw8bK4aANWr8UC4hFLu17G6hm3moO9BplZTZCJGIQdQjaLCiNLLCF1++92bUXXYgHxiBVaL2P1jFt9/YYlY1M2uxpCn8mrDEoNIUUll/3QjtuTV+laLMCweuauvMXqGbf6+o0Ul0mZoYZhdlXKgGwAhVqcsHiulPbb1WuxAMPqmbvyhFU541Zfv/FuaPC9QjVcgijyjAUk4Fyb8wUNqnvGcn2I1WsFLIbVM3flLVbPuNVsRhlH8iKmrSZWe4qQsNFMYiU7/qX5/bEAuh63ojNu9RarZ9xq5lo7yWEkwMJh5loH46uFIcSMRghI66Zxhx9i9Xrcis641VusnnGrmeec40AcUEcTEMyzM60zIuC7DBlpsN9eF8DXYgF65ln9hNUzbjX71lSTVgbO3juZtgrJYIoeuvM1dFSnl9PQN2D1WixAzzyrn7B6xq3sMskVkRpB3VOft0yQx2iQSorDVT/82B5j5WuxAMPqGWN9i9UzbvX1m1ZKlpA7YJ7DLokbaCsOWvVCI1WW/TmBfC0WYFg9Y6xvsXrGrWZP+0qxugrFDwRTU8ZXk0MYxFwDV5/q9tpAvhYLUApnjPUtVs+4lS3ZaK5RiBDqbGWVWSGNlAGLqu+Ys9CeIcIfYvVaLMCwesZY32L1jFsZB3DEgkGhl1nDQmP6rKKCFk1SYush7eer12IBhtUzxvqEVX/Grb5+MzCRY7OrSj2DxJwhca0wkvTeqvrccDtWr8UCDKtnjPUtVs+41ey8SjrrVAB9Nm01YarUBsQovZBIId2vra7FAgyrZ4z1LVbPuNWsDSxYiBO4NDtal5ChtJGgOB+iaGxjf641X6thMayeMda3WD3jVl+/ySXYQYsBsM5hMSEEyEkRkuSIoUioeX9H6+txq3DGrd5i9YxbGVZbTNHHAlJnIUvzCZLq/EFs8FWX/Ha+KtfjVuGMW73F6hm3svPX7KozxgqKlUG0y8y6ZmgoihTS7MuyHatXx1o4SscTV9/3b+3L/Y/+Dxeg/csYP/Qfv34Ds1dd+9v3T3dggu0pr2MFyi89/ylgX9oN1z9vda/MT7r6ThPfL96n33hDNe8H2aYC9moCMMz+BTUJsLqRslRCv92xJtcCFnNDHU8B/vKGcueG+mw3VFDTqBIJmqdmKpU7FBQHqs7PziCl7+8OKteiKnNDHU+m/uKGSud++mz3U42te4lG9lyZU0yShxx7s/2UiLqJ7KT7lfS1yM/cT8eT0r+4n/TcT5/tfuq+8MjIEIaz82lE01JDku0sIXQeY8rbvahyLTo199Px5P4v7qd47qfPdj/x4NZYKuSiAyQOB8kP+832Uii1+BD376drEbS5n46XSvuL+ymc++mz3U8hCWkw/STDOxCJc7pC9dAjc0cphGG/Q+JalG/up+Ol+/7ifvLnfvps9xMJScI2oKuz/cQzI7mEAMH7kVrsbPts+8DSq8POHbvjpST/4n6Scz99tvupV+62dwpklzJIl2D7qReIFQPFbNxvfzWKvxYtnfvpeGnTv7if+NxPn+1+SmkoaVVIaQagaDCok9moOPbuModE2zsT+2uViHM/HS+1+xf3E5376bPdT6NMkZQajNim01xmLVo0+hdLjZl9cn57VY+/niHB7syQeB7QPffTZ7ufTB4VTpIg0VNFZxig1fYTJm5OMmrfP5rcX0+QYHcmSFzupzM94vPdTsMzt4gNaLgAghih2CEFHXNrpcXmxp6GPvjBIIoru0n01yRHfJtL//bybX7s//bjH/5f9//ZyszfLp59+pN/7OOb776Z7/fu8g2uH+26t+me7oXdd321n2HmhXtyFS9ffXlxYRff//KbrkZGMiKX2Vkkhsnsbb2zs39STZ2b71LzHmbvP6jXuGY40cdfQUT2rvUrl/pF83DfpU4+ZQmU5gLbrs69gmZSGCr2OLraw56lpl/e1Wgo/BU++5stNb7byM+u65PvMkkqLucBnrMHu98Is1TfpDJXDqaX7XjavaGuzpz0v2be1LmffqHUTSNiH2Kk0yfbTxqg2OoChkEkXWsfe0jnByt9dWKj/zXTms6V/gV5YUdkmhW3NUiB2Z4bElKDamaTXNVmxmv3Sl/LbrOV/hXJA+dK/0KmvW3g6m19iXwG8d1WOhv9DSmhZE8ZN421+mClr+Vd2Ur/Fkfkg650bMyIxnk1mdAR8R5SSwWojBaSrbdI2L3S1zKCgv81c3bOlf6l9gl5Nit04Aqb9c7BTuzxNP5LG3Xhjp52r/S1XBVb6V8RCjxX+hdWOjO3IQq2f2adlCu20gOh1sw4PPdet4tZvJZGYUv9K6JU51L/gph1gUdtDtTVMQ/q2RNldpyow9bdzuqCbftSX1OzttSn3+JmS11T0G7KFXKf4xt9cVAkz8Li4jnhYOU9pe8fLvW14LMt9a/w7Z9L/QuSOlIT+wFxzAnIOHd1saX2NFyqyLldhgg2LPU1d6Qt9Wfjef79LzXN+fSJCTq19HYoa9Hm5zAWFheC1rpnGMuHS33dUfZrBlycS/0LS63ihDHDSCmCmLQCW12FEqOJbZO1vWyXWnjdU0anp+xmS+2HqiNTWH52q5dh+rqUisDoMTqOJfs9icwfLvXVEUvenQ6U2zlFUy6qkiFqKbMrocnqECJ0NzNvu0vk93R5+XCpr04o8nh6UG5Hy1qIORGBxiyz/4iDTGbKo2pI3FR72+7/xmsuFFvq04Vys6XOkVv0naFQNDUdbUOXPmkZpjJCGaXn7QycrrlQbKlPF8rtDHhNtXqsUFscIBS67W9MUIdzjZyi31TE9+FSX3Oh2FKfLpTbBTsSF27Ogf2fgrTq7azuAVBd0jH6CGG7C4WuuVBsqU8Xyu2WerTSgk8wtRVIjxmyN4XtZcSOIZnS3m/Ar7lQbKlPF8rNlhp7bbaXO2SduXujIGgoAqO5Xkbmorw9AeX6TPsz1+iGSx26mXDvGVhntLprgly1w5BUxCE1CdsZ+PWR8Gey0S0NONVSonpofk78oTZr7RwCE+aGiq7G7UHM6xPVz2yjW+5q9SR9lq24MnNQHEEOXaD1IAkD4+Dt3rLrA8nPdKNb5tlTa3WY2dbUHEixH6VTMZldSu95+Lapw8OHS33dW3bmG90wNWEYL0udoUedLduigJKzHy1mZ8tcRtjTDPHDkoqrYwV8PMXW7RyjOZGZSZ1Dz8fb1AR1ZOLaFroK51h4T6HUh0t9tSu/j6fYut2u7jnZqWxrizO3LHEHs+QCSUMqOBzypuF2Hy711WHMPp5i63ZBzBqDjDEg1jC9ZXOEocxAF7pMPnnTYXu6x3y41FdnGft4iq2bLbWWxK31BnWw2FnNGYqLAwZXtT3tvY7t3rLro4B9PMXW7XR16aO0SGD7185qpgTFM8Morg5Kzbe2PQvl+iRdH0+xdbvIVik8KjmIWb1xM9vVKRot06Te5V6SyP6i5quDaL2eYuuGycHSpXpTV5jnDLdSjXxHnsOxCmUpXvt2XX19jqvXMzXhdi6UQa5hi6B1Nk0iO6ZLkwi2zJGdYOS4PWP0+hhUr2dqwu0yRjMrBjSdpWJndUXb33lUcBqoE7HRsv0M/OoUUa9nasLtKm7dKITojZbNIZysRstmk4oxJPU2Mpa6PY3w+hBOr6e37HZia8TqSupQHSGIN4KWChI4dqmW1tS17Qb8+gxLr6e37GZLXYrLjaqRsVqTMXAyRkZO7cCuCTuilLFdbP3MCEh251rfruoW0SFTAG7OeJl3tq2HzETwaiCoGBrp9rX+ueZ7p2v0dk4UzbmWUaBnyUbMWgd7owZ9dkKRhoF4ey39zwzOY3f6Rm93XEcS7gGhzta0gsNBFlNeNFSKi0GcbCfhPzPUjd3pHL3dWtufGePu4LL2GfKoUFK287qXKr3HMNz2VMKfGTjGZ+HWDf0oHufQ+AE+OFvrmKe3bATIRJFLSD317TGPnxmGxWfl1g0zzJIkKrbMVKKd1yWZumbqoNxL965TvuxhumGtrw9q4rN064bczGx3M0ENbZQ6A1y2zMUHqK1M465By3Ye/nNDhM7arRuudZccMguMMDUXD4IycoMWu8+aQnL7s1F+bsDNWbx1Qw+p91ibya2mJDP3P0LqNYCtdJVQe3R1e+7/zw1fOau3buhLST07GRkCldlT1tRXiaNORt5rIeWWt+eO/txgkLN864bcrFVb5T4dZbN/cNVi3GzKbWXJruTg+/59/TN+s7N+64ZpCjG6FAmhC+IcoGU8XChCNKXdnYuJN5Xq8Urv9fgwPcxekBp7l/qrL/9q//yPqRxf/Sn/8A9/yt/93/2HP/z4/d/6V19+8MD7F33zwz+8G87xT9/l8m1v7177/PH3f/LSNI+lkTDXxsH8ulEwV8bAfNW++eHpQv/pyniSd5f4tLZM7qUJL0tzMd7POfm5D0Bm2fwBeFm7cfsP0L0fQLr1AyhJeGko0S1vUdq9yClsXgO3+QOYrxnSG32A87v3Qdy8yHI5Euy2H0CeaPMiz1tkp/y33/7tr//7kwnHzai97Bxx6w/wtHlJ+LJT7I5bdM8l8Zd9W25+x3SzIZnH0T3vGONuEOtmEAtuNr3zFt11SS6np9z6AwJuZSS2JLu/wbxFd10S2bztw14Q25Ls/gbzFt13STZ/QNhrGeeS3OEW3XdJNiudgH73kmz+BvMW3XdJNh+OAbey+rkku4/3mRh7xyUJuJsQ7Xb6TK/SfUG8ddvPJdnrA7Il2fwN5i2675JsFvMBt1LIuSS7fU4zWfOuS7LVrtiS0FYKOZdk8zeYt+i+S7LZeR1os79Ddn+DeYvuuyS7xTXtFte7v8G8RXddEr9bXNNucb37G8xbdN8l2U2Cabe43v0N5i2675LsFte0W1zv/gbzFt13SXaL670hs7kku8W1v6+45t0xubA7Jie7vwHfOSbHlyOubr8ku9X77m8wb9F9l2S3eqfd6n33N5i36L5Lslu9702BmUuyW737O6t3v1u9702/mEuyW737O6t3v1u9X9br335Jdqt3f2f1fjkV6/ZLslu97/4G8xbdd0l2q3ferd53f4N5i+67JLvV++VojNsvyW71Hu6s3nenrgferd53f4N5i+67JLvV+2VZ0e2XZLd6D3dW72G3eufd6n33N5i36L5Lslu9703fnEuyW72HO6v3sFu9703fnEuyW72HO6v33YVjYW/65lyS3eo93Fm97y6eCHvDGbYku7/BvEX3XZLdDpW9ssGW5LKzy45bdNcl2V1tGS5no956Sby7wy2655K4u0YxmcL23MQbRzG/+vJnCt/f/8kf+3/81VdfPqvg/+rb/MOP/72P7/sPf/rXb/7c/0BzdpxL4PRf0f8njP/Jub+j6DmG+H/NfgQfv/r92/zwp7/8z3/4y3c/2if+s/38/odeZzuDH/4w8rc/9K++vPr8+3f40zf9+/x9/dO//8tHzQwun/n4FszGB//N0PHF/OWf25ybVXmkgKDdz3Gm0UHJLUPzubIL0mIYl6sw38Wu65/mInzTL9sHXKzjC2v40iq+0OjiZ4Dy5c9ewVd/+evTvXrXs4LefNH/7a/5u/b3w27k129m24Y3X7T+1x//9NTQov9b/fZvc8PY79/88I///l3+8zf1p5d9eQGhn27gxw/XP33zbbMreuFGfXy7Wx/sQ/AwqgpIcQVSSwwtl+xcYuf6s65NhsLnb//Vl9dW+Vcuf9aSafYa9GrXUwkyFoHoXSE/cpHL/nPn8r9i+QtJCy4m22MRQRwGsPsfIcZAJbqSan+puc+z92FHGH1tkDpXEGL7LXUPJL00e3y4F+fbPH+fhMrEHooMD9IYIdljdnkqs5VRjjXfE46d7VuE2ECpdZCQK2SvDULB1LCMLuMZkTrh+OnWKDYxxHjAyn3u/gglxQjoW8XRaknp2fK/CKOYCzu2QzDPzoaFFMyeVXASpA9XfChLcET74JyVbGfMCQSpJMipZBg+Jl9st3B+qY/48/dpyr5Kh67oQFDtUKvSoKHPbZQYe3ypl+3z7Rpd7W0OIYvTWsekoJkIwpBUXaqax9L9MVMqHYv9dfK27YNtM82CkIfSYC12SUvfqwxHUYKtklT7Xh3tN7XTI/QRqm8Nq6sr76O5RTvbHbhqJ79Ie9r2HXwMDbnV7OJYeR+jDMOJG1BCndOdup0eXAYMHJLrKES8dH+aS1SLRNAy3yfXOftNA3hWIbsoh/oMPzvNUJMspCHbKqVg694MAdjIOF71diQOwvFMnZxm6JPNUBVH1YtA8MFgzdXbqegrNNcjqybqbmm7Ug7eIBONXGEBGXY+qpNh3KY4qWlg83eFUSJXxLkKQapdT6IByawh5Jyc89kzhnzC6KMPfg2MQquxJyYzP3PaM7UBGpyHPsnN7C2g9EKLtH3Lr26OE8cMcTz1bCfj+nawwnDeDiejcJz7ufw3W34TVNEPLnY4pqfRF8Zqi52QzQxKxFGaK88+9EUYiVmOnO0wynUe1s7ocOrDNL76aFS71/HssN4JI5MFhNkog9HfOb7F6Fqe/2zN+EcPvr1QeXzC6JNhlMQPIaMhUdrs3OwEihsOktSQjR0X1LtKIu6qMnoCI3jRuJpzkMnYn6lI4+5JtMdnzutz+T95+ZXK8HXUyUDsdg9mI7dJ5nQsKYPYoPCMi+xcfruM1g11dgHDdJHJKjBRXqAPiaG3zlyf+XnP5f/05U+12T7zELsRNSlmAlSMSIxG2aPd8liXFFbxKmaeGTDP92HDUi5NTam1SN3e2+WXJmw8ex+Howe7KKjoZfabdqYh51QQKi1zrGxSZElhGdf0yZSak9m3uscE9k1pnpA8erEzpL5wMzf6HYd9K82mO43cg91hU1gNA9RIRo1MvXupJ6w/+uBX+R1LUB+oQ4hj+tVcnvbE7rn9SGbXvIsvDQt4AY7JADwQgk6/I/YpjHsDxFYoJJUc1uDosUVRA2GbY8radCH0ZIcscuXIOUR8KazznPMZMYtoOyyKndOimqEosl2ebV3F2vC+lD+pbUmmCnE6Ve3+EGTppmRHMxOAbMb8WerdCetPhjUXyY6NDEXv5+2OZh0HB4jJtZqKOtODS46DUUKttmLTTTCXzY5bzQqtOqxpaB+53Fk5Uot2XEwpYrAeButhHBSZG8ekaKTvVTCyW7WIpLncT/98strxhVFBjwgsO2g5jhmm62biJMyITbcFKI4oCxaRvEQDDE9G3e1cYxMPxt56MBPXFdhpd7npaC8Oc3juaO2sbeQMHHSG6co8vk0NDrN9g1sKg5a0bfTNj+IUlNmOXecIUlKzT5hNIhONMZ4B/WWAcjbu4ey8ng7/lqdL2k4EHsYnEiElXIs/4Ziz7ASwT8fvULseRNuCZGzAzCW62lbex3Nw3rgSsM9tBg6M2dTeJ/vKRRQThyVHtAgmtbPN6PVc95Rm4CBNIy4tKVGNzz2IL76Pn356W+3mup1LIxLM9ZuD+5J20/MzbW7FMHXqtUqFwU8GTuycnB4lu0gWxz269tLwrufn5GDiESu4UQw/rhTInAmiioZQo1GvpQCE3ZZQJBTA4CaNVA95hA527KEjzan3NYd/8Y0didHa6fFNM+xc6wwYmeHzvbeQX5p88ex9RkfqGCdJH8YjvEkkrWXYeUDNtoqLdlFL+zSjcZDB0IzhvxXZxZSXwSAk+1K+lLr0Ps3ODlv7AiYZ7X1MpIFhkWC2v1dtzCMtvY9SdOrJG5FpdQYgbMmTwdvI0YzYZY3+ripUKtv2nlvLIGf3WYy4myIxTeNd0YQa+ufnyvziWRZefCFj6Tz03hubEhApIHDPZrQ82mZi21t5GOyKnTnslozftDEhjTkjiczYsJl3M8MeKHT0PqdW3Jr2jcbfuCcYI09j451dim2HFu3sKxJtyy5tJtM3GRFN/KRUJnjVNqVZipDZlxSTKful9+HMdcRk3yblGaIu0dhmNc3aK5WEdrg/n2i+NVmCBhk4M1T1/FZD59DQbld3pq/QDMjpGvr4g1+zPbI6it24E4+nIL422x7VOAZSthveg38uEl56H/QxUDPwNGPxM4hf7Sw2ONZuZ1Z/ilIuaXEtpgaUpyc4P42nmjTFtoedE6jVsSddOkPJzhl09tfIMweooJ1Z3XZLby3O+EIva9s+xZGo+2jk1k5gEy3z7EsBnDOSa6q422csnenKaqdNA0rzLK5xjquXPq0SxlRcCW7Jx2A0l92oEegpWWImNWoxyhGN+8bEdozS0vfKRthsmxcolPw8APvkPBFwpqQw2l0uSxy1m6LDOTrOi8wznQbkmVRQjEDhmP7CtMZ5avHBvgFM6jwzNo3LNSO81GpExcGIaxyec65mF82cid2fMtMd1I54s96FjH2r9iVO2EZNNdpV1KSTwxcT4dkPCEYPg3OuTw/1inntoxiAbEP5iR9v0EnepFOwdTfLW6PJk6X1sqMnTfpOOdgx1rxtiWZWMphQms5UY5hL62VaqAVn9t3gO+ZoXlNNFGb4FmMrKpHXfF060wBysL9uaa57NyRlhxApFidqGz4uackchcvwxnVDtH3hy4xLNgVs9r081kC6xuGLrUvOCqHmPjlzAk0uQmg91OaMy6UlTeGMhJIzFDekaQ99mklfBupouxVTHp2XrkcFg6mZAqYfZrJW8WB318AYI6aeqqtjbV+YfGzZ5I1JZTuem6K9Bc3TGiN3Qyj1taSmWIezkx5CmUlf0++uXRhqwFyGEQ9d0+wSDDO1tpl/ZvdnCtxsMgmi0ZmcjCKtavaiIzoTj6Zizf6Q0aDCpilGsYXnNIZBek1Leil2QoBPMz1iRDVta1/OafD21maw+0tDRJ/v90rivSnaPreE1KndzDZDk95Fo+mBsLS/khrgctfJL+fY1JQha2oTRGT/ojgLDFbsfB4+odkNqmnuCwN1yt1uNpnFcK2KHc1L+0uEvantmf8+3tEpzxFi8mO4qLWt7dNuGq1rDEDOTI8UO3zy9EyGIDnEQYHTEv0VmbmPWKCVmcTopnOTewDs0ZscG5zD0nkaHCeD8oAU5ijibOtu/0vgnR1gxmlSzks4dF1z5GbncjRjJsk0ssZs29Y2e4wBq/a7atKkqRfPBK3PmAZLMurjOjhJ0ydQbZudIaSPP/hV2VUeTV0YgvyYeREyQz++u5k5Xkqfh1NagqORKTTuU8FhmseGMY40/X4kZpL84BDL0jZraAS1G22lOK8nsMGaXIDSfQs1ahBdup5oFt6IUJn8YEwHXZlZYybtxLc8kjetubRdjW7OOL2dN1hnmo4QpBkECs1YlilZdLL0PpEw0+gN3BCcOcd2Pd1ofbajxBH3yHnpeO72vRDtGHNjFvaYzYASjMg4T8kIujEAeYbcrdu1Z9/I5EpuM43JT7rJbbKrEpvxIHTPZ3D9qu36QgOFA29XM83UjOmaSkjGhljtVHS2PVwtDQPlSHrXgP+IYiTKhLMRZ50suM7TzE6hVl1qrdZwOTj7tNavCfg7x0/hJlPgM+Af7PhXY6CNzd4ZK56++nsufw3BIXIBVJqFRtXkkDMSq8XXKj01quVc/pstf1VsGE1O9eanls7GrU1IPdVXDGU0dr3E9Q0mPLDZadh8+Cn31Ih6o1JT8jFEeXYYbbUiQgWrac6SzICITzN+mUwD5+nE1YEmlV4XGD9h9FGYzrDCyQHzU3rNMMlYkkD13kVJwfT5EoyirY/TZhoo4eRq8xggIzZ9aphkZiHhEjdio2QzPjt9nHkWeERjW8OAqTm3ErNd7RI3Ysc0GDvUOOt7KiE8UcDIiHOz2NusbQ9Xe09aYPQZWcim05I3LuvJtK1kNhG55HIgsltiotcEeTEJ68awYzJXsMeMp82vRkvfy26vXY5xx2R/M+9KN0ld0RSSclFUrLjkkolGWhvPBTJNN10yAbR6B756U12jUIpLEt+I7CiCbKjJ03VhFqiYbp0Z+ibdJKtfc+ViqGLmK8IwUT8lrBmkoAglGuk2emtIXHqf1FsIdgKZOQtPGiYYR1eFKL7btWiM+a7pYp3QJTUckpaZ3GtLlQrNNJNkbKk6mS7P81T88INfY86GBmpOB3CZZY9an7IXDJ2+FfJlaGp3lUTTlnG363EzhUFKF7sUZXBUWumqpT9v1HeeZp/OiXuMSWODWqZXNkWGXFjMBLiWbfNziUuOwpHZ+Vl7G2lKGcfGq4xWQaUsRcTOprXTY7hh9tUh2DlmcMycjMzkAmxcy3Bq1kmWAjnZpJ40Z9y6zQBVJTYrwh2wjBRjrL2Mu5I0HN6Oe0O0p+kgJu/N6jvbdeRKiJxiqq8jaadV++h2x1ncyA6qm2WGfYq+bEytk9E06YixPXOobT3UGjo0jgAYTd/LDElnIgHDdFQKrnA5c6Bvt/yKQTQMhlm3P5W1exsOzjkmswdGstZS6YdxotIyQRV9l/1TjBXNsIUWe5M62l0dRgFDqq0KjKkURMZkkfOEzMWJK2JXe3Kjjz/4Z2D00ctvtEKOCJG0Q2x2lBqlt8UZs4sQl9G8r+pfmaW+w6N7ZIa0AwRDTZh5J4DczPyo0ZCSqsIYfhauxdjG6xx7p1v/o0R3V3LvswWNSYdZmBBmjub08xmT9JTqoGfWfqtfl4fkHBrQzIQUqnZq8GzdlDKZqKktPu92ekqYT/frOmZ+qgSNbvYP6w1MKgYwTm28msMIupSbEvyQ3nyEgU8JKjNHyiw2UE4UQlBD01LOjc8lsqZ5KuN0zDxlTxSFourU5FBta3n81XXJcRbuoZu5VrPkYqBCekq+6zXwcw77osRL0WgDlZmjkGYQ1iSVTw18YB2kxL4uSSrfS0yhFUh95tipGbTSHIEJGB1SU6u85vh0WJxmu880HZ9ivExNgkIdgYrUbrd6rU6mUWHiWZBut1iSXVmp1KGQdLavOVq6a+pxeIrazbqmNHNuaPbamPVzPTMr5jETTE5y9tEHv8rqY0llFu2abTVY+24Kv6eZISsuuVIM83ddftcnNfcZnKJt12DCI8+UhRFHcWQiYjzvBP+bH/pHRtgO5icUqTuz/TQbdonMhBemPAsTi+GAXaivax36Qv/ix12hX7QByYg0m6SClubR5meswDYauDFijyN6bUuld7ZxoyQ7YEMos9Y5uRmEd8ba0eRcnQ66+/a3aU252PdiljBLCmfrFazQeKhdjOP0ypDuCaOPjpKZ72aUDaofU6rjDBFmAVfRp1GGuucR/RePAEWqpfFM6Jgl6q1Brs1D1WHv50stYa3l52z3IZTApVleGGOcaXwNejVZMWLx7JZClqY2Aw1DtLbZ+09tZ2i3K8PAfcZ8HD2/nq0MyQjtDE9CEnJ2RNo5mYnNRLrmQ0cxKvq6iskT1h/d7jjUSP6YZamzA63Y8uOsrHKhF6Pd1NJSkrN6lqwjgZmeMd9nChFXwFZLHI0Q8XmkeWuIcMySaNsPVHJ+WyBfZmUV58Glt8KxvI5pHQpGO2hQn30cpRQY7al0fJaLuFRhSJgVCCVgfJ0D7FAr9MsbNAfnYxngy3SAtVkwYioaRo/cvIvo611TODKFTrPnTDEZZOfO7KwwM16ml6YEOwhnVc25/Lda/o6u9VbNHroZpWK03TbrCKhUl1CVw/OG9S/SF6wjpDIbvDgyNk2zmI4VakvVc26+612LWWYxe/H2RepT8ZEIGpHJAwax6awUW8DPz4pcfMQLM5QOjFSNlErwzZhEnOVt3vRaZCOks3NjNPbMz7NEtqbOYo015gTsZpn3LGjOs6A5+Wh7KTqJ+DqX3bn8H8na0qqL1GYZ9FPblGbU1M1YKSUalPP/397ZrcYRw1D4iUwsy5ZtCL3qG/QJbEumuWlL6PtTnSm92Gwupg1ZUlgWlmX2b5jx2Doj6Tu8Tuka8Y+SKwcXMhsASPjzdA8FJc2YuUttt0WTJd2SWCRoij6MxobzSPL1N/IY1SUXp7fRiO/D6HK9m3Qk+Po+mvRbDKNYCcU6gSHmkuSmeoSj7EHTgs7pw3oOV7SNPQZjEKAY4Je3Ie3vp/+S0UANtcAh7gSEvDI6H3poxuoripVyXdD9rlf/KtJbs0CcwTVDKb4OwLKGh2WSycbbYNT3MOXWI6yt2kEsS90v45wAPBaKoXRtuXjQ8Erb6ru2idbJtEYOEkGnoLJ9bvFltNS1ddmMWj9eVuE+wi7OxQuFbD3lXCRQtvnb2WkIXlGNc2ZNLZ2qEahtT0kFddZgV1YPrV0i+XCtLHXvRPG6ofnV/XFNLguVE5PBq8ngCxXUcGeWZJb9cSqRAqQISQ50MAxlwSPAx6y0xXkkXWWdupOO4yOdOEQFx6lWC75jFnjHbgNWVudQ4cPDsNj9J2BT4RGnx4yNdg0AErtYTlLP1T7U4n8/XQvvBeL8HBV5PQ4jzl6lL+NzHnWwJvCokIMuDxczGvbaItfZ5vMKe0xT5NT+wI2q7wTbHNSYrCEB2AoY5xG1rUnOsT0b0mWqrvEjKfgefqSWP1UDlF2LK7Krpqb3boktOwOEwHAr8pl3JoEXG8hLUQ548Ueb6f7faaiAi+WXU9gdPWQJgoy1Ig3atM8yeznV01ZV67IMxijuHI2mh4QOCfiHPdDKc9MKvLYG7T7BNIzIn05fMKNPH0Vacz02B9MV9fIekf97oinn3WrE/WdUdBm8MwGltLGX0k6tXBtE/NXpf7H9z6F5fHi2H9+ff375avbzs+2nb084RMe7cAu+2IovPT4cH/30C4i7ztEO5AMA</AdaptiveCompressedXml>
</file>

<file path=customXml/item11.xml><?xml version="1.0" encoding="utf-8"?>
<AdaptiveCompressedXml id="ab030734f887466a97bebf58c0a33c5c">H4sIAAAAAAAEAO1dW3NcORF+p4r/4PIDb026W61LgzcUZLeorVouRcIDvOlKXDhOyjMLbFH8dyTHBMeZ2TmGFXjnTB4mnjmaczTS90nd/bWki5/97c3V2V/qzeby7fVn5/RjPP/Z8x/+4OLl61q3Z1+Wz85jQoPeCLQQPIhzEdSnCqnZkDEak20+P/t1fFM/O//tj+Kbdz/96uzVq1+d97ucnV1sxn0+r+3y+nLbn7C5/bR/flPfvb3Zvvz46t3FfvldvNluPrz9UP63/ePbSmXrSWuxYEolkBwSBEkMprELFZ2miOf3vt/v8NXbHD96yN3nl+Vs+827Xnl3fvbs4cVcr65+XspN3WzObt7+tTcQnp/lt1dfv+mNhTu+8Of6zXO6eDb+++jpz3Y+/iLfXG7rzWV8eJt6Vd/U6+3L3gexxHe9zPjVfP6g3Kj+9WYbr3P95Mq9a73GZfTO73/x1ZcvXr76ze9+/ssvzKeVH9Xce7t/VWmz60F3184ueyWFvP20nrfFRjuf9XKX229e3TY5n9+9Hb/O+h0N+r5Wd/ffUd89tfpwobfgg47Y0eQXz/4Nr28BncXqUgkBHObOhFwYQikCJuTMqf9uX3QO6Ogw6HjtoNPjBB1RTdl5BkctgCRjQQ0nKIk0dzB6m8Ic0PFh0JmVg87uqOdtse856CRJCUYZSq3SRzpfIOWYgSUIZnRYZoHOHAadrBx0Jhwn6MgF7halAyWbQGrOEDsOwaZikmuM3vMc0PnDoLMrB52n4wSd01gU0UDwhkHYFAjdvQG1xtocS3dwZA7owmHQuZWDTo50evU2dFxlBE4cQVQjRMwVjPPO9bnXRqI5oNPDoPMrB5090pGOsw1NmCGJdpvOtO69Yo3QqIpntVR1zkjHC2y6sHLQiRwn6ChzaEEMOBtLdyRihIQVoUpjjYaRMc0BnRwGna4cdO5IQVdUJdrqIfqi3ZEIDLFWBrIlt1SxSZkTHGa7IDiMa0edOU7UGSIWiQKlSTfqsDnoZlyBGH0SQsoxTxrqFrivtHpNwh8n6ioH5ogJiIMFsTmDNnXQoggytxZCm4O6Bf4rrV2UkCNVwpipxBGgEyTsL5JHwEQhObYtaK5Z4hzULXBgae2qhBxpgFiNj+iSQBB2ILHVbtcRAWsrGnNrqHP0V7NE9F+7LGGP1JvIzsRsZAiwPoCErBCSq5AiVtsNPnUyZ4Y1C1R/WrsuIXicqCvNhpJan1z9QF2KCTSaDFULYzBqKMyJ1pkFsj+tXZjwRzrD2losckvgau6oU9c66mLtMyyjidiCj3kO6hbEiGntykQ40rEuomGqfXAL7Ltdl5MB7U4tKDXk5LzLfo43YRYEiWnt0oQ90sgJWeMZq4ATHo6sdRCNkW7XxaH9V5etmYO6JVHitWsTcqQqbCNbqq8ELaQCwpUhBlMgipom3Y+VUOegzi3IIV67NmGPdIa1TMxMOgy5OtZwBEjJeCBkFBO4FJqDOlkww/LatQl7pN6Ex1jVRA9l5Jn0AS5AbNEAsbUsNrLTOd6ELJhhee3ahDvWBROKhaSPcL6bcSCEAdSkBj6OBGKu0euceJ0smWHXrk24I51hozex+ixQi3RvgrId7quBzIlYHGMSPwd1C9R/Xrs24Y805wS95RCbA9ISug9bPQTufoVV4RZtH/LCHB9WFqj/vHZtwh2pD1vFRc62O60WqfuwmTrqcgG2nHLI3lac5E0sUP957drEw3nmQ7HvOeqCphbINCii3a4LoYAmTRCpBRc0NClzvAm7QP3ntWsT5ki9CUktOhQHOTkD0hpCKlkheyfB2mCDKXNQt2TN/9q1CXekY503Pg9XFXDEhkXVgEapYAN5cX28a81NQZ1bgrrVaxNHOtaN1TiOfB/r1NWOOqt9ctUKziYMyDmHSeq/W7LVxNq1CTlSHza1FrGJgZTUd7uOukln+1xbiDvkKprkJo11C3JOzNq1iYdt/6HY9xx1tjgtsWXg2I070bHuP/dpNkUV6W5tSH7Oah23QBEza9cmzJGizvmcMGPqgGMF6Z4sBNNdCuOkJG2Ym5/jTbgFiphZuzZhjtSbsLXVFq2BLKFDr/XJVRURXKXkQjWW3Jz8OrdAETNr1ybkSMc6Kn0ebURQ++AGIs6ComngXbPEqVWf5kSJ3QJFzKxbmyCD9J8Jsd0NkaeNu5zIsGEHhlrH3fhLy7DxSjJGEzuiOfq/W7I2MazbofB+Oe7oaeOsZWtiUQutDb91bNEZsDJ08w59cZhDnmPL+SWrEcO6XQjvcXGQ7onjzMZEPrYOMXZ5vJRuvVWErI3QsiZHc6JyvMB6o7Bup4Gt+CO138Z+JkgcwI50dSlZIGWbwN8uTCwmhTgnQnJveNtharzfjXN9qLupV/3H/aW+iFf1usSbL+5Q+La1Td1+dg5jk/Dy9c1tCwy83VpruG9Rdr67zZdl5/WPSxAidih9+1cOF9je1mrf8z6hS9jNj/GkvXca2N7ZTv9nMmlCKdS6z226nSCZugtu+gv7nEsmtd7OccHvkcnuI9P6PPDDZMITmZ4smYxDW1yN3Q4yfWaqVEGzYUAMVlKnWY1z9gG5R6Zd5W/JtL7AwkEy6YlLT5ZL6tBH2xxkPzJN4piYvDQohW1J7MVNOkjnHpf8Pi6tL5XzIJfCiUtPlkuhWc/9HwQZK49qbJCkFiBPtoTipNQ5a0DucWlHe77n0voSVA9yyZ+49GS5xBpbNuKhWF9HFB+7w2QrlCTiXWtqeY56dI9Luo9L60u7Pcgld+LSk+VSpNjNPOn+kqkNxIlASmOP4mgLZnakcXrwgfYerLO+bOKDZLInMj1ZMrlGJvkYwdtkQGwzEMg5sJxQNJfi65yzW+6TaYdk9f7AoPUlSR8kk5zI9GTJVH2pGFmhGKsgaaw4aFmguNonJjO255pPJt5HpvVJ6AfJZE5kerJkMhZtQGwwDjjpM1NpELNGaJ6TSUkj1TnnJ94n0w44vifTSbH9hEx8ItOTJZNga0EKdTKNnXApRIhUPNQYRANyZZ0/M+1Lf3AnxfZTxfZEpidLJgqYxnE0kMiPmYnHrg05dxcqGiLKJs8XbGlf+oM7KbYPyXRKfni6XOqzUqJqLAQbsXNpHAzgWwNOwWGx6KXNSTu+z6V92Q+08pMBCHfGwRdniHZ6PDYp9ETn+0/63tHZeAreDSbnsZeWbQFiIAYzlk/ZSBLznNUq/nCWrT4iAHIVU716eJNt/dv2+d/xH71fxl8Prt5+5fPaLq8vx/3uKt/B+hHrb3m1Y83IftAsBMwesFw8e1CvBz//4Q9dep4LcqyIHpooQ7eFPGgSBEqmtWowM8/xJ/zhBFB9hG9+6ucDOzJG4RwTg9OxZMMWheg0gnOZCWNOOikHxB/OTdRHuI2nfj4QuUZ20QULyDWBmKAQyDewJSRPtTLKnFU5/nDenD7Cozn18yG5TzwJtbHXpYyzacaeSD5169s3LEVrrnO0c384p0sfYWyf+vnA/OzVjuP8gAQrSG0GFDEBVq/BOh0rimf38758I31E7t6pnw+spsyGm6pC6j0K0k1vCEb6uN0t75wTBg1zVrX5Bbkw+ojEslNHHzDEQsNgTYWg0fUJehzbWZOA1lo4kac2KYDvF+Rp6COSnk4dfWCvzNKUc+2Tc1EDIqZBUivgQ+TiU6yi8xm9L4eA8BH7PZx6+sBOgYLqaxDIPo59jPoAnhwLBB/QR6lGy3RbbK/ATXiKlnx3VrcXnyh2t7m12AdvCaA2ZvDae54pia+T9tZYoL4SnuIl31lPU0Jv0TL0ydqDoKtj9YxASdRStZaTsdN7el9gjPAUMfnOelpbwdAH6j5w354aoQ20GAWOTI0jCdN8g2y/cPVd+Vhnf3j1+am3e0tnY7A7Vqnd7h5SA0SfMiBZbzT3AZ7mxEHvbWC+1yijJ0PrXarmIzp6R4v8rzs6RInOMUN1OBKlbOkeF6Zx5louNria05ypmpd09P8jEkrvu/YT82FhE188e9ff/lt8vHgdNy9ex+s/1c3z7c3X9eLZvQ8+FLrcvLjTIL+4jumqlruyn37+4Su7RMtF2vs+3f1xmvsevX2f1v5g/0JyO7ZDX0SQ3VL6HtX3olxubpvti4W12nGU539Vq295/k49eocW3WG62f6utk6d168u39TnjGy7vQUor8j/RMxPxP2Y3bC5/zgw+nHhD3fZvH771xdvr7f9gV/215tNzQP0m+ctXm060vZef3+Hf2H95etatw8GofHljz4dX7p4dlv0+T8BGZZ3CaKoAAA=</AdaptiveCompressedXml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C642442CBF634C9C95DB9CE19B0C9A" ma:contentTypeVersion="15" ma:contentTypeDescription="Create a new document." ma:contentTypeScope="" ma:versionID="2a4794d06dc0ab0d2e008dfda425e893">
  <xsd:schema xmlns:xsd="http://www.w3.org/2001/XMLSchema" xmlns:xs="http://www.w3.org/2001/XMLSchema" xmlns:p="http://schemas.microsoft.com/office/2006/metadata/properties" xmlns:ns1="http://schemas.microsoft.com/sharepoint/v3" xmlns:ns2="929d5e47-264b-4706-8f2e-3544dfa209ba" xmlns:ns3="82fc83ef-4de8-40ca-b39a-c3d6f55c6c22" targetNamespace="http://schemas.microsoft.com/office/2006/metadata/properties" ma:root="true" ma:fieldsID="453395cb422822a70e19794eb28903fe" ns1:_="" ns2:_="" ns3:_="">
    <xsd:import namespace="http://schemas.microsoft.com/sharepoint/v3"/>
    <xsd:import namespace="929d5e47-264b-4706-8f2e-3544dfa209ba"/>
    <xsd:import namespace="82fc83ef-4de8-40ca-b39a-c3d6f55c6c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d5e47-264b-4706-8f2e-3544dfa20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679acc3-19d5-4ce4-aee0-c4b935e45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c83ef-4de8-40ca-b39a-c3d6f55c6c2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5af6085-77d9-45b9-96f4-fd33d274034a}" ma:internalName="TaxCatchAll" ma:showField="CatchAllData" ma:web="82fc83ef-4de8-40ca-b39a-c3d6f55c6c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29B643-DE4C-49D6-A879-ED28E449DEDF}">
  <ds:schemaRefs/>
</ds:datastoreItem>
</file>

<file path=customXml/itemProps2.xml><?xml version="1.0" encoding="utf-8"?>
<ds:datastoreItem xmlns:ds="http://schemas.openxmlformats.org/officeDocument/2006/customXml" ds:itemID="{EA61D762-C8C9-4777-89E7-768A9FAB529A}">
  <ds:schemaRefs/>
</ds:datastoreItem>
</file>

<file path=customXml/itemProps3.xml><?xml version="1.0" encoding="utf-8"?>
<ds:datastoreItem xmlns:ds="http://schemas.openxmlformats.org/officeDocument/2006/customXml" ds:itemID="{C6CE6E9B-7F07-4E51-918D-FCD65401D8BD}">
  <ds:schemaRefs/>
</ds:datastoreItem>
</file>

<file path=customXml/itemProps4.xml><?xml version="1.0" encoding="utf-8"?>
<ds:datastoreItem xmlns:ds="http://schemas.openxmlformats.org/officeDocument/2006/customXml" ds:itemID="{F783C91E-9954-4EF1-807A-B5C99017D827}">
  <ds:schemaRefs/>
</ds:datastoreItem>
</file>

<file path=customXml/itemProps5.xml><?xml version="1.0" encoding="utf-8"?>
<ds:datastoreItem xmlns:ds="http://schemas.openxmlformats.org/officeDocument/2006/customXml" ds:itemID="{F85A1192-5902-420F-8A19-EF7E46F61E34}">
  <ds:schemaRefs/>
</ds:datastoreItem>
</file>

<file path=customXml/itemProps6.xml><?xml version="1.0" encoding="utf-8"?>
<ds:datastoreItem xmlns:ds="http://schemas.openxmlformats.org/officeDocument/2006/customXml" ds:itemID="{38AAF983-77BB-475C-933F-5FBBF784E7D7}">
  <ds:schemaRefs/>
</ds:datastoreItem>
</file>

<file path=customXml/itemProps7.xml><?xml version="1.0" encoding="utf-8"?>
<ds:datastoreItem xmlns:ds="http://schemas.openxmlformats.org/officeDocument/2006/customXml" ds:itemID="{6F147B94-7020-4897-BAD5-E3BBCB05AE27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2BE6DF2C-30BB-4D1F-B782-8B43C6DF885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6710059-f4e6-4851-bcb2-86178f41a383"/>
    <ds:schemaRef ds:uri="82fc83ef-4de8-40ca-b39a-c3d6f55c6c22"/>
    <ds:schemaRef ds:uri="929d5e47-264b-4706-8f2e-3544dfa209ba"/>
  </ds:schemaRefs>
</ds:datastoreItem>
</file>

<file path=customXml/itemProps9.xml><?xml version="1.0" encoding="utf-8"?>
<ds:datastoreItem xmlns:ds="http://schemas.openxmlformats.org/officeDocument/2006/customXml" ds:itemID="{746828E4-0443-42FB-937E-79809D019088}">
  <ds:schemaRefs/>
</ds:datastoreItem>
</file>

<file path=customXml/itemProps10.xml><?xml version="1.0" encoding="utf-8"?>
<ds:datastoreItem xmlns:ds="http://schemas.openxmlformats.org/officeDocument/2006/customXml" ds:itemID="{BB503CE3-AB69-4DE6-8285-CB2FB57AA4F6}">
  <ds:schemaRefs/>
</ds:datastoreItem>
</file>

<file path=customXml/itemProps11.xml><?xml version="1.0" encoding="utf-8"?>
<ds:datastoreItem xmlns:ds="http://schemas.openxmlformats.org/officeDocument/2006/customXml" ds:itemID="{ED0FE2CC-C76E-4B8A-9734-5F3A1828E6A0}">
  <ds:schemaRefs/>
</ds:datastoreItem>
</file>

<file path=customXml/itemProps12.xml><?xml version="1.0" encoding="utf-8"?>
<ds:datastoreItem xmlns:ds="http://schemas.openxmlformats.org/officeDocument/2006/customXml" ds:itemID="{496CC4F2-02B2-478C-95CC-8737D4FF3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9d5e47-264b-4706-8f2e-3544dfa209ba"/>
    <ds:schemaRef ds:uri="82fc83ef-4de8-40ca-b39a-c3d6f55c6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IS</vt:lpstr>
      <vt:lpstr>BS</vt:lpstr>
      <vt:lpstr>YOY</vt:lpstr>
      <vt:lpstr>Act v Bud</vt:lpstr>
      <vt:lpstr>IS.BS.Detail</vt:lpstr>
      <vt:lpstr>Monthly Activity</vt:lpstr>
      <vt:lpstr>Trial Balance</vt:lpstr>
      <vt:lpstr>GL</vt:lpstr>
      <vt:lpstr>Rent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Davoodian</dc:creator>
  <cp:lastModifiedBy>Javier Gonzalez</cp:lastModifiedBy>
  <dcterms:created xsi:type="dcterms:W3CDTF">2015-06-05T18:17:20Z</dcterms:created>
  <dcterms:modified xsi:type="dcterms:W3CDTF">2026-03-27T18:28:21Z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aptiveDocumentId">
    <vt:lpwstr>1c5e4e87-4ef2-4b0a-9c06-be627a9e2dd2</vt:lpwstr>
  </property>
  <property fmtid="{D5CDD505-2E9C-101B-9397-08002B2CF9AE}" pid="3" name="AdaptiveReportingVersion">
    <vt:lpwstr>5</vt:lpwstr>
  </property>
  <property fmtid="{D5CDD505-2E9C-101B-9397-08002B2CF9AE}" pid="4" name="AdaptiveReportingRevision">
    <vt:lpwstr>0</vt:lpwstr>
  </property>
  <property fmtid="{D5CDD505-2E9C-101B-9397-08002B2CF9AE}" pid="5" name="AdaptiveCustomXmlPartId">
    <vt:lpwstr>f783c91e-9954-4ef1-807a-b5c99017d827</vt:lpwstr>
  </property>
  <property fmtid="{D5CDD505-2E9C-101B-9397-08002B2CF9AE}" pid="6" name="CustomUiType">
    <vt:lpwstr>2</vt:lpwstr>
  </property>
  <property fmtid="{D5CDD505-2E9C-101B-9397-08002B2CF9AE}" pid="7" name="ContentTypeId">
    <vt:lpwstr>0x0101001BC642442CBF634C9C95DB9CE19B0C9A</vt:lpwstr>
  </property>
  <property fmtid="{D5CDD505-2E9C-101B-9397-08002B2CF9AE}" pid="8" name="MediaServiceImageTags">
    <vt:lpwstr/>
  </property>
</Properties>
</file>